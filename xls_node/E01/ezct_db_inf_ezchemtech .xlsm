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F:\gitdn\20200228start\xls_node\E01\"/>
    </mc:Choice>
  </mc:AlternateContent>
  <xr:revisionPtr revIDLastSave="0" documentId="13_ncr:1_{B27F08AC-131B-4F00-95C1-CF1784F128B1}" xr6:coauthVersionLast="47" xr6:coauthVersionMax="47" xr10:uidLastSave="{00000000-0000-0000-0000-000000000000}"/>
  <bookViews>
    <workbookView xWindow="38280" yWindow="-6345" windowWidth="29040" windowHeight="15840" activeTab="2" xr2:uid="{00000000-000D-0000-FFFF-FFFF00000000}"/>
  </bookViews>
  <sheets>
    <sheet name="결재요청" sheetId="2" r:id="rId1"/>
    <sheet name="경영정보" sheetId="3" r:id="rId2"/>
    <sheet name="ezchemtech_계좌" sheetId="4" r:id="rId3"/>
    <sheet name="Sheet1" sheetId="5" r:id="rId4"/>
  </sheets>
  <functionGroups builtInGroupCount="19"/>
  <calcPr calcId="181029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601" i="4" l="1"/>
  <c r="F601" i="4"/>
  <c r="E22" i="4"/>
  <c r="F22" i="4"/>
  <c r="E5" i="4"/>
  <c r="G22" i="4" l="1"/>
  <c r="G601" i="4"/>
</calcChain>
</file>

<file path=xl/sharedStrings.xml><?xml version="1.0" encoding="utf-8"?>
<sst xmlns="http://schemas.openxmlformats.org/spreadsheetml/2006/main" count="5412" uniqueCount="1067">
  <si>
    <t>요청ID</t>
    <phoneticPr fontId="1" type="noConversion"/>
  </si>
  <si>
    <t>결재요청자</t>
    <phoneticPr fontId="1" type="noConversion"/>
  </si>
  <si>
    <t>긴급여부</t>
    <phoneticPr fontId="1" type="noConversion"/>
  </si>
  <si>
    <t>결재요청구분</t>
    <phoneticPr fontId="1" type="noConversion"/>
  </si>
  <si>
    <t>결재요청제목</t>
    <phoneticPr fontId="1" type="noConversion"/>
  </si>
  <si>
    <t>결재요청세부내용</t>
    <phoneticPr fontId="1" type="noConversion"/>
  </si>
  <si>
    <t>결재라인</t>
    <phoneticPr fontId="1" type="noConversion"/>
  </si>
  <si>
    <t>결재 1차</t>
    <phoneticPr fontId="1" type="noConversion"/>
  </si>
  <si>
    <t>결재 2차</t>
    <phoneticPr fontId="1" type="noConversion"/>
  </si>
  <si>
    <t>결재 3차</t>
    <phoneticPr fontId="1" type="noConversion"/>
  </si>
  <si>
    <t>제출상태</t>
    <phoneticPr fontId="1" type="noConversion"/>
  </si>
  <si>
    <t>결재요청일</t>
  </si>
  <si>
    <t>진행상황</t>
    <phoneticPr fontId="1" type="noConversion"/>
  </si>
  <si>
    <t>결재결과</t>
    <phoneticPr fontId="1" type="noConversion"/>
  </si>
  <si>
    <t>결재의견</t>
    <phoneticPr fontId="1" type="noConversion"/>
  </si>
  <si>
    <t>월별 추이</t>
    <phoneticPr fontId="1" type="noConversion"/>
  </si>
  <si>
    <t>확정견적 건수</t>
    <phoneticPr fontId="1" type="noConversion"/>
  </si>
  <si>
    <t>년도</t>
    <phoneticPr fontId="1" type="noConversion"/>
  </si>
  <si>
    <t>1월</t>
    <phoneticPr fontId="1" type="noConversion"/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</si>
  <si>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</si>
  <si>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</si>
  <si>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</si>
  <si>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</si>
  <si>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</si>
  <si>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</si>
  <si>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</si>
  <si>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</si>
  <si>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</si>
  <si>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</si>
  <si>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12월</t>
  </si>
  <si>
    <t>판매액 추이</t>
    <phoneticPr fontId="1" type="noConversion"/>
  </si>
  <si>
    <t>출금액 추이</t>
    <phoneticPr fontId="1" type="noConversion"/>
  </si>
  <si>
    <t>잔액조회</t>
    <phoneticPr fontId="1" type="noConversion"/>
  </si>
  <si>
    <t>계좌번호</t>
    <phoneticPr fontId="1" type="noConversion"/>
  </si>
  <si>
    <t>잔액</t>
    <phoneticPr fontId="1" type="noConversion"/>
  </si>
  <si>
    <t>거래일시</t>
    <phoneticPr fontId="1" type="noConversion"/>
  </si>
  <si>
    <t>적요</t>
    <phoneticPr fontId="1" type="noConversion"/>
  </si>
  <si>
    <t>합계</t>
    <phoneticPr fontId="1" type="noConversion"/>
  </si>
  <si>
    <t>만기해지출금</t>
  </si>
  <si>
    <t>농협001629 (예금이자)</t>
  </si>
  <si>
    <t>KG모빌카드//(하나) (타행IB)</t>
  </si>
  <si>
    <t>반포중앙 (예금이자)</t>
  </si>
  <si>
    <t>수지 예금신규 입금</t>
  </si>
  <si>
    <t>해약</t>
  </si>
  <si>
    <t>만기출금</t>
  </si>
  <si>
    <t>분당시범 (예금이자)</t>
  </si>
  <si>
    <t>광교신도시지점 기업이지켐텍기업(인터넷)</t>
  </si>
  <si>
    <t>2022년결산(이자)</t>
  </si>
  <si>
    <t>김현선</t>
  </si>
  <si>
    <t>일반</t>
  </si>
  <si>
    <t>test</t>
  </si>
  <si>
    <t>테스트입니다.</t>
  </si>
  <si>
    <t>김연희</t>
  </si>
  <si>
    <t>Y</t>
  </si>
  <si>
    <t>결재 완료(승인)</t>
  </si>
  <si>
    <t>승인</t>
  </si>
  <si>
    <t>인사</t>
  </si>
  <si>
    <t>유연근무제</t>
  </si>
  <si>
    <t xml:space="preserve">김신영주임 근무시간 조정요청 ( 기존: 8시30분~5시30분 변경희망: 8시~5시) </t>
  </si>
  <si>
    <t>최성철,황인국</t>
  </si>
  <si>
    <t>이현정</t>
  </si>
  <si>
    <t>업무지원</t>
  </si>
  <si>
    <t>법인인감증명서</t>
  </si>
  <si>
    <t>파시스 대표자명변경을위한 서류(서비스변경신청서,고객확인서,사업자등본,통장사본,법인인감증명서,법인등기사항,주주명부)</t>
  </si>
  <si>
    <t>김연희,최성철,황인국</t>
  </si>
  <si>
    <t>(최성철) PSYS 사이트_x000D_
(황인국) KG 모빌리언스</t>
  </si>
  <si>
    <t>장기근속포상금지급</t>
  </si>
  <si>
    <t>5년장기근속자(김연희) 포상휴가5일,포상금(월급100%) 지급, 입사일: 2017년9월6일, 지급일: 9월급여지급 시</t>
  </si>
  <si>
    <t>(최성철) 그간의 노고에 감사합니다. 앞으로도 더욱 발전하는 모습을 보여 주세요._x000D_
(황인국) 회사의 발전에 많은 기여를 하신 노고에 감사드립니다.</t>
  </si>
  <si>
    <t>2023년 캘린더 공모전 시상</t>
  </si>
  <si>
    <t>2023년 캘린더 제작을위해 공모전 시행 수상자들 상품권 시상예정입니다. 9만원: 정지혜, 5만원: 김현선,김신영, 4만원: 이정민,윤현경, 2만원: 김지연, 1만원: 이원미,유다현,김연희</t>
  </si>
  <si>
    <t>(황인국) 성원에 감사드리며 수상을 축하합니다.</t>
  </si>
  <si>
    <t>유다현</t>
  </si>
  <si>
    <t>기업은행 신용카드(기명,하이패스용) 발급을 위한 서류(법인등기부등본사본,사업자등록증사본,주주명부,법인인감증명서,대표자신분증사본,위임장)</t>
  </si>
  <si>
    <t>N</t>
  </si>
  <si>
    <t>결재 완료(반려)</t>
  </si>
  <si>
    <t>반려</t>
  </si>
  <si>
    <t>(최성철) 누구 인감증명이고 인감증명 일련번호 기재 바람</t>
  </si>
  <si>
    <t>현대오일뱅크 결제계좌 신규 신고서(신고서,개인정보동읫서,인감증명서, 사업자등록증,통장사본)</t>
  </si>
  <si>
    <t>현대오일뱅크 결제계좌 신규 신고서:신고서,개인정보동의서,사업자등록증,통장사본,_x000D_
인감증명서2부(최성철대표님: CAWY-AVBE-GPD3, 황인국대표님:OAWY-WVVB-WFY5)</t>
  </si>
  <si>
    <t>기업은행 신용카드(기명,하이패스용)발급 서류(법인등기부등본사본,사업자등록증사본,주주명부,대표자신분증사본,위임장) 및 법인인감증명서 2부(황인국대표님: OAWY-WVBE-WYU6, 최성철대표님:OAWY-WVBE-WPC6)</t>
  </si>
  <si>
    <t>김연희,최성철,황갑성</t>
  </si>
  <si>
    <t>(황갑성) 결재자 확인바랍니다.(황갑성?)</t>
  </si>
  <si>
    <t>기업은행 신용카드(기명,하이패스용)발급 위한 서류 제출 : 법인등기부등본사본,사업자등록증사본,주주명부,대표자신분증사본,위임장 및 법인인감증명서 2부(황인국대표님: OAWY-WVBE-WYU6, 최성철대표님:OAWY-WVBE-WPC6)</t>
  </si>
  <si>
    <t>KT 인터넷1회선 및 전화회선(070-5001-3580) 이지바이오팜 양도 관련 법인인감증명서 필요 (황인국 대표 1통 : CAWY-AXVE-GSV1, 최성철 대표 1통: CAWY-AXVE-GIX1)</t>
  </si>
  <si>
    <t>(최성철) 본 인감증명은 스캔만하고 제출은 하지 않은 건임.</t>
  </si>
  <si>
    <t>국민은행(상현역지점)대표자변경 및 갱신신용카드수령 업무관련 법인인감증명서 필요 (황인국 대표 1통 : CAWY-AXVE-GSV1, 최성철 대표 1통: CAWY-AXVE-GIX1) / KT사용 인감은 스캔본만 사용하고 회수하여 같은 법인인감 이번에 재사용예정임</t>
  </si>
  <si>
    <t>정지혜매니저 운전자보험(롯데손해보험) 계약자를 기존 이지바이오팜에서 이지켐텍으로 변경 하는 건 (황인국 대표 1통 : OAWY-WXVE-WSW7, 최성철 대표 1통: OAWY-WXVE-WIY7)</t>
  </si>
  <si>
    <t>이지켐텍 지점폐지등기를 위한 이사록의사록 공증 시 필요 (황인국 대표 1통 : CAWY-AXVE-GSX3, 최성철 대표 1통: CAWY-AXVE-GIZ3 )</t>
  </si>
  <si>
    <t>현대카드사 법인기명카드 발급 (황인국 대표 1통: OAWZ-WBWV-WTA9, 최성철 대표 1통: CAWZ-ABWW-GBT7 )</t>
  </si>
  <si>
    <t>국민은행(상현역지점) 휴면계좌(844) 해지 (황인국 대표 1통: CAXI-ATRY-GVP6, 최성철 대표 1통: OAXI-WTRZ-WGA0)</t>
  </si>
  <si>
    <t>SK㈜ 머티리얼즈 업체등록(황인국 대표 1통 : OAXI-WTRY-WVQ3, 최성철 대표 1통:CAXI-ATRZ-GGB6)</t>
  </si>
  <si>
    <t>02월문자수수료//자금결제부 (문자통지)</t>
  </si>
  <si>
    <t>고용보험2402//(펌이체)</t>
  </si>
  <si>
    <t>(주)우영사이언//신한은행 (전자금융)</t>
  </si>
  <si>
    <t>JW중외제약(주)//우리은행 (타행이체)</t>
  </si>
  <si>
    <t xml:space="preserve">계좌조회 </t>
    <phoneticPr fontId="1" type="noConversion"/>
  </si>
  <si>
    <t>seq</t>
    <phoneticPr fontId="1" type="noConversion"/>
  </si>
  <si>
    <t>거래일자</t>
    <phoneticPr fontId="1" type="noConversion"/>
  </si>
  <si>
    <t>거래구분</t>
    <phoneticPr fontId="1" type="noConversion"/>
  </si>
  <si>
    <t>입금액</t>
    <phoneticPr fontId="1" type="noConversion"/>
  </si>
  <si>
    <t>출금액</t>
    <phoneticPr fontId="1" type="noConversion"/>
  </si>
  <si>
    <t>고급검색 바로가기</t>
    <phoneticPr fontId="1" type="noConversion"/>
  </si>
  <si>
    <t>입금</t>
  </si>
  <si>
    <t>출금</t>
  </si>
  <si>
    <t>산재보험2402//(펌이체)</t>
  </si>
  <si>
    <t>국민연금2402//(펌이체)</t>
  </si>
  <si>
    <t>국민건강2402//(펌이체)</t>
  </si>
  <si>
    <t>외환딜링//(인터넷)</t>
  </si>
  <si>
    <t>내일채움공제//(펌이체)</t>
  </si>
  <si>
    <t>(주)씨앤드씨신약연//우리은행 (타행이체)</t>
  </si>
  <si>
    <t>학자금원천공제//우리은행 (인터넷)</t>
  </si>
  <si>
    <t>퇴직금예약이체//(대체)</t>
  </si>
  <si>
    <t>SK바이오텍(주)//신한은행 (타행이체)</t>
  </si>
  <si>
    <t>이지켐텍국민//국민은행 (인터넷)</t>
  </si>
  <si>
    <t>㈜서브원//(CC)</t>
  </si>
  <si>
    <t>이자-32-00124 다음납입예정일-20240328//(CC)</t>
  </si>
  <si>
    <t>이지켐텍국민//국민은행 (타행이체)</t>
  </si>
  <si>
    <t>KT0216119302//(펌이체)</t>
  </si>
  <si>
    <t>비씨카드출금//(BC)</t>
  </si>
  <si>
    <t>급여//(인터넷)</t>
  </si>
  <si>
    <t>공인인증수수료//(인터넷)</t>
  </si>
  <si>
    <t>（주）한국//(KFTC)</t>
  </si>
  <si>
    <t>KT통신요금02//(펌이체)</t>
  </si>
  <si>
    <t>2024년결산//(이자)</t>
  </si>
  <si>
    <t>이지켐텍외환//하나은행 (타행이체)</t>
  </si>
  <si>
    <t>고용보험2401//(펌이체)</t>
  </si>
  <si>
    <t>국민연금2401//(펌이체)</t>
  </si>
  <si>
    <t>산재보험2401//(펌이체)</t>
  </si>
  <si>
    <t>국민건강2401//(펌이체)</t>
  </si>
  <si>
    <t>에스에프씨(주)//하나은행 (타행이체)</t>
  </si>
  <si>
    <t>이지켐텍우리//우리은행 (타행이체)</t>
  </si>
  <si>
    <t>이지켐텍신한//신한은행 (타행이체)</t>
  </si>
  <si>
    <t>SK바이오팜(주)//신한은행 (타행이체)</t>
  </si>
  <si>
    <t>상여금//(인터넷)</t>
  </si>
  <si>
    <t>이자-32-00124 다음납입예정일-20240228//(CC)</t>
  </si>
  <si>
    <t>KT0216119301//(펌이체)</t>
  </si>
  <si>
    <t>(주)메디진//하나은행 (타행이체)</t>
  </si>
  <si>
    <t>KT통신요금01//(펌이체)</t>
  </si>
  <si>
    <t>에스에프씨㈜//하나은행 (타행이체)</t>
  </si>
  <si>
    <t>아이마켓코리아//(CC)</t>
  </si>
  <si>
    <t>산재보험2312//(펌이체)</t>
  </si>
  <si>
    <t>고용보험2312//(펌이체)</t>
  </si>
  <si>
    <t>국민건강2312//(펌이체)</t>
  </si>
  <si>
    <t>국민연금2312//(펌이체)</t>
  </si>
  <si>
    <t>원천공제상환금//우리은행 (인터넷)</t>
  </si>
  <si>
    <t>이자-32-00124 다음납입예정일-20240128//(CC)</t>
  </si>
  <si>
    <t>KT0216119312//(펌이체)</t>
  </si>
  <si>
    <t>KT통신요금12//(펌이체)</t>
  </si>
  <si>
    <t>2023년결산//(이자)</t>
  </si>
  <si>
    <t>비대면예금해지//기업은행 (인터넷)</t>
  </si>
  <si>
    <t>고용보험2311//(펌이체)</t>
  </si>
  <si>
    <t>산재보험2311//(펌이체)</t>
  </si>
  <si>
    <t>국민연금2311//(펌이체)</t>
  </si>
  <si>
    <t>국민건강2311//(펌이체)</t>
  </si>
  <si>
    <t>이자-32-00124 다음납입예정일-20231228//(CC)</t>
  </si>
  <si>
    <t>KT0216119311//(펌이체)</t>
  </si>
  <si>
    <t>KT통신요금11//(펌이체)</t>
  </si>
  <si>
    <t>비씨카드(주)//케이뱅크 (타행이체)</t>
  </si>
  <si>
    <t>고용보험2310//(펌이체)</t>
  </si>
  <si>
    <t>산재보험2310//(펌이체)</t>
  </si>
  <si>
    <t>국민연금2310//(펌이체)</t>
  </si>
  <si>
    <t>국민건강2310//(펌이체)</t>
  </si>
  <si>
    <t>조의금（이현정시조부//기업은행 (인터넷)</t>
  </si>
  <si>
    <t>에스에프씨주//하나은행 (타행이체)</t>
  </si>
  <si>
    <t>이자-32-00124 다음납입예정일-20231128//(CC)</t>
  </si>
  <si>
    <t>B2B팩토링대출//기업은행 (인터넷)</t>
  </si>
  <si>
    <t>KT0216119310//(펌이체)</t>
  </si>
  <si>
    <t>KT통신요금10//(펌이체)</t>
  </si>
  <si>
    <t>KT3440111210//(펌이체)</t>
  </si>
  <si>
    <t>퇴직연금수수료//(CC)</t>
  </si>
  <si>
    <t>고용보험2309//(펌이체)</t>
  </si>
  <si>
    <t>산재보험2309//(펌이체)</t>
  </si>
  <si>
    <t>국민연금2309//(펌이체)</t>
  </si>
  <si>
    <t>국민건강2309//(펌이체)</t>
  </si>
  <si>
    <t>이자-32-00124 다음납입예정일-20231028//(CC)</t>
  </si>
  <si>
    <t>조의금//기업은행 (인터넷)</t>
  </si>
  <si>
    <t>KT0216119309//(펌이체)</t>
  </si>
  <si>
    <t>근조화환//농협은행 (인터넷)</t>
  </si>
  <si>
    <t>KT통신요금09//(펌이체)</t>
  </si>
  <si>
    <t>KT3440111209//(펌이체)</t>
  </si>
  <si>
    <t>고용보험2308//(펌이체)</t>
  </si>
  <si>
    <t>산재보험2308//(펌이체)</t>
  </si>
  <si>
    <t>국민건강2308//(펌이체)</t>
  </si>
  <si>
    <t>국민연금2308//(펌이체)</t>
  </si>
  <si>
    <t>비대면예금신규//기업은행 (인터넷)</t>
  </si>
  <si>
    <t>부금만기//(대체)</t>
  </si>
  <si>
    <t>이자-32-00124//(CC)</t>
  </si>
  <si>
    <t>KT0216119308//(펌이체)</t>
  </si>
  <si>
    <t>KT통신요금08//(펌이체)</t>
  </si>
  <si>
    <t>KT3440111208//(펌이체)</t>
  </si>
  <si>
    <t>이현정＿결혼축하금//기업은행 (인터넷)</t>
  </si>
  <si>
    <t>고용보험2307//(펌이체)</t>
  </si>
  <si>
    <t>산재보험2307//(펌이체)</t>
  </si>
  <si>
    <t>국민건강2307//(펌이체)</t>
  </si>
  <si>
    <t>국민연금2307//(펌이체)</t>
  </si>
  <si>
    <t>이자-32-00124 다음납입예정일-20230827//(CC)</t>
  </si>
  <si>
    <t>KT0216119307//(펌이체)</t>
  </si>
  <si>
    <t>급여</t>
  </si>
  <si>
    <t>KT3440111207</t>
  </si>
  <si>
    <t>KT통신요금07</t>
  </si>
  <si>
    <t>(주)메디진</t>
  </si>
  <si>
    <t>이지켐텍국민</t>
  </si>
  <si>
    <t>B2B팩토링대출</t>
  </si>
  <si>
    <t>외환딜링</t>
  </si>
  <si>
    <t>이지켐텍외환</t>
  </si>
  <si>
    <t>부금15003(36)</t>
  </si>
  <si>
    <t>내일채움공제</t>
  </si>
  <si>
    <t>2023년결산</t>
  </si>
  <si>
    <t>(주)씨앤드씨신약연</t>
  </si>
  <si>
    <t>에스에프씨(주)</t>
  </si>
  <si>
    <t>화학연_구매계약</t>
  </si>
  <si>
    <t>SK바이오팜(주)</t>
  </si>
  <si>
    <t>퇴직금예약이체</t>
  </si>
  <si>
    <t>고용보험2306</t>
  </si>
  <si>
    <t>산재보험2306</t>
  </si>
  <si>
    <t>국민건강2306</t>
  </si>
  <si>
    <t>국민연금2306</t>
  </si>
  <si>
    <t>JW중외제약(주)</t>
  </si>
  <si>
    <t>이지켐텍신한</t>
  </si>
  <si>
    <t>에이치케이이노엔(주)</t>
  </si>
  <si>
    <t>학자금원천공제</t>
  </si>
  <si>
    <t>공인인증수수료 (인터넷)</t>
  </si>
  <si>
    <t>이지켐텍국민 국민은행 (인터넷)</t>
  </si>
  <si>
    <t>B2B팩토링대출 기업은행 (인터넷)</t>
  </si>
  <si>
    <t>이지켐텍기업 국민은행 (인터넷)</t>
  </si>
  <si>
    <t>외환딜링 (인터넷)</t>
  </si>
  <si>
    <t>이지켐텍국민 국민은행 (타행이체)</t>
  </si>
  <si>
    <t>에스에프씨주 하나은행 (타행이체)</t>
  </si>
  <si>
    <t>이자-32-00124 (CC)</t>
  </si>
  <si>
    <t>내일채움공제 (펌이체)</t>
  </si>
  <si>
    <t>KT0216119306 (펌이체)</t>
  </si>
  <si>
    <t>비씨카드출금 (BC)</t>
  </si>
  <si>
    <t>하나은행 (주)메디진(타행이체)</t>
  </si>
  <si>
    <t>외환딜링(인터넷)</t>
  </si>
  <si>
    <t>급여(인터넷)</t>
  </si>
  <si>
    <t>국민은행 이지켐텍국민(인터넷)</t>
  </si>
  <si>
    <t>기업은행 B2B팩토링대출(인터넷)</t>
  </si>
  <si>
    <t>KT3440111206(펌이체)</t>
  </si>
  <si>
    <t>KT통신요금06(펌이체)</t>
  </si>
  <si>
    <t>2023년결산(이자)</t>
  </si>
  <si>
    <t>국민은행 이지켐텍국민(타행이체)</t>
  </si>
  <si>
    <t>신한은행 이지켐텍신한(타행이체)</t>
  </si>
  <si>
    <t>하나은행 이지켐텍외환(타행이체)</t>
  </si>
  <si>
    <t>부금15003(35)(이체)</t>
  </si>
  <si>
    <t>내일채움공제(펌이체)</t>
  </si>
  <si>
    <t>우리은행 (주)씨앤드씨신약연(타행이체)</t>
  </si>
  <si>
    <t>우리은행 학자금원천공제(인터넷)</t>
  </si>
  <si>
    <t>하나은행 에스에프씨(주)(타행이체)</t>
  </si>
  <si>
    <t>고용보험2305(펌이체)</t>
  </si>
  <si>
    <t>산재보험2305(펌이체)</t>
  </si>
  <si>
    <t>국민연금2305(펌이체)</t>
  </si>
  <si>
    <t>국민건강2305(펌이체)</t>
  </si>
  <si>
    <t>퇴직금예약이체(대체)</t>
  </si>
  <si>
    <t>우리은행 (주)씨앤드씨신약(타행이체)</t>
  </si>
  <si>
    <t>신한은행 SK바이오팜(주)(타행이체)</t>
  </si>
  <si>
    <t>서브원(CC)</t>
  </si>
  <si>
    <t>하나은행 에스에프씨주(타행이체)</t>
  </si>
  <si>
    <t>이자3200124 다음납입예정일20230627(CC)</t>
  </si>
  <si>
    <t>비씨카드출금(BC)</t>
  </si>
  <si>
    <t>KT0216119305(펌이체)</t>
  </si>
  <si>
    <t>우리은행 화학연_구매계약(타행환)</t>
  </si>
  <si>
    <t>KT3440111205(펌이체)</t>
  </si>
  <si>
    <t>KT통신요금05(펌이체)</t>
  </si>
  <si>
    <t>부금15003(34)(이체)</t>
  </si>
  <si>
    <t>고용보험2304(펌이체)</t>
  </si>
  <si>
    <t>산재보험2304(펌이체)</t>
  </si>
  <si>
    <t>국민건강2304(펌이체)</t>
  </si>
  <si>
    <t>국민연금2304(펌이체)</t>
  </si>
  <si>
    <t>우리은행 JW중외제약(주)(타행이체)</t>
  </si>
  <si>
    <t>BC카드선결제(대체)</t>
  </si>
  <si>
    <t>이자3200124 다음납입예정일20230527(CC)</t>
  </si>
  <si>
    <t>KT0216119304(펌이체)</t>
  </si>
  <si>
    <t>KT3440111204(펌이체)</t>
  </si>
  <si>
    <t>KT통신요금04(펌이체)</t>
  </si>
  <si>
    <t>KB캐피탈(펌이체)</t>
  </si>
  <si>
    <t>부금15003(33)(이체)</t>
  </si>
  <si>
    <t>산재보험2303(펌이체)</t>
  </si>
  <si>
    <t>고용보험2303(펌이체)</t>
  </si>
  <si>
    <t>국민연금2303(펌이체)</t>
  </si>
  <si>
    <t>국민건강2303(펌이체)</t>
  </si>
  <si>
    <t>우리은행 원천공제상환금(인터넷)</t>
  </si>
  <si>
    <t>카카오뱅크 배당금(인터넷)</t>
  </si>
  <si>
    <t>국민은행 배당금(인터넷)</t>
  </si>
  <si>
    <t>우리은행 배당금(인터넷)</t>
  </si>
  <si>
    <t>KT0216119303(펌이체)</t>
  </si>
  <si>
    <t>이자3200124 다음납입예정일20230427(CC)</t>
  </si>
  <si>
    <t>KT3440111203(펌이체)</t>
  </si>
  <si>
    <t>KT통신요금03(펌이체)</t>
  </si>
  <si>
    <t>부금15003(32)(이체)</t>
  </si>
  <si>
    <t>행복나래//하나은행 (전자금융)</t>
  </si>
  <si>
    <t>조남형 | 웹사이트개발잔금40%//수지 (인터넷출금이체)</t>
  </si>
  <si>
    <t>대케미칼(주)//우리은행 (전자금융)</t>
  </si>
  <si>
    <t>씨그마알드리치코리아 | 국내제품구입//수지 (인터넷출금이체)</t>
  </si>
  <si>
    <t>메리츠통합002//임베디 (CMS 공동)</t>
  </si>
  <si>
    <t>파로스아이바이오//중소기업 (전자금융)</t>
  </si>
  <si>
    <t>(주)이효바이오싸//중소기업 (전자금융)</t>
  </si>
  <si>
    <t>주식회사 코레이즈홀 | UTM장비임대료_2월//수지 (인터넷출금이체)</t>
  </si>
  <si>
    <t>64971601453173//수지 (기일출금)</t>
  </si>
  <si>
    <t>주식회사 보다홀릭 | B조워크샵차량비용//수지 (인터넷출금이체)</t>
  </si>
  <si>
    <t>(주)와이디생명과학//우리은행 (전자금융)</t>
  </si>
  <si>
    <t>주식회사 센프로 (//신한은행 (전자금융)</t>
  </si>
  <si>
    <t>DGIST//대구은행 (전자금융)</t>
  </si>
  <si>
    <t>박천(대한과학상사)//신한은행 (전자금융)</t>
  </si>
  <si>
    <t>(주)랩스엠알오//우리은행 (전자금융)</t>
  </si>
  <si>
    <t>한국과학기술원//우리은행 (타행환)</t>
  </si>
  <si>
    <t>제뉴원사이언스//중소기업 (전자금융)</t>
  </si>
  <si>
    <t>포항공과대학교산학협//우리은행 (전자금융)</t>
  </si>
  <si>
    <t>한국생명공학연구//유성 (인터넷입금이체)</t>
  </si>
  <si>
    <t>종현식 | CJ택배_2월//수지 (인터넷출금이체)</t>
  </si>
  <si>
    <t>삼성화03032//임베디 (CMS 공동)</t>
  </si>
  <si>
    <t>현대캐피탈//임베디 (FBS출금)</t>
  </si>
  <si>
    <t>(주)스템디알(1)//전주 (인터넷입금이체)</t>
  </si>
  <si>
    <t>기업전용송금//수지 (대체출금)</t>
  </si>
  <si>
    <t>선물환결제출금//수지 (대체출금)</t>
  </si>
  <si>
    <t>바로환전202403040000000441//수지 (외화예금)</t>
  </si>
  <si>
    <t>바로환전202403040000000438//수지 (외화예금)</t>
  </si>
  <si>
    <t>엠에프씨주식회사//중소기업 (전자금융)</t>
  </si>
  <si>
    <t>에스티팜 주식//신한은행 (전자금융)</t>
  </si>
  <si>
    <t>에스티팜//하나은행 (전자금융)</t>
  </si>
  <si>
    <t>위아켐(주)//중소기업 (전자금융)</t>
  </si>
  <si>
    <t>코리아이플랫폼(주)//하나은행 (전자금융)</t>
  </si>
  <si>
    <t>디어젠 주식회사//하나은행 (전자금융)</t>
  </si>
  <si>
    <t>그레이머티리얼즈 주//하나은행 (전자금융)</t>
  </si>
  <si>
    <t>노보렉스주식회사//중소기업 (전자금융)</t>
  </si>
  <si>
    <t>건국대산단//신한은행 (전자금융)</t>
  </si>
  <si>
    <t>㈜오스코텍//하나은행 (전자금융)</t>
  </si>
  <si>
    <t>(주)에스텍파마//중소기업 (전자금융)</t>
  </si>
  <si>
    <t>(재)한국건설생활환//중소기업 (전자금융)</t>
  </si>
  <si>
    <t>(주)샤페론//신한은행 (전자금융)</t>
  </si>
  <si>
    <t>CT:000000000//수지 (인터넷출금이체)</t>
  </si>
  <si>
    <t>이지켐텍기업//중소기업 (전자금융)</t>
  </si>
  <si>
    <t>(주)에임블//중소기업 (전자금융)</t>
  </si>
  <si>
    <t>(주)에스이엠케이 | 국내제품구입//수지 (인터넷출금이체)</t>
  </si>
  <si>
    <t>수원시등록면//스타뱅 (공과금)</t>
  </si>
  <si>
    <t>(주)이뮤즈테라퓨틱//우리은행 (전자금융)</t>
  </si>
  <si>
    <t>주식회사사이러스테라퓨틱스//문정법 (인터넷입금이체)</t>
  </si>
  <si>
    <t>주식회사 보다홀릭 | 워크샵A_렌트카//수지 (인터넷출금이체)</t>
  </si>
  <si>
    <t>브릿지바이오테라퓨틱//우리은행 (전자금융)</t>
  </si>
  <si>
    <t>찬솔과학김형준//중소기업 (전자금융)</t>
  </si>
  <si>
    <t>조호준(이앤바이오)//신한은행 (전자금융)</t>
  </si>
  <si>
    <t>포스트젠//중소기업 (전자금융)</t>
  </si>
  <si>
    <t>(주)이지켐텍 | 이지켐텍기업//수지 (인터넷출금이체)</t>
  </si>
  <si>
    <t>세무법인넘버//임베디 (FBS출금)</t>
  </si>
  <si>
    <t>(주)이노보테라퓨틱//농협 (전자금융)</t>
  </si>
  <si>
    <t>전윤호//우리은행 (전자금융)</t>
  </si>
  <si>
    <t>올리패스주식회사(04//임베디 (FBS입금)</t>
  </si>
  <si>
    <t>올리패스주식회사//중소기업 (전자금융)</t>
  </si>
  <si>
    <t>고용_(주)이지켐텍 | 고용보험과태료//수지 (인터넷출금이체)</t>
  </si>
  <si>
    <t>조성도(참조은관리) | 주차비용현_2월//수지 (인터넷출금이체)</t>
  </si>
  <si>
    <t>(주)용현 | 용현월세_2월//수지 (인터넷출금이체)</t>
  </si>
  <si>
    <t>예일테크//성수역 (인터넷입금이체)</t>
  </si>
  <si>
    <t>주식회사세진씨아이 | 국내제품구입//수지 (인터넷출금이체)</t>
  </si>
  <si>
    <t>대일관리시스템 주식 | 용현관리비_2월//수지 (인터넷출금이체)</t>
  </si>
  <si>
    <t>김유례 | 청소용역비//수지 (인터넷출금이체)</t>
  </si>
  <si>
    <t>KIST 박상규//우리은행 (전자금융)</t>
  </si>
  <si>
    <t>국고환급:동수원세무서//수신상 (센타입금)</t>
  </si>
  <si>
    <t>KB2837//임베디 (FBS출금)</t>
  </si>
  <si>
    <t>베스핀글로벌//임베디 (FBS출금)</t>
  </si>
  <si>
    <t>롯손합0202//임베디 (CMS 공동)</t>
  </si>
  <si>
    <t>KB손02802//임베디 (CMS 공동)</t>
  </si>
  <si>
    <t>페더럴익스프레스코리//수지 (인터넷출금이체)</t>
  </si>
  <si>
    <t>주식회사 트랜스물류 | 퀵비용_3255//수지 (인터넷출금이체)</t>
  </si>
  <si>
    <t>64971601470587//수지 (기일출금)</t>
  </si>
  <si>
    <t>대한와이즈랩//신한은행 (전자금융)</t>
  </si>
  <si>
    <t>한국피셔과학(주) | 국내제품구입//수지 (인터넷출금이체)</t>
  </si>
  <si>
    <t>주식회사디에이치엘코//수지 (인터넷출금이체)</t>
  </si>
  <si>
    <t>한국경제 구독료 | 한국경제신문대금//수지 (인터넷출금이체)</t>
  </si>
  <si>
    <t>현대카드대금//임베디 (FBS출금)</t>
  </si>
  <si>
    <t>(주)제이비케이랩(//중소기업 (전자금융)</t>
  </si>
  <si>
    <t>KIST_오형석//우리은행 (전자금융)</t>
  </si>
  <si>
    <t>(주)태주//우리은행 (전자금융)</t>
  </si>
  <si>
    <t>하나카드//임베디 (FBS출금)</t>
  </si>
  <si>
    <t>SK쉴더스동수원월//수신상 (지로출금)</t>
  </si>
  <si>
    <t>이지메디컴//임베디 (CMS 공동)</t>
  </si>
  <si>
    <t>KB카드출금//수신상 (국민카드)</t>
  </si>
  <si>
    <t>서울대홍승윤//농협 (전자금융)</t>
  </si>
  <si>
    <t>주식회사 셀비온 (//신한은행 (전자금융)</t>
  </si>
  <si>
    <t>㈜스파크바이오파마//한티역 (인터넷입금이체)</t>
  </si>
  <si>
    <t>프레이저테라퓨틱스//우리은행 (전자금융)</t>
  </si>
  <si>
    <t>권혁하(하이바//신한은행 (전자금융)</t>
  </si>
  <si>
    <t>울산과기원//경남은행 (전자금융)</t>
  </si>
  <si>
    <t>아주대 산단//아주대 (인터넷입금이체)</t>
  </si>
  <si>
    <t>대케미칼(주)//중소기업 (전자금융)</t>
  </si>
  <si>
    <t>김주영(세진켐)//신한은행 (전자금융)</t>
  </si>
  <si>
    <t>주식회사이노큐어테라//우리은행 (전자금융)</t>
  </si>
  <si>
    <t>주식회사 이노큐어테//우리은행 (전자금융)</t>
  </si>
  <si>
    <t>SK케미칼//신한은행 (전자금융)</t>
  </si>
  <si>
    <t>씨지인바이츠//중소기업 (전자금융)</t>
  </si>
  <si>
    <t>주식회사 휴켐//임베디 (FBS입금)</t>
  </si>
  <si>
    <t>단대산학한영//농협 (전자금융)</t>
  </si>
  <si>
    <t>수원지방소//수지 (인터넷출금이체)</t>
  </si>
  <si>
    <t>근로소득세//수지 (인터넷출금이체)</t>
  </si>
  <si>
    <t>사업소득세//수지 (인터넷출금이체)</t>
  </si>
  <si>
    <t>경북대산학협력//대구은행 (전자금융)</t>
  </si>
  <si>
    <t>SIGMA-ALDR//BNPP (전자금융)</t>
  </si>
  <si>
    <t>인포마마켓한국(주) | CPHI부스50%//수지 (인터넷출금이체)</t>
  </si>
  <si>
    <t>주식회사 트랜스물류 | 퀵비용_1024//수지 (인터넷출금이체)</t>
  </si>
  <si>
    <t>1.24KIST홍성//우리은행 (전자금융)</t>
  </si>
  <si>
    <t>성대산학연구계산서//우리은행 (전자금융)</t>
  </si>
  <si>
    <t>삼성화02031//임베디 (CMS 공동)</t>
  </si>
  <si>
    <t>인하대산단//하나은행 (전자금융)</t>
  </si>
  <si>
    <t>종현식 | CJ택배_1월//수지 (인터넷출금이체)</t>
  </si>
  <si>
    <t>(주)와이엠에스코리//중소기업 (전자금융)</t>
  </si>
  <si>
    <t>서울대이현우//신한은행 (전자금융)</t>
  </si>
  <si>
    <t>바로환전202402020000001266//수지 (외화예금)</t>
  </si>
  <si>
    <t>가천대학교산학//하나은행 (전자금융)</t>
  </si>
  <si>
    <t>인제산단//신한은행 (전자금융)</t>
  </si>
  <si>
    <t>인제산단//경남은행 (전자금융)</t>
  </si>
  <si>
    <t>유나이티드파슬서비스 | 관부가세_38MW//수지 (인터넷출금이체)</t>
  </si>
  <si>
    <t>계명대학교산학협//대구은행 (전자금융)</t>
  </si>
  <si>
    <t>유나이티드파슬서비스 | 1ZX4549V045076//수지 (인터넷출금이체)</t>
  </si>
  <si>
    <t>주식회사나인씨엔에//중소기업 (전자금융)</t>
  </si>
  <si>
    <t>사)대한약학회 | 약학회부스비용//수지 (인터넷출금이체)</t>
  </si>
  <si>
    <t>박소윤(제이프로모션 | 판촉물_마그넷//수지 (인터넷출금이체)</t>
  </si>
  <si>
    <t>(주)개성상인 | 판촉물_VIP세트//수지 (인터넷출금이체)</t>
  </si>
  <si>
    <t>(주)넥셀//하나은행 (전자금융)</t>
  </si>
  <si>
    <t>(주)퍼스트바이오테//판교테 (인터넷입금이체)</t>
  </si>
  <si>
    <t>주식회사 코레이즈홀 | UTM장비임대료_1월//수지 (인터넷출금이체)</t>
  </si>
  <si>
    <t>풍기과학//경남은행 (전자금융)</t>
  </si>
  <si>
    <t>(주)씨에프씨테라메//중소기업 (전자금융)</t>
  </si>
  <si>
    <t>(주)씨에프씨테//중소기업 (전자금융)</t>
  </si>
  <si>
    <t>(주)용현 | 용현월세_1월//수지 (인터넷출금이체)</t>
  </si>
  <si>
    <t>(주)에스이엠케이//우리은행 (전자금융)</t>
  </si>
  <si>
    <t>유한회사 바이오드림//우리은행 (전자금융)</t>
  </si>
  <si>
    <t>조남형 | 웹사이트추가개발비//수지 (인터넷출금이체)</t>
  </si>
  <si>
    <t>동아대산협단//부산은행 (전자금융)</t>
  </si>
  <si>
    <t>김재영(다해드림냉난 | 에어컨청소비용//수지 (인터넷출금이체)</t>
  </si>
  <si>
    <t>부가가치세//수지 (인터넷출금이체)</t>
  </si>
  <si>
    <t>(주)스탠다임//우리은행 (전자금융)</t>
  </si>
  <si>
    <t>조성도(참조은관리) | 주차비용현_1월//수지 (인터넷출금이체)</t>
  </si>
  <si>
    <t>김태광 | 근조화환//수지 (인터넷출금이체)</t>
  </si>
  <si>
    <t>대일관리시스템 주식 | 용현관리비_1월//수지 (인터넷출금이체)</t>
  </si>
  <si>
    <t>롯손합0102//임베디 (CMS 공동)</t>
  </si>
  <si>
    <t>KB손02701//임베디 (CMS 공동)</t>
  </si>
  <si>
    <t>유노비아주식회사//농협 (전자금융)</t>
  </si>
  <si>
    <t>주식회사 트랜스물류 | 국내제품구입//수지 (인터넷출금이체)</t>
  </si>
  <si>
    <t>바이오드림(주)//농협 (전자금융)</t>
  </si>
  <si>
    <t>(주)한국제이알티 | 국내제품구입//수지 (인터넷출금이체)</t>
  </si>
  <si>
    <t>(주)원사이언스//중소기업 (전자금융)</t>
  </si>
  <si>
    <t>강철민 | 착불택배비//수지 (인터넷출금이체)</t>
  </si>
  <si>
    <t>바이오클론(주) | 국내제품구입//수지 (인터넷출금이체)</t>
  </si>
  <si>
    <t>(주)대웅제약//대2-5 (B2B입금)</t>
  </si>
  <si>
    <t>프레이저테라퓨//신한은행 (전자금융)</t>
  </si>
  <si>
    <t>주식회사대한와//신한은행 (전자금융)</t>
  </si>
  <si>
    <t>최광종//우리은행 (전자금융)</t>
  </si>
  <si>
    <t>(주)에이티지코리아//대덕테 (인터넷입금이체)</t>
  </si>
  <si>
    <t>연구관리팀//신한은행 (전자금융)</t>
  </si>
  <si>
    <t>대원제약(주)//신한은행 (전자금융)</t>
  </si>
  <si>
    <t>바로환전202401110000000337//수지 (외화예금)</t>
  </si>
  <si>
    <t>(주)신명과학//중소기업 (전자금융)</t>
  </si>
  <si>
    <t>(주)이지켐텍//신한은행 (전자금융)</t>
  </si>
  <si>
    <t>(사)대한화학회 | 대한화학회부스비용//수지 (인터넷출금이체)</t>
  </si>
  <si>
    <t>FX결제출금64972312270001//수지 (대체출금)</t>
  </si>
  <si>
    <t>(주)아이랩//문정법 (인터넷입금이체)</t>
  </si>
  <si>
    <t>쓰리브룩스테//농협 (전자금융)</t>
  </si>
  <si>
    <t>쓰리브룩스테라퓨틱스//농협 (전자금융)</t>
  </si>
  <si>
    <t>수원등록면//수지 (인터넷출금이체)</t>
  </si>
  <si>
    <t>비앤아이테크톤//중소기업 (전자금융)</t>
  </si>
  <si>
    <t>강덕원//전북은행 (전자금융)</t>
  </si>
  <si>
    <t>유창식(씨에스텍)//종로3 (인터넷입금이체)</t>
  </si>
  <si>
    <t>(주)와이엠에스코리//우리은행 (전자금융)</t>
  </si>
  <si>
    <t>주식회사 솔리//대구은행 (전자금융)</t>
  </si>
  <si>
    <t>주식회사 솔리텍(이//대구은행 (전자금융)</t>
  </si>
  <si>
    <t>주식회사 레드엔비아//우리은행 (전자금융)</t>
  </si>
  <si>
    <t>삼성화01030//임베디 (CMS 공동)</t>
  </si>
  <si>
    <t>전대산김수완신장//광주은행 (전자금융)</t>
  </si>
  <si>
    <t>경희대산협//하나은행 (전자금융)</t>
  </si>
  <si>
    <t>퓨쳐메디신(주)//중소기업 (전자금융)</t>
  </si>
  <si>
    <t>(주)솔바텍 | 입출고라벨구입//수지 (인터넷출금이체)</t>
  </si>
  <si>
    <t>제이맥켐//중소기업 (전자금융)</t>
  </si>
  <si>
    <t>노보렉스 주식회사 | 중복입금반환//수지 (인터넷출금이체)</t>
  </si>
  <si>
    <t>김연희 | 항공권구입비용//수지 (인터넷출금이체)</t>
  </si>
  <si>
    <t>(주)아이큐어비앤피//중소기업 (전자금융)</t>
  </si>
  <si>
    <t>(주)오상헬스케어//하나은행 (전자금융)</t>
  </si>
  <si>
    <t>한양-재료전산//신한은행 (전자금융)</t>
  </si>
  <si>
    <t>한국생산기술//중소기업 (전자금융)</t>
  </si>
  <si>
    <t>UNIST//경남은행 (전자금융)</t>
  </si>
  <si>
    <t>주식회사 사피엔스바//우리은행 (전자금융)</t>
  </si>
  <si>
    <t>주식회사 코레이즈홀 | UTM장비임대료_12월//수지 (인터넷출금이체)</t>
  </si>
  <si>
    <t>주식회사 카멜바이오//우리은행 (전자금융)</t>
  </si>
  <si>
    <t>휴켐바이오//동탄테 (인터넷입금이체)</t>
  </si>
  <si>
    <t>(주)케이메디켐//신한은행 (전자금융)</t>
  </si>
  <si>
    <t>(주)케이메디켐(k//중소기업 (전자금융)</t>
  </si>
  <si>
    <t>김희영(한텍)//대덕특 (스마트입금)</t>
  </si>
  <si>
    <t>세무법인넘버//기업2 (FBS출금)</t>
  </si>
  <si>
    <t>(주)제이디바이//우리은행 (전자금융)</t>
  </si>
  <si>
    <t>위즈랩//농협 (전자금융)</t>
  </si>
  <si>
    <t>(주)용현 | 용현월세_12월//수지 (인터넷출금이체)</t>
  </si>
  <si>
    <t>오스코텍(043733)_연//기업2 (FBS입금)</t>
  </si>
  <si>
    <t>인천공항세관//수신상 (국고이체)</t>
  </si>
  <si>
    <t>조성도(참조은관리) | 주차비용현_12월//수지 (인터넷출금이체)</t>
  </si>
  <si>
    <t>대일관리시스템 주식 | 용현관리비_12월//수지 (인터넷출금이체)</t>
  </si>
  <si>
    <t>주)천일씨아이//여수종 (인터넷입금이체)</t>
  </si>
  <si>
    <t>KB2837//기업2 (FBS출금)</t>
  </si>
  <si>
    <t>베스핀글로벌//기업2 (FBS출금)</t>
  </si>
  <si>
    <t>롯손합1202//기업2 (CMS 공동)</t>
  </si>
  <si>
    <t>KB손02612//기업2 (CMS 공동)</t>
  </si>
  <si>
    <t>크로다코리아//하나은행 (전자금융)</t>
  </si>
  <si>
    <t>울산과학기술//경남은행 (전자금융)</t>
  </si>
  <si>
    <t>주식회사에스투시바이//우리은행 (전자금융)</t>
  </si>
  <si>
    <t>올리패스(주)(04389//기업2 (FBS입금)</t>
  </si>
  <si>
    <t>주식회사 트랜스물류 | 퀵비용_5636//수지 (인터넷출금이체)</t>
  </si>
  <si>
    <t>(주)디피엘코퍼//신한은행 (전자금융)</t>
  </si>
  <si>
    <t>현대카드대금//기업2 (FBS출금)</t>
  </si>
  <si>
    <t>하나카드//기업2 (FBS출금)</t>
  </si>
  <si>
    <t>이지메디컴//기업2 (CMS 공동)</t>
  </si>
  <si>
    <t>현대캐피탈//기업2 (FBS출금)</t>
  </si>
  <si>
    <t>제이더블유신약(주)//중소기업 (전자금융)</t>
  </si>
  <si>
    <t>수원시(이지켐텍) | 자동차세_코나//수지 (인터넷출금이체)</t>
  </si>
  <si>
    <t>서울대정택동//농협 (전자금융)</t>
  </si>
  <si>
    <t>바로환전202312140000000414//수지 (외화예금)</t>
  </si>
  <si>
    <t>예금추가입금//수지 (대체출금)</t>
  </si>
  <si>
    <t>주식회사 트랜스물류 | 퀵비용_4592//수지 (인터넷출금이체)</t>
  </si>
  <si>
    <t>이지켐텍_레고//우리은행 (전자금융)</t>
  </si>
  <si>
    <t>메리츠통합002//기업2 (CMS 공동)</t>
  </si>
  <si>
    <t>조남형 | 웹사이트개발중도금40%//수지 (인터넷출금이체)</t>
  </si>
  <si>
    <t>(주)파츠플러스//우리은행 (타행환)</t>
  </si>
  <si>
    <t>이자세금:6,350원//수지 (결산이자)</t>
  </si>
  <si>
    <t>한국과학기술원//우리은행 (전자금융)</t>
  </si>
  <si>
    <t>KIST 권지언//우리은행 (전자금융)</t>
  </si>
  <si>
    <t>삼성화12029//기업2 (CMS 공동)</t>
  </si>
  <si>
    <t>매직불릿tx//우리은행 (전자금융)</t>
  </si>
  <si>
    <t>종현식 | CJ택배_11월//수지 (인터넷출금이체)</t>
  </si>
  <si>
    <t>유주형 | 홈페이지서버사용료//수지 (인터넷출금이체)</t>
  </si>
  <si>
    <t>(주)프레이저테//우리은행 (전자금융)</t>
  </si>
  <si>
    <t>김주용(애니켐)//신한은행 (전자금융)</t>
  </si>
  <si>
    <t>지놈앤컴퍼니//포일밸 (인터넷입금이체)</t>
  </si>
  <si>
    <t>(주)비즈마켓//신한은행 (전자금융)</t>
  </si>
  <si>
    <t>(주)용현 | 용현월세_11월//수지 (인터넷출금이체)</t>
  </si>
  <si>
    <t>주식회사 큐렉//신한은행 (전자금융)</t>
  </si>
  <si>
    <t>주식회사 코레이즈홀 | UTM장비임대료_11월//수지 (인터넷출금이체)</t>
  </si>
  <si>
    <t>권영미 | 월주차비//수지 (인터넷출금이체)</t>
  </si>
  <si>
    <t>메리츠화재해상보험//기업2 (FBS 출금)</t>
  </si>
  <si>
    <t>(재)한국파스퇴//신한은행 (전자금융)</t>
  </si>
  <si>
    <t>(주)팜젠사이언스 | 중복입금반환(매출)//수지 (인터넷출금이체)</t>
  </si>
  <si>
    <t>이병장(가나실크인쇄 | 판촉물_인쇄//수지 (인터넷출금이체)</t>
  </si>
  <si>
    <t>이새벽(키친팩토리) | 판촉물(실리콘컵)//수지 (인터넷출금이체)</t>
  </si>
  <si>
    <t>대일관리시스템 주식 | 용현관리비_11월//수지 (인터넷출금이체)</t>
  </si>
  <si>
    <t>(사)한국의약품//신한은행 (전자금융)</t>
  </si>
  <si>
    <t>(주)이지켐텍//수지 (인터넷입금이체)</t>
  </si>
  <si>
    <t>조성도(참조은관리) | 주차비용현_11월//수지 (인터넷출금이체)</t>
  </si>
  <si>
    <t>에바바이오 주//신한은행 (전자금융)</t>
  </si>
  <si>
    <t>주식회사 트랜스물류 | 퀵비용_0748//수지 (인터넷출금이체)</t>
  </si>
  <si>
    <t>(주)씨티케이 | 국내제품구입//수지 (인터넷출금이체)</t>
  </si>
  <si>
    <t>타이거닉스주//신한은행 (전자금융)</t>
  </si>
  <si>
    <t>지스트//우리은행 (타행환)</t>
  </si>
  <si>
    <t>채종석(와이즈엔텍)//신한은행 (전자금융)</t>
  </si>
  <si>
    <t>세진켐//신한은행 (전자금융)</t>
  </si>
  <si>
    <t>만기자동해지649715-18-70885(01)//수지 (자동해지)</t>
  </si>
  <si>
    <t>현대카드//신한은행 (전자금융)</t>
  </si>
  <si>
    <t>비씨카드(주)//케이뱅크 (전자금융)</t>
  </si>
  <si>
    <t>롯손합1102//기업2 (CMS 공동)</t>
  </si>
  <si>
    <t>KB손02511//기업2 (CMS 공동)</t>
  </si>
  <si>
    <t>바로환전202311200000000712//수지 (외화예금)</t>
  </si>
  <si>
    <t>(주)단군소프트 | 소프트웨어구입비//수지 (인터넷출금이체)</t>
  </si>
  <si>
    <t>(주)동인바이오텍//하나은행 (전자금융)</t>
  </si>
  <si>
    <t>KB카드포인트리//KB카드 (대체입금)</t>
  </si>
  <si>
    <t>하나법인캐쉬백//하나은행 (전자금융)</t>
  </si>
  <si>
    <t>서울대이지우//농협 (전자금융)</t>
  </si>
  <si>
    <t>서울대병원의생//신한은행 (전자금융)</t>
  </si>
  <si>
    <t>주식회사 셀비//신한은행 (전자금융)</t>
  </si>
  <si>
    <t>임종웅(제이애드) | 캘린더전체금액//수지 (인터넷출금이체)</t>
  </si>
  <si>
    <t>(주)단군소프트 | 백신라이센스갱신//수지 (인터넷출금이체)</t>
  </si>
  <si>
    <t>주식회사 아이엔테라//하나은행 (전자금융)</t>
  </si>
  <si>
    <t>바로환전202311150000000641//수지 (외화예금)</t>
  </si>
  <si>
    <t>주식회사 트랜스물류 | 퀵비용_0380//수지 (인터넷출금이체)</t>
  </si>
  <si>
    <t>용인시(현대캐피탈주 | 과태료//수지 (인터넷출금이체)</t>
  </si>
  <si>
    <t>메리츠110014//기업2 (CMS 공동)</t>
  </si>
  <si>
    <t>주식회사 트랜스물류 | 퀵비용_9825//수지 (인터넷출금이체)</t>
  </si>
  <si>
    <t>양해식다중촉//농협 (전자금융)</t>
  </si>
  <si>
    <t>(주)선일트레이딩//신용협동 (전자금융)</t>
  </si>
  <si>
    <t>서울대김진홍//농협 (전자금융)</t>
  </si>
  <si>
    <t>KIST수소연료전지//우리은행 (전자금융)</t>
  </si>
  <si>
    <t>(주)켐온싸이언스//우리은행 (전자금융)</t>
  </si>
  <si>
    <t>고대유승호//하나은행 (전자금융)</t>
  </si>
  <si>
    <t>송봉윤(예일테크)//성수역 (스마트입금)</t>
  </si>
  <si>
    <t>주식회사 트랜스물류 | 퀵비용_9104//수지 (인터넷출금이체)</t>
  </si>
  <si>
    <t>크리스탈지노믹스(주//하나은행 (전자금융)</t>
  </si>
  <si>
    <t>(주)펠레메드//우리은행 (전자금융)</t>
  </si>
  <si>
    <t>주식회사 펠레//신한은행 (전자금융)</t>
  </si>
  <si>
    <t>국립암센터//신한은행 (전자금융)</t>
  </si>
  <si>
    <t>삼성화11028//기업2 (CMS 공동)</t>
  </si>
  <si>
    <t>주식회사 트랜스물류 | 퀵비용_8656//수지 (인터넷출금이체)</t>
  </si>
  <si>
    <t>에바바이오 주식회사//우리은행 (전자금융)</t>
  </si>
  <si>
    <t>종현식 | CJ택배_10월//수지 (인터넷출금이체)</t>
  </si>
  <si>
    <t>KIST_오시형//우리은행 (전자금융)</t>
  </si>
  <si>
    <t>임종웅(제이애드) | 명함(4명)//수지 (인터넷출금이체)</t>
  </si>
  <si>
    <t>주식회사엘마이토테라퓨틱스//판교벤 (인터넷입금이체)</t>
  </si>
  <si>
    <t>(주)팜젠사이언스//하나은행 (전자금융)</t>
  </si>
  <si>
    <t>법인세//수지 (인터넷출금이체)</t>
  </si>
  <si>
    <t>주식회사 코레이즈홀 | UTM장비임대료_10월//수지 (인터넷출금이체)</t>
  </si>
  <si>
    <t>주식회사 엘마//기업2 (FBS입금)</t>
  </si>
  <si>
    <t>(주)용현 | 용현월세_10월//수지 (인터넷출금이체)</t>
  </si>
  <si>
    <t>주식회사 트랜스물류 | 퀵비용_7796//수지 (인터넷출금이체)</t>
  </si>
  <si>
    <t>경상국립대학교//신한은행 (전자금융)</t>
  </si>
  <si>
    <t>정용민(YMS(와이엠에스)//포항 (인터넷입금이체)</t>
  </si>
  <si>
    <t>최지영(웰서브)//천천동 (인터넷입금이체)</t>
  </si>
  <si>
    <t>(주)업테라//중소기업 (전자금융)</t>
  </si>
  <si>
    <t>가톨릭대(성심)//우리은행 (타행환)</t>
  </si>
  <si>
    <t>크리스탈지노믹스//중소기업 (전자금융)</t>
  </si>
  <si>
    <t>(주)다윈바이오 | 국내제품구입//수지 (인터넷출금이체)</t>
  </si>
  <si>
    <t>주식회사 트랜스물류 | 퀵비용_6826//수지 (인터넷출금이체)</t>
  </si>
  <si>
    <t>조성도(참조은관리) | 주차비용현_10월//수지 (인터넷출금이체)</t>
  </si>
  <si>
    <t>대일관리시스템 주식 | 용현관리비_10월//수지 (인터넷출금이체)</t>
  </si>
  <si>
    <t>이지켐텍외환//하나은행 (전자금융)</t>
  </si>
  <si>
    <t>이지켐텍신한//신한은행 (전자금융)</t>
  </si>
  <si>
    <t>롯손합1002//기업2 (CMS 공동)</t>
  </si>
  <si>
    <t>KB손02410//기업2 (CMS 공동)</t>
  </si>
  <si>
    <t>(주)팜젠사이언//농협 (전자금융)</t>
  </si>
  <si>
    <t>김주용(애니켐) | 제품하자환불//수지 (인터넷출금이체)</t>
  </si>
  <si>
    <t>주식회사에스티켐//농협 (전자금융)</t>
  </si>
  <si>
    <t>김경민 | 카드뉴스기획제작//수지 (인터넷출금이체)</t>
  </si>
  <si>
    <t>(주)매일경제신문사 | 매경이코노미구독료//수지 (인터넷출금이체)</t>
  </si>
  <si>
    <t>크리스탈지노믹스 | 크리스탈지노믹스//중소기업 (전자금융)</t>
  </si>
  <si>
    <t>제뉴원사이언스 | 제뉴원사이언스//중소기업 (전자금융)</t>
  </si>
  <si>
    <t>(주)펠레메드 | (주)펠레메드//우리은행 (전자금융)</t>
  </si>
  <si>
    <t>김연희 | 조의금(조태준)//수지 (인터넷출금이체)</t>
  </si>
  <si>
    <t>김태광 | 근조화환(조태준)//수지 (인터넷출금이체)</t>
  </si>
  <si>
    <t>(주)대일랩서비//신한은행 (전자금융)</t>
  </si>
  <si>
    <t>주식회사 트랜스물류 | 퀵비용_5679//수지 (인터넷출금이체)</t>
  </si>
  <si>
    <t>엔엠텍코리아주식회사 | 판촉물네임텍70%//수지 (인터넷출금이체)</t>
  </si>
  <si>
    <t>주식회사 카나프테라//우리은행 (전자금융)</t>
  </si>
  <si>
    <t>고대김현수//하나은행 (전자금융)</t>
  </si>
  <si>
    <t>메리츠100013//기업2 (CMS 공동)</t>
  </si>
  <si>
    <t>아주대산단//중소기업 (전자금융)</t>
  </si>
  <si>
    <t>조남형 | 웹사이트개발착수금20%//수지 (인터넷출금이체)</t>
  </si>
  <si>
    <t>임종웅(제이애드) | 구조식노트50%//수지 (인터넷출금이체)</t>
  </si>
  <si>
    <t>주식회사 셀투//신한은행 (전자금융)</t>
  </si>
  <si>
    <t>SK바이오사이언//신한은행 (전자금융)</t>
  </si>
  <si>
    <t>삼성화10027//기업2 (CMS 공동)</t>
  </si>
  <si>
    <t>종현식 | CJ택배_9월//수지 (인터넷출금이체)</t>
  </si>
  <si>
    <t>(주)비즈앤텍//하나은행 (전자금융)</t>
  </si>
  <si>
    <t>이종국(루크과학)//하나은행 (전자금융)</t>
  </si>
  <si>
    <t>대성산업//중소기업 (전자금융)</t>
  </si>
  <si>
    <t>에이셀//중소기업 (전자금융)</t>
  </si>
  <si>
    <t>일동제약㈜//우리은행 (전자금융)</t>
  </si>
  <si>
    <t>(주)다산제약//중소기업 (전자금융)</t>
  </si>
  <si>
    <t>주식회사 SM벡//신한은행 (전자금융)</t>
  </si>
  <si>
    <t>가천대학교산//하나은행 (전자금융)</t>
  </si>
  <si>
    <t>씨지인바이츠(주)//하나은행 (전자금융)</t>
  </si>
  <si>
    <t>바로환전202309270000000558//수지 (외화예금)</t>
  </si>
  <si>
    <t>(주)제이디바이//신한은행 (전자금융)</t>
  </si>
  <si>
    <t>(주)제이디바//신한은행 (전자금융)</t>
  </si>
  <si>
    <t>주식회사 트랜스물류 | 퀵비용_2566//수지 (인터넷출금이체)</t>
  </si>
  <si>
    <t>(주)현일LAB-M | 국내제품구입//수지 (인터넷출금이체)</t>
  </si>
  <si>
    <t>(주)용현 | 용현월세_9월//수지 (인터넷출금이체)</t>
  </si>
  <si>
    <t>주식회사 이뮤//신한은행 (전자금융)</t>
  </si>
  <si>
    <t>(주)이효바이오싸이//하나은행 (전자금융)</t>
  </si>
  <si>
    <t>주식회사 코레이즈홀 | UTM장비임대료_9월//수지 (인터넷출금이체)</t>
  </si>
  <si>
    <t>대일관리시스템 주식 | 용현관리비_9월//수지 (인터넷출금이체)</t>
  </si>
  <si>
    <t>조성도(참조은관리) | 주차비용현_9월//수지 (인터넷출금이체)</t>
  </si>
  <si>
    <t>국도화학주식//신한은행 (전자금융)</t>
  </si>
  <si>
    <t>서울대박성혁//농협 (전자금융)</t>
  </si>
  <si>
    <t>롯손합0902//기업2 (CMS 공동)</t>
  </si>
  <si>
    <t>KB손02309//기업2 (CMS 공동)</t>
  </si>
  <si>
    <t>김태광 | 근조화환추가금//수지 (인터넷출금이체)</t>
  </si>
  <si>
    <t>화수분컴퍼니//농협 (전자금융)</t>
  </si>
  <si>
    <t>박윤경//하나은행 (전자금융)</t>
  </si>
  <si>
    <t>박윤경 | 근조화환//수지 (인터넷출금이체)</t>
  </si>
  <si>
    <t>주식회사 트랜스물류 | 퀵비용_1559//수지 (인터넷출금이체)</t>
  </si>
  <si>
    <t>KIST//우리은행 (전자금융)</t>
  </si>
  <si>
    <t>고대이광원//하나은행 (전자금융)</t>
  </si>
  <si>
    <t>울산대학교//경남은행 (전자금융)</t>
  </si>
  <si>
    <t>엔엠텍코리아주식회사 | 판촉물네임텍30%//수지 (인터넷출금이체)</t>
  </si>
  <si>
    <t>(주)영인기프트 | 판촉물볼펜2000개//수지 (인터넷출금이체)</t>
  </si>
  <si>
    <t>양승재(인하//중소기업 (전자금융)</t>
  </si>
  <si>
    <t>주식회사 트랜스물류 | 퀵비용_1147//수지 (인터넷출금이체)</t>
  </si>
  <si>
    <t>주식회사 트랜스물류 | 퀵비용_0508//수지 (인터넷출금이체)</t>
  </si>
  <si>
    <t>메리츠090012//기업2 (CMS 공동)</t>
  </si>
  <si>
    <t>(주)조아진//가산디 (인터넷입금이체)</t>
  </si>
  <si>
    <t>(주)펠레메드//신한은행 (전자금융)</t>
  </si>
  <si>
    <t>임종웅(제이애드) | 명함//수지 (인터넷출금이체)</t>
  </si>
  <si>
    <t>메디치바이오//중소기업 (전자금융)</t>
  </si>
  <si>
    <t>고대구로병원//하나은행 (전자금융)</t>
  </si>
  <si>
    <t>삼성화09026//기업2 (CMS 공동)</t>
  </si>
  <si>
    <t>종현식 | CJ택배_8월//수지 (인터넷출금이체)</t>
  </si>
  <si>
    <t>랭귀지뱅크코리아 | 통역비//수지 (인터넷출금이체)</t>
  </si>
  <si>
    <t>고마앤텍//하나은행 (전자금융)</t>
  </si>
  <si>
    <t>일동제약(주)//우리은행 (전자금융)</t>
  </si>
  <si>
    <t>주식회사 티씨노바이//우리은행 (전자금융)</t>
  </si>
  <si>
    <t>CT:23322388M//수지 (인터넷출금이체)</t>
  </si>
  <si>
    <t>아벨로스테라퓨틱스//하나은행 (전자금융)</t>
  </si>
  <si>
    <t>정재원 | 강릉샌드//수지 (인터넷출금이체)</t>
  </si>
  <si>
    <t>주식회사 웰진 (0//대구은행 (전자금융)</t>
  </si>
  <si>
    <t>이한나(플러스//신한은행 (전자금융)</t>
  </si>
  <si>
    <t>주식회사 엘마이토 테//기업2 (FBS입금)</t>
  </si>
  <si>
    <t>바로환전202308310000000531//수지 (외화예금)</t>
  </si>
  <si>
    <t>주식회사 트랜스물류 | 퀵비용_4400//수지 (인터넷출금이체)</t>
  </si>
  <si>
    <t>주식회사 코레이즈홀 | UTM장비임대료_8월//수지 (인터넷출금이체)</t>
  </si>
  <si>
    <t>이녹스첨단소재//중소기업 (전자금융)</t>
  </si>
  <si>
    <t>(주)용현 | 용현월세_8월//수지 (인터넷출금이체)</t>
  </si>
  <si>
    <t>한국생산기술연구원//중소기업 (타행환)</t>
  </si>
  <si>
    <t>주식회사 트랜스물류 | 퀵비용_8390//수지 (인터넷출금이체)</t>
  </si>
  <si>
    <t>주식회사 온더바이오//우리은행 (전자금융)</t>
  </si>
  <si>
    <t>SSU계산서//우리은행 (전자금융)</t>
  </si>
  <si>
    <t>조성도(참조은관리) | 주차비용현_8월//수지 (인터넷출금이체)</t>
  </si>
  <si>
    <t>대일관리시스템 주식 | 용현관리비_8월//수지 (인터넷출금이체)</t>
  </si>
  <si>
    <t>임종웅(제이애드) | 판촉물_L홀더50%//수지 (인터넷출금이체)</t>
  </si>
  <si>
    <t>롯손합0802//기업2 (CMS 공동)</t>
  </si>
  <si>
    <t>KB손02208//기업2 (CMS 공동)</t>
  </si>
  <si>
    <t>주식회사 트랜스물류 | 퀵비용_6510482668//수지 (인터넷출금이체)</t>
  </si>
  <si>
    <t>KIST김민석/8.//우리은행 (전자금융)</t>
  </si>
  <si>
    <t>KIST 김대윤//우리은행 (전자금융)</t>
  </si>
  <si>
    <t>(주)라벡스 | 국내제품구입//수지 (인터넷출금이체)</t>
  </si>
  <si>
    <t>한국경제 구독료 | 한국경제구독료//수지 (인터넷출금이체)</t>
  </si>
  <si>
    <t>주식회사에이아이케//중소기업 (전자금융)</t>
  </si>
  <si>
    <t>메리츠080011//기업2 (CMS 공동)</t>
  </si>
  <si>
    <t>시178호1687 | 과태료//수지 (인터넷출금이체)</t>
  </si>
  <si>
    <t>경찰청_현대캐피 | 과태료//수지 (인터넷출금이체)</t>
  </si>
  <si>
    <t>제일약품(주)//신한은행 (전자금융)</t>
  </si>
  <si>
    <t>CT:23305661M//수지 (인터넷출금이체)</t>
  </si>
  <si>
    <t>삼성화08025//기업2 (CMS 공동)</t>
  </si>
  <si>
    <t>수원주민세//수지 (인터넷출금이체)</t>
  </si>
  <si>
    <t>주식회사쏠바이오텍//중소기업 (전자금융)</t>
  </si>
  <si>
    <t>종현식 | CJ택배_7월//수지 (인터넷출금이체)</t>
  </si>
  <si>
    <t>전북대-서영준//전북은행 (전자금융)</t>
  </si>
  <si>
    <t>현물환결제출금//수지 (대체출금)</t>
  </si>
  <si>
    <t>(주)켐바이오//대덕특 (인터넷입금이체)</t>
  </si>
  <si>
    <t>서울대김병수//농협 (전자금융)</t>
  </si>
  <si>
    <t>동국대산학//신한은행 (전자금융)</t>
  </si>
  <si>
    <t>신일과학기기(주)//우리은행 (전자금융)</t>
  </si>
  <si>
    <t>주식회사 코레이즈홀 | UTM장비_7월//수지 (인터넷출금이체)</t>
  </si>
  <si>
    <t>(주)나노바이오//대덕특 (인터넷입금이체)</t>
  </si>
  <si>
    <t>주식회사 에임//하나은행 (전자금융)</t>
  </si>
  <si>
    <t>(주)용현 | 용현월세_7월//수지 (인터넷출금이체)</t>
  </si>
  <si>
    <t>주식회사 펠레메드//우리은행 (전자금융)</t>
  </si>
  <si>
    <t>권지현(미리내디자인 | 전시회홍보물제작//수지 (인터넷출금이체)</t>
  </si>
  <si>
    <t>대일관리시스템 주식 | 용현관리비_7월//수지 (인터넷출금이체)</t>
  </si>
  <si>
    <t>조성도(참조은관리) | 주차비용현_7월//수지 (인터넷출금이체)</t>
  </si>
  <si>
    <t>주식회사에이아이케</t>
  </si>
  <si>
    <t>김주용(애니켐)</t>
  </si>
  <si>
    <t>성대산학연구계산서</t>
  </si>
  <si>
    <t>부가가치세</t>
  </si>
  <si>
    <t>KB2837</t>
  </si>
  <si>
    <t>베스핀글로벌</t>
  </si>
  <si>
    <t>롯손합0702</t>
  </si>
  <si>
    <t>KB손02107</t>
  </si>
  <si>
    <t>임종웅(제이애드) | 판촉물_L홀더50%</t>
  </si>
  <si>
    <t>주식회사디에이치엘코</t>
  </si>
  <si>
    <t>한국경제 구독료 | 한국경제신문대금</t>
  </si>
  <si>
    <t>올리패스주식회사</t>
  </si>
  <si>
    <t>크리스탈지노믹스</t>
  </si>
  <si>
    <t>한국생산기술연구원</t>
  </si>
  <si>
    <t>유창식(씨에스텍)</t>
  </si>
  <si>
    <t>전대산임영준</t>
  </si>
  <si>
    <t>엘바이오㈜</t>
  </si>
  <si>
    <t>페더럴익스프레스코리</t>
  </si>
  <si>
    <t>씨그마알드리치코리아 | 국내제품구입</t>
  </si>
  <si>
    <t>(주)판촉사랑 | 판촉물제작_카드USB</t>
  </si>
  <si>
    <t>CT:000000000</t>
  </si>
  <si>
    <t>이지켐텍기업</t>
  </si>
  <si>
    <t>한국피셔과학(주) | 국내제품구입</t>
  </si>
  <si>
    <t>대케미칼(주)</t>
  </si>
  <si>
    <t>(주)스파크바이오파</t>
  </si>
  <si>
    <t>하나카드</t>
  </si>
  <si>
    <t>현대카드대금</t>
  </si>
  <si>
    <t>SK쉴더스동수원월</t>
  </si>
  <si>
    <t>현대캐피탈</t>
  </si>
  <si>
    <t>KB카드출금</t>
  </si>
  <si>
    <t>노보렉스주식회사</t>
  </si>
  <si>
    <t>(주)이효바이오싸</t>
  </si>
  <si>
    <t>이지메디컴</t>
  </si>
  <si>
    <t>인하대산단</t>
  </si>
  <si>
    <t>(주)대웅제약</t>
  </si>
  <si>
    <t>(주)프레이저테</t>
  </si>
  <si>
    <t>KIST 박상규</t>
  </si>
  <si>
    <t>경희대산협</t>
  </si>
  <si>
    <t>전북대-서영준</t>
  </si>
  <si>
    <t>(주)이지켐텍(K | 전화요금</t>
  </si>
  <si>
    <t>아주대산단</t>
  </si>
  <si>
    <t>메리츠070010</t>
  </si>
  <si>
    <t>한국생산기술</t>
  </si>
  <si>
    <t>(주)이지켐텍 | 이지켐텍기업</t>
  </si>
  <si>
    <t>(주)에델리스코리아 | 판촉물샘플구입</t>
  </si>
  <si>
    <t>(주)아이랩</t>
  </si>
  <si>
    <t>수원지방소</t>
  </si>
  <si>
    <t>사업소득세</t>
  </si>
  <si>
    <t>근로소득세</t>
  </si>
  <si>
    <t>(주)와이디생명과학</t>
  </si>
  <si>
    <t>정용민(YMS(와이엠에스)</t>
  </si>
  <si>
    <t>(주)와이엠에스코리 | 환불시약</t>
  </si>
  <si>
    <t>강철민 | 착불택배비</t>
  </si>
  <si>
    <t>포항공과대학교산학협</t>
  </si>
  <si>
    <t>지더블유바이텍(주)</t>
  </si>
  <si>
    <t>한국신발피혁</t>
  </si>
  <si>
    <t>삼성화07024</t>
  </si>
  <si>
    <t>기업전용송금</t>
  </si>
  <si>
    <t>퓨쳐메디신(주)</t>
  </si>
  <si>
    <t>가천대학교산학</t>
  </si>
  <si>
    <t>종현식 | CJ택배_6월</t>
  </si>
  <si>
    <t>바로환전202307050000000478</t>
  </si>
  <si>
    <t>주식회사 트랜스물류 | 퀵비용_1168</t>
  </si>
  <si>
    <t>(주)와이엠에스코리</t>
  </si>
  <si>
    <t>태인교역임사학</t>
  </si>
  <si>
    <t>(주)뉴로컨버젼스</t>
  </si>
  <si>
    <t>씨그마알드리치코리아</t>
  </si>
  <si>
    <t>대케미칼(주) 우리은행 (전자금융)</t>
  </si>
  <si>
    <t>주식회사에이아이케 중소기업 (전자금융)</t>
  </si>
  <si>
    <t>(주)와이엠에스코리 우리은행 (전자금융)</t>
  </si>
  <si>
    <t>선물환결제출금 수지 (대체출금)</t>
  </si>
  <si>
    <t>이지켐텍기업 중소기업 (전자금융)</t>
  </si>
  <si>
    <t>씨그마알드리치코리아 수지 (인터넷출금이체)</t>
  </si>
  <si>
    <t>(주)프레이저테 우리은행 (전자금융)</t>
  </si>
  <si>
    <t>현대캐피탈 기업2 (FBS출금)</t>
  </si>
  <si>
    <t>주식회사사이러스테라퓨틱스 문정법 (인터넷입금이체)</t>
  </si>
  <si>
    <t>|위아켐(주) 중소기업 (전자금융)</t>
  </si>
  <si>
    <t>|(주)비즈마켓 신한은행 (전자금융)</t>
  </si>
  <si>
    <t>대1-3 (인터넷입금이체)</t>
  </si>
  <si>
    <t>하나은행 (전자금융)</t>
  </si>
  <si>
    <t>용현월세_6월 수지 (인터넷출금이체)</t>
  </si>
  <si>
    <t>디어젠 주식회사 하나은행 (전자금융)</t>
  </si>
  <si>
    <t>㈜오스코텍 하나은행 (전자금융)</t>
  </si>
  <si>
    <t>노보렉스주식회사 중소기업 (전자금융)</t>
  </si>
  <si>
    <t>주식회사이노큐어테라 우리은행 (전자금융)</t>
  </si>
  <si>
    <t>CT:000000000 수지 (인터넷출금이체)</t>
  </si>
  <si>
    <t>이지켐텍신한 신한은행 (전자금융)</t>
  </si>
  <si>
    <t>(주)이지켐텍 수지 (인터넷출금이체)</t>
  </si>
  <si>
    <t>성대산학연구계산서 우리은행 (전자금융)</t>
  </si>
  <si>
    <t>에스티팜 하나은행 (전자금융)</t>
  </si>
  <si>
    <t>이지켐텍우리 우리은행 (전자금융)</t>
  </si>
  <si>
    <t>김주용(애니켐) 신한은행 (전자금융)</t>
  </si>
  <si>
    <t>이태순(유로 관세사 수지 (인터넷출금이체)</t>
  </si>
  <si>
    <t>(주)이뮤즈테라퓨틱 우리은행 (전자금융)</t>
  </si>
  <si>
    <t>(주)대웅제약 대2-5 (B2B입금)</t>
  </si>
  <si>
    <t>주식회사 코레이즈홀 수지 (인터넷출금이체)</t>
  </si>
  <si>
    <t>기초과학연구원 우리은행 (타행환)</t>
  </si>
  <si>
    <t>올리패스주식회사 중소기업 (전자금융)</t>
  </si>
  <si>
    <t>CT:23271310M 수지 (인터넷출금이체)</t>
  </si>
  <si>
    <t>(주)제이디바이 우리은행 (전자금융)</t>
  </si>
  <si>
    <t>(주)대웅테라퓨틱스 중소기업 (전자금융)</t>
  </si>
  <si>
    <t>주식회사세진씨아이 수지 (인터넷출금이체)</t>
  </si>
  <si>
    <t>주식회사에코셀 중소기업 (전자금융)</t>
  </si>
  <si>
    <t>엔투비 공급사 우리은행 (전자금융)</t>
  </si>
  <si>
    <t>정용민(YMS(와이엠에스) 포항 (인터넷입금이체)</t>
  </si>
  <si>
    <t>세무법인넘버 기업2 (FBS출금)</t>
  </si>
  <si>
    <t>부광약품 신한은행 (전자금융)</t>
  </si>
  <si>
    <t>KIST 권지언 우리은행 (전자금융)</t>
  </si>
  <si>
    <t>조성도(참조은관리) 수지 (인터넷출금이체)</t>
  </si>
  <si>
    <t>대일관리시스템 주식 수지 (인터넷출금이체)</t>
  </si>
  <si>
    <t>FEDERAL EX 한국씨티 (전자금융)</t>
  </si>
  <si>
    <t>대덕특 김희영(한텍)(스마트입금)</t>
  </si>
  <si>
    <t>하나은행 코리아이플랫폼(주)(전자금융)</t>
  </si>
  <si>
    <t>농협 주식회사에스티켐(전자금융)</t>
  </si>
  <si>
    <t>중소기업 한국생산기술연구원(타행환)</t>
  </si>
  <si>
    <t>양산동 한수과학(인터넷입금이체)</t>
  </si>
  <si>
    <t>하나은행 인하대산단(전자금융)</t>
  </si>
  <si>
    <t>수지 청소용역비|김유례(인터넷출금이체)</t>
  </si>
  <si>
    <t>중소기업 에이스켐(전자금융)</t>
  </si>
  <si>
    <t>우리은행 포항공과대학교산학협(전자금융)</t>
  </si>
  <si>
    <t>수지 비품_이동식유리칠판|(주)레디앙산업(인터넷출금이체)</t>
  </si>
  <si>
    <t>중소기업 이지켐텍기업(전자금융)</t>
  </si>
  <si>
    <t>수지 대한화학회 부스비용|(사)대한화학회(인터넷출금이체)</t>
  </si>
  <si>
    <t>수지 페더럴익스프레스코리(인터넷출금이체)</t>
  </si>
  <si>
    <t>기업2 KB2837(FBS출금)</t>
  </si>
  <si>
    <t>기업2 베스핀글로벌(FBS출금)</t>
  </si>
  <si>
    <t>기업2 롯손합0602(CMS 공동)</t>
  </si>
  <si>
    <t>기업2 KB손02006(CMS 공동)</t>
  </si>
  <si>
    <t>신한은행 김주용(애니켐)(전자금융)</t>
  </si>
  <si>
    <t>우리은행 대케미칼(주)(전자금융)</t>
  </si>
  <si>
    <t>수지 주식회사디에이치엘코(인터넷출금이체)</t>
  </si>
  <si>
    <t>신한은행 연구관리팀(전자금융)</t>
  </si>
  <si>
    <t>농협 단대산학한영(전자금융)</t>
  </si>
  <si>
    <t>수지 64971601470587(기일출금)</t>
  </si>
  <si>
    <t>수지 국내제품구입|씨그마알드리치코리아(인터넷출금이체)</t>
  </si>
  <si>
    <t>대덕특 (주)나노바이오(인터넷입금이체)</t>
  </si>
  <si>
    <t>신한은행 대한와이즈랩(전자금융)</t>
  </si>
  <si>
    <t>우리은행 (주)와이엠에스코리(전자금융)</t>
  </si>
  <si>
    <t>포항 정용민(YMS(와이엠에스)(인터넷입금이체)</t>
  </si>
  <si>
    <t>부산은행 누리과학 여성혁(전자금융)</t>
  </si>
  <si>
    <t>스타뱅 수원시자동차(공과금)</t>
  </si>
  <si>
    <t>기업2 이지메디컴(CMS 공동)</t>
  </si>
  <si>
    <t>기업2 현대카드대금(FBS출금)</t>
  </si>
  <si>
    <t>신한은행 이종국핵심연구(전자금융)</t>
  </si>
  <si>
    <t>중소기업 양승재(인하(전자금융)</t>
  </si>
  <si>
    <t>하나은행 고대구로병원(전자금융)</t>
  </si>
  <si>
    <t>경남은행 울산과기원(전자금융)</t>
  </si>
  <si>
    <t>수지 이지켐텍기업|(주)이지켐텍(인터넷출금이체)</t>
  </si>
  <si>
    <t>기업2 하나카드(FBS출금)</t>
  </si>
  <si>
    <t>수신상 SK쉴더스동수원월(지로출금)</t>
  </si>
  <si>
    <t>기업2 현대캐피탈(FBS출금)</t>
  </si>
  <si>
    <t>수신상 KB카드출금(국민카드)</t>
  </si>
  <si>
    <t>수지 23년CPHIKR잔금추가납|인포마마켓한국(주)(인터넷출금이체)</t>
  </si>
  <si>
    <t>수지 한국경제신문대금|한국경제 구독료(인터넷출금이체)</t>
  </si>
  <si>
    <t>하나은행 크리스탈지노믹스(주(전자금융)</t>
  </si>
  <si>
    <t>중소기업 아벨로스테라퓨틱스(전자금융)</t>
  </si>
  <si>
    <t>한티역 스파크바이오파마(인터넷입금이체)</t>
  </si>
  <si>
    <t>성수역 송봉윤(예일테크)(스마트입금)</t>
  </si>
  <si>
    <t>하나은행 (주)동인바이오텍(전자금융)</t>
  </si>
  <si>
    <t>수지 국내제품구입|한국피셔과학(주)(인터넷출금이체)</t>
  </si>
  <si>
    <t>수지 AIMECS대여품비용|(주)한국이엔아이인(인터넷출금이체)</t>
  </si>
  <si>
    <t>광주은행 전대산홍순욱고성(전자금융)</t>
  </si>
  <si>
    <t>대25 (주)대웅제약(B2B입금)</t>
  </si>
  <si>
    <t>수지 법정교육|주식회사 한국이러닝(인터넷출금이체)</t>
  </si>
  <si>
    <t>하나은행 고대하정숙(전자금융)</t>
  </si>
  <si>
    <t>중소기업 퓨전바이오텍(전자금융)</t>
  </si>
  <si>
    <t>경남은행 주식회사 퓨전바이오(전자금융)</t>
  </si>
  <si>
    <t>기업2 메리츠060009(CMS 공동)</t>
  </si>
  <si>
    <t>하나은행 경희대산협(전자금융)</t>
  </si>
  <si>
    <t>우리은행 KIST 권지언(전자금융)</t>
  </si>
  <si>
    <t>문정법 (주)아이랩(인터넷입금이체)</t>
  </si>
  <si>
    <t>매탄동 황광현(GSTEC(인터넷입금이체)</t>
  </si>
  <si>
    <t>수지 64971601453173(기일출금)</t>
  </si>
  <si>
    <t>수지 이자세금:8220원(결산이자)</t>
  </si>
  <si>
    <t>광주은행 전대산최석용Fo(전자금융)</t>
  </si>
  <si>
    <t>신한은행 주식회사 펠레(전자금융)</t>
  </si>
  <si>
    <t>수지 수원지방소(인터넷출금이체)</t>
  </si>
  <si>
    <t>우리은행 주식회사 펠레메드(전자금융)</t>
  </si>
  <si>
    <t>수지 근로소득세(인터넷출금이체)</t>
  </si>
  <si>
    <t>중소기업 제뉴원사이언스(전자금융)</t>
  </si>
  <si>
    <t>우리은행 (주)펠레메드(전자금융)</t>
  </si>
  <si>
    <t>수지 기업전용송금(대체출금)</t>
  </si>
  <si>
    <t>우리은행 성대산학연구계산서(전자금융)</t>
  </si>
  <si>
    <t>중소기업 메디치바이오(전자금융)</t>
  </si>
  <si>
    <t>농협 서울대정택동(전자금융)</t>
  </si>
  <si>
    <t>일산장 이광재(동광상사)(인터넷입금이체)</t>
  </si>
  <si>
    <t>수지 선물환결제출금(대체출금)</t>
  </si>
  <si>
    <t>기업2 삼성화06023(CMS 공동)</t>
  </si>
  <si>
    <t>우리은행 (주)제이디바이오사(전자금융)</t>
  </si>
  <si>
    <t>수지 CJ택배_5월|종현식(인터넷출금이체)</t>
  </si>
  <si>
    <t>우리은행 성대산학(전자금융)</t>
  </si>
  <si>
    <t>우리은행 (주)제이디바이(전자금융)</t>
  </si>
  <si>
    <t>수지 AIMECS간판비용|(주)한국이엔아이인(인터넷출금이체)</t>
  </si>
  <si>
    <t>수지 판촉물_이지파츠|엔엠텍코리아주식회사(인터넷출금이체)</t>
  </si>
  <si>
    <t>우리은행 (주)와이디생명과학(전자금융)</t>
  </si>
  <si>
    <t>중소기업 한국에너지기(전자금융)</t>
  </si>
  <si>
    <t>동탄테 휴켐바이오(인터넷입금이체)</t>
  </si>
  <si>
    <t>하나은행 디어젠 주식회사(전자금융)</t>
  </si>
  <si>
    <t>우리은행 (주)프레이저테(전자금융)</t>
  </si>
  <si>
    <t>신한은행 (주)비즈마켓(전자금융)</t>
  </si>
  <si>
    <t>우리은행 주식회사 사피엔스바(전자금융)</t>
  </si>
  <si>
    <t>하나은행 주식회사 아이엔테라(전자금융)</t>
  </si>
  <si>
    <t>우리은행 (주)이뮤즈테라퓨틱(전자금융)</t>
  </si>
  <si>
    <t>중소기업 엠에프씨주식회사(전자금융)</t>
  </si>
  <si>
    <t>하나은행 (주)오스코텍(전자금융)</t>
  </si>
  <si>
    <t>중소기업 노보렉스주식회사(전자금융)</t>
  </si>
  <si>
    <t>문정법 주식회사사이러스테라퓨틱스(인터넷입금이체)</t>
  </si>
  <si>
    <t>수지 법인세(인터넷출금이체)</t>
  </si>
  <si>
    <t>하나은행 에스티팜(전자금융)</t>
  </si>
  <si>
    <t>신한은행 SK케미칼(전자금융)</t>
  </si>
  <si>
    <t>판교벤 주식회사엘마이토테라퓨틱스(인터넷입금이체)</t>
  </si>
  <si>
    <t>수지 UTM장비임대료_5월|주식회사 코레이즈홀(인터넷출금이체)</t>
  </si>
  <si>
    <t>기업2 (주)엘마이토(FBS입금)</t>
  </si>
  <si>
    <t>수지 용현월세_5월|(주)용현(인터넷출금이체)</t>
  </si>
  <si>
    <t>우리은행 (주)업테라(전자금융)</t>
  </si>
  <si>
    <t>우리은행 KIST(전자금융)</t>
  </si>
  <si>
    <t>기업2 세무법인넘버(FBS출금)</t>
  </si>
  <si>
    <t>중소기업 올리패스주식회사(전자금융)</t>
  </si>
  <si>
    <t>신한은행 에스케이(SK)((전자금융)</t>
  </si>
  <si>
    <t>중소기업 퓨쳐메디신(주)(전자금융)</t>
  </si>
  <si>
    <t>우리은행 주식회사이노큐어테라(전자금융)</t>
  </si>
  <si>
    <t>수지 주차비용현_5월|조성도(참조은관리)(인터넷출금이체)</t>
  </si>
  <si>
    <t>수지 CT:000000000(인터넷출금이체)</t>
  </si>
  <si>
    <t>수지 판촉물_USB|(주)판촉사랑(인터넷출금이체)</t>
  </si>
  <si>
    <t>신한은행 세진켐(전자금융)</t>
  </si>
  <si>
    <t>수지 용현관리비_5월|대일관리시스템 주식(인터넷출금이체)</t>
  </si>
  <si>
    <t>수지 퀵비용_5200|주식회사 트랜스물류(인터넷출금이체)</t>
  </si>
  <si>
    <t>신한은행 이지켐텍신한(전자금융)</t>
  </si>
  <si>
    <t>수지 FX결제출금64972305190001(대체출금)</t>
  </si>
  <si>
    <t>수지 예금신규(대체출금)</t>
  </si>
  <si>
    <t>기업2 롯손합0502(CMS 공동)</t>
  </si>
  <si>
    <t>기업2 KB손01905(CMS 공동)</t>
  </si>
  <si>
    <t>수지 국내제품구입|주식회사세진씨아이(인터넷출금이체)</t>
  </si>
  <si>
    <t>수지 만기예금편리입금6497151870867(01)(대체입금)</t>
  </si>
  <si>
    <t>신한은행 부일사이언스(전자금융)</t>
  </si>
  <si>
    <t>우리은행 (주)랩스엠알오(전자금융)</t>
  </si>
  <si>
    <t>중소기업 에스사이언스(전자금융)</t>
  </si>
  <si>
    <t>수지 전시참가비_측정클럽|양이환(모드커뮤니케(인터넷출금이체)</t>
  </si>
  <si>
    <t>수지 바로환전202305180000000397(외화예금)</t>
  </si>
  <si>
    <t>수지 바로환전202305180000000388(외화예금)</t>
  </si>
  <si>
    <t>우리은행 KIST조상호5(전자금융)</t>
  </si>
  <si>
    <t>신암동 주)라이프사이언스(인터넷입금이체)</t>
  </si>
  <si>
    <t>하나은행 가천대학교산학(전자금융)</t>
  </si>
  <si>
    <t>우리은행 한국원자력의학원(타행환)</t>
  </si>
  <si>
    <t>수지 CT:23235792M(인터넷출금이체)</t>
  </si>
  <si>
    <t>중소기업 위아켐(주)(전자금융)</t>
  </si>
  <si>
    <t>신한은행 티에이치씨(전자금융)</t>
  </si>
  <si>
    <t>기업2 메리츠050008(CMS 공동)</t>
  </si>
  <si>
    <t>신한은행 제일약품(주)(전자금융)</t>
  </si>
  <si>
    <t>수지 BC카드선결제|(주)이지켐텍(인터넷출금이체)</t>
  </si>
  <si>
    <t>유성 한국생명공학연구(인터넷입금이체)</t>
  </si>
  <si>
    <t>기업2 삼성화05022(CMS 공동)</t>
  </si>
  <si>
    <t>수지 배당소득세(인터넷출금이체)</t>
  </si>
  <si>
    <t>수지 현물환결제출금(대체출금)</t>
  </si>
  <si>
    <t>우리은행 주식회사 카나프테라(전자금융)</t>
  </si>
  <si>
    <t>전주 (주)스템디알(1)(인터넷입금이체)</t>
  </si>
  <si>
    <t>우리은행 53KIST박기덕(전자금융)</t>
  </si>
  <si>
    <t>우리은행 한국과학기술원(타행환)</t>
  </si>
  <si>
    <t>수지 조의금(이현정조부)|김연희(인터넷출금이체)</t>
  </si>
  <si>
    <t>수지 CJ택배_4월|종현식(인터넷출금이체)</t>
  </si>
  <si>
    <t>수지 메인비즈갱신비용|사단법인 한국경영혁(인터넷출금이체)</t>
  </si>
  <si>
    <t>신한은행 (사)한국의약품(전자금융)</t>
  </si>
  <si>
    <t>수지 mssql 데이터전환착수금|주식회사 이지오피스(인터넷출금이체)</t>
  </si>
  <si>
    <t>하나은행 (주)팜젠사이언스(전자금융)</t>
  </si>
  <si>
    <t>신한은행 (주)디피엘코퍼(전자금융)</t>
  </si>
  <si>
    <t>농협 서울대이지우(전자금융)</t>
  </si>
  <si>
    <t>수지 UTM장비임대료_4월|주식회사 코레이즈홀(인터넷출금이체)</t>
  </si>
  <si>
    <t>수지 월주차비|권영미(인터넷출금이체)</t>
  </si>
  <si>
    <t>수지 용인융합회|황혜경(인터넷출금이체)</t>
  </si>
  <si>
    <t>수지 쇼핑백3000(50%)|기프트인포(주)(인터넷출금이체)</t>
  </si>
  <si>
    <t>수지 FX결제출금64972304250001(대체출금)</t>
  </si>
  <si>
    <t>수지 주차비용현_4월|조성도(참조은관리)(인터넷출금이체)</t>
  </si>
  <si>
    <t>우리은행 (주)스탠다임(전자금융)</t>
  </si>
  <si>
    <t>수지 용현월세_4월|(주)용현(인터넷출금이체)</t>
  </si>
  <si>
    <t>수지 예비용 PC본체 구매|이상주(에스엠시스템(인터넷출금이체)</t>
  </si>
  <si>
    <t>수지 국내제품구입|위성량(인터넷출금이체)</t>
  </si>
  <si>
    <t>농협 김교호(전자금융)</t>
  </si>
  <si>
    <t>신한은행 (주)대일랩서비(전자금융)</t>
  </si>
  <si>
    <t>우리은행 브릿지바이오테라퓨틱(전자금융)</t>
  </si>
  <si>
    <t>신한은행 김경만(대정켐(전자금융)</t>
  </si>
  <si>
    <t>하나은행 고용부출산육아(전자금융)</t>
  </si>
  <si>
    <t>수신상 인천공항세관(국고이체)</t>
  </si>
  <si>
    <t>수지 부가가치세(인터넷출금이체)</t>
  </si>
  <si>
    <t>수지 코나이전등록비용|8502주식회사다코(인터넷출금이체)</t>
  </si>
  <si>
    <t>수지 용현관리비_4월|대일관리시스템 주식(인터넷출금이체)</t>
  </si>
  <si>
    <t>기업2 롯손합0402(CMS 공동)</t>
  </si>
  <si>
    <t>기업2 KB손01804(CMS 공동)</t>
  </si>
  <si>
    <t>신한은행 (주)케이엘에스(전자금융)</t>
  </si>
  <si>
    <t>중소기업 (주)이효바이오싸(전자금융)</t>
  </si>
  <si>
    <t>광주은행 전남대약대(전자금융)</t>
  </si>
  <si>
    <t>용인보 주식회사세리화학(인터넷입금이체)</t>
  </si>
  <si>
    <t>중소기업 셀비온(전자금융)</t>
  </si>
  <si>
    <t>대구은행 대구가톨릭산학(전자금융)</t>
  </si>
  <si>
    <t>우리은행 일동제약(주)(전자금융)</t>
  </si>
  <si>
    <t>대덕테 (주)에이티지코리아(인터넷입금이체)</t>
  </si>
  <si>
    <t>수지 과입반환e109991|(주)이효바이오싸이(인터넷출금이체)</t>
  </si>
  <si>
    <t>신한은행 그린실리콘(주)(전자금융)</t>
  </si>
  <si>
    <t>농협 연구재료구입비연구(전자금융)</t>
  </si>
  <si>
    <t>중소기업 (주)에이비켐바이오(전자금융)</t>
  </si>
  <si>
    <t>신한은행 동국대산학(전자금융)</t>
  </si>
  <si>
    <t>우리은행 프레이저테라퓨틱스(전자금융)</t>
  </si>
  <si>
    <t>수지 코나 인수잔금|온라인영업부KB캐(인터넷출금이체)</t>
  </si>
  <si>
    <t>수지 CT:23208519M(인터넷출금이체)</t>
  </si>
  <si>
    <t>신한은행 한양재료전산(전자금융)</t>
  </si>
  <si>
    <t>기업2 메리츠040007(CMS 공동)</t>
  </si>
  <si>
    <t>중소기업 이녹스첨단소재(전자금융)</t>
  </si>
  <si>
    <t>수지 국내제품구입|주식회사엘비트레이더(인터넷출금이체)</t>
  </si>
  <si>
    <t>우리은행 주식회사 카멜(전자금융)</t>
  </si>
  <si>
    <t>하나은행 이종국(루크과학)(전자금융)</t>
  </si>
  <si>
    <t>수지 재정국세(인터넷출금이체)</t>
  </si>
  <si>
    <t>기업2 삼성화04021(CMS 공동)</t>
  </si>
  <si>
    <t>수지 CJ택배_3월|종현식(인터넷출금이체)</t>
  </si>
  <si>
    <t>여수종 주)천일씨아이(인터넷입금이체)</t>
  </si>
  <si>
    <t>중소기업 (주)에임블(전자금융)</t>
  </si>
  <si>
    <t>신한은행 (주)SM벡셀 배(전자금융)</t>
  </si>
  <si>
    <t>중소기업 (주)다산제약(전자금융)</t>
  </si>
  <si>
    <t>중소기업 엠에프씨 주식(전자금융)</t>
  </si>
  <si>
    <t>수지 용현월세_3월|(주)용현(인터넷출금이체)</t>
  </si>
  <si>
    <t>수지 UTM장비임대료_3월|주식회사 코레이즈홀(인터넷출금이체)</t>
  </si>
  <si>
    <t>수지 UTM장비임대료_2월|주식회사 코레이즈홀(인터넷출금이체)</t>
  </si>
  <si>
    <t>수지 이크레더블신용평가비용|(주)이크레더블(인터넷출금이체)</t>
  </si>
  <si>
    <t>스타뱅 수원시등록면(공과금)</t>
  </si>
  <si>
    <t>수지 6079209743855|관세법인 씨앤아이(인터넷출금이체)</t>
  </si>
  <si>
    <t>수지 주차비용현_3월|조성도(참조은관리)(인터넷출금이체)</t>
  </si>
  <si>
    <t>수지 용현관리비_3월|대일관리시스템 주식(인터넷출금이체)</t>
  </si>
  <si>
    <t>신한은행 박천(대한과학(전자금융)</t>
  </si>
  <si>
    <t>수지 법인세조정료|세무법인넘버원(인터넷출금이체)</t>
  </si>
  <si>
    <t>수신상 인천세관(국고이체)</t>
  </si>
  <si>
    <t>농협 바이오드림(주)(전자금융)</t>
  </si>
  <si>
    <t>기업2 롯손합002건(CMS 공동)</t>
  </si>
  <si>
    <t>기업2 KB손01703(CMS 공동)</t>
  </si>
  <si>
    <t>평화동 (주)스템디알(1)(인터넷입금이체)</t>
  </si>
  <si>
    <t>송림동 주식회사어벤션(인터넷입금이체)</t>
  </si>
  <si>
    <t>TOP-Link</t>
  </si>
  <si>
    <t>계좌1 이동</t>
    <phoneticPr fontId="1" type="noConversion"/>
  </si>
  <si>
    <t xml:space="preserve">  </t>
    <phoneticPr fontId="1" type="noConversion"/>
  </si>
  <si>
    <t>33789004537804 은 대웅제약 전용계좌임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</si>
</sst>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[$-409]yy&quot;-&quot;m&quot;-&quot;d\ h:mm\ AM/PM;@"/>
    <numFmt numFmtId="177" formatCode="0##\-##\-##\-######"/>
    <numFmt numFmtId="178" formatCode="0_ "/>
    <numFmt numFmtId="179" formatCode="#,##0_);[Red]\(#,##0\)"/>
    <numFmt numFmtId="180" formatCode="m/d/yyyy"/>
    <numFmt numFmtId="181" formatCode="0_);[Red]\(0\)"/>
  </numFmts>
  <fonts count="1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b/>
      <sz val="14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u/>
      <sz val="11"/>
      <color theme="10"/>
      <name val="맑은 고딕"/>
      <family val="2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6FAF4"/>
        <bgColor indexed="64"/>
      </patternFill>
    </fill>
    <fill>
      <patternFill patternType="solid">
        <fgColor rgb="FFFFEB9C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6EFCE"/>
      </patternFill>
    </fill>
    <fill>
      <patternFill patternType="solid">
        <fgColor rgb="FFFFFFCC"/>
      </patternFill>
    </fill>
    <fill>
      <patternFill patternType="solid">
        <fgColor theme="9"/>
      </patternFill>
    </fill>
  </fills>
  <borders count="16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6">
    <xf numFmtId="0" fontId="0" fillId="0" borderId="0">
      <alignment vertical="center"/>
    </xf>
    <xf numFmtId="0" fontId="3" fillId="6" borderId="0" applyNumberFormat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7" fillId="10" borderId="14" applyNumberFormat="0" applyFont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60">
    <xf numFmtId="0" fontId="0" fillId="0" borderId="0" xfId="0">
      <alignment vertical="center"/>
    </xf>
    <xf numFmtId="0" fontId="2" fillId="2" borderId="2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14" fontId="2" fillId="2" borderId="2" xfId="0" applyNumberFormat="1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3" fillId="6" borderId="0" xfId="1">
      <alignment vertical="center"/>
    </xf>
    <xf numFmtId="0" fontId="3" fillId="6" borderId="0" xfId="1" applyAlignment="1">
      <alignment horizontal="center" vertical="center"/>
    </xf>
    <xf numFmtId="0" fontId="0" fillId="8" borderId="13" xfId="0" applyFill="1" applyBorder="1">
      <alignment vertical="center"/>
    </xf>
    <xf numFmtId="3" fontId="0" fillId="8" borderId="13" xfId="0" applyNumberFormat="1" applyFill="1" applyBorder="1">
      <alignment vertical="center"/>
    </xf>
    <xf numFmtId="0" fontId="0" fillId="8" borderId="0" xfId="0" applyFill="1">
      <alignment vertical="center"/>
    </xf>
    <xf numFmtId="3" fontId="0" fillId="8" borderId="0" xfId="0" applyNumberFormat="1" applyFill="1">
      <alignment vertical="center"/>
    </xf>
    <xf numFmtId="0" fontId="4" fillId="7" borderId="10" xfId="0" applyFont="1" applyFill="1" applyBorder="1" applyAlignment="1">
      <alignment horizontal="center" vertical="center"/>
    </xf>
    <xf numFmtId="0" fontId="4" fillId="7" borderId="11" xfId="0" applyFont="1" applyFill="1" applyBorder="1" applyAlignment="1">
      <alignment horizontal="center" vertical="center"/>
    </xf>
    <xf numFmtId="0" fontId="4" fillId="7" borderId="12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76" fontId="0" fillId="0" borderId="0" xfId="0" applyNumberFormat="1">
      <alignment vertical="center"/>
    </xf>
    <xf numFmtId="176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/>
    </xf>
    <xf numFmtId="177" fontId="0" fillId="0" borderId="0" xfId="0" applyNumberFormat="1" applyAlignment="1">
      <alignment horizontal="center"/>
    </xf>
    <xf numFmtId="177" fontId="0" fillId="0" borderId="0" xfId="0" applyNumberFormat="1">
      <alignment vertical="center"/>
    </xf>
    <xf numFmtId="177" fontId="0" fillId="10" borderId="14" xfId="3" applyNumberFormat="1" applyFont="1">
      <alignment vertical="center"/>
    </xf>
    <xf numFmtId="3" fontId="0" fillId="10" borderId="14" xfId="3" applyNumberFormat="1" applyFont="1">
      <alignment vertical="center"/>
    </xf>
    <xf numFmtId="176" fontId="0" fillId="10" borderId="14" xfId="3" applyNumberFormat="1" applyFont="1">
      <alignment vertical="center"/>
    </xf>
    <xf numFmtId="0" fontId="0" fillId="10" borderId="14" xfId="3" applyFont="1">
      <alignment vertical="center"/>
    </xf>
    <xf numFmtId="177" fontId="3" fillId="6" borderId="0" xfId="1" applyNumberFormat="1" applyAlignment="1">
      <alignment horizontal="center" vertical="center"/>
    </xf>
    <xf numFmtId="178" fontId="0" fillId="0" borderId="0" xfId="0" applyNumberFormat="1">
      <alignment vertical="center"/>
    </xf>
    <xf numFmtId="178" fontId="3" fillId="6" borderId="0" xfId="1" applyNumberFormat="1">
      <alignment vertical="center"/>
    </xf>
    <xf numFmtId="176" fontId="8" fillId="9" borderId="0" xfId="2" applyNumberFormat="1" applyAlignment="1">
      <alignment horizontal="center" vertical="center"/>
    </xf>
    <xf numFmtId="47" fontId="0" fillId="0" borderId="0" xfId="0" applyNumberFormat="1">
      <alignment vertical="center"/>
    </xf>
    <xf numFmtId="179" fontId="0" fillId="0" borderId="0" xfId="0" applyNumberFormat="1">
      <alignment vertical="center"/>
    </xf>
    <xf numFmtId="179" fontId="8" fillId="9" borderId="0" xfId="2" applyNumberFormat="1" applyAlignment="1">
      <alignment horizontal="center"/>
    </xf>
    <xf numFmtId="179" fontId="9" fillId="0" borderId="0" xfId="0" applyNumberFormat="1" applyFont="1">
      <alignment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5" xfId="0" applyFill="1" applyBorder="1" applyProtection="1">
      <alignment vertical="center"/>
    </xf>
    <xf numFmtId="0" fontId="0" fillId="5" borderId="1" xfId="0" applyFill="1" applyBorder="1" applyProtection="1">
      <alignment vertical="center"/>
    </xf>
    <xf numFmtId="0" fontId="0" fillId="0" borderId="1" xfId="0" applyFill="1" applyBorder="1" applyProtection="1">
      <alignment vertical="center"/>
    </xf>
    <xf numFmtId="47" fontId="0" fillId="0" borderId="1" xfId="0" applyNumberFormat="1" applyFill="1" applyBorder="1" applyProtection="1">
      <alignment vertical="center"/>
    </xf>
    <xf numFmtId="0" fontId="0" fillId="0" borderId="6" xfId="0" applyFill="1" applyBorder="1" applyProtection="1">
      <alignment vertical="center"/>
    </xf>
    <xf numFmtId="0" fontId="0" fillId="0" borderId="6" xfId="0" applyFill="1" applyBorder="1" applyAlignment="1" applyProtection="1">
      <alignment vertical="center" wrapText="1"/>
    </xf>
    <xf numFmtId="0" fontId="0" fillId="0" borderId="6" xfId="0" applyFill="1" applyBorder="1" applyAlignment="1" applyProtection="1">
      <alignment vertical="top" wrapText="1"/>
    </xf>
    <xf numFmtId="0" fontId="0" fillId="5" borderId="1" xfId="0" applyFill="1" applyBorder="1" applyAlignment="1" applyProtection="1">
      <alignment vertical="center" wrapText="1"/>
    </xf>
    <xf numFmtId="0" fontId="0" fillId="0" borderId="7" xfId="0" applyFill="1" applyBorder="1" applyProtection="1">
      <alignment vertical="center"/>
    </xf>
    <xf numFmtId="0" fontId="0" fillId="5" borderId="8" xfId="0" applyFill="1" applyBorder="1" applyProtection="1">
      <alignment vertical="center"/>
    </xf>
    <xf numFmtId="0" fontId="0" fillId="0" borderId="8" xfId="0" applyFill="1" applyBorder="1" applyProtection="1">
      <alignment vertical="center"/>
    </xf>
    <xf numFmtId="0" fontId="0" fillId="0" borderId="9" xfId="0" applyFill="1" applyBorder="1" applyProtection="1">
      <alignment vertical="center"/>
    </xf>
    <xf numFmtId="180" fontId="0" fillId="0" borderId="0" xfId="0" applyNumberFormat="1">
      <alignment vertical="center"/>
    </xf>
    <xf numFmtId="177" fontId="4" fillId="7" borderId="10" xfId="0" applyNumberFormat="1" applyFont="1" applyFill="1" applyBorder="1">
      <alignment vertical="center"/>
    </xf>
    <xf numFmtId="3" fontId="4" fillId="7" borderId="11" xfId="0" applyNumberFormat="1" applyFont="1" applyFill="1" applyBorder="1">
      <alignment vertical="center"/>
    </xf>
    <xf numFmtId="176" fontId="4" fillId="7" borderId="11" xfId="0" applyNumberFormat="1" applyFont="1" applyFill="1" applyBorder="1">
      <alignment vertical="center"/>
    </xf>
    <xf numFmtId="0" fontId="4" fillId="7" borderId="11" xfId="0" applyFont="1" applyFill="1" applyBorder="1">
      <alignment vertical="center"/>
    </xf>
    <xf numFmtId="179" fontId="10" fillId="7" borderId="11" xfId="0" applyNumberFormat="1" applyFont="1" applyFill="1" applyBorder="1">
      <alignment vertical="center"/>
    </xf>
    <xf numFmtId="0" fontId="4" fillId="7" borderId="12" xfId="0" applyFont="1" applyFill="1" applyBorder="1">
      <alignment vertical="center"/>
    </xf>
    <xf numFmtId="178" fontId="3" fillId="6" borderId="0" xfId="1" applyNumberFormat="1" applyAlignment="1">
      <alignment horizontal="center" vertical="center"/>
    </xf>
    <xf numFmtId="181" fontId="3" fillId="6" borderId="0" xfId="1" applyNumberFormat="1">
      <alignment vertical="center"/>
    </xf>
    <xf numFmtId="181" fontId="12" fillId="6" borderId="15" xfId="5" applyNumberFormat="1" applyFill="1" applyBorder="1">
      <alignment vertical="center"/>
    </xf>
    <xf numFmtId="176" fontId="11" fillId="11" borderId="0" xfId="4" applyNumberFormat="1">
      <alignment vertical="center"/>
    </xf>
  </cellXfs>
  <cellStyles count="6">
    <cellStyle name="강조색6" xfId="4" builtinId="49"/>
    <cellStyle name="메모" xfId="3" builtinId="10"/>
    <cellStyle name="보통" xfId="1" builtinId="28"/>
    <cellStyle name="좋음" xfId="2" builtinId="26"/>
    <cellStyle name="표준" xfId="0" builtinId="0"/>
    <cellStyle name="하이퍼링크" xfId="5" builtinId="8"/>
  </cellStyles>
  <dxfs count="72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179" formatCode="#,##0_);[Red]\(#,##0\)"/>
      <fill>
        <patternFill patternType="solid">
          <fgColor theme="4"/>
          <bgColor theme="4"/>
        </patternFill>
      </fill>
    </dxf>
    <dxf>
      <numFmt numFmtId="179" formatCode="#,##0_);[Red]\(#,##0\)"/>
    </dxf>
    <dxf>
      <numFmt numFmtId="179" formatCode="#,##0_);[Red]\(#,##0\)"/>
    </dxf>
    <dxf>
      <numFmt numFmtId="179" formatCode="#,##0_);[Red]\(#,##0\)"/>
    </dxf>
    <dxf>
      <numFmt numFmtId="176" formatCode="[$-409]yy&quot;-&quot;m&quot;-&quot;d\ h:mm\ AM/PM;@"/>
    </dxf>
    <dxf>
      <numFmt numFmtId="180" formatCode="m/d/yyyy"/>
    </dxf>
    <dxf>
      <numFmt numFmtId="178" formatCode="0_ "/>
    </dxf>
    <dxf>
      <border outline="0"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diagonalUp="0" diagonalDown="0">
        <left style="thin">
          <color theme="0" tint="-0.249977111117893"/>
        </left>
        <right style="thin">
          <color theme="0" tint="-0.249977111117893"/>
        </right>
        <top/>
        <bottom/>
        <vertical style="thin">
          <color theme="0" tint="-0.249977111117893"/>
        </vertical>
        <horizontal style="thin">
          <color theme="0" tint="-0.249977111117893"/>
        </horizontal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0.249977111117893"/>
        </left>
        <right/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none">
          <fgColor indexed="64"/>
          <bgColor indexed="65"/>
        </patternFill>
      </fill>
      <border diagonalUp="0" diagonalDown="0">
        <left/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border>
        <top style="thin">
          <color theme="0" tint="-0.249977111117893"/>
        </top>
      </border>
    </dxf>
    <dxf>
      <border>
        <bottom style="thin">
          <color theme="0" tint="-0.249977111117893"/>
        </bottom>
      </border>
    </dxf>
    <dxf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ill>
        <patternFill patternType="none">
          <fgColor indexed="64"/>
          <bgColor indexed="65"/>
        </patternFill>
      </fill>
      <protection locked="1" hidden="0"/>
    </dxf>
    <dxf>
      <numFmt numFmtId="179" formatCode="#,##0_);[Red]\(#,##0\)"/>
    </dxf>
    <dxf>
      <numFmt numFmtId="179" formatCode="#,##0_);[Red]\(#,##0\)"/>
    </dxf>
    <dxf>
      <numFmt numFmtId="179" formatCode="#,##0_);[Red]\(#,##0\)"/>
    </dxf>
    <dxf>
      <numFmt numFmtId="176" formatCode="[$-409]yy&quot;-&quot;m&quot;-&quot;d\ h:mm\ AM/PM;@"/>
    </dxf>
    <dxf>
      <numFmt numFmtId="180" formatCode="m/d/yyyy"/>
    </dxf>
    <dxf>
      <numFmt numFmtId="178" formatCode="0_ "/>
    </dxf>
    <dxf>
      <numFmt numFmtId="176" formatCode="[$-409]yy&quot;-&quot;m&quot;-&quot;d\ h:mm\ AM/PM;@"/>
    </dxf>
    <dxf>
      <numFmt numFmtId="3" formatCode="#,##0"/>
    </dxf>
    <dxf>
      <numFmt numFmtId="177" formatCode="0##\-##\-##\-######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family val="2"/>
        <charset val="129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family val="2"/>
        <charset val="129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1009650</xdr:colOff>
      <xdr:row>0</xdr:row>
      <xdr:rowOff>152400</xdr:rowOff>
    </xdr:from>
    <xdr:to>
      <xdr:col>4</xdr:col>
      <xdr:colOff>66675</xdr:colOff>
      <xdr:row>2</xdr:row>
      <xdr:rowOff>66675</xdr:rowOff>
    </xdr:to>
    <xdr:sp macro="[0]!extractData_ezchemtech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204A3B4B-B391-DF94-CEBA-627D820399B8}"/>
            </a:ext>
          </a:extLst>
        </xdr:cNvPr>
        <xdr:cNvSpPr/>
      </xdr:nvSpPr>
      <xdr:spPr>
        <a:xfrm>
          <a:off x="1009650" y="152400"/>
          <a:ext cx="141922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업데이트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</xdr:col>
      <xdr:colOff>1419225</xdr:colOff>
      <xdr:row>2</xdr:row>
      <xdr:rowOff>171450</xdr:rowOff>
    </xdr:to>
    <xdr:sp macro="[0]!extractData_ezchemtech_account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12E7056B-FCB9-4B24-AB61-825024B544B3}"/>
            </a:ext>
          </a:extLst>
        </xdr:cNvPr>
        <xdr:cNvSpPr/>
      </xdr:nvSpPr>
      <xdr:spPr>
        <a:xfrm>
          <a:off x="2095500" y="209550"/>
          <a:ext cx="141922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업데이트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31EB366-4713-47BE-A2A3-B263082A8ACF}" name="표1" displayName="표1" ref="C10:Q37" totalsRowShown="0" headerRowDxfId="9" dataDxfId="28" headerRowBorderDxfId="26" tableBorderDxfId="27" totalsRowBorderDxfId="25">
  <autoFilter ref="C10:Q37" xr:uid="{B61A8597-EE48-4434-B3C1-20BC6A2A9543}"/>
  <tableColumns count="15">
    <tableColumn id="1" xr3:uid="{085574C4-EDA3-4D01-BCC7-F1722391ACAA}" name="요청ID" dataDxfId="24"/>
    <tableColumn id="2" xr3:uid="{EC62EAA6-F52B-4931-8230-524473D9885A}" name="결재요청자" dataDxfId="23"/>
    <tableColumn id="3" xr3:uid="{3C4B7FC6-59CA-429A-908A-3E6A0BFEDEE0}" name="긴급여부" dataDxfId="22"/>
    <tableColumn id="4" xr3:uid="{A028935A-8F8E-4C08-999A-B2C531F78881}" name="결재요청구분" dataDxfId="21"/>
    <tableColumn id="5" xr3:uid="{A295ABC7-36BA-46F8-AF34-E59E18BE682A}" name="결재요청제목" dataDxfId="20"/>
    <tableColumn id="6" xr3:uid="{3B3986FE-D04D-487E-A5AF-A65EA4B5F38A}" name="결재요청세부내용" dataDxfId="19"/>
    <tableColumn id="7" xr3:uid="{942F99A5-F4FA-4E27-9BCC-020243613985}" name="결재라인" dataDxfId="18"/>
    <tableColumn id="8" xr3:uid="{2C107BDE-6AB5-42A3-B4C9-DFE1360425A1}" name="결재 1차" dataDxfId="17"/>
    <tableColumn id="9" xr3:uid="{7720DE22-F43F-4451-867D-011E5D7C34B0}" name="결재 2차" dataDxfId="16"/>
    <tableColumn id="10" xr3:uid="{FF0120A4-2A3E-4E42-A629-884891CBD464}" name="결재 3차" dataDxfId="15"/>
    <tableColumn id="11" xr3:uid="{32425EA1-27D1-4A0C-BB71-043C48AEAD88}" name="제출상태" dataDxfId="14"/>
    <tableColumn id="12" xr3:uid="{CD339930-3044-4035-B52D-47E9472476AD}" name="결재요청일" dataDxfId="13"/>
    <tableColumn id="13" xr3:uid="{636F0145-6D56-4611-B2F2-D23DA2F79650}" name="진행상황" dataDxfId="12"/>
    <tableColumn id="14" xr3:uid="{633B7463-C435-4A0D-91B8-F6698ECF7619}" name="결재결과" dataDxfId="11"/>
    <tableColumn id="15" xr3:uid="{C3BA7E2A-A5E7-4B93-A2B4-E757C939F6AD}" name="결재의견" dataDxfId="10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8BE8943-6934-422D-99DD-AA6F0E1494AA}" name="표3" displayName="표3" ref="A4:M16" totalsRowShown="0">
  <autoFilter ref="A4:M16" xr:uid="{C8BE8943-6934-422D-99DD-AA6F0E1494AA}"/>
  <tableColumns count="13">
    <tableColumn id="1" xr3:uid="{06AEC42B-D982-4196-986B-243D6BFC0A1B}" name="년도"/>
    <tableColumn id="2" xr3:uid="{C5DA3CF5-6B6C-4278-979E-65B5D55EFB89}" name="1월"/>
    <tableColumn id="3" xr3:uid="{6898B318-0B05-427E-8B9C-9D5CEE38FFE6}" name="2월"/>
    <tableColumn id="4" xr3:uid="{C76A941C-BD10-4146-99AA-3ADE6C3104A9}" name="3월"/>
    <tableColumn id="5" xr3:uid="{C3317FC2-79E9-45E0-9A92-30EB8DF082EA}" name="4월"/>
    <tableColumn id="6" xr3:uid="{A4E36488-8518-459D-9FCB-34BDB1803B28}" name="5월"/>
    <tableColumn id="7" xr3:uid="{16BC24BB-9284-45B4-9E00-F2DB1F4FD095}" name="6월"/>
    <tableColumn id="8" xr3:uid="{99AE85BE-228C-461E-B9FE-AF5225405BFF}" name="7월"/>
    <tableColumn id="9" xr3:uid="{A1005DDB-13FD-442F-BD3B-0B044446FF5F}" name="8월"/>
    <tableColumn id="10" xr3:uid="{45B156F3-1EBA-4E81-BA19-DC2CB5823B20}" name="9월"/>
    <tableColumn id="11" xr3:uid="{7574815F-0059-4150-984E-DE86F0AB18B2}" name="10월"/>
    <tableColumn id="12" xr3:uid="{ACD557F4-FF49-49EF-8883-2A190BB39D64}" name="11월"/>
    <tableColumn id="13" xr3:uid="{E30BE8E6-04CC-426D-BB11-CCA0C3DCCBF0}" name="12월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EAC6183-45B0-45E3-9527-3CCB4018506E}" name="표2" displayName="표2" ref="O4:AA14" totalsRowShown="0" headerRowDxfId="71" headerRowBorderDxfId="70" tableBorderDxfId="69">
  <autoFilter ref="O4:AA14" xr:uid="{1EAC6183-45B0-45E3-9527-3CCB4018506E}"/>
  <tableColumns count="13">
    <tableColumn id="1" xr3:uid="{A5C94C39-17AD-4364-ABDC-2A062113340B}" name="년도"/>
    <tableColumn id="2" xr3:uid="{F809F7F9-8805-4B2A-9D7E-C375FF17F5E5}" name="1월" dataDxfId="68"/>
    <tableColumn id="3" xr3:uid="{47AF8216-0319-43AA-826E-B149460C9C93}" name="2월" dataDxfId="67"/>
    <tableColumn id="4" xr3:uid="{C033E913-1B69-4788-81C9-5FFE4B8C6F39}" name="3월" dataDxfId="66"/>
    <tableColumn id="5" xr3:uid="{A95C802C-125F-4C79-855D-18A9688AB04A}" name="4월" dataDxfId="65"/>
    <tableColumn id="6" xr3:uid="{3360C195-932C-45BD-A604-EB19D717451B}" name="5월" dataDxfId="64"/>
    <tableColumn id="7" xr3:uid="{F3077A17-8CEA-4D31-88A1-765CFD4C6479}" name="6월" dataDxfId="63"/>
    <tableColumn id="8" xr3:uid="{53B14F5D-6B00-40E3-85CD-8E5CCA3D1794}" name="7월" dataDxfId="62"/>
    <tableColumn id="9" xr3:uid="{D3B8C66D-C42B-4A35-96FE-EFA6FD5C0180}" name="8월" dataDxfId="61"/>
    <tableColumn id="10" xr3:uid="{6C618B7E-BE23-4FD8-8DFE-B223B72EDB50}" name="9월" dataDxfId="60"/>
    <tableColumn id="11" xr3:uid="{4142C88D-B97B-4453-823C-7A48F5EAA5FA}" name="10월" dataDxfId="59"/>
    <tableColumn id="12" xr3:uid="{2DFCDDCF-5B44-4D75-853E-98169F60B4A2}" name="11월" dataDxfId="58"/>
    <tableColumn id="13" xr3:uid="{94051B9A-7630-40B5-9D67-7E11F4D2EA2D}" name="12월" dataDxfId="57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9D95C32-39ED-472B-9320-04CF6F11B79B}" name="표4" displayName="표4" ref="O23:AA31" totalsRowShown="0" headerRowDxfId="56" dataDxfId="54" headerRowBorderDxfId="55" tableBorderDxfId="53" totalsRowBorderDxfId="52">
  <autoFilter ref="O23:AA31" xr:uid="{59D95C32-39ED-472B-9320-04CF6F11B79B}"/>
  <tableColumns count="13">
    <tableColumn id="1" xr3:uid="{ECC9B9D0-7B89-4526-9606-7CEE4FDBE255}" name="년도" dataDxfId="51"/>
    <tableColumn id="2" xr3:uid="{E07F82FB-78C6-4930-88FE-F2D63FB9C58E}" name="1월" dataDxfId="50"/>
    <tableColumn id="3" xr3:uid="{41B3381F-7F3E-4176-ADD3-653A70BEC529}" name="2월" dataDxfId="49"/>
    <tableColumn id="4" xr3:uid="{EFE7CF86-840A-4594-90F0-08849FDF519D}" name="3월" dataDxfId="48"/>
    <tableColumn id="5" xr3:uid="{E557ADC8-74B1-4FE6-B0D2-9137C0847A96}" name="4월" dataDxfId="47"/>
    <tableColumn id="6" xr3:uid="{DB808A84-86E2-4749-8DA1-2FEC8B42CAC9}" name="5월" dataDxfId="46"/>
    <tableColumn id="7" xr3:uid="{50413104-13FE-4CA6-A00C-34A1F740A436}" name="6월" dataDxfId="45"/>
    <tableColumn id="8" xr3:uid="{19276595-E244-4EC1-B0A5-864D3680CC72}" name="7월" dataDxfId="44"/>
    <tableColumn id="9" xr3:uid="{FD13D148-B734-4B34-9307-7D1158F49186}" name="8월" dataDxfId="43"/>
    <tableColumn id="10" xr3:uid="{F338DE73-2997-46D6-A51C-996B66E11923}" name="9월" dataDxfId="42"/>
    <tableColumn id="11" xr3:uid="{04D01144-BE21-468A-BD6A-23D5239440D8}" name="10월" dataDxfId="41"/>
    <tableColumn id="12" xr3:uid="{CB81BD04-0467-41D6-A8B1-CA21A9F30A63}" name="11월" dataDxfId="40"/>
    <tableColumn id="13" xr3:uid="{79BBA679-C9FE-4B40-A0F8-83BF878D8403}" name="12월" dataDxfId="39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404A4B1-1FDD-4914-A1AA-505066B2AFF8}" name="표5" displayName="표5" ref="A4:D19" totalsRowShown="0" headerRowDxfId="38">
  <autoFilter ref="A4:D19" xr:uid="{B404A4B1-1FDD-4914-A1AA-505066B2AFF8}"/>
  <tableColumns count="4">
    <tableColumn id="1" xr3:uid="{F666C12A-B07B-46B2-BFFB-42D6FB1B7C96}" name="계좌번호" dataDxfId="37"/>
    <tableColumn id="2" xr3:uid="{648AE23B-580A-4D37-8F2E-9114A485F3BB}" name="잔액" dataDxfId="36"/>
    <tableColumn id="3" xr3:uid="{3C02A01F-C99E-4D16-938E-898D088E6C14}" name="거래일시" dataDxfId="35"/>
    <tableColumn id="4" xr3:uid="{E0BB0C42-FE60-4A57-AB38-77DF9E04D40C}" name="적요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4814828-DFD4-472E-9EFC-BDDE4BE5417F}" name="표6" displayName="표6" ref="A23:H600" totalsRowShown="0">
  <autoFilter ref="A23:H600" xr:uid="{84814828-DFD4-472E-9EFC-BDDE4BE5417F}">
    <filterColumn colId="2">
      <filters>
        <dateGroupItem year="2024" month="3" dateTimeGrouping="month"/>
      </filters>
    </filterColumn>
  </autoFilter>
  <sortState xmlns:xlrd2="http://schemas.microsoft.com/office/spreadsheetml/2017/richdata2" ref="A24:H39">
    <sortCondition descending="1" ref="F23:F600"/>
  </sortState>
  <tableColumns count="8">
    <tableColumn id="1" xr3:uid="{040CF97E-2430-43BF-A8F7-B3B02D2E913F}" name="seq" dataDxfId="34"/>
    <tableColumn id="2" xr3:uid="{26C630AD-57B5-4B98-8C1B-6E51CFF916F9}" name="거래일시" dataDxfId="33"/>
    <tableColumn id="3" xr3:uid="{44F80533-1D66-4B46-A8DA-0320880BFD6E}" name="거래일자" dataDxfId="32"/>
    <tableColumn id="4" xr3:uid="{700795DF-CF0D-450A-92D2-FF22062E7F0A}" name="거래구분"/>
    <tableColumn id="5" xr3:uid="{2D4724D4-7FFA-475F-8C3F-87A9FDD95981}" name="입금액" dataDxfId="31"/>
    <tableColumn id="6" xr3:uid="{1450DB45-36E4-4D59-8EBC-2AF2A88D23CD}" name="출금액" dataDxfId="30"/>
    <tableColumn id="7" xr3:uid="{EF136984-EF7F-4349-B5B1-241C19DC11EA}" name="잔액" dataDxfId="29"/>
    <tableColumn id="8" xr3:uid="{3155E0BE-5500-4F44-8C67-74425F510606}" name="적요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B24B92-AB9A-40AE-999D-1B027615F3A1}" name="표8" displayName="표8" ref="A602:H2660" totalsRowShown="0" headerRowDxfId="0" headerRowBorderDxfId="7" tableBorderDxfId="8">
  <autoFilter ref="A602:H2660" xr:uid="{99B24B92-AB9A-40AE-999D-1B027615F3A1}">
    <filterColumn colId="2">
      <filters>
        <dateGroupItem year="2024" month="3" dateTimeGrouping="month"/>
      </filters>
    </filterColumn>
  </autoFilter>
  <sortState xmlns:xlrd2="http://schemas.microsoft.com/office/spreadsheetml/2017/richdata2" ref="A603:H640">
    <sortCondition descending="1" ref="F602:F2660"/>
  </sortState>
  <tableColumns count="8">
    <tableColumn id="1" xr3:uid="{B30AABFC-BFCD-40A5-BDB8-44ABAB7174B7}" name="seq" dataDxfId="6"/>
    <tableColumn id="2" xr3:uid="{2936B5A4-D385-4AD3-8BCA-CC8DCE79373A}" name="거래일시" dataDxfId="5"/>
    <tableColumn id="3" xr3:uid="{4E916B7D-2B78-4026-A603-2F5C4E3E962A}" name="거래일자" dataDxfId="4"/>
    <tableColumn id="4" xr3:uid="{FB64756C-CB45-4831-9E88-F01559F19333}" name="거래구분"/>
    <tableColumn id="5" xr3:uid="{2A95AAB5-5EE9-4F80-863B-B8381919FE7B}" name="입금액" dataDxfId="3"/>
    <tableColumn id="6" xr3:uid="{BFAB75C6-92F7-40C9-812B-28DCF3DC4848}" name="출금액" dataDxfId="2"/>
    <tableColumn id="7" xr3:uid="{770D6934-F2B3-4CEF-8103-2092F104E85E}" name="잔액" dataDxfId="1"/>
    <tableColumn id="8" xr3:uid="{5C428DF3-DA5B-47B5-B909-22E4899AEC77}" name="적요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drawing" Target="../drawings/drawing1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drawing" Target="../drawings/drawing2.xml"/><Relationship Id="rId4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D414F-2CAC-4F45-8C0F-FE1218C2FACD}">
  <sheetPr codeName="eApproval_item"/>
  <dimension ref="C10:Q37"/>
  <sheetViews>
    <sheetView topLeftCell="A7" workbookViewId="0">
      <selection activeCell="C9" sqref="C9"/>
    </sheetView>
  </sheetViews>
  <sheetFormatPr defaultRowHeight="16.5" x14ac:dyDescent="0.3"/>
  <cols>
    <col min="3" max="3" width="10.5" bestFit="1" customWidth="1"/>
    <col min="4" max="4" width="9.375" customWidth="1"/>
    <col min="5" max="5" width="9.25" customWidth="1"/>
    <col min="6" max="7" width="12.5" customWidth="1"/>
    <col min="8" max="8" width="81.125" customWidth="1"/>
    <col min="9" max="13" width="9.25" customWidth="1"/>
    <col min="14" max="14" width="10.875" customWidth="1"/>
    <col min="15" max="16" width="9.25" customWidth="1"/>
    <col min="17" max="17" width="105.75" customWidth="1"/>
  </cols>
  <sheetData>
    <row r="10" spans="3:17" x14ac:dyDescent="0.3">
      <c r="C10" s="5" t="s">
        <v>0</v>
      </c>
      <c r="D10" s="2" t="s">
        <v>1</v>
      </c>
      <c r="E10" s="3" t="s">
        <v>2</v>
      </c>
      <c r="F10" s="3" t="s">
        <v>3</v>
      </c>
      <c r="G10" s="3" t="s">
        <v>4</v>
      </c>
      <c r="H10" s="3" t="s">
        <v>5</v>
      </c>
      <c r="I10" s="1" t="s">
        <v>6</v>
      </c>
      <c r="J10" s="3" t="s">
        <v>7</v>
      </c>
      <c r="K10" s="3" t="s">
        <v>8</v>
      </c>
      <c r="L10" s="3" t="s">
        <v>9</v>
      </c>
      <c r="M10" s="2" t="s">
        <v>10</v>
      </c>
      <c r="N10" s="4" t="s">
        <v>11</v>
      </c>
      <c r="O10" s="4" t="s">
        <v>12</v>
      </c>
      <c r="P10" s="1" t="s">
        <v>13</v>
      </c>
      <c r="Q10" s="6" t="s">
        <v>14</v>
      </c>
    </row>
    <row r="11" spans="3:17" x14ac:dyDescent="0.3">
      <c r="C11" s="37">
        <v>1</v>
      </c>
      <c r="D11" s="38" t="s">
        <v>48</v>
      </c>
      <c r="E11" s="38" t="s">
        <v>49</v>
      </c>
      <c r="F11" s="38" t="s">
        <v>50</v>
      </c>
      <c r="G11" s="38" t="s">
        <v>50</v>
      </c>
      <c r="H11" s="38" t="s">
        <v>51</v>
      </c>
      <c r="I11" s="39" t="s">
        <v>52</v>
      </c>
      <c r="J11" s="38"/>
      <c r="K11" s="38"/>
      <c r="L11" s="38"/>
      <c r="M11" s="38" t="s">
        <v>53</v>
      </c>
      <c r="N11" s="40">
        <v>44812.465541006946</v>
      </c>
      <c r="O11" s="39" t="s">
        <v>54</v>
      </c>
      <c r="P11" s="39" t="s">
        <v>55</v>
      </c>
      <c r="Q11" s="41"/>
    </row>
    <row r="12" spans="3:17" x14ac:dyDescent="0.3">
      <c r="C12" s="37">
        <v>2</v>
      </c>
      <c r="D12" s="38" t="s">
        <v>52</v>
      </c>
      <c r="E12" s="38" t="s">
        <v>49</v>
      </c>
      <c r="F12" s="38" t="s">
        <v>56</v>
      </c>
      <c r="G12" s="38" t="s">
        <v>57</v>
      </c>
      <c r="H12" s="38" t="s">
        <v>58</v>
      </c>
      <c r="I12" s="39" t="s">
        <v>59</v>
      </c>
      <c r="J12" s="38"/>
      <c r="K12" s="38"/>
      <c r="L12" s="38"/>
      <c r="M12" s="38" t="s">
        <v>53</v>
      </c>
      <c r="N12" s="40">
        <v>44812.466991122688</v>
      </c>
      <c r="O12" s="39" t="s">
        <v>54</v>
      </c>
      <c r="P12" s="39" t="s">
        <v>55</v>
      </c>
      <c r="Q12" s="41"/>
    </row>
    <row r="13" spans="3:17" ht="33" x14ac:dyDescent="0.3">
      <c r="C13" s="37">
        <v>3</v>
      </c>
      <c r="D13" s="38" t="s">
        <v>60</v>
      </c>
      <c r="E13" s="38" t="s">
        <v>49</v>
      </c>
      <c r="F13" s="38" t="s">
        <v>61</v>
      </c>
      <c r="G13" s="38" t="s">
        <v>62</v>
      </c>
      <c r="H13" s="38" t="s">
        <v>63</v>
      </c>
      <c r="I13" s="39" t="s">
        <v>64</v>
      </c>
      <c r="J13" s="38"/>
      <c r="K13" s="38"/>
      <c r="L13" s="38"/>
      <c r="M13" s="38" t="s">
        <v>53</v>
      </c>
      <c r="N13" s="40">
        <v>44819.476358020831</v>
      </c>
      <c r="O13" s="39" t="s">
        <v>54</v>
      </c>
      <c r="P13" s="39" t="s">
        <v>55</v>
      </c>
      <c r="Q13" s="42" t="s">
        <v>65</v>
      </c>
    </row>
    <row r="14" spans="3:17" ht="24.75" customHeight="1" x14ac:dyDescent="0.3">
      <c r="C14" s="37">
        <v>4</v>
      </c>
      <c r="D14" s="38" t="s">
        <v>52</v>
      </c>
      <c r="E14" s="38" t="s">
        <v>49</v>
      </c>
      <c r="F14" s="38" t="s">
        <v>61</v>
      </c>
      <c r="G14" s="38" t="s">
        <v>66</v>
      </c>
      <c r="H14" s="38" t="s">
        <v>67</v>
      </c>
      <c r="I14" s="39" t="s">
        <v>59</v>
      </c>
      <c r="J14" s="38"/>
      <c r="K14" s="38"/>
      <c r="L14" s="38"/>
      <c r="M14" s="38" t="s">
        <v>53</v>
      </c>
      <c r="N14" s="40">
        <v>44823.477082638892</v>
      </c>
      <c r="O14" s="39" t="s">
        <v>54</v>
      </c>
      <c r="P14" s="39" t="s">
        <v>55</v>
      </c>
      <c r="Q14" s="43" t="s">
        <v>68</v>
      </c>
    </row>
    <row r="15" spans="3:17" x14ac:dyDescent="0.3">
      <c r="C15" s="37">
        <v>5</v>
      </c>
      <c r="D15" s="38" t="s">
        <v>52</v>
      </c>
      <c r="E15" s="38" t="s">
        <v>49</v>
      </c>
      <c r="F15" s="38" t="s">
        <v>61</v>
      </c>
      <c r="G15" s="38" t="s">
        <v>69</v>
      </c>
      <c r="H15" s="38" t="s">
        <v>70</v>
      </c>
      <c r="I15" s="39" t="s">
        <v>59</v>
      </c>
      <c r="J15" s="38"/>
      <c r="K15" s="38"/>
      <c r="L15" s="38"/>
      <c r="M15" s="38" t="s">
        <v>53</v>
      </c>
      <c r="N15" s="40">
        <v>44826.423970104166</v>
      </c>
      <c r="O15" s="39" t="s">
        <v>54</v>
      </c>
      <c r="P15" s="39" t="s">
        <v>55</v>
      </c>
      <c r="Q15" s="41" t="s">
        <v>71</v>
      </c>
    </row>
    <row r="16" spans="3:17" x14ac:dyDescent="0.3">
      <c r="C16" s="37">
        <v>6</v>
      </c>
      <c r="D16" s="38" t="s">
        <v>72</v>
      </c>
      <c r="E16" s="38" t="s">
        <v>49</v>
      </c>
      <c r="F16" s="38" t="s">
        <v>61</v>
      </c>
      <c r="G16" s="38" t="s">
        <v>62</v>
      </c>
      <c r="H16" s="38" t="s">
        <v>73</v>
      </c>
      <c r="I16" s="39" t="s">
        <v>64</v>
      </c>
      <c r="J16" s="38"/>
      <c r="K16" s="38"/>
      <c r="L16" s="38"/>
      <c r="M16" s="38" t="s">
        <v>74</v>
      </c>
      <c r="N16" s="40">
        <v>44841.694317013891</v>
      </c>
      <c r="O16" s="39" t="s">
        <v>75</v>
      </c>
      <c r="P16" s="39" t="s">
        <v>76</v>
      </c>
      <c r="Q16" s="41" t="s">
        <v>77</v>
      </c>
    </row>
    <row r="17" spans="3:17" x14ac:dyDescent="0.3">
      <c r="C17" s="37">
        <v>7</v>
      </c>
      <c r="D17" s="38" t="s">
        <v>60</v>
      </c>
      <c r="E17" s="38" t="s">
        <v>49</v>
      </c>
      <c r="F17" s="38" t="s">
        <v>61</v>
      </c>
      <c r="G17" s="38" t="s">
        <v>62</v>
      </c>
      <c r="H17" s="38" t="s">
        <v>78</v>
      </c>
      <c r="I17" s="39" t="s">
        <v>64</v>
      </c>
      <c r="J17" s="38"/>
      <c r="K17" s="38"/>
      <c r="L17" s="38"/>
      <c r="M17" s="38" t="s">
        <v>74</v>
      </c>
      <c r="N17" s="40">
        <v>44845.662641817129</v>
      </c>
      <c r="O17" s="39" t="s">
        <v>75</v>
      </c>
      <c r="P17" s="39" t="s">
        <v>76</v>
      </c>
      <c r="Q17" s="41" t="s">
        <v>77</v>
      </c>
    </row>
    <row r="18" spans="3:17" ht="33" x14ac:dyDescent="0.3">
      <c r="C18" s="37">
        <v>8</v>
      </c>
      <c r="D18" s="38" t="s">
        <v>60</v>
      </c>
      <c r="E18" s="38" t="s">
        <v>49</v>
      </c>
      <c r="F18" s="38" t="s">
        <v>61</v>
      </c>
      <c r="G18" s="38" t="s">
        <v>62</v>
      </c>
      <c r="H18" s="44" t="s">
        <v>79</v>
      </c>
      <c r="I18" s="39" t="s">
        <v>64</v>
      </c>
      <c r="J18" s="38"/>
      <c r="K18" s="38"/>
      <c r="L18" s="38"/>
      <c r="M18" s="38" t="s">
        <v>53</v>
      </c>
      <c r="N18" s="40">
        <v>44848.662412847225</v>
      </c>
      <c r="O18" s="39" t="s">
        <v>54</v>
      </c>
      <c r="P18" s="39" t="s">
        <v>55</v>
      </c>
      <c r="Q18" s="41"/>
    </row>
    <row r="19" spans="3:17" x14ac:dyDescent="0.3">
      <c r="C19" s="37">
        <v>9</v>
      </c>
      <c r="D19" s="38" t="s">
        <v>72</v>
      </c>
      <c r="E19" s="38" t="s">
        <v>49</v>
      </c>
      <c r="F19" s="38" t="s">
        <v>61</v>
      </c>
      <c r="G19" s="38" t="s">
        <v>62</v>
      </c>
      <c r="H19" s="38" t="s">
        <v>80</v>
      </c>
      <c r="I19" s="39" t="s">
        <v>81</v>
      </c>
      <c r="J19" s="38"/>
      <c r="K19" s="38"/>
      <c r="L19" s="38"/>
      <c r="M19" s="38" t="s">
        <v>74</v>
      </c>
      <c r="N19" s="40">
        <v>44848.664164548609</v>
      </c>
      <c r="O19" s="39" t="s">
        <v>75</v>
      </c>
      <c r="P19" s="39" t="s">
        <v>76</v>
      </c>
      <c r="Q19" s="41" t="s">
        <v>82</v>
      </c>
    </row>
    <row r="20" spans="3:17" x14ac:dyDescent="0.3">
      <c r="C20" s="37">
        <v>10</v>
      </c>
      <c r="D20" s="38" t="s">
        <v>72</v>
      </c>
      <c r="E20" s="38" t="s">
        <v>49</v>
      </c>
      <c r="F20" s="38" t="s">
        <v>61</v>
      </c>
      <c r="G20" s="38" t="s">
        <v>62</v>
      </c>
      <c r="H20" s="38" t="s">
        <v>83</v>
      </c>
      <c r="I20" s="39" t="s">
        <v>64</v>
      </c>
      <c r="J20" s="38"/>
      <c r="K20" s="38"/>
      <c r="L20" s="38"/>
      <c r="M20" s="38" t="s">
        <v>53</v>
      </c>
      <c r="N20" s="40">
        <v>44851.473677199072</v>
      </c>
      <c r="O20" s="39" t="s">
        <v>54</v>
      </c>
      <c r="P20" s="39" t="s">
        <v>55</v>
      </c>
      <c r="Q20" s="41"/>
    </row>
    <row r="21" spans="3:17" x14ac:dyDescent="0.3">
      <c r="C21" s="37">
        <v>14</v>
      </c>
      <c r="D21" s="38" t="s">
        <v>52</v>
      </c>
      <c r="E21" s="38" t="s">
        <v>49</v>
      </c>
      <c r="F21" s="38" t="s">
        <v>61</v>
      </c>
      <c r="G21" s="38" t="s">
        <v>62</v>
      </c>
      <c r="H21" s="38" t="s">
        <v>84</v>
      </c>
      <c r="I21" s="39" t="s">
        <v>59</v>
      </c>
      <c r="J21" s="38"/>
      <c r="K21" s="38"/>
      <c r="L21" s="38"/>
      <c r="M21" s="38" t="s">
        <v>53</v>
      </c>
      <c r="N21" s="40">
        <v>44858.57252577546</v>
      </c>
      <c r="O21" s="39" t="s">
        <v>54</v>
      </c>
      <c r="P21" s="39" t="s">
        <v>55</v>
      </c>
      <c r="Q21" s="41" t="s">
        <v>85</v>
      </c>
    </row>
    <row r="22" spans="3:17" x14ac:dyDescent="0.3">
      <c r="C22" s="37">
        <v>15</v>
      </c>
      <c r="D22" s="38" t="s">
        <v>52</v>
      </c>
      <c r="E22" s="38" t="s">
        <v>49</v>
      </c>
      <c r="F22" s="38" t="s">
        <v>61</v>
      </c>
      <c r="G22" s="38" t="s">
        <v>62</v>
      </c>
      <c r="H22" s="38" t="s">
        <v>86</v>
      </c>
      <c r="I22" s="39" t="s">
        <v>59</v>
      </c>
      <c r="J22" s="38"/>
      <c r="K22" s="38"/>
      <c r="L22" s="38"/>
      <c r="M22" s="38" t="s">
        <v>53</v>
      </c>
      <c r="N22" s="40">
        <v>44858.574889849537</v>
      </c>
      <c r="O22" s="39" t="s">
        <v>54</v>
      </c>
      <c r="P22" s="39" t="s">
        <v>55</v>
      </c>
      <c r="Q22" s="41"/>
    </row>
    <row r="23" spans="3:17" x14ac:dyDescent="0.3">
      <c r="C23" s="37">
        <v>17</v>
      </c>
      <c r="D23" s="38" t="s">
        <v>52</v>
      </c>
      <c r="E23" s="38" t="s">
        <v>49</v>
      </c>
      <c r="F23" s="38" t="s">
        <v>61</v>
      </c>
      <c r="G23" s="38" t="s">
        <v>62</v>
      </c>
      <c r="H23" s="38" t="s">
        <v>87</v>
      </c>
      <c r="I23" s="39" t="s">
        <v>59</v>
      </c>
      <c r="J23" s="38"/>
      <c r="K23" s="38"/>
      <c r="L23" s="38"/>
      <c r="M23" s="38" t="s">
        <v>53</v>
      </c>
      <c r="N23" s="40">
        <v>44860.386775312501</v>
      </c>
      <c r="O23" s="39" t="s">
        <v>54</v>
      </c>
      <c r="P23" s="39" t="s">
        <v>55</v>
      </c>
      <c r="Q23" s="41"/>
    </row>
    <row r="24" spans="3:17" x14ac:dyDescent="0.3">
      <c r="C24" s="37">
        <v>18</v>
      </c>
      <c r="D24" s="38" t="s">
        <v>52</v>
      </c>
      <c r="E24" s="38" t="s">
        <v>49</v>
      </c>
      <c r="F24" s="38" t="s">
        <v>61</v>
      </c>
      <c r="G24" s="38" t="s">
        <v>62</v>
      </c>
      <c r="H24" s="38" t="s">
        <v>88</v>
      </c>
      <c r="I24" s="39" t="s">
        <v>59</v>
      </c>
      <c r="J24" s="38"/>
      <c r="K24" s="38"/>
      <c r="L24" s="38"/>
      <c r="M24" s="38" t="s">
        <v>53</v>
      </c>
      <c r="N24" s="40">
        <v>44865.589230902777</v>
      </c>
      <c r="O24" s="39" t="s">
        <v>54</v>
      </c>
      <c r="P24" s="39" t="s">
        <v>55</v>
      </c>
      <c r="Q24" s="41"/>
    </row>
    <row r="25" spans="3:17" x14ac:dyDescent="0.3">
      <c r="C25" s="37">
        <v>19</v>
      </c>
      <c r="D25" s="38" t="s">
        <v>72</v>
      </c>
      <c r="E25" s="38" t="s">
        <v>49</v>
      </c>
      <c r="F25" s="38" t="s">
        <v>61</v>
      </c>
      <c r="G25" s="38" t="s">
        <v>62</v>
      </c>
      <c r="H25" s="38" t="s">
        <v>89</v>
      </c>
      <c r="I25" s="39" t="s">
        <v>64</v>
      </c>
      <c r="J25" s="38"/>
      <c r="K25" s="38"/>
      <c r="L25" s="38"/>
      <c r="M25" s="38" t="s">
        <v>53</v>
      </c>
      <c r="N25" s="40">
        <v>44880.446590821761</v>
      </c>
      <c r="O25" s="39" t="s">
        <v>54</v>
      </c>
      <c r="P25" s="39" t="s">
        <v>55</v>
      </c>
      <c r="Q25" s="41"/>
    </row>
    <row r="26" spans="3:17" x14ac:dyDescent="0.3">
      <c r="C26" s="37">
        <v>20</v>
      </c>
      <c r="D26" s="38" t="s">
        <v>72</v>
      </c>
      <c r="E26" s="38" t="s">
        <v>49</v>
      </c>
      <c r="F26" s="38" t="s">
        <v>61</v>
      </c>
      <c r="G26" s="38" t="s">
        <v>62</v>
      </c>
      <c r="H26" s="38" t="s">
        <v>90</v>
      </c>
      <c r="I26" s="39" t="s">
        <v>64</v>
      </c>
      <c r="J26" s="38"/>
      <c r="K26" s="38"/>
      <c r="L26" s="38"/>
      <c r="M26" s="38" t="s">
        <v>53</v>
      </c>
      <c r="N26" s="40">
        <v>44964.481629895832</v>
      </c>
      <c r="O26" s="39" t="s">
        <v>54</v>
      </c>
      <c r="P26" s="39" t="s">
        <v>55</v>
      </c>
      <c r="Q26" s="41"/>
    </row>
    <row r="27" spans="3:17" x14ac:dyDescent="0.3">
      <c r="C27" s="37">
        <v>21</v>
      </c>
      <c r="D27" s="38" t="s">
        <v>60</v>
      </c>
      <c r="E27" s="38" t="s">
        <v>49</v>
      </c>
      <c r="F27" s="38" t="s">
        <v>61</v>
      </c>
      <c r="G27" s="38" t="s">
        <v>62</v>
      </c>
      <c r="H27" s="38" t="s">
        <v>91</v>
      </c>
      <c r="I27" s="39" t="s">
        <v>64</v>
      </c>
      <c r="J27" s="38"/>
      <c r="K27" s="38"/>
      <c r="L27" s="38"/>
      <c r="M27" s="38" t="s">
        <v>53</v>
      </c>
      <c r="N27" s="40">
        <v>44970.603333252315</v>
      </c>
      <c r="O27" s="39" t="s">
        <v>54</v>
      </c>
      <c r="P27" s="39" t="s">
        <v>55</v>
      </c>
      <c r="Q27" s="41"/>
    </row>
    <row r="28" spans="3:17" x14ac:dyDescent="0.3">
      <c r="C28" s="37"/>
      <c r="D28" s="38"/>
      <c r="E28" s="38"/>
      <c r="F28" s="38"/>
      <c r="G28" s="38"/>
      <c r="H28" s="38"/>
      <c r="I28" s="39"/>
      <c r="J28" s="38"/>
      <c r="K28" s="38"/>
      <c r="L28" s="38"/>
      <c r="M28" s="38"/>
      <c r="N28" s="39"/>
      <c r="O28" s="39"/>
      <c r="P28" s="39"/>
      <c r="Q28" s="41"/>
    </row>
    <row r="29" spans="3:17" x14ac:dyDescent="0.3">
      <c r="C29" s="37"/>
      <c r="D29" s="38"/>
      <c r="E29" s="38"/>
      <c r="F29" s="38"/>
      <c r="G29" s="38"/>
      <c r="H29" s="38"/>
      <c r="I29" s="39"/>
      <c r="J29" s="38"/>
      <c r="K29" s="38"/>
      <c r="L29" s="38"/>
      <c r="M29" s="38"/>
      <c r="N29" s="39"/>
      <c r="O29" s="39"/>
      <c r="P29" s="39"/>
      <c r="Q29" s="41"/>
    </row>
    <row r="30" spans="3:17" x14ac:dyDescent="0.3">
      <c r="C30" s="37"/>
      <c r="D30" s="38"/>
      <c r="E30" s="38"/>
      <c r="F30" s="38"/>
      <c r="G30" s="38"/>
      <c r="H30" s="38"/>
      <c r="I30" s="39"/>
      <c r="J30" s="38"/>
      <c r="K30" s="38"/>
      <c r="L30" s="38"/>
      <c r="M30" s="38"/>
      <c r="N30" s="39"/>
      <c r="O30" s="39"/>
      <c r="P30" s="39"/>
      <c r="Q30" s="41"/>
    </row>
    <row r="31" spans="3:17" x14ac:dyDescent="0.3">
      <c r="C31" s="37"/>
      <c r="D31" s="38"/>
      <c r="E31" s="38"/>
      <c r="F31" s="38"/>
      <c r="G31" s="38"/>
      <c r="H31" s="38"/>
      <c r="I31" s="39"/>
      <c r="J31" s="38"/>
      <c r="K31" s="38"/>
      <c r="L31" s="38"/>
      <c r="M31" s="38"/>
      <c r="N31" s="39"/>
      <c r="O31" s="39"/>
      <c r="P31" s="39"/>
      <c r="Q31" s="41"/>
    </row>
    <row r="32" spans="3:17" x14ac:dyDescent="0.3">
      <c r="C32" s="37"/>
      <c r="D32" s="38"/>
      <c r="E32" s="38"/>
      <c r="F32" s="38"/>
      <c r="G32" s="38"/>
      <c r="H32" s="38"/>
      <c r="I32" s="39"/>
      <c r="J32" s="38"/>
      <c r="K32" s="38"/>
      <c r="L32" s="38"/>
      <c r="M32" s="38"/>
      <c r="N32" s="39"/>
      <c r="O32" s="39"/>
      <c r="P32" s="39"/>
      <c r="Q32" s="41"/>
    </row>
    <row r="33" spans="3:17" x14ac:dyDescent="0.3">
      <c r="C33" s="37"/>
      <c r="D33" s="38"/>
      <c r="E33" s="38"/>
      <c r="F33" s="38"/>
      <c r="G33" s="38"/>
      <c r="H33" s="38"/>
      <c r="I33" s="39"/>
      <c r="J33" s="38"/>
      <c r="K33" s="38"/>
      <c r="L33" s="38"/>
      <c r="M33" s="38"/>
      <c r="N33" s="39"/>
      <c r="O33" s="39"/>
      <c r="P33" s="39"/>
      <c r="Q33" s="41"/>
    </row>
    <row r="34" spans="3:17" x14ac:dyDescent="0.3">
      <c r="C34" s="37"/>
      <c r="D34" s="38"/>
      <c r="E34" s="38"/>
      <c r="F34" s="38"/>
      <c r="G34" s="38"/>
      <c r="H34" s="38"/>
      <c r="I34" s="39"/>
      <c r="J34" s="38"/>
      <c r="K34" s="38"/>
      <c r="L34" s="38"/>
      <c r="M34" s="38"/>
      <c r="N34" s="39"/>
      <c r="O34" s="39"/>
      <c r="P34" s="39"/>
      <c r="Q34" s="41"/>
    </row>
    <row r="35" spans="3:17" x14ac:dyDescent="0.3">
      <c r="C35" s="37"/>
      <c r="D35" s="38"/>
      <c r="E35" s="38"/>
      <c r="F35" s="38"/>
      <c r="G35" s="38"/>
      <c r="H35" s="38"/>
      <c r="I35" s="39"/>
      <c r="J35" s="38"/>
      <c r="K35" s="38"/>
      <c r="L35" s="38"/>
      <c r="M35" s="38"/>
      <c r="N35" s="39"/>
      <c r="O35" s="39"/>
      <c r="P35" s="39"/>
      <c r="Q35" s="41"/>
    </row>
    <row r="36" spans="3:17" x14ac:dyDescent="0.3">
      <c r="C36" s="37"/>
      <c r="D36" s="38"/>
      <c r="E36" s="38"/>
      <c r="F36" s="38"/>
      <c r="G36" s="38"/>
      <c r="H36" s="38"/>
      <c r="I36" s="39"/>
      <c r="J36" s="38"/>
      <c r="K36" s="38"/>
      <c r="L36" s="38"/>
      <c r="M36" s="38"/>
      <c r="N36" s="39"/>
      <c r="O36" s="39"/>
      <c r="P36" s="39"/>
      <c r="Q36" s="41"/>
    </row>
    <row r="37" spans="3:17" x14ac:dyDescent="0.3">
      <c r="C37" s="45"/>
      <c r="D37" s="46"/>
      <c r="E37" s="46"/>
      <c r="F37" s="46"/>
      <c r="G37" s="46"/>
      <c r="H37" s="46"/>
      <c r="I37" s="47"/>
      <c r="J37" s="46"/>
      <c r="K37" s="46"/>
      <c r="L37" s="46"/>
      <c r="M37" s="46"/>
      <c r="N37" s="47"/>
      <c r="O37" s="47"/>
      <c r="P37" s="47"/>
      <c r="Q37" s="48"/>
    </row>
  </sheetData>
  <sheetProtection sheet="1" scenarios="1" formatCells="0" formatColumns="0" formatRows="0" sort="0" autoFilter="0" pivotTables="0"/>
  <phoneticPr fontId="1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2312C0-EEA6-48DA-AE55-B5464F7654C7}">
  <sheetPr codeName="ezchemtech"/>
  <dimension ref="A2:AA31"/>
  <sheetViews>
    <sheetView topLeftCell="B1" workbookViewId="0">
      <selection activeCell="F30" sqref="F30"/>
    </sheetView>
  </sheetViews>
  <sheetFormatPr defaultRowHeight="16.5" x14ac:dyDescent="0.3"/>
  <cols>
    <col min="1" max="1" width="13.75" bestFit="1" customWidth="1"/>
    <col min="2" max="10" width="5.75" customWidth="1"/>
    <col min="11" max="13" width="6.875" customWidth="1"/>
    <col min="14" max="14" width="0.875" customWidth="1"/>
    <col min="15" max="15" width="11.625" bestFit="1" customWidth="1"/>
    <col min="16" max="16" width="12.875" bestFit="1" customWidth="1"/>
    <col min="17" max="20" width="11.375" bestFit="1" customWidth="1"/>
    <col min="21" max="22" width="12.875" bestFit="1" customWidth="1"/>
    <col min="23" max="23" width="11.375" bestFit="1" customWidth="1"/>
    <col min="24" max="24" width="12.875" bestFit="1" customWidth="1"/>
    <col min="25" max="26" width="11.375" bestFit="1" customWidth="1"/>
    <col min="27" max="27" width="12.875" bestFit="1" customWidth="1"/>
  </cols>
  <sheetData>
    <row r="2" spans="1:27" ht="20.25" x14ac:dyDescent="0.3">
      <c r="A2" s="35" t="s">
        <v>15</v>
      </c>
      <c r="B2" s="36"/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36"/>
      <c r="Y2" s="36"/>
      <c r="Z2" s="36"/>
      <c r="AA2" s="36"/>
    </row>
    <row r="3" spans="1:27" x14ac:dyDescent="0.3">
      <c r="A3" s="9" t="s">
        <v>16</v>
      </c>
      <c r="O3" s="8" t="s">
        <v>30</v>
      </c>
    </row>
    <row r="4" spans="1:27" x14ac:dyDescent="0.3">
      <c r="A4" t="s">
        <v>17</v>
      </c>
      <c r="B4" t="s">
        <v>18</v>
      </c>
      <c r="C4" t="s">
        <v>19</v>
      </c>
      <c r="D4" t="s">
        <v>20</v>
      </c>
      <c r="E4" t="s">
        <v>21</v>
      </c>
      <c r="F4" t="s">
        <v>22</v>
      </c>
      <c r="G4" t="s">
        <v>23</v>
      </c>
      <c r="H4" t="s">
        <v>24</v>
      </c>
      <c r="I4" t="s">
        <v>25</v>
      </c>
      <c r="J4" t="s">
        <v>26</v>
      </c>
      <c r="K4" t="s">
        <v>27</v>
      </c>
      <c r="L4" t="s">
        <v>28</v>
      </c>
      <c r="M4" t="s">
        <v>29</v>
      </c>
      <c r="O4" s="14" t="s">
        <v>17</v>
      </c>
      <c r="P4" s="15" t="s">
        <v>18</v>
      </c>
      <c r="Q4" s="15" t="s">
        <v>19</v>
      </c>
      <c r="R4" s="15" t="s">
        <v>20</v>
      </c>
      <c r="S4" s="15" t="s">
        <v>21</v>
      </c>
      <c r="T4" s="15" t="s">
        <v>22</v>
      </c>
      <c r="U4" s="15" t="s">
        <v>23</v>
      </c>
      <c r="V4" s="15" t="s">
        <v>24</v>
      </c>
      <c r="W4" s="15" t="s">
        <v>25</v>
      </c>
      <c r="X4" s="15" t="s">
        <v>26</v>
      </c>
      <c r="Y4" s="15" t="s">
        <v>27</v>
      </c>
      <c r="Z4" s="15" t="s">
        <v>28</v>
      </c>
      <c r="AA4" s="16" t="s">
        <v>29</v>
      </c>
    </row>
    <row r="5" spans="1:27" x14ac:dyDescent="0.3">
      <c r="A5">
        <v>2013</v>
      </c>
      <c r="D5">
        <v>75</v>
      </c>
      <c r="E5">
        <v>70</v>
      </c>
      <c r="F5">
        <v>112</v>
      </c>
      <c r="G5">
        <v>38</v>
      </c>
      <c r="H5">
        <v>47</v>
      </c>
      <c r="I5">
        <v>48</v>
      </c>
      <c r="J5">
        <v>38</v>
      </c>
      <c r="K5">
        <v>52</v>
      </c>
      <c r="L5">
        <v>49</v>
      </c>
      <c r="M5">
        <v>42</v>
      </c>
      <c r="O5">
        <v>2015</v>
      </c>
      <c r="P5" s="7"/>
      <c r="Q5" s="7">
        <v>99664100</v>
      </c>
      <c r="R5" s="7"/>
      <c r="S5" s="7"/>
      <c r="T5" s="7"/>
      <c r="U5" s="7"/>
      <c r="V5" s="7"/>
      <c r="W5" s="7"/>
      <c r="X5" s="7"/>
      <c r="Y5" s="7"/>
      <c r="Z5" s="7"/>
      <c r="AA5" s="7"/>
    </row>
    <row r="6" spans="1:27" x14ac:dyDescent="0.3">
      <c r="A6">
        <v>2014</v>
      </c>
      <c r="B6">
        <v>41</v>
      </c>
      <c r="C6">
        <v>48</v>
      </c>
      <c r="D6">
        <v>49</v>
      </c>
      <c r="E6">
        <v>96</v>
      </c>
      <c r="F6">
        <v>78</v>
      </c>
      <c r="G6">
        <v>107</v>
      </c>
      <c r="H6">
        <v>98</v>
      </c>
      <c r="I6">
        <v>71</v>
      </c>
      <c r="J6">
        <v>71</v>
      </c>
      <c r="K6">
        <v>115</v>
      </c>
      <c r="L6">
        <v>122</v>
      </c>
      <c r="M6">
        <v>155</v>
      </c>
      <c r="O6">
        <v>2016</v>
      </c>
      <c r="P6" s="7">
        <v>116253646</v>
      </c>
      <c r="Q6" s="7">
        <v>98907123</v>
      </c>
      <c r="R6" s="7">
        <v>209399418</v>
      </c>
      <c r="S6" s="7">
        <v>176681545</v>
      </c>
      <c r="T6" s="7">
        <v>233242620</v>
      </c>
      <c r="U6" s="7">
        <v>312517260</v>
      </c>
      <c r="V6" s="7">
        <v>349692334</v>
      </c>
      <c r="W6" s="7">
        <v>268068870</v>
      </c>
      <c r="X6" s="7">
        <v>180947609</v>
      </c>
      <c r="Y6" s="7">
        <v>147922391</v>
      </c>
      <c r="Z6" s="7">
        <v>310478637</v>
      </c>
      <c r="AA6" s="7">
        <v>206165748</v>
      </c>
    </row>
    <row r="7" spans="1:27" x14ac:dyDescent="0.3">
      <c r="A7">
        <v>2015</v>
      </c>
      <c r="B7">
        <v>141</v>
      </c>
      <c r="C7">
        <v>121</v>
      </c>
      <c r="D7">
        <v>150</v>
      </c>
      <c r="E7">
        <v>161</v>
      </c>
      <c r="F7">
        <v>328</v>
      </c>
      <c r="G7">
        <v>167</v>
      </c>
      <c r="H7">
        <v>198</v>
      </c>
      <c r="I7">
        <v>134</v>
      </c>
      <c r="J7">
        <v>157</v>
      </c>
      <c r="K7">
        <v>202</v>
      </c>
      <c r="L7">
        <v>228</v>
      </c>
      <c r="M7">
        <v>179</v>
      </c>
      <c r="O7">
        <v>2017</v>
      </c>
      <c r="P7" s="7">
        <v>440131410</v>
      </c>
      <c r="Q7" s="7">
        <v>302405711</v>
      </c>
      <c r="R7" s="7">
        <v>730146702</v>
      </c>
      <c r="S7" s="7">
        <v>237578190</v>
      </c>
      <c r="T7" s="7">
        <v>177395775</v>
      </c>
      <c r="U7" s="7">
        <v>251228057</v>
      </c>
      <c r="V7" s="7">
        <v>446075729</v>
      </c>
      <c r="W7" s="7">
        <v>275607046</v>
      </c>
      <c r="X7" s="7">
        <v>318648613</v>
      </c>
      <c r="Y7" s="7">
        <v>235130473</v>
      </c>
      <c r="Z7" s="7">
        <v>420412209</v>
      </c>
      <c r="AA7" s="7">
        <v>888712970</v>
      </c>
    </row>
    <row r="8" spans="1:27" x14ac:dyDescent="0.3">
      <c r="A8">
        <v>2016</v>
      </c>
      <c r="B8">
        <v>214</v>
      </c>
      <c r="C8">
        <v>180</v>
      </c>
      <c r="D8">
        <v>340</v>
      </c>
      <c r="E8">
        <v>297</v>
      </c>
      <c r="F8">
        <v>295</v>
      </c>
      <c r="G8">
        <v>256</v>
      </c>
      <c r="H8">
        <v>314</v>
      </c>
      <c r="I8">
        <v>264</v>
      </c>
      <c r="J8">
        <v>264</v>
      </c>
      <c r="K8">
        <v>227</v>
      </c>
      <c r="L8">
        <v>332</v>
      </c>
      <c r="M8">
        <v>303</v>
      </c>
      <c r="O8">
        <v>2018</v>
      </c>
      <c r="P8" s="7">
        <v>303810173</v>
      </c>
      <c r="Q8" s="7">
        <v>282033176</v>
      </c>
      <c r="R8" s="7">
        <v>467558079</v>
      </c>
      <c r="S8" s="7">
        <v>291935930</v>
      </c>
      <c r="T8" s="7">
        <v>257078128</v>
      </c>
      <c r="U8" s="7">
        <v>1112068480</v>
      </c>
      <c r="V8" s="7">
        <v>362365521</v>
      </c>
      <c r="W8" s="7">
        <v>407775733</v>
      </c>
      <c r="X8" s="7">
        <v>236884304</v>
      </c>
      <c r="Y8" s="7">
        <v>446265330</v>
      </c>
      <c r="Z8" s="7">
        <v>400732733</v>
      </c>
      <c r="AA8" s="7">
        <v>207370927</v>
      </c>
    </row>
    <row r="9" spans="1:27" x14ac:dyDescent="0.3">
      <c r="A9">
        <v>2017</v>
      </c>
      <c r="B9">
        <v>366</v>
      </c>
      <c r="C9">
        <v>305</v>
      </c>
      <c r="D9">
        <v>373</v>
      </c>
      <c r="E9">
        <v>337</v>
      </c>
      <c r="F9">
        <v>308</v>
      </c>
      <c r="G9">
        <v>380</v>
      </c>
      <c r="H9">
        <v>348</v>
      </c>
      <c r="I9">
        <v>365</v>
      </c>
      <c r="J9">
        <v>366</v>
      </c>
      <c r="K9">
        <v>361</v>
      </c>
      <c r="L9">
        <v>508</v>
      </c>
      <c r="M9">
        <v>338</v>
      </c>
      <c r="O9">
        <v>2019</v>
      </c>
      <c r="P9" s="7">
        <v>443044817</v>
      </c>
      <c r="Q9" s="7">
        <v>186288417</v>
      </c>
      <c r="R9" s="7">
        <v>356002857</v>
      </c>
      <c r="S9" s="7">
        <v>633741000</v>
      </c>
      <c r="T9" s="7">
        <v>387761871</v>
      </c>
      <c r="U9" s="7">
        <v>350216996</v>
      </c>
      <c r="V9" s="7">
        <v>544263750</v>
      </c>
      <c r="W9" s="7">
        <v>715737630</v>
      </c>
      <c r="X9" s="7">
        <v>1231880684</v>
      </c>
      <c r="Y9" s="7">
        <v>441080447</v>
      </c>
      <c r="Z9" s="7">
        <v>428505116</v>
      </c>
      <c r="AA9" s="7">
        <v>611521183</v>
      </c>
    </row>
    <row r="10" spans="1:27" x14ac:dyDescent="0.3">
      <c r="A10">
        <v>2018</v>
      </c>
      <c r="B10">
        <v>576</v>
      </c>
      <c r="C10">
        <v>424</v>
      </c>
      <c r="D10">
        <v>637</v>
      </c>
      <c r="E10">
        <v>452</v>
      </c>
      <c r="F10">
        <v>420</v>
      </c>
      <c r="G10">
        <v>478</v>
      </c>
      <c r="H10">
        <v>492</v>
      </c>
      <c r="I10">
        <v>530</v>
      </c>
      <c r="J10">
        <v>382</v>
      </c>
      <c r="K10">
        <v>516</v>
      </c>
      <c r="L10">
        <v>558</v>
      </c>
      <c r="M10">
        <v>369</v>
      </c>
      <c r="O10">
        <v>2020</v>
      </c>
      <c r="P10" s="7">
        <v>579996191</v>
      </c>
      <c r="Q10" s="7">
        <v>528495930</v>
      </c>
      <c r="R10" s="7">
        <v>620104046</v>
      </c>
      <c r="S10" s="7">
        <v>997191958</v>
      </c>
      <c r="T10" s="7">
        <v>538657922</v>
      </c>
      <c r="U10" s="7">
        <v>703729141</v>
      </c>
      <c r="V10" s="7">
        <v>823035257</v>
      </c>
      <c r="W10" s="7">
        <v>364947416</v>
      </c>
      <c r="X10" s="7">
        <v>793730154</v>
      </c>
      <c r="Y10" s="7">
        <v>504605674</v>
      </c>
      <c r="Z10" s="7">
        <v>471476969</v>
      </c>
      <c r="AA10" s="7">
        <v>408611490</v>
      </c>
    </row>
    <row r="11" spans="1:27" x14ac:dyDescent="0.3">
      <c r="A11">
        <v>2019</v>
      </c>
      <c r="B11">
        <v>574</v>
      </c>
      <c r="C11">
        <v>384</v>
      </c>
      <c r="D11">
        <v>534</v>
      </c>
      <c r="E11">
        <v>597</v>
      </c>
      <c r="F11">
        <v>664</v>
      </c>
      <c r="G11">
        <v>597</v>
      </c>
      <c r="H11">
        <v>845</v>
      </c>
      <c r="I11">
        <v>702</v>
      </c>
      <c r="J11">
        <v>666</v>
      </c>
      <c r="K11">
        <v>613</v>
      </c>
      <c r="L11">
        <v>664</v>
      </c>
      <c r="M11">
        <v>610</v>
      </c>
      <c r="O11">
        <v>2021</v>
      </c>
      <c r="P11" s="7">
        <v>1059165232</v>
      </c>
      <c r="Q11" s="7">
        <v>421924378</v>
      </c>
      <c r="R11" s="7">
        <v>612478886</v>
      </c>
      <c r="S11" s="7">
        <v>706833656</v>
      </c>
      <c r="T11" s="7">
        <v>394626235</v>
      </c>
      <c r="U11" s="7">
        <v>510571519</v>
      </c>
      <c r="V11" s="7">
        <v>642101988</v>
      </c>
      <c r="W11" s="7">
        <v>428441825</v>
      </c>
      <c r="X11" s="7">
        <v>407296119</v>
      </c>
      <c r="Y11" s="7">
        <v>470779825</v>
      </c>
      <c r="Z11" s="7">
        <v>811485822</v>
      </c>
      <c r="AA11" s="7">
        <v>566389342</v>
      </c>
    </row>
    <row r="12" spans="1:27" x14ac:dyDescent="0.3">
      <c r="A12">
        <v>2020</v>
      </c>
      <c r="B12">
        <v>653</v>
      </c>
      <c r="C12">
        <v>846</v>
      </c>
      <c r="D12">
        <v>963</v>
      </c>
      <c r="E12">
        <v>824</v>
      </c>
      <c r="F12">
        <v>799</v>
      </c>
      <c r="G12">
        <v>969</v>
      </c>
      <c r="H12">
        <v>1023</v>
      </c>
      <c r="I12">
        <v>689</v>
      </c>
      <c r="J12">
        <v>878</v>
      </c>
      <c r="K12">
        <v>581</v>
      </c>
      <c r="L12">
        <v>874</v>
      </c>
      <c r="M12">
        <v>729</v>
      </c>
      <c r="O12">
        <v>2022</v>
      </c>
      <c r="P12" s="7">
        <v>481043739</v>
      </c>
      <c r="Q12" s="7">
        <v>535155379</v>
      </c>
      <c r="R12" s="7">
        <v>467062832</v>
      </c>
      <c r="S12" s="7">
        <v>567036959</v>
      </c>
      <c r="T12" s="7">
        <v>721431630</v>
      </c>
      <c r="U12" s="7">
        <v>533081106</v>
      </c>
      <c r="V12" s="7">
        <v>507519560</v>
      </c>
      <c r="W12" s="7">
        <v>543770381</v>
      </c>
      <c r="X12" s="7">
        <v>556713645</v>
      </c>
      <c r="Y12" s="7">
        <v>518447582</v>
      </c>
      <c r="Z12" s="7">
        <v>594529653</v>
      </c>
      <c r="AA12" s="7">
        <v>433856051</v>
      </c>
    </row>
    <row r="13" spans="1:27" x14ac:dyDescent="0.3">
      <c r="A13">
        <v>2021</v>
      </c>
      <c r="B13">
        <v>740</v>
      </c>
      <c r="C13">
        <v>689</v>
      </c>
      <c r="D13">
        <v>932</v>
      </c>
      <c r="E13">
        <v>867</v>
      </c>
      <c r="F13">
        <v>700</v>
      </c>
      <c r="G13">
        <v>791</v>
      </c>
      <c r="H13">
        <v>930</v>
      </c>
      <c r="I13">
        <v>754</v>
      </c>
      <c r="J13">
        <v>734</v>
      </c>
      <c r="K13">
        <v>766</v>
      </c>
      <c r="L13">
        <v>870</v>
      </c>
      <c r="M13">
        <v>809</v>
      </c>
      <c r="O13">
        <v>2023</v>
      </c>
      <c r="P13" s="7">
        <v>885811589</v>
      </c>
      <c r="Q13" s="7">
        <v>536121120</v>
      </c>
      <c r="R13" s="7">
        <v>487034972</v>
      </c>
      <c r="S13" s="7">
        <v>478651614</v>
      </c>
      <c r="T13" s="7">
        <v>396705312</v>
      </c>
      <c r="U13" s="7">
        <v>427114018</v>
      </c>
      <c r="V13" s="7">
        <v>492924371</v>
      </c>
      <c r="W13" s="7">
        <v>530109588</v>
      </c>
      <c r="X13" s="7">
        <v>483805581</v>
      </c>
      <c r="Y13" s="7">
        <v>410432262</v>
      </c>
      <c r="Z13" s="7">
        <v>469240484</v>
      </c>
      <c r="AA13" s="7">
        <v>361985809</v>
      </c>
    </row>
    <row r="14" spans="1:27" x14ac:dyDescent="0.3">
      <c r="A14">
        <v>2022</v>
      </c>
      <c r="B14">
        <v>806</v>
      </c>
      <c r="C14">
        <v>866</v>
      </c>
      <c r="D14">
        <v>905</v>
      </c>
      <c r="E14">
        <v>963</v>
      </c>
      <c r="F14">
        <v>1091</v>
      </c>
      <c r="G14">
        <v>911</v>
      </c>
      <c r="H14">
        <v>897</v>
      </c>
      <c r="I14">
        <v>1007</v>
      </c>
      <c r="J14">
        <v>900</v>
      </c>
      <c r="K14">
        <v>803</v>
      </c>
      <c r="L14">
        <v>1041</v>
      </c>
      <c r="M14">
        <v>813</v>
      </c>
      <c r="O14">
        <v>2024</v>
      </c>
      <c r="P14" s="7">
        <v>415240125</v>
      </c>
      <c r="Q14" s="7">
        <v>457904215</v>
      </c>
      <c r="R14" s="7">
        <v>236624600</v>
      </c>
      <c r="S14" s="7"/>
      <c r="T14" s="7"/>
      <c r="U14" s="7"/>
      <c r="V14" s="7"/>
      <c r="W14" s="7"/>
      <c r="X14" s="7"/>
      <c r="Y14" s="7"/>
      <c r="Z14" s="7"/>
      <c r="AA14" s="7"/>
    </row>
    <row r="15" spans="1:27" x14ac:dyDescent="0.3">
      <c r="A15">
        <v>2023</v>
      </c>
      <c r="B15">
        <v>852</v>
      </c>
      <c r="C15">
        <v>914</v>
      </c>
      <c r="D15">
        <v>970</v>
      </c>
      <c r="E15">
        <v>808</v>
      </c>
      <c r="F15">
        <v>772</v>
      </c>
      <c r="G15">
        <v>800</v>
      </c>
      <c r="H15">
        <v>974</v>
      </c>
      <c r="I15">
        <v>916</v>
      </c>
      <c r="J15">
        <v>855</v>
      </c>
      <c r="K15">
        <v>800</v>
      </c>
      <c r="L15">
        <v>935</v>
      </c>
      <c r="M15">
        <v>810</v>
      </c>
    </row>
    <row r="16" spans="1:27" x14ac:dyDescent="0.3">
      <c r="A16">
        <v>2024</v>
      </c>
      <c r="B16">
        <v>924</v>
      </c>
      <c r="C16">
        <v>845</v>
      </c>
      <c r="D16">
        <v>388</v>
      </c>
    </row>
    <row r="22" spans="15:27" x14ac:dyDescent="0.3">
      <c r="O22" s="8" t="s">
        <v>31</v>
      </c>
    </row>
    <row r="23" spans="15:27" x14ac:dyDescent="0.3">
      <c r="O23" s="15" t="s">
        <v>17</v>
      </c>
      <c r="P23" s="15" t="s">
        <v>18</v>
      </c>
      <c r="Q23" s="15" t="s">
        <v>19</v>
      </c>
      <c r="R23" s="15" t="s">
        <v>20</v>
      </c>
      <c r="S23" s="15" t="s">
        <v>21</v>
      </c>
      <c r="T23" s="15" t="s">
        <v>22</v>
      </c>
      <c r="U23" s="15" t="s">
        <v>23</v>
      </c>
      <c r="V23" s="15" t="s">
        <v>24</v>
      </c>
      <c r="W23" s="15" t="s">
        <v>25</v>
      </c>
      <c r="X23" s="15" t="s">
        <v>26</v>
      </c>
      <c r="Y23" s="15" t="s">
        <v>27</v>
      </c>
      <c r="Z23" s="15" t="s">
        <v>28</v>
      </c>
      <c r="AA23" s="15" t="s">
        <v>29</v>
      </c>
    </row>
    <row r="24" spans="15:27" x14ac:dyDescent="0.3">
      <c r="O24" s="10">
        <v>2017</v>
      </c>
      <c r="P24" s="11"/>
      <c r="Q24" s="11"/>
      <c r="R24" s="11"/>
      <c r="S24" s="11"/>
      <c r="T24" s="11"/>
      <c r="U24" s="11"/>
      <c r="V24" s="11"/>
      <c r="W24" s="11"/>
      <c r="X24" s="11">
        <v>2400510</v>
      </c>
      <c r="Y24" s="11"/>
      <c r="Z24" s="11"/>
      <c r="AA24" s="11">
        <v>239452823</v>
      </c>
    </row>
    <row r="25" spans="15:27" x14ac:dyDescent="0.3">
      <c r="O25" s="10">
        <v>2018</v>
      </c>
      <c r="P25" s="11">
        <v>113768947</v>
      </c>
      <c r="Q25" s="11">
        <v>311307231</v>
      </c>
      <c r="R25" s="11">
        <v>211456948</v>
      </c>
      <c r="S25" s="11">
        <v>159079198</v>
      </c>
      <c r="T25" s="11">
        <v>190757869</v>
      </c>
      <c r="U25" s="11">
        <v>226168388</v>
      </c>
      <c r="V25" s="11">
        <v>220689851</v>
      </c>
      <c r="W25" s="11">
        <v>167490779</v>
      </c>
      <c r="X25" s="11">
        <v>221931341</v>
      </c>
      <c r="Y25" s="11">
        <v>721543955</v>
      </c>
      <c r="Z25" s="11">
        <v>243046377</v>
      </c>
      <c r="AA25" s="11">
        <v>281945096</v>
      </c>
    </row>
    <row r="26" spans="15:27" x14ac:dyDescent="0.3">
      <c r="O26" s="12">
        <v>2019</v>
      </c>
      <c r="P26" s="13">
        <v>211565596</v>
      </c>
      <c r="Q26" s="13">
        <v>204338491</v>
      </c>
      <c r="R26" s="13">
        <v>196191746</v>
      </c>
      <c r="S26" s="13">
        <v>236318326</v>
      </c>
      <c r="T26" s="13">
        <v>313555379</v>
      </c>
      <c r="U26" s="13">
        <v>261616466</v>
      </c>
      <c r="V26" s="13">
        <v>475090902</v>
      </c>
      <c r="W26" s="13">
        <v>307134631</v>
      </c>
      <c r="X26" s="13">
        <v>378155573</v>
      </c>
      <c r="Y26" s="13">
        <v>336821498</v>
      </c>
      <c r="Z26" s="13">
        <v>299875703</v>
      </c>
      <c r="AA26" s="13">
        <v>541044546</v>
      </c>
    </row>
    <row r="27" spans="15:27" x14ac:dyDescent="0.3">
      <c r="O27" s="12">
        <v>2020</v>
      </c>
      <c r="P27" s="13">
        <v>404301668</v>
      </c>
      <c r="Q27" s="13">
        <v>532482626</v>
      </c>
      <c r="R27" s="13">
        <v>275794583</v>
      </c>
      <c r="S27" s="13">
        <v>516544313</v>
      </c>
      <c r="T27" s="13">
        <v>285738043</v>
      </c>
      <c r="U27" s="13">
        <v>242056223</v>
      </c>
      <c r="V27" s="13">
        <v>529030509</v>
      </c>
      <c r="W27" s="13">
        <v>904792467</v>
      </c>
      <c r="X27" s="13">
        <v>342956772</v>
      </c>
      <c r="Y27" s="13">
        <v>664151808</v>
      </c>
      <c r="Z27" s="13">
        <v>505377509</v>
      </c>
      <c r="AA27" s="13">
        <v>999711582</v>
      </c>
    </row>
    <row r="28" spans="15:27" x14ac:dyDescent="0.3">
      <c r="O28" s="12">
        <v>2021</v>
      </c>
      <c r="P28" s="13">
        <v>256032248</v>
      </c>
      <c r="Q28" s="13">
        <v>629097347</v>
      </c>
      <c r="R28" s="13">
        <v>671490543</v>
      </c>
      <c r="S28" s="13">
        <v>637642829</v>
      </c>
      <c r="T28" s="13">
        <v>260867356</v>
      </c>
      <c r="U28" s="13">
        <v>661636070</v>
      </c>
      <c r="V28" s="13">
        <v>1652903182</v>
      </c>
      <c r="W28" s="13">
        <v>341711258</v>
      </c>
      <c r="X28" s="13">
        <v>766547481</v>
      </c>
      <c r="Y28" s="13">
        <v>354511766</v>
      </c>
      <c r="Z28" s="13">
        <v>793763632</v>
      </c>
      <c r="AA28" s="13">
        <v>555133634</v>
      </c>
    </row>
    <row r="29" spans="15:27" ht="17.25" customHeight="1" x14ac:dyDescent="0.3">
      <c r="O29" s="12">
        <v>2022</v>
      </c>
      <c r="P29" s="13">
        <v>747778063</v>
      </c>
      <c r="Q29" s="13">
        <v>737259604</v>
      </c>
      <c r="R29" s="13">
        <v>256138833</v>
      </c>
      <c r="S29" s="13">
        <v>455856355</v>
      </c>
      <c r="T29" s="13">
        <v>406371682</v>
      </c>
      <c r="U29" s="13">
        <v>383031211</v>
      </c>
      <c r="V29" s="13">
        <v>310997922</v>
      </c>
      <c r="W29" s="13">
        <v>404756647</v>
      </c>
      <c r="X29" s="13">
        <v>525627742</v>
      </c>
      <c r="Y29" s="13">
        <v>307601701</v>
      </c>
      <c r="Z29" s="13">
        <v>378028752</v>
      </c>
      <c r="AA29" s="13">
        <v>394547647</v>
      </c>
    </row>
    <row r="30" spans="15:27" x14ac:dyDescent="0.3">
      <c r="O30" s="10">
        <v>2023</v>
      </c>
      <c r="P30" s="11">
        <v>289658773</v>
      </c>
      <c r="Q30" s="11">
        <v>325081220</v>
      </c>
      <c r="R30" s="11">
        <v>280483800</v>
      </c>
      <c r="S30" s="11">
        <v>270256897</v>
      </c>
      <c r="T30" s="11">
        <v>235013307</v>
      </c>
      <c r="U30" s="11">
        <v>573102518</v>
      </c>
      <c r="V30" s="11">
        <v>220342104</v>
      </c>
      <c r="W30" s="11">
        <v>364375022</v>
      </c>
      <c r="X30" s="11">
        <v>363130806</v>
      </c>
      <c r="Y30" s="11">
        <v>269311282</v>
      </c>
      <c r="Z30" s="11">
        <v>222909242</v>
      </c>
      <c r="AA30" s="11">
        <v>260332172</v>
      </c>
    </row>
    <row r="31" spans="15:27" x14ac:dyDescent="0.3">
      <c r="O31" s="12">
        <v>2024</v>
      </c>
      <c r="P31" s="13">
        <v>219537205</v>
      </c>
      <c r="Q31" s="13">
        <v>249230563</v>
      </c>
      <c r="R31" s="13">
        <v>128570673</v>
      </c>
      <c r="S31" s="13"/>
      <c r="T31" s="13"/>
      <c r="U31" s="13"/>
      <c r="V31" s="13"/>
      <c r="W31" s="13"/>
      <c r="X31" s="13"/>
      <c r="Y31" s="13"/>
      <c r="Z31" s="13"/>
      <c r="AA31" s="13"/>
    </row>
  </sheetData>
  <mergeCells count="1">
    <mergeCell ref="A2:AA2"/>
  </mergeCells>
  <phoneticPr fontId="1" type="noConversion"/>
  <pageMargins left="0.7" right="0.7" top="0.75" bottom="0.75" header="0.3" footer="0.3"/>
  <drawing r:id="rId1"/>
  <tableParts count="3"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708BB0-818F-4A62-B496-17EC2EF2CB4A}">
  <sheetPr codeName="ezchemtech_account"/>
  <dimension ref="A3:H2660"/>
  <sheetViews>
    <sheetView tabSelected="1" topLeftCell="B10" workbookViewId="0">
      <selection activeCell="E11" sqref="E11"/>
    </sheetView>
  </sheetViews>
  <sheetFormatPr defaultRowHeight="16.5" x14ac:dyDescent="0.3"/>
  <cols>
    <col min="1" max="1" width="29" style="22" customWidth="1"/>
    <col min="2" max="2" width="26.875" style="7" customWidth="1"/>
    <col min="3" max="3" width="25.25" style="18" customWidth="1"/>
    <col min="4" max="4" width="44" customWidth="1"/>
    <col min="5" max="5" width="27.125" style="32" customWidth="1"/>
    <col min="6" max="6" width="21.625" style="32" customWidth="1"/>
    <col min="7" max="7" width="28.875" style="32" customWidth="1"/>
    <col min="8" max="8" width="51.875" customWidth="1"/>
  </cols>
  <sheetData>
    <row r="3" spans="1:5" x14ac:dyDescent="0.3">
      <c r="A3" s="27" t="s">
        <v>32</v>
      </c>
      <c r="D3" s="28" t="s">
        <v>1065</v>
      </c>
    </row>
    <row r="4" spans="1:5" x14ac:dyDescent="0.3">
      <c r="A4" s="21" t="s">
        <v>33</v>
      </c>
      <c r="B4" s="20" t="s">
        <v>34</v>
      </c>
      <c r="C4" s="19" t="s">
        <v>35</v>
      </c>
      <c r="D4" s="17" t="s">
        <v>36</v>
      </c>
      <c r="E4" s="33" t="s">
        <v>37</v>
      </c>
    </row>
    <row r="5" spans="1:5" x14ac:dyDescent="0.3">
      <c r="A5" s="22">
        <v>93300246921001</v>
      </c>
      <c r="B5" s="7">
        <v>0</v>
      </c>
      <c r="C5" s="18">
        <v>45259.37872685185</v>
      </c>
      <c r="D5" t="s">
        <v>38</v>
      </c>
      <c r="E5" s="34">
        <f>SUM(표5[잔액])</f>
        <v>445296956</v>
      </c>
    </row>
    <row r="6" spans="1:5" x14ac:dyDescent="0.3">
      <c r="A6" s="23">
        <v>63230104134613</v>
      </c>
      <c r="B6" s="24">
        <v>53406313</v>
      </c>
      <c r="C6" s="25">
        <v>45364.711111111108</v>
      </c>
      <c r="D6" s="26" t="s">
        <v>290</v>
      </c>
    </row>
    <row r="7" spans="1:5" x14ac:dyDescent="0.3">
      <c r="A7" s="22">
        <v>3010186198661</v>
      </c>
      <c r="B7" s="7">
        <v>492603</v>
      </c>
      <c r="C7" s="18">
        <v>45102.440879629627</v>
      </c>
      <c r="D7" t="s">
        <v>39</v>
      </c>
    </row>
    <row r="8" spans="1:5" x14ac:dyDescent="0.3">
      <c r="A8" s="23">
        <v>33789004537804</v>
      </c>
      <c r="B8" s="24">
        <v>18896954</v>
      </c>
      <c r="C8" s="25">
        <v>45356.558333333334</v>
      </c>
      <c r="D8" s="26" t="s">
        <v>92</v>
      </c>
      <c r="E8" s="32" t="s">
        <v>1066</v>
      </c>
    </row>
    <row r="9" spans="1:5" x14ac:dyDescent="0.3">
      <c r="A9" s="22">
        <v>100028877450</v>
      </c>
      <c r="B9" s="7">
        <v>35279317</v>
      </c>
      <c r="C9" s="18">
        <v>45364.459722222222</v>
      </c>
      <c r="D9" t="s">
        <v>40</v>
      </c>
    </row>
    <row r="10" spans="1:5" x14ac:dyDescent="0.3">
      <c r="A10" s="22">
        <v>18191000790504</v>
      </c>
      <c r="B10" s="7">
        <v>129718</v>
      </c>
      <c r="C10" s="18">
        <v>45185.241620370369</v>
      </c>
      <c r="D10" t="s">
        <v>41</v>
      </c>
    </row>
    <row r="11" spans="1:5" x14ac:dyDescent="0.3">
      <c r="A11" s="22">
        <v>93300246913005</v>
      </c>
      <c r="B11" s="7">
        <v>0</v>
      </c>
      <c r="C11" s="18">
        <v>45274.358865740738</v>
      </c>
      <c r="D11" t="s">
        <v>38</v>
      </c>
    </row>
    <row r="12" spans="1:5" x14ac:dyDescent="0.3">
      <c r="A12" s="23">
        <v>93300246901019</v>
      </c>
      <c r="B12" s="24">
        <v>137088892</v>
      </c>
      <c r="C12" s="25">
        <v>45364.617361111108</v>
      </c>
      <c r="D12" s="26" t="s">
        <v>133</v>
      </c>
    </row>
    <row r="13" spans="1:5" x14ac:dyDescent="0.3">
      <c r="A13" s="22">
        <v>649715187088501</v>
      </c>
      <c r="B13" s="7">
        <v>100000000</v>
      </c>
      <c r="C13" s="18">
        <v>45273.473611111112</v>
      </c>
      <c r="D13" t="s">
        <v>42</v>
      </c>
    </row>
    <row r="14" spans="1:5" x14ac:dyDescent="0.3">
      <c r="A14" s="22">
        <v>69300100058844</v>
      </c>
      <c r="B14" s="7">
        <v>0</v>
      </c>
      <c r="C14" s="18">
        <v>44964.583333333336</v>
      </c>
      <c r="D14" t="s">
        <v>43</v>
      </c>
    </row>
    <row r="15" spans="1:5" x14ac:dyDescent="0.3">
      <c r="A15" s="22">
        <v>649715187086701</v>
      </c>
      <c r="B15" s="7">
        <v>0</v>
      </c>
      <c r="C15" s="18">
        <v>45068.359027777777</v>
      </c>
      <c r="D15" t="s">
        <v>44</v>
      </c>
    </row>
    <row r="16" spans="1:5" x14ac:dyDescent="0.3">
      <c r="A16" s="22">
        <v>6497151888073</v>
      </c>
      <c r="B16" s="7">
        <v>100000000</v>
      </c>
      <c r="C16" s="18">
        <v>45273.477083333331</v>
      </c>
      <c r="D16" t="s">
        <v>42</v>
      </c>
    </row>
    <row r="17" spans="1:8" x14ac:dyDescent="0.3">
      <c r="A17" s="22">
        <v>42791000554604</v>
      </c>
      <c r="B17" s="7">
        <v>2494</v>
      </c>
      <c r="C17" s="18">
        <v>44184.224224537036</v>
      </c>
      <c r="D17" t="s">
        <v>45</v>
      </c>
    </row>
    <row r="18" spans="1:8" x14ac:dyDescent="0.3">
      <c r="A18" s="22">
        <v>1005503989853</v>
      </c>
      <c r="B18" s="7">
        <v>645</v>
      </c>
      <c r="C18" s="18">
        <v>45335.595358796294</v>
      </c>
      <c r="D18" t="s">
        <v>46</v>
      </c>
    </row>
    <row r="19" spans="1:8" x14ac:dyDescent="0.3">
      <c r="A19" s="22">
        <v>93300246901026</v>
      </c>
      <c r="B19" s="7">
        <v>20</v>
      </c>
      <c r="C19" s="18">
        <v>44906.53806712963</v>
      </c>
      <c r="D19" t="s">
        <v>47</v>
      </c>
    </row>
    <row r="21" spans="1:8" x14ac:dyDescent="0.3">
      <c r="B21" s="58" t="s">
        <v>1064</v>
      </c>
    </row>
    <row r="22" spans="1:8" x14ac:dyDescent="0.3">
      <c r="A22" s="27" t="s">
        <v>96</v>
      </c>
      <c r="B22" s="29">
        <v>63230104134613</v>
      </c>
      <c r="C22" s="30" t="s">
        <v>102</v>
      </c>
      <c r="E22" s="32">
        <f>SUBTOTAL(9,표6[입금액])</f>
        <v>22290400</v>
      </c>
      <c r="F22" s="32">
        <f>SUBTOTAL(9,표6[출금액])</f>
        <v>93628370</v>
      </c>
      <c r="G22" s="32">
        <f>E22-F22</f>
        <v>-71337970</v>
      </c>
    </row>
    <row r="23" spans="1:8" x14ac:dyDescent="0.3">
      <c r="A23" s="22" t="s">
        <v>97</v>
      </c>
      <c r="B23" s="7" t="s">
        <v>35</v>
      </c>
      <c r="C23" s="18" t="s">
        <v>98</v>
      </c>
      <c r="D23" t="s">
        <v>99</v>
      </c>
      <c r="E23" s="32" t="s">
        <v>100</v>
      </c>
      <c r="F23" s="32" t="s">
        <v>101</v>
      </c>
      <c r="G23" s="32" t="s">
        <v>34</v>
      </c>
      <c r="H23" t="s">
        <v>36</v>
      </c>
    </row>
    <row r="24" spans="1:8" x14ac:dyDescent="0.3">
      <c r="A24" s="28">
        <v>16162</v>
      </c>
      <c r="B24" s="31">
        <v>45355.398611111108</v>
      </c>
      <c r="C24" s="18">
        <v>45355</v>
      </c>
      <c r="D24" t="s">
        <v>104</v>
      </c>
      <c r="E24" s="32">
        <v>0</v>
      </c>
      <c r="F24" s="32">
        <v>39894900</v>
      </c>
      <c r="G24" s="32">
        <v>168531962</v>
      </c>
      <c r="H24" t="s">
        <v>108</v>
      </c>
    </row>
    <row r="25" spans="1:8" x14ac:dyDescent="0.3">
      <c r="A25" s="28">
        <v>16195</v>
      </c>
      <c r="B25" s="31">
        <v>45362.413194444445</v>
      </c>
      <c r="C25" s="18">
        <v>45362</v>
      </c>
      <c r="D25" t="s">
        <v>104</v>
      </c>
      <c r="E25" s="32">
        <v>0</v>
      </c>
      <c r="F25" s="32">
        <v>39480300</v>
      </c>
      <c r="G25" s="32">
        <v>125997602</v>
      </c>
      <c r="H25" t="s">
        <v>108</v>
      </c>
    </row>
    <row r="26" spans="1:8" x14ac:dyDescent="0.3">
      <c r="A26" s="28">
        <v>16201</v>
      </c>
      <c r="B26" s="31">
        <v>45362.759027777778</v>
      </c>
      <c r="C26" s="18">
        <v>45362</v>
      </c>
      <c r="D26" t="s">
        <v>104</v>
      </c>
      <c r="E26" s="32">
        <v>0</v>
      </c>
      <c r="F26" s="32">
        <v>4706680</v>
      </c>
      <c r="G26" s="32">
        <v>121290922</v>
      </c>
      <c r="H26" t="s">
        <v>107</v>
      </c>
    </row>
    <row r="27" spans="1:8" x14ac:dyDescent="0.3">
      <c r="A27" s="28">
        <v>16202</v>
      </c>
      <c r="B27" s="31">
        <v>45362.762499999997</v>
      </c>
      <c r="C27" s="18">
        <v>45362</v>
      </c>
      <c r="D27" t="s">
        <v>104</v>
      </c>
      <c r="E27" s="32">
        <v>0</v>
      </c>
      <c r="F27" s="32">
        <v>4186940</v>
      </c>
      <c r="G27" s="32">
        <v>117103982</v>
      </c>
      <c r="H27" t="s">
        <v>106</v>
      </c>
    </row>
    <row r="28" spans="1:8" x14ac:dyDescent="0.3">
      <c r="A28" s="28">
        <v>16163</v>
      </c>
      <c r="B28" s="31">
        <v>45355.438194444447</v>
      </c>
      <c r="C28" s="18">
        <v>45355</v>
      </c>
      <c r="D28" t="s">
        <v>104</v>
      </c>
      <c r="E28" s="32">
        <v>0</v>
      </c>
      <c r="F28" s="32">
        <v>3871550</v>
      </c>
      <c r="G28" s="32">
        <v>164660412</v>
      </c>
      <c r="H28" t="s">
        <v>112</v>
      </c>
    </row>
    <row r="29" spans="1:8" x14ac:dyDescent="0.3">
      <c r="A29" s="28">
        <v>16204</v>
      </c>
      <c r="B29" s="31">
        <v>45362.768055555556</v>
      </c>
      <c r="C29" s="18">
        <v>45362</v>
      </c>
      <c r="D29" t="s">
        <v>104</v>
      </c>
      <c r="E29" s="32">
        <v>0</v>
      </c>
      <c r="F29" s="32">
        <v>788050</v>
      </c>
      <c r="G29" s="32">
        <v>115961192</v>
      </c>
      <c r="H29" t="s">
        <v>93</v>
      </c>
    </row>
    <row r="30" spans="1:8" x14ac:dyDescent="0.3">
      <c r="A30" s="28">
        <v>16203</v>
      </c>
      <c r="B30" s="31">
        <v>45362.765972222223</v>
      </c>
      <c r="C30" s="18">
        <v>45362</v>
      </c>
      <c r="D30" t="s">
        <v>104</v>
      </c>
      <c r="E30" s="32">
        <v>0</v>
      </c>
      <c r="F30" s="32">
        <v>354740</v>
      </c>
      <c r="G30" s="32">
        <v>116749242</v>
      </c>
      <c r="H30" t="s">
        <v>105</v>
      </c>
    </row>
    <row r="31" spans="1:8" x14ac:dyDescent="0.3">
      <c r="A31" s="28">
        <v>16176</v>
      </c>
      <c r="B31" s="31">
        <v>45356.758333333331</v>
      </c>
      <c r="C31" s="18">
        <v>45356</v>
      </c>
      <c r="D31" t="s">
        <v>104</v>
      </c>
      <c r="E31" s="32">
        <v>0</v>
      </c>
      <c r="F31" s="32">
        <v>240000</v>
      </c>
      <c r="G31" s="32">
        <v>165477902</v>
      </c>
      <c r="H31" t="s">
        <v>109</v>
      </c>
    </row>
    <row r="32" spans="1:8" x14ac:dyDescent="0.3">
      <c r="A32" s="28">
        <v>16169</v>
      </c>
      <c r="B32" s="31">
        <v>45356.443749999999</v>
      </c>
      <c r="C32" s="18">
        <v>45356</v>
      </c>
      <c r="D32" t="s">
        <v>104</v>
      </c>
      <c r="E32" s="32">
        <v>0</v>
      </c>
      <c r="F32" s="32">
        <v>105210</v>
      </c>
      <c r="G32" s="32">
        <v>164555202</v>
      </c>
      <c r="H32" t="s">
        <v>111</v>
      </c>
    </row>
    <row r="33" spans="1:8" x14ac:dyDescent="0.3">
      <c r="A33" s="28">
        <v>16217</v>
      </c>
      <c r="B33" s="31">
        <v>45364.617361111108</v>
      </c>
      <c r="C33" s="18">
        <v>45364</v>
      </c>
      <c r="D33" t="s">
        <v>103</v>
      </c>
      <c r="E33" s="32">
        <v>469700</v>
      </c>
      <c r="F33" s="32">
        <v>0</v>
      </c>
      <c r="G33" s="32">
        <v>137088892</v>
      </c>
      <c r="H33" t="s">
        <v>133</v>
      </c>
    </row>
    <row r="34" spans="1:8" x14ac:dyDescent="0.3">
      <c r="A34" s="28">
        <v>16216</v>
      </c>
      <c r="B34" s="31">
        <v>45364.616666666669</v>
      </c>
      <c r="C34" s="18">
        <v>45364</v>
      </c>
      <c r="D34" t="s">
        <v>103</v>
      </c>
      <c r="E34" s="32">
        <v>876700</v>
      </c>
      <c r="F34" s="32">
        <v>0</v>
      </c>
      <c r="G34" s="32">
        <v>136619192</v>
      </c>
      <c r="H34" t="s">
        <v>133</v>
      </c>
    </row>
    <row r="35" spans="1:8" x14ac:dyDescent="0.3">
      <c r="A35" s="28">
        <v>16215</v>
      </c>
      <c r="B35" s="31">
        <v>45364.616666666669</v>
      </c>
      <c r="C35" s="18">
        <v>45364</v>
      </c>
      <c r="D35" t="s">
        <v>103</v>
      </c>
      <c r="E35" s="32">
        <v>7112600</v>
      </c>
      <c r="F35" s="32">
        <v>0</v>
      </c>
      <c r="G35" s="32">
        <v>135742492</v>
      </c>
      <c r="H35" t="s">
        <v>133</v>
      </c>
    </row>
    <row r="36" spans="1:8" x14ac:dyDescent="0.3">
      <c r="A36" s="28">
        <v>16211</v>
      </c>
      <c r="B36" s="31">
        <v>45364.468055555553</v>
      </c>
      <c r="C36" s="18">
        <v>45364</v>
      </c>
      <c r="D36" t="s">
        <v>103</v>
      </c>
      <c r="E36" s="32">
        <v>5768400</v>
      </c>
      <c r="F36" s="32">
        <v>0</v>
      </c>
      <c r="G36" s="32">
        <v>128629892</v>
      </c>
      <c r="H36" t="s">
        <v>130</v>
      </c>
    </row>
    <row r="37" spans="1:8" x14ac:dyDescent="0.3">
      <c r="A37" s="28">
        <v>16209</v>
      </c>
      <c r="B37" s="31">
        <v>45363.724305555559</v>
      </c>
      <c r="C37" s="18">
        <v>45363</v>
      </c>
      <c r="D37" t="s">
        <v>103</v>
      </c>
      <c r="E37" s="32">
        <v>6900300</v>
      </c>
      <c r="F37" s="32">
        <v>0</v>
      </c>
      <c r="G37" s="32">
        <v>122861492</v>
      </c>
      <c r="H37" t="s">
        <v>95</v>
      </c>
    </row>
    <row r="38" spans="1:8" x14ac:dyDescent="0.3">
      <c r="A38" s="28">
        <v>16173</v>
      </c>
      <c r="B38" s="31">
        <v>45356.568749999999</v>
      </c>
      <c r="C38" s="18">
        <v>45356</v>
      </c>
      <c r="D38" t="s">
        <v>103</v>
      </c>
      <c r="E38" s="32">
        <v>744700</v>
      </c>
      <c r="F38" s="32">
        <v>0</v>
      </c>
      <c r="G38" s="32">
        <v>165717902</v>
      </c>
      <c r="H38" t="s">
        <v>110</v>
      </c>
    </row>
    <row r="39" spans="1:8" x14ac:dyDescent="0.3">
      <c r="A39" s="28">
        <v>16172</v>
      </c>
      <c r="B39" s="31">
        <v>45356.568749999999</v>
      </c>
      <c r="C39" s="18">
        <v>45356</v>
      </c>
      <c r="D39" t="s">
        <v>103</v>
      </c>
      <c r="E39" s="32">
        <v>418000</v>
      </c>
      <c r="F39" s="32">
        <v>0</v>
      </c>
      <c r="G39" s="32">
        <v>164973202</v>
      </c>
      <c r="H39" t="s">
        <v>110</v>
      </c>
    </row>
    <row r="40" spans="1:8" hidden="1" x14ac:dyDescent="0.3">
      <c r="A40" s="28">
        <v>16142</v>
      </c>
      <c r="B40" s="31">
        <v>45351.500694444447</v>
      </c>
      <c r="C40" s="18">
        <v>45351</v>
      </c>
      <c r="D40" t="s">
        <v>103</v>
      </c>
      <c r="E40" s="32">
        <v>1076900</v>
      </c>
      <c r="F40" s="32">
        <v>0</v>
      </c>
      <c r="G40" s="32">
        <v>208426862</v>
      </c>
      <c r="H40" t="s">
        <v>113</v>
      </c>
    </row>
    <row r="41" spans="1:8" hidden="1" x14ac:dyDescent="0.3">
      <c r="A41" s="28">
        <v>16130</v>
      </c>
      <c r="B41" s="31">
        <v>45350.708333333336</v>
      </c>
      <c r="C41" s="18">
        <v>45350</v>
      </c>
      <c r="D41" t="s">
        <v>104</v>
      </c>
      <c r="E41" s="32">
        <v>0</v>
      </c>
      <c r="F41" s="32">
        <v>100000000</v>
      </c>
      <c r="G41" s="32">
        <v>207349962</v>
      </c>
      <c r="H41" t="s">
        <v>114</v>
      </c>
    </row>
    <row r="42" spans="1:8" hidden="1" x14ac:dyDescent="0.3">
      <c r="A42" s="28">
        <v>16128</v>
      </c>
      <c r="B42" s="31">
        <v>45350.668749999997</v>
      </c>
      <c r="C42" s="18">
        <v>45350</v>
      </c>
      <c r="D42" t="s">
        <v>103</v>
      </c>
      <c r="E42" s="32">
        <v>300963300</v>
      </c>
      <c r="F42" s="32">
        <v>0</v>
      </c>
      <c r="G42" s="32">
        <v>307349962</v>
      </c>
      <c r="H42" t="s">
        <v>115</v>
      </c>
    </row>
    <row r="43" spans="1:8" hidden="1" x14ac:dyDescent="0.3">
      <c r="A43" s="28">
        <v>16119</v>
      </c>
      <c r="B43" s="31">
        <v>45350.377083333333</v>
      </c>
      <c r="C43" s="18">
        <v>45350</v>
      </c>
      <c r="D43" t="s">
        <v>104</v>
      </c>
      <c r="E43" s="32">
        <v>0</v>
      </c>
      <c r="F43" s="32">
        <v>39984900</v>
      </c>
      <c r="G43" s="32">
        <v>6386662</v>
      </c>
      <c r="H43" t="s">
        <v>108</v>
      </c>
    </row>
    <row r="44" spans="1:8" hidden="1" x14ac:dyDescent="0.3">
      <c r="A44" s="28">
        <v>16118</v>
      </c>
      <c r="B44" s="31">
        <v>45350.306944444441</v>
      </c>
      <c r="C44" s="18">
        <v>45350</v>
      </c>
      <c r="D44" t="s">
        <v>104</v>
      </c>
      <c r="E44" s="32">
        <v>0</v>
      </c>
      <c r="F44" s="32">
        <v>355737</v>
      </c>
      <c r="G44" s="32">
        <v>46371562</v>
      </c>
      <c r="H44" t="s">
        <v>116</v>
      </c>
    </row>
    <row r="45" spans="1:8" hidden="1" x14ac:dyDescent="0.3">
      <c r="A45" s="28">
        <v>16109</v>
      </c>
      <c r="B45" s="31">
        <v>45349.461111111108</v>
      </c>
      <c r="C45" s="18">
        <v>45349</v>
      </c>
      <c r="D45" t="s">
        <v>103</v>
      </c>
      <c r="E45" s="32">
        <v>40000000</v>
      </c>
      <c r="F45" s="32">
        <v>0</v>
      </c>
      <c r="G45" s="32">
        <v>46727299</v>
      </c>
      <c r="H45" t="s">
        <v>117</v>
      </c>
    </row>
    <row r="46" spans="1:8" hidden="1" x14ac:dyDescent="0.3">
      <c r="A46" s="28">
        <v>16107</v>
      </c>
      <c r="B46" s="31">
        <v>45348.774305555555</v>
      </c>
      <c r="C46" s="18">
        <v>45348</v>
      </c>
      <c r="D46" t="s">
        <v>104</v>
      </c>
      <c r="E46" s="32">
        <v>0</v>
      </c>
      <c r="F46" s="32">
        <v>13530</v>
      </c>
      <c r="G46" s="32">
        <v>6727299</v>
      </c>
      <c r="H46" t="s">
        <v>118</v>
      </c>
    </row>
    <row r="47" spans="1:8" hidden="1" x14ac:dyDescent="0.3">
      <c r="A47" s="28">
        <v>16106</v>
      </c>
      <c r="B47" s="31">
        <v>45348.771527777775</v>
      </c>
      <c r="C47" s="18">
        <v>45348</v>
      </c>
      <c r="D47" t="s">
        <v>104</v>
      </c>
      <c r="E47" s="32">
        <v>0</v>
      </c>
      <c r="F47" s="32">
        <v>720000</v>
      </c>
      <c r="G47" s="32">
        <v>6740829</v>
      </c>
      <c r="H47" t="s">
        <v>109</v>
      </c>
    </row>
    <row r="48" spans="1:8" hidden="1" x14ac:dyDescent="0.3">
      <c r="A48" s="28">
        <v>16092</v>
      </c>
      <c r="B48" s="31">
        <v>45348.488888888889</v>
      </c>
      <c r="C48" s="18">
        <v>45348</v>
      </c>
      <c r="D48" t="s">
        <v>104</v>
      </c>
      <c r="E48" s="32">
        <v>0</v>
      </c>
      <c r="F48" s="32">
        <v>1688410</v>
      </c>
      <c r="G48" s="32">
        <v>7460829</v>
      </c>
      <c r="H48" t="s">
        <v>108</v>
      </c>
    </row>
    <row r="49" spans="1:8" hidden="1" x14ac:dyDescent="0.3">
      <c r="A49" s="28">
        <v>16091</v>
      </c>
      <c r="B49" s="31">
        <v>45348.302777777775</v>
      </c>
      <c r="C49" s="18">
        <v>45348</v>
      </c>
      <c r="D49" t="s">
        <v>104</v>
      </c>
      <c r="E49" s="32">
        <v>0</v>
      </c>
      <c r="F49" s="32">
        <v>295300</v>
      </c>
      <c r="G49" s="32">
        <v>9149239</v>
      </c>
      <c r="H49" t="s">
        <v>119</v>
      </c>
    </row>
    <row r="50" spans="1:8" hidden="1" x14ac:dyDescent="0.3">
      <c r="A50" s="28">
        <v>16090</v>
      </c>
      <c r="B50" s="31">
        <v>45348.302777777775</v>
      </c>
      <c r="C50" s="18">
        <v>45348</v>
      </c>
      <c r="D50" t="s">
        <v>104</v>
      </c>
      <c r="E50" s="32">
        <v>0</v>
      </c>
      <c r="F50" s="32">
        <v>3770731</v>
      </c>
      <c r="G50" s="32">
        <v>9444539</v>
      </c>
      <c r="H50" t="s">
        <v>119</v>
      </c>
    </row>
    <row r="51" spans="1:8" hidden="1" x14ac:dyDescent="0.3">
      <c r="A51" s="28">
        <v>16089</v>
      </c>
      <c r="B51" s="31">
        <v>45345.580555555556</v>
      </c>
      <c r="C51" s="18">
        <v>45345</v>
      </c>
      <c r="D51" t="s">
        <v>104</v>
      </c>
      <c r="E51" s="32">
        <v>0</v>
      </c>
      <c r="F51" s="32">
        <v>51329210</v>
      </c>
      <c r="G51" s="32">
        <v>13215270</v>
      </c>
      <c r="H51" t="s">
        <v>120</v>
      </c>
    </row>
    <row r="52" spans="1:8" hidden="1" x14ac:dyDescent="0.3">
      <c r="A52" s="28">
        <v>16082</v>
      </c>
      <c r="B52" s="31">
        <v>45344.665972222225</v>
      </c>
      <c r="C52" s="18">
        <v>45344</v>
      </c>
      <c r="D52" t="s">
        <v>104</v>
      </c>
      <c r="E52" s="32">
        <v>0</v>
      </c>
      <c r="F52" s="32">
        <v>4400</v>
      </c>
      <c r="G52" s="32">
        <v>64544480</v>
      </c>
      <c r="H52" t="s">
        <v>121</v>
      </c>
    </row>
    <row r="53" spans="1:8" hidden="1" x14ac:dyDescent="0.3">
      <c r="A53" s="28">
        <v>16081</v>
      </c>
      <c r="B53" s="31">
        <v>45344.663888888892</v>
      </c>
      <c r="C53" s="18">
        <v>45344</v>
      </c>
      <c r="D53" t="s">
        <v>104</v>
      </c>
      <c r="E53" s="32">
        <v>0</v>
      </c>
      <c r="F53" s="32">
        <v>198000</v>
      </c>
      <c r="G53" s="32">
        <v>64548880</v>
      </c>
      <c r="H53" t="s">
        <v>122</v>
      </c>
    </row>
    <row r="54" spans="1:8" hidden="1" x14ac:dyDescent="0.3">
      <c r="A54" s="28">
        <v>16078</v>
      </c>
      <c r="B54" s="31">
        <v>45343.756249999999</v>
      </c>
      <c r="C54" s="18">
        <v>45343</v>
      </c>
      <c r="D54" t="s">
        <v>104</v>
      </c>
      <c r="E54" s="32">
        <v>0</v>
      </c>
      <c r="F54" s="32">
        <v>268820</v>
      </c>
      <c r="G54" s="32">
        <v>64746880</v>
      </c>
      <c r="H54" t="s">
        <v>123</v>
      </c>
    </row>
    <row r="55" spans="1:8" hidden="1" x14ac:dyDescent="0.3">
      <c r="A55" s="28">
        <v>16059</v>
      </c>
      <c r="B55" s="31">
        <v>45341.307638888888</v>
      </c>
      <c r="C55" s="18">
        <v>45341</v>
      </c>
      <c r="D55" t="s">
        <v>103</v>
      </c>
      <c r="E55" s="32">
        <v>9318</v>
      </c>
      <c r="F55" s="32">
        <v>0</v>
      </c>
      <c r="G55" s="32">
        <v>65015700</v>
      </c>
      <c r="H55" t="s">
        <v>124</v>
      </c>
    </row>
    <row r="56" spans="1:8" hidden="1" x14ac:dyDescent="0.3">
      <c r="A56" s="28">
        <v>16052</v>
      </c>
      <c r="B56" s="31">
        <v>45338.631944444445</v>
      </c>
      <c r="C56" s="18">
        <v>45338</v>
      </c>
      <c r="D56" t="s">
        <v>104</v>
      </c>
      <c r="E56" s="32">
        <v>0</v>
      </c>
      <c r="F56" s="32">
        <v>13349300</v>
      </c>
      <c r="G56" s="32">
        <v>65006382</v>
      </c>
      <c r="H56" t="s">
        <v>108</v>
      </c>
    </row>
    <row r="57" spans="1:8" hidden="1" x14ac:dyDescent="0.3">
      <c r="A57" s="28">
        <v>16049</v>
      </c>
      <c r="B57" s="31">
        <v>45338.447916666664</v>
      </c>
      <c r="C57" s="18">
        <v>45338</v>
      </c>
      <c r="D57" t="s">
        <v>103</v>
      </c>
      <c r="E57" s="32">
        <v>53100000</v>
      </c>
      <c r="F57" s="32">
        <v>0</v>
      </c>
      <c r="G57" s="32">
        <v>78355682</v>
      </c>
      <c r="H57" t="s">
        <v>125</v>
      </c>
    </row>
    <row r="58" spans="1:8" hidden="1" x14ac:dyDescent="0.3">
      <c r="A58" s="28">
        <v>16041</v>
      </c>
      <c r="B58" s="31">
        <v>45337.774305555555</v>
      </c>
      <c r="C58" s="18">
        <v>45337</v>
      </c>
      <c r="D58" t="s">
        <v>104</v>
      </c>
      <c r="E58" s="32">
        <v>0</v>
      </c>
      <c r="F58" s="32">
        <v>1920000</v>
      </c>
      <c r="G58" s="32">
        <v>25255682</v>
      </c>
      <c r="H58" t="s">
        <v>109</v>
      </c>
    </row>
    <row r="59" spans="1:8" hidden="1" x14ac:dyDescent="0.3">
      <c r="A59" s="28">
        <v>16039</v>
      </c>
      <c r="B59" s="31">
        <v>45337.731944444444</v>
      </c>
      <c r="C59" s="18">
        <v>45337</v>
      </c>
      <c r="D59" t="s">
        <v>103</v>
      </c>
      <c r="E59" s="32">
        <v>4598550</v>
      </c>
      <c r="F59" s="32">
        <v>0</v>
      </c>
      <c r="G59" s="32">
        <v>27175682</v>
      </c>
      <c r="H59" t="s">
        <v>110</v>
      </c>
    </row>
    <row r="60" spans="1:8" hidden="1" x14ac:dyDescent="0.3">
      <c r="A60" s="28">
        <v>16016</v>
      </c>
      <c r="B60" s="31">
        <v>45335.768750000003</v>
      </c>
      <c r="C60" s="18">
        <v>45335</v>
      </c>
      <c r="D60" t="s">
        <v>104</v>
      </c>
      <c r="E60" s="32">
        <v>0</v>
      </c>
      <c r="F60" s="32">
        <v>751650</v>
      </c>
      <c r="G60" s="32">
        <v>22577132</v>
      </c>
      <c r="H60" t="s">
        <v>126</v>
      </c>
    </row>
    <row r="61" spans="1:8" hidden="1" x14ac:dyDescent="0.3">
      <c r="A61" s="28">
        <v>16015</v>
      </c>
      <c r="B61" s="31">
        <v>45335.765972222223</v>
      </c>
      <c r="C61" s="18">
        <v>45335</v>
      </c>
      <c r="D61" t="s">
        <v>104</v>
      </c>
      <c r="E61" s="32">
        <v>0</v>
      </c>
      <c r="F61" s="32">
        <v>4303220</v>
      </c>
      <c r="G61" s="32">
        <v>23328782</v>
      </c>
      <c r="H61" t="s">
        <v>127</v>
      </c>
    </row>
    <row r="62" spans="1:8" hidden="1" x14ac:dyDescent="0.3">
      <c r="A62" s="28">
        <v>16014</v>
      </c>
      <c r="B62" s="31">
        <v>45335.76458333333</v>
      </c>
      <c r="C62" s="18">
        <v>45335</v>
      </c>
      <c r="D62" t="s">
        <v>104</v>
      </c>
      <c r="E62" s="32">
        <v>0</v>
      </c>
      <c r="F62" s="32">
        <v>344920</v>
      </c>
      <c r="G62" s="32">
        <v>27632002</v>
      </c>
      <c r="H62" t="s">
        <v>128</v>
      </c>
    </row>
    <row r="63" spans="1:8" hidden="1" x14ac:dyDescent="0.3">
      <c r="A63" s="28">
        <v>16013</v>
      </c>
      <c r="B63" s="31">
        <v>45335.761111111111</v>
      </c>
      <c r="C63" s="18">
        <v>45335</v>
      </c>
      <c r="D63" t="s">
        <v>104</v>
      </c>
      <c r="E63" s="32">
        <v>0</v>
      </c>
      <c r="F63" s="32">
        <v>4828880</v>
      </c>
      <c r="G63" s="32">
        <v>27976922</v>
      </c>
      <c r="H63" t="s">
        <v>129</v>
      </c>
    </row>
    <row r="64" spans="1:8" hidden="1" x14ac:dyDescent="0.3">
      <c r="A64" s="28">
        <v>16011</v>
      </c>
      <c r="B64" s="31">
        <v>45335.722222222219</v>
      </c>
      <c r="C64" s="18">
        <v>45335</v>
      </c>
      <c r="D64" t="s">
        <v>103</v>
      </c>
      <c r="E64" s="32">
        <v>2649900</v>
      </c>
      <c r="F64" s="32">
        <v>0</v>
      </c>
      <c r="G64" s="32">
        <v>32805802</v>
      </c>
      <c r="H64" t="s">
        <v>130</v>
      </c>
    </row>
    <row r="65" spans="1:8" hidden="1" x14ac:dyDescent="0.3">
      <c r="A65" s="28">
        <v>16010</v>
      </c>
      <c r="B65" s="31">
        <v>45335.72152777778</v>
      </c>
      <c r="C65" s="18">
        <v>45335</v>
      </c>
      <c r="D65" t="s">
        <v>103</v>
      </c>
      <c r="E65" s="32">
        <v>2708200</v>
      </c>
      <c r="F65" s="32">
        <v>0</v>
      </c>
      <c r="G65" s="32">
        <v>30155902</v>
      </c>
      <c r="H65" t="s">
        <v>130</v>
      </c>
    </row>
    <row r="66" spans="1:8" hidden="1" x14ac:dyDescent="0.3">
      <c r="A66" s="28">
        <v>16005</v>
      </c>
      <c r="B66" s="31">
        <v>45335.600694444445</v>
      </c>
      <c r="C66" s="18">
        <v>45335</v>
      </c>
      <c r="D66" t="s">
        <v>104</v>
      </c>
      <c r="E66" s="32">
        <v>0</v>
      </c>
      <c r="F66" s="32">
        <v>26588600</v>
      </c>
      <c r="G66" s="32">
        <v>27447702</v>
      </c>
      <c r="H66" t="s">
        <v>108</v>
      </c>
    </row>
    <row r="67" spans="1:8" hidden="1" x14ac:dyDescent="0.3">
      <c r="A67" s="28">
        <v>16004</v>
      </c>
      <c r="B67" s="31">
        <v>45335.595138888886</v>
      </c>
      <c r="C67" s="18">
        <v>45335</v>
      </c>
      <c r="D67" t="s">
        <v>103</v>
      </c>
      <c r="E67" s="32">
        <v>5750000</v>
      </c>
      <c r="F67" s="32">
        <v>0</v>
      </c>
      <c r="G67" s="32">
        <v>54036302</v>
      </c>
      <c r="H67" t="s">
        <v>131</v>
      </c>
    </row>
    <row r="68" spans="1:8" hidden="1" x14ac:dyDescent="0.3">
      <c r="A68" s="28">
        <v>16001</v>
      </c>
      <c r="B68" s="31">
        <v>45335.592361111114</v>
      </c>
      <c r="C68" s="18">
        <v>45335</v>
      </c>
      <c r="D68" t="s">
        <v>103</v>
      </c>
      <c r="E68" s="32">
        <v>24300000</v>
      </c>
      <c r="F68" s="32">
        <v>0</v>
      </c>
      <c r="G68" s="32">
        <v>48286302</v>
      </c>
      <c r="H68" t="s">
        <v>132</v>
      </c>
    </row>
    <row r="69" spans="1:8" hidden="1" x14ac:dyDescent="0.3">
      <c r="A69" s="28">
        <v>16000</v>
      </c>
      <c r="B69" s="31">
        <v>45335.586111111108</v>
      </c>
      <c r="C69" s="18">
        <v>45335</v>
      </c>
      <c r="D69" t="s">
        <v>104</v>
      </c>
      <c r="E69" s="32">
        <v>0</v>
      </c>
      <c r="F69" s="32">
        <v>1431360</v>
      </c>
      <c r="G69" s="32">
        <v>23986302</v>
      </c>
      <c r="H69" t="s">
        <v>108</v>
      </c>
    </row>
    <row r="70" spans="1:8" hidden="1" x14ac:dyDescent="0.3">
      <c r="A70" s="28">
        <v>15996</v>
      </c>
      <c r="B70" s="31">
        <v>45335.377083333333</v>
      </c>
      <c r="C70" s="18">
        <v>45335</v>
      </c>
      <c r="D70" t="s">
        <v>104</v>
      </c>
      <c r="E70" s="32">
        <v>0</v>
      </c>
      <c r="F70" s="32">
        <v>26925800</v>
      </c>
      <c r="G70" s="32">
        <v>25417662</v>
      </c>
      <c r="H70" t="s">
        <v>108</v>
      </c>
    </row>
    <row r="71" spans="1:8" hidden="1" x14ac:dyDescent="0.3">
      <c r="A71" s="28">
        <v>15987</v>
      </c>
      <c r="B71" s="31">
        <v>45329.71875</v>
      </c>
      <c r="C71" s="18">
        <v>45329</v>
      </c>
      <c r="D71" t="s">
        <v>104</v>
      </c>
      <c r="E71" s="32">
        <v>0</v>
      </c>
      <c r="F71" s="32">
        <v>30000000</v>
      </c>
      <c r="G71" s="32">
        <v>52343462</v>
      </c>
      <c r="H71" t="s">
        <v>114</v>
      </c>
    </row>
    <row r="72" spans="1:8" hidden="1" x14ac:dyDescent="0.3">
      <c r="A72" s="28">
        <v>15984</v>
      </c>
      <c r="B72" s="31">
        <v>45329.637499999997</v>
      </c>
      <c r="C72" s="18">
        <v>45329</v>
      </c>
      <c r="D72" t="s">
        <v>103</v>
      </c>
      <c r="E72" s="32">
        <v>4599100</v>
      </c>
      <c r="F72" s="32">
        <v>0</v>
      </c>
      <c r="G72" s="32">
        <v>82343462</v>
      </c>
      <c r="H72" t="s">
        <v>133</v>
      </c>
    </row>
    <row r="73" spans="1:8" hidden="1" x14ac:dyDescent="0.3">
      <c r="A73" s="28">
        <v>15964</v>
      </c>
      <c r="B73" s="31">
        <v>45328.423611111109</v>
      </c>
      <c r="C73" s="18">
        <v>45328</v>
      </c>
      <c r="D73" t="s">
        <v>104</v>
      </c>
      <c r="E73" s="32">
        <v>0</v>
      </c>
      <c r="F73" s="32">
        <v>105210</v>
      </c>
      <c r="G73" s="32">
        <v>77744362</v>
      </c>
      <c r="H73" t="s">
        <v>111</v>
      </c>
    </row>
    <row r="74" spans="1:8" hidden="1" x14ac:dyDescent="0.3">
      <c r="A74" s="28">
        <v>15961</v>
      </c>
      <c r="B74" s="31">
        <v>45327.765972222223</v>
      </c>
      <c r="C74" s="18">
        <v>45327</v>
      </c>
      <c r="D74" t="s">
        <v>104</v>
      </c>
      <c r="E74" s="32">
        <v>0</v>
      </c>
      <c r="F74" s="32">
        <v>240000</v>
      </c>
      <c r="G74" s="32">
        <v>77849572</v>
      </c>
      <c r="H74" t="s">
        <v>109</v>
      </c>
    </row>
    <row r="75" spans="1:8" hidden="1" x14ac:dyDescent="0.3">
      <c r="A75" s="28">
        <v>15959</v>
      </c>
      <c r="B75" s="31">
        <v>45327.617361111108</v>
      </c>
      <c r="C75" s="18">
        <v>45327</v>
      </c>
      <c r="D75" t="s">
        <v>104</v>
      </c>
      <c r="E75" s="32">
        <v>0</v>
      </c>
      <c r="F75" s="32">
        <v>23734920</v>
      </c>
      <c r="G75" s="32">
        <v>78089572</v>
      </c>
      <c r="H75" t="s">
        <v>134</v>
      </c>
    </row>
    <row r="76" spans="1:8" hidden="1" x14ac:dyDescent="0.3">
      <c r="A76" s="28">
        <v>15951</v>
      </c>
      <c r="B76" s="31">
        <v>45324.624305555553</v>
      </c>
      <c r="C76" s="18">
        <v>45324</v>
      </c>
      <c r="D76" t="s">
        <v>104</v>
      </c>
      <c r="E76" s="32">
        <v>0</v>
      </c>
      <c r="F76" s="32">
        <v>26458400</v>
      </c>
      <c r="G76" s="32">
        <v>101824492</v>
      </c>
      <c r="H76" t="s">
        <v>108</v>
      </c>
    </row>
    <row r="77" spans="1:8" hidden="1" x14ac:dyDescent="0.3">
      <c r="A77" s="28">
        <v>15940</v>
      </c>
      <c r="B77" s="31">
        <v>45323.711805555555</v>
      </c>
      <c r="C77" s="18">
        <v>45323</v>
      </c>
      <c r="D77" t="s">
        <v>103</v>
      </c>
      <c r="E77" s="32">
        <v>205700</v>
      </c>
      <c r="F77" s="32">
        <v>0</v>
      </c>
      <c r="G77" s="32">
        <v>128282892</v>
      </c>
      <c r="H77" t="s">
        <v>110</v>
      </c>
    </row>
    <row r="78" spans="1:8" hidden="1" x14ac:dyDescent="0.3">
      <c r="A78" s="28">
        <v>15934</v>
      </c>
      <c r="B78" s="31">
        <v>45323.425000000003</v>
      </c>
      <c r="C78" s="18">
        <v>45323</v>
      </c>
      <c r="D78" t="s">
        <v>104</v>
      </c>
      <c r="E78" s="32">
        <v>0</v>
      </c>
      <c r="F78" s="32">
        <v>50000000</v>
      </c>
      <c r="G78" s="32">
        <v>128077192</v>
      </c>
      <c r="H78" t="s">
        <v>114</v>
      </c>
    </row>
    <row r="79" spans="1:8" hidden="1" x14ac:dyDescent="0.3">
      <c r="A79" s="28">
        <v>15904</v>
      </c>
      <c r="B79" s="31">
        <v>45321.45416666667</v>
      </c>
      <c r="C79" s="18">
        <v>45321</v>
      </c>
      <c r="D79" t="s">
        <v>104</v>
      </c>
      <c r="E79" s="32">
        <v>0</v>
      </c>
      <c r="F79" s="32">
        <v>26618600</v>
      </c>
      <c r="G79" s="32">
        <v>178077192</v>
      </c>
      <c r="H79" t="s">
        <v>108</v>
      </c>
    </row>
    <row r="80" spans="1:8" hidden="1" x14ac:dyDescent="0.3">
      <c r="A80" s="28">
        <v>15902</v>
      </c>
      <c r="B80" s="31">
        <v>45320.711805555555</v>
      </c>
      <c r="C80" s="18">
        <v>45320</v>
      </c>
      <c r="D80" t="s">
        <v>103</v>
      </c>
      <c r="E80" s="32">
        <v>186835000</v>
      </c>
      <c r="F80" s="32">
        <v>0</v>
      </c>
      <c r="G80" s="32">
        <v>204695792</v>
      </c>
      <c r="H80" t="s">
        <v>115</v>
      </c>
    </row>
    <row r="81" spans="1:8" hidden="1" x14ac:dyDescent="0.3">
      <c r="A81" s="28">
        <v>15897</v>
      </c>
      <c r="B81" s="31">
        <v>45320.645138888889</v>
      </c>
      <c r="C81" s="18">
        <v>45320</v>
      </c>
      <c r="D81" t="s">
        <v>104</v>
      </c>
      <c r="E81" s="32">
        <v>0</v>
      </c>
      <c r="F81" s="32">
        <v>26742800</v>
      </c>
      <c r="G81" s="32">
        <v>17860792</v>
      </c>
      <c r="H81" t="s">
        <v>108</v>
      </c>
    </row>
    <row r="82" spans="1:8" hidden="1" x14ac:dyDescent="0.3">
      <c r="A82" s="28">
        <v>15892</v>
      </c>
      <c r="B82" s="31">
        <v>45320.426388888889</v>
      </c>
      <c r="C82" s="18">
        <v>45320</v>
      </c>
      <c r="D82" t="s">
        <v>104</v>
      </c>
      <c r="E82" s="32">
        <v>0</v>
      </c>
      <c r="F82" s="32">
        <v>5101920</v>
      </c>
      <c r="G82" s="32">
        <v>44603592</v>
      </c>
      <c r="H82" t="s">
        <v>108</v>
      </c>
    </row>
    <row r="83" spans="1:8" hidden="1" x14ac:dyDescent="0.3">
      <c r="A83" s="28">
        <v>15891</v>
      </c>
      <c r="B83" s="31">
        <v>45320.324999999997</v>
      </c>
      <c r="C83" s="18">
        <v>45320</v>
      </c>
      <c r="D83" t="s">
        <v>104</v>
      </c>
      <c r="E83" s="32">
        <v>0</v>
      </c>
      <c r="F83" s="32">
        <v>355863</v>
      </c>
      <c r="G83" s="32">
        <v>49705512</v>
      </c>
      <c r="H83" t="s">
        <v>135</v>
      </c>
    </row>
    <row r="84" spans="1:8" hidden="1" x14ac:dyDescent="0.3">
      <c r="A84" s="28">
        <v>15884</v>
      </c>
      <c r="B84" s="31">
        <v>45317.29583333333</v>
      </c>
      <c r="C84" s="18">
        <v>45317</v>
      </c>
      <c r="D84" t="s">
        <v>104</v>
      </c>
      <c r="E84" s="32">
        <v>0</v>
      </c>
      <c r="F84" s="32">
        <v>233300</v>
      </c>
      <c r="G84" s="32">
        <v>50061375</v>
      </c>
      <c r="H84" t="s">
        <v>119</v>
      </c>
    </row>
    <row r="85" spans="1:8" hidden="1" x14ac:dyDescent="0.3">
      <c r="A85" s="28">
        <v>15883</v>
      </c>
      <c r="B85" s="31">
        <v>45317.29583333333</v>
      </c>
      <c r="C85" s="18">
        <v>45317</v>
      </c>
      <c r="D85" t="s">
        <v>104</v>
      </c>
      <c r="E85" s="32">
        <v>0</v>
      </c>
      <c r="F85" s="32">
        <v>6957760</v>
      </c>
      <c r="G85" s="32">
        <v>50294675</v>
      </c>
      <c r="H85" t="s">
        <v>119</v>
      </c>
    </row>
    <row r="86" spans="1:8" hidden="1" x14ac:dyDescent="0.3">
      <c r="A86" s="28">
        <v>15881</v>
      </c>
      <c r="B86" s="31">
        <v>45316.788194444445</v>
      </c>
      <c r="C86" s="18">
        <v>45316</v>
      </c>
      <c r="D86" t="s">
        <v>104</v>
      </c>
      <c r="E86" s="32">
        <v>0</v>
      </c>
      <c r="F86" s="32">
        <v>240000</v>
      </c>
      <c r="G86" s="32">
        <v>57252435</v>
      </c>
      <c r="H86" t="s">
        <v>109</v>
      </c>
    </row>
    <row r="87" spans="1:8" hidden="1" x14ac:dyDescent="0.3">
      <c r="A87" s="28">
        <v>15880</v>
      </c>
      <c r="B87" s="31">
        <v>45316.775694444441</v>
      </c>
      <c r="C87" s="18">
        <v>45316</v>
      </c>
      <c r="D87" t="s">
        <v>104</v>
      </c>
      <c r="E87" s="32">
        <v>0</v>
      </c>
      <c r="F87" s="32">
        <v>5980</v>
      </c>
      <c r="G87" s="32">
        <v>57492435</v>
      </c>
      <c r="H87" t="s">
        <v>136</v>
      </c>
    </row>
    <row r="88" spans="1:8" hidden="1" x14ac:dyDescent="0.3">
      <c r="A88" s="28">
        <v>15876</v>
      </c>
      <c r="B88" s="31">
        <v>45316.474999999999</v>
      </c>
      <c r="C88" s="18">
        <v>45316</v>
      </c>
      <c r="D88" t="s">
        <v>103</v>
      </c>
      <c r="E88" s="32">
        <v>369600</v>
      </c>
      <c r="F88" s="32">
        <v>0</v>
      </c>
      <c r="G88" s="32">
        <v>57498415</v>
      </c>
      <c r="H88" t="s">
        <v>113</v>
      </c>
    </row>
    <row r="89" spans="1:8" hidden="1" x14ac:dyDescent="0.3">
      <c r="A89" s="28">
        <v>15872</v>
      </c>
      <c r="B89" s="31">
        <v>45315.745833333334</v>
      </c>
      <c r="C89" s="18">
        <v>45315</v>
      </c>
      <c r="D89" t="s">
        <v>104</v>
      </c>
      <c r="E89" s="32">
        <v>0</v>
      </c>
      <c r="F89" s="32">
        <v>240000</v>
      </c>
      <c r="G89" s="32">
        <v>57128815</v>
      </c>
      <c r="H89" t="s">
        <v>109</v>
      </c>
    </row>
    <row r="90" spans="1:8" hidden="1" x14ac:dyDescent="0.3">
      <c r="A90" s="28">
        <v>15870</v>
      </c>
      <c r="B90" s="31">
        <v>45315.660416666666</v>
      </c>
      <c r="C90" s="18">
        <v>45315</v>
      </c>
      <c r="D90" t="s">
        <v>104</v>
      </c>
      <c r="E90" s="32">
        <v>0</v>
      </c>
      <c r="F90" s="32">
        <v>53046210</v>
      </c>
      <c r="G90" s="32">
        <v>57368815</v>
      </c>
      <c r="H90" t="s">
        <v>120</v>
      </c>
    </row>
    <row r="91" spans="1:8" hidden="1" x14ac:dyDescent="0.3">
      <c r="A91" s="28">
        <v>15864</v>
      </c>
      <c r="B91" s="31">
        <v>45314.711111111108</v>
      </c>
      <c r="C91" s="18">
        <v>45314</v>
      </c>
      <c r="D91" t="s">
        <v>103</v>
      </c>
      <c r="E91" s="32">
        <v>616000</v>
      </c>
      <c r="F91" s="32">
        <v>0</v>
      </c>
      <c r="G91" s="32">
        <v>110415025</v>
      </c>
      <c r="H91" t="s">
        <v>137</v>
      </c>
    </row>
    <row r="92" spans="1:8" hidden="1" x14ac:dyDescent="0.3">
      <c r="A92" s="28">
        <v>15856</v>
      </c>
      <c r="B92" s="31">
        <v>45313.768055555556</v>
      </c>
      <c r="C92" s="18">
        <v>45313</v>
      </c>
      <c r="D92" t="s">
        <v>104</v>
      </c>
      <c r="E92" s="32">
        <v>0</v>
      </c>
      <c r="F92" s="32">
        <v>261020</v>
      </c>
      <c r="G92" s="32">
        <v>109799025</v>
      </c>
      <c r="H92" t="s">
        <v>138</v>
      </c>
    </row>
    <row r="93" spans="1:8" hidden="1" x14ac:dyDescent="0.3">
      <c r="A93" s="28">
        <v>15853</v>
      </c>
      <c r="B93" s="31">
        <v>45313.492361111108</v>
      </c>
      <c r="C93" s="18">
        <v>45313</v>
      </c>
      <c r="D93" t="s">
        <v>104</v>
      </c>
      <c r="E93" s="32">
        <v>0</v>
      </c>
      <c r="F93" s="32">
        <v>26674600</v>
      </c>
      <c r="G93" s="32">
        <v>110060045</v>
      </c>
      <c r="H93" t="s">
        <v>108</v>
      </c>
    </row>
    <row r="94" spans="1:8" hidden="1" x14ac:dyDescent="0.3">
      <c r="A94" s="28">
        <v>15851</v>
      </c>
      <c r="B94" s="31">
        <v>45313.491666666669</v>
      </c>
      <c r="C94" s="18">
        <v>45313</v>
      </c>
      <c r="D94" t="s">
        <v>104</v>
      </c>
      <c r="E94" s="32">
        <v>0</v>
      </c>
      <c r="F94" s="32">
        <v>30000000</v>
      </c>
      <c r="G94" s="32">
        <v>136734645</v>
      </c>
      <c r="H94" t="s">
        <v>114</v>
      </c>
    </row>
    <row r="95" spans="1:8" hidden="1" x14ac:dyDescent="0.3">
      <c r="A95" s="28">
        <v>15850</v>
      </c>
      <c r="B95" s="31">
        <v>45313.490277777775</v>
      </c>
      <c r="C95" s="18">
        <v>45313</v>
      </c>
      <c r="D95" t="s">
        <v>103</v>
      </c>
      <c r="E95" s="32">
        <v>86000000</v>
      </c>
      <c r="F95" s="32">
        <v>0</v>
      </c>
      <c r="G95" s="32">
        <v>166734645</v>
      </c>
      <c r="H95" t="s">
        <v>125</v>
      </c>
    </row>
    <row r="96" spans="1:8" hidden="1" x14ac:dyDescent="0.3">
      <c r="A96" s="28">
        <v>15841</v>
      </c>
      <c r="B96" s="31">
        <v>45313.306250000001</v>
      </c>
      <c r="C96" s="18">
        <v>45313</v>
      </c>
      <c r="D96" t="s">
        <v>103</v>
      </c>
      <c r="E96" s="32">
        <v>9035</v>
      </c>
      <c r="F96" s="32">
        <v>0</v>
      </c>
      <c r="G96" s="32">
        <v>80734645</v>
      </c>
      <c r="H96" t="s">
        <v>124</v>
      </c>
    </row>
    <row r="97" spans="1:8" hidden="1" x14ac:dyDescent="0.3">
      <c r="A97" s="28">
        <v>15823</v>
      </c>
      <c r="B97" s="31">
        <v>45308.379166666666</v>
      </c>
      <c r="C97" s="18">
        <v>45308</v>
      </c>
      <c r="D97" t="s">
        <v>104</v>
      </c>
      <c r="E97" s="32">
        <v>0</v>
      </c>
      <c r="F97" s="32">
        <v>24136920</v>
      </c>
      <c r="G97" s="32">
        <v>80725610</v>
      </c>
      <c r="H97" t="s">
        <v>108</v>
      </c>
    </row>
    <row r="98" spans="1:8" hidden="1" x14ac:dyDescent="0.3">
      <c r="A98" s="28">
        <v>15812</v>
      </c>
      <c r="B98" s="31">
        <v>45306.788194444445</v>
      </c>
      <c r="C98" s="18">
        <v>45306</v>
      </c>
      <c r="D98" t="s">
        <v>104</v>
      </c>
      <c r="E98" s="32">
        <v>0</v>
      </c>
      <c r="F98" s="32">
        <v>1920000</v>
      </c>
      <c r="G98" s="32">
        <v>104862530</v>
      </c>
      <c r="H98" t="s">
        <v>109</v>
      </c>
    </row>
    <row r="99" spans="1:8" hidden="1" x14ac:dyDescent="0.3">
      <c r="A99" s="28">
        <v>15810</v>
      </c>
      <c r="B99" s="31">
        <v>45306.773611111108</v>
      </c>
      <c r="C99" s="18">
        <v>45306</v>
      </c>
      <c r="D99" t="s">
        <v>103</v>
      </c>
      <c r="E99" s="32">
        <v>44391600</v>
      </c>
      <c r="F99" s="32">
        <v>0</v>
      </c>
      <c r="G99" s="32">
        <v>106782530</v>
      </c>
      <c r="H99" t="s">
        <v>139</v>
      </c>
    </row>
    <row r="100" spans="1:8" hidden="1" x14ac:dyDescent="0.3">
      <c r="A100" s="28">
        <v>15809</v>
      </c>
      <c r="B100" s="31">
        <v>45306.773611111108</v>
      </c>
      <c r="C100" s="18">
        <v>45306</v>
      </c>
      <c r="D100" t="s">
        <v>103</v>
      </c>
      <c r="E100" s="32">
        <v>3758700</v>
      </c>
      <c r="F100" s="32">
        <v>0</v>
      </c>
      <c r="G100" s="32">
        <v>62390930</v>
      </c>
      <c r="H100" t="s">
        <v>139</v>
      </c>
    </row>
    <row r="101" spans="1:8" hidden="1" x14ac:dyDescent="0.3">
      <c r="A101" s="28">
        <v>15795</v>
      </c>
      <c r="B101" s="31">
        <v>45306.65625</v>
      </c>
      <c r="C101" s="18">
        <v>45306</v>
      </c>
      <c r="D101" t="s">
        <v>103</v>
      </c>
      <c r="E101" s="32">
        <v>303600</v>
      </c>
      <c r="F101" s="32">
        <v>0</v>
      </c>
      <c r="G101" s="32">
        <v>58632230</v>
      </c>
      <c r="H101" t="s">
        <v>110</v>
      </c>
    </row>
    <row r="102" spans="1:8" hidden="1" x14ac:dyDescent="0.3">
      <c r="A102" s="28">
        <v>15793</v>
      </c>
      <c r="B102" s="31">
        <v>45306.599305555559</v>
      </c>
      <c r="C102" s="18">
        <v>45306</v>
      </c>
      <c r="D102" t="s">
        <v>103</v>
      </c>
      <c r="E102" s="32">
        <v>286000</v>
      </c>
      <c r="F102" s="32">
        <v>0</v>
      </c>
      <c r="G102" s="32">
        <v>58328630</v>
      </c>
      <c r="H102" t="s">
        <v>140</v>
      </c>
    </row>
    <row r="103" spans="1:8" hidden="1" x14ac:dyDescent="0.3">
      <c r="A103" s="28">
        <v>15776</v>
      </c>
      <c r="B103" s="31">
        <v>45303.378472222219</v>
      </c>
      <c r="C103" s="18">
        <v>45303</v>
      </c>
      <c r="D103" t="s">
        <v>104</v>
      </c>
      <c r="E103" s="32">
        <v>0</v>
      </c>
      <c r="F103" s="32">
        <v>12721300</v>
      </c>
      <c r="G103" s="32">
        <v>58042630</v>
      </c>
      <c r="H103" t="s">
        <v>108</v>
      </c>
    </row>
    <row r="104" spans="1:8" hidden="1" x14ac:dyDescent="0.3">
      <c r="A104" s="28">
        <v>15775</v>
      </c>
      <c r="B104" s="31">
        <v>45303.37777777778</v>
      </c>
      <c r="C104" s="18">
        <v>45303</v>
      </c>
      <c r="D104" t="s">
        <v>104</v>
      </c>
      <c r="E104" s="32">
        <v>0</v>
      </c>
      <c r="F104" s="32">
        <v>13133100</v>
      </c>
      <c r="G104" s="32">
        <v>70763930</v>
      </c>
      <c r="H104" t="s">
        <v>108</v>
      </c>
    </row>
    <row r="105" spans="1:8" hidden="1" x14ac:dyDescent="0.3">
      <c r="A105" s="28">
        <v>15765</v>
      </c>
      <c r="B105" s="31">
        <v>45301.76666666667</v>
      </c>
      <c r="C105" s="18">
        <v>45301</v>
      </c>
      <c r="D105" t="s">
        <v>104</v>
      </c>
      <c r="E105" s="32">
        <v>0</v>
      </c>
      <c r="F105" s="32">
        <v>362870</v>
      </c>
      <c r="G105" s="32">
        <v>83897030</v>
      </c>
      <c r="H105" t="s">
        <v>141</v>
      </c>
    </row>
    <row r="106" spans="1:8" hidden="1" x14ac:dyDescent="0.3">
      <c r="A106" s="28">
        <v>15764</v>
      </c>
      <c r="B106" s="31">
        <v>45301.765277777777</v>
      </c>
      <c r="C106" s="18">
        <v>45301</v>
      </c>
      <c r="D106" t="s">
        <v>104</v>
      </c>
      <c r="E106" s="32">
        <v>0</v>
      </c>
      <c r="F106" s="32">
        <v>752520</v>
      </c>
      <c r="G106" s="32">
        <v>84259900</v>
      </c>
      <c r="H106" t="s">
        <v>142</v>
      </c>
    </row>
    <row r="107" spans="1:8" hidden="1" x14ac:dyDescent="0.3">
      <c r="A107" s="28">
        <v>15763</v>
      </c>
      <c r="B107" s="31">
        <v>45301.759027777778</v>
      </c>
      <c r="C107" s="18">
        <v>45301</v>
      </c>
      <c r="D107" t="s">
        <v>104</v>
      </c>
      <c r="E107" s="32">
        <v>0</v>
      </c>
      <c r="F107" s="32">
        <v>4823220</v>
      </c>
      <c r="G107" s="32">
        <v>85012420</v>
      </c>
      <c r="H107" t="s">
        <v>143</v>
      </c>
    </row>
    <row r="108" spans="1:8" hidden="1" x14ac:dyDescent="0.3">
      <c r="A108" s="28">
        <v>15762</v>
      </c>
      <c r="B108" s="31">
        <v>45301.756249999999</v>
      </c>
      <c r="C108" s="18">
        <v>45301</v>
      </c>
      <c r="D108" t="s">
        <v>104</v>
      </c>
      <c r="E108" s="32">
        <v>0</v>
      </c>
      <c r="F108" s="32">
        <v>4303220</v>
      </c>
      <c r="G108" s="32">
        <v>89835640</v>
      </c>
      <c r="H108" t="s">
        <v>144</v>
      </c>
    </row>
    <row r="109" spans="1:8" hidden="1" x14ac:dyDescent="0.3">
      <c r="A109" s="28">
        <v>15761</v>
      </c>
      <c r="B109" s="31">
        <v>45301.681944444441</v>
      </c>
      <c r="C109" s="18">
        <v>45301</v>
      </c>
      <c r="D109" t="s">
        <v>103</v>
      </c>
      <c r="E109" s="32">
        <v>704000</v>
      </c>
      <c r="F109" s="32">
        <v>0</v>
      </c>
      <c r="G109" s="32">
        <v>94138860</v>
      </c>
      <c r="H109" t="s">
        <v>133</v>
      </c>
    </row>
    <row r="110" spans="1:8" hidden="1" x14ac:dyDescent="0.3">
      <c r="A110" s="28">
        <v>15760</v>
      </c>
      <c r="B110" s="31">
        <v>45301.681250000001</v>
      </c>
      <c r="C110" s="18">
        <v>45301</v>
      </c>
      <c r="D110" t="s">
        <v>103</v>
      </c>
      <c r="E110" s="32">
        <v>3990800</v>
      </c>
      <c r="F110" s="32">
        <v>0</v>
      </c>
      <c r="G110" s="32">
        <v>93434860</v>
      </c>
      <c r="H110" t="s">
        <v>133</v>
      </c>
    </row>
    <row r="111" spans="1:8" hidden="1" x14ac:dyDescent="0.3">
      <c r="A111" s="28">
        <v>15751</v>
      </c>
      <c r="B111" s="31">
        <v>45301.439583333333</v>
      </c>
      <c r="C111" s="18">
        <v>45301</v>
      </c>
      <c r="D111" t="s">
        <v>104</v>
      </c>
      <c r="E111" s="32">
        <v>0</v>
      </c>
      <c r="F111" s="32">
        <v>4203550</v>
      </c>
      <c r="G111" s="32">
        <v>89444060</v>
      </c>
      <c r="H111" t="s">
        <v>112</v>
      </c>
    </row>
    <row r="112" spans="1:8" hidden="1" x14ac:dyDescent="0.3">
      <c r="A112" s="28">
        <v>15730</v>
      </c>
      <c r="B112" s="31">
        <v>45296.756944444445</v>
      </c>
      <c r="C112" s="18">
        <v>45296</v>
      </c>
      <c r="D112" t="s">
        <v>104</v>
      </c>
      <c r="E112" s="32">
        <v>0</v>
      </c>
      <c r="F112" s="32">
        <v>240000</v>
      </c>
      <c r="G112" s="32">
        <v>93647610</v>
      </c>
      <c r="H112" t="s">
        <v>109</v>
      </c>
    </row>
    <row r="113" spans="1:8" hidden="1" x14ac:dyDescent="0.3">
      <c r="A113" s="28">
        <v>15709</v>
      </c>
      <c r="B113" s="31">
        <v>45293.574999999997</v>
      </c>
      <c r="C113" s="18">
        <v>45293</v>
      </c>
      <c r="D113" t="s">
        <v>104</v>
      </c>
      <c r="E113" s="32">
        <v>0</v>
      </c>
      <c r="F113" s="32">
        <v>105210</v>
      </c>
      <c r="G113" s="32">
        <v>93887610</v>
      </c>
      <c r="H113" t="s">
        <v>145</v>
      </c>
    </row>
    <row r="114" spans="1:8" hidden="1" x14ac:dyDescent="0.3">
      <c r="A114" s="28">
        <v>15708</v>
      </c>
      <c r="B114" s="31">
        <v>45293.572222222225</v>
      </c>
      <c r="C114" s="18">
        <v>45293</v>
      </c>
      <c r="D114" t="s">
        <v>103</v>
      </c>
      <c r="E114" s="32">
        <v>70000000</v>
      </c>
      <c r="F114" s="32">
        <v>0</v>
      </c>
      <c r="G114" s="32">
        <v>93992820</v>
      </c>
      <c r="H114" t="s">
        <v>117</v>
      </c>
    </row>
    <row r="115" spans="1:8" hidden="1" x14ac:dyDescent="0.3">
      <c r="A115" s="28">
        <v>15706</v>
      </c>
      <c r="B115" s="31">
        <v>45293.570833333331</v>
      </c>
      <c r="C115" s="18">
        <v>45293</v>
      </c>
      <c r="D115" t="s">
        <v>104</v>
      </c>
      <c r="E115" s="32">
        <v>0</v>
      </c>
      <c r="F115" s="32">
        <v>1658440</v>
      </c>
      <c r="G115" s="32">
        <v>23992820</v>
      </c>
      <c r="H115" t="s">
        <v>108</v>
      </c>
    </row>
    <row r="116" spans="1:8" hidden="1" x14ac:dyDescent="0.3">
      <c r="A116" s="28">
        <v>15661</v>
      </c>
      <c r="B116" s="31">
        <v>45288.421527777777</v>
      </c>
      <c r="C116" s="18">
        <v>45288</v>
      </c>
      <c r="D116" t="s">
        <v>104</v>
      </c>
      <c r="E116" s="32">
        <v>0</v>
      </c>
      <c r="F116" s="32">
        <v>25845800</v>
      </c>
      <c r="G116" s="32">
        <v>25651260</v>
      </c>
      <c r="H116" t="s">
        <v>108</v>
      </c>
    </row>
    <row r="117" spans="1:8" hidden="1" x14ac:dyDescent="0.3">
      <c r="A117" s="28">
        <v>15659</v>
      </c>
      <c r="B117" s="31">
        <v>45288.307638888888</v>
      </c>
      <c r="C117" s="18">
        <v>45288</v>
      </c>
      <c r="D117" t="s">
        <v>104</v>
      </c>
      <c r="E117" s="32">
        <v>0</v>
      </c>
      <c r="F117" s="32">
        <v>345205</v>
      </c>
      <c r="G117" s="32">
        <v>51497060</v>
      </c>
      <c r="H117" t="s">
        <v>146</v>
      </c>
    </row>
    <row r="118" spans="1:8" hidden="1" x14ac:dyDescent="0.3">
      <c r="A118" s="28">
        <v>15651</v>
      </c>
      <c r="B118" s="31">
        <v>45287.397222222222</v>
      </c>
      <c r="C118" s="18">
        <v>45287</v>
      </c>
      <c r="D118" t="s">
        <v>104</v>
      </c>
      <c r="E118" s="32">
        <v>0</v>
      </c>
      <c r="F118" s="32">
        <v>25905800</v>
      </c>
      <c r="G118" s="32">
        <v>51842265</v>
      </c>
      <c r="H118" t="s">
        <v>108</v>
      </c>
    </row>
    <row r="119" spans="1:8" hidden="1" x14ac:dyDescent="0.3">
      <c r="A119" s="28">
        <v>15648</v>
      </c>
      <c r="B119" s="31">
        <v>45286.786111111112</v>
      </c>
      <c r="C119" s="18">
        <v>45286</v>
      </c>
      <c r="D119" t="s">
        <v>104</v>
      </c>
      <c r="E119" s="32">
        <v>0</v>
      </c>
      <c r="F119" s="32">
        <v>240000</v>
      </c>
      <c r="G119" s="32">
        <v>77748065</v>
      </c>
      <c r="H119" t="s">
        <v>109</v>
      </c>
    </row>
    <row r="120" spans="1:8" hidden="1" x14ac:dyDescent="0.3">
      <c r="A120" s="28">
        <v>15647</v>
      </c>
      <c r="B120" s="31">
        <v>45286.784722222219</v>
      </c>
      <c r="C120" s="18">
        <v>45286</v>
      </c>
      <c r="D120" t="s">
        <v>104</v>
      </c>
      <c r="E120" s="32">
        <v>0</v>
      </c>
      <c r="F120" s="32">
        <v>6950</v>
      </c>
      <c r="G120" s="32">
        <v>77988065</v>
      </c>
      <c r="H120" t="s">
        <v>147</v>
      </c>
    </row>
    <row r="121" spans="1:8" hidden="1" x14ac:dyDescent="0.3">
      <c r="A121" s="28">
        <v>15646</v>
      </c>
      <c r="B121" s="31">
        <v>45286.750694444447</v>
      </c>
      <c r="C121" s="18">
        <v>45286</v>
      </c>
      <c r="D121" t="s">
        <v>103</v>
      </c>
      <c r="E121" s="32">
        <v>50000000</v>
      </c>
      <c r="F121" s="32">
        <v>0</v>
      </c>
      <c r="G121" s="32">
        <v>77995015</v>
      </c>
      <c r="H121" t="s">
        <v>117</v>
      </c>
    </row>
    <row r="122" spans="1:8" hidden="1" x14ac:dyDescent="0.3">
      <c r="A122" s="28">
        <v>15638</v>
      </c>
      <c r="B122" s="31">
        <v>45286.356944444444</v>
      </c>
      <c r="C122" s="18">
        <v>45286</v>
      </c>
      <c r="D122" t="s">
        <v>104</v>
      </c>
      <c r="E122" s="32">
        <v>0</v>
      </c>
      <c r="F122" s="32">
        <v>210800</v>
      </c>
      <c r="G122" s="32">
        <v>27995015</v>
      </c>
      <c r="H122" t="s">
        <v>119</v>
      </c>
    </row>
    <row r="123" spans="1:8" hidden="1" x14ac:dyDescent="0.3">
      <c r="A123" s="28">
        <v>15637</v>
      </c>
      <c r="B123" s="31">
        <v>45286.356944444444</v>
      </c>
      <c r="C123" s="18">
        <v>45286</v>
      </c>
      <c r="D123" t="s">
        <v>104</v>
      </c>
      <c r="E123" s="32">
        <v>0</v>
      </c>
      <c r="F123" s="32">
        <v>2415586</v>
      </c>
      <c r="G123" s="32">
        <v>28205815</v>
      </c>
      <c r="H123" t="s">
        <v>119</v>
      </c>
    </row>
    <row r="124" spans="1:8" hidden="1" x14ac:dyDescent="0.3">
      <c r="A124" s="28">
        <v>15630</v>
      </c>
      <c r="B124" s="31">
        <v>45282.582638888889</v>
      </c>
      <c r="C124" s="18">
        <v>45282</v>
      </c>
      <c r="D124" t="s">
        <v>103</v>
      </c>
      <c r="E124" s="32">
        <v>199100</v>
      </c>
      <c r="F124" s="32">
        <v>0</v>
      </c>
      <c r="G124" s="32">
        <v>30621401</v>
      </c>
      <c r="H124" t="s">
        <v>137</v>
      </c>
    </row>
    <row r="125" spans="1:8" hidden="1" x14ac:dyDescent="0.3">
      <c r="A125" s="28">
        <v>15625</v>
      </c>
      <c r="B125" s="31">
        <v>45282.334722222222</v>
      </c>
      <c r="C125" s="18">
        <v>45282</v>
      </c>
      <c r="D125" t="s">
        <v>104</v>
      </c>
      <c r="E125" s="32">
        <v>0</v>
      </c>
      <c r="F125" s="32">
        <v>51491970</v>
      </c>
      <c r="G125" s="32">
        <v>30422301</v>
      </c>
      <c r="H125" t="s">
        <v>120</v>
      </c>
    </row>
    <row r="126" spans="1:8" hidden="1" x14ac:dyDescent="0.3">
      <c r="A126" s="28">
        <v>15624</v>
      </c>
      <c r="B126" s="31">
        <v>45281.757638888892</v>
      </c>
      <c r="C126" s="18">
        <v>45281</v>
      </c>
      <c r="D126" t="s">
        <v>104</v>
      </c>
      <c r="E126" s="32">
        <v>0</v>
      </c>
      <c r="F126" s="32">
        <v>262930</v>
      </c>
      <c r="G126" s="32">
        <v>81914271</v>
      </c>
      <c r="H126" t="s">
        <v>148</v>
      </c>
    </row>
    <row r="127" spans="1:8" hidden="1" x14ac:dyDescent="0.3">
      <c r="A127" s="28">
        <v>15618</v>
      </c>
      <c r="B127" s="31">
        <v>45281.390277777777</v>
      </c>
      <c r="C127" s="18">
        <v>45281</v>
      </c>
      <c r="D127" t="s">
        <v>104</v>
      </c>
      <c r="E127" s="32">
        <v>0</v>
      </c>
      <c r="F127" s="32">
        <v>13061000</v>
      </c>
      <c r="G127" s="32">
        <v>82177201</v>
      </c>
      <c r="H127" t="s">
        <v>108</v>
      </c>
    </row>
    <row r="128" spans="1:8" hidden="1" x14ac:dyDescent="0.3">
      <c r="A128" s="28">
        <v>15617</v>
      </c>
      <c r="B128" s="31">
        <v>45281.386805555558</v>
      </c>
      <c r="C128" s="18">
        <v>45281</v>
      </c>
      <c r="D128" t="s">
        <v>104</v>
      </c>
      <c r="E128" s="32">
        <v>0</v>
      </c>
      <c r="F128" s="32">
        <v>13462900</v>
      </c>
      <c r="G128" s="32">
        <v>95238201</v>
      </c>
      <c r="H128" t="s">
        <v>108</v>
      </c>
    </row>
    <row r="129" spans="1:8" hidden="1" x14ac:dyDescent="0.3">
      <c r="A129" s="28">
        <v>15598</v>
      </c>
      <c r="B129" s="31">
        <v>45279.552083333336</v>
      </c>
      <c r="C129" s="18">
        <v>45279</v>
      </c>
      <c r="D129" t="s">
        <v>103</v>
      </c>
      <c r="E129" s="32">
        <v>80300</v>
      </c>
      <c r="F129" s="32">
        <v>0</v>
      </c>
      <c r="G129" s="32">
        <v>108701101</v>
      </c>
      <c r="H129" t="s">
        <v>110</v>
      </c>
    </row>
    <row r="130" spans="1:8" hidden="1" x14ac:dyDescent="0.3">
      <c r="A130" s="28">
        <v>15597</v>
      </c>
      <c r="B130" s="31">
        <v>45279.551388888889</v>
      </c>
      <c r="C130" s="18">
        <v>45279</v>
      </c>
      <c r="D130" t="s">
        <v>103</v>
      </c>
      <c r="E130" s="32">
        <v>267300</v>
      </c>
      <c r="F130" s="32">
        <v>0</v>
      </c>
      <c r="G130" s="32">
        <v>108620801</v>
      </c>
      <c r="H130" t="s">
        <v>110</v>
      </c>
    </row>
    <row r="131" spans="1:8" hidden="1" x14ac:dyDescent="0.3">
      <c r="A131" s="28">
        <v>15596</v>
      </c>
      <c r="B131" s="31">
        <v>45279.551388888889</v>
      </c>
      <c r="C131" s="18">
        <v>45279</v>
      </c>
      <c r="D131" t="s">
        <v>103</v>
      </c>
      <c r="E131" s="32">
        <v>382800</v>
      </c>
      <c r="F131" s="32">
        <v>0</v>
      </c>
      <c r="G131" s="32">
        <v>108353501</v>
      </c>
      <c r="H131" t="s">
        <v>110</v>
      </c>
    </row>
    <row r="132" spans="1:8" hidden="1" x14ac:dyDescent="0.3">
      <c r="A132" s="28">
        <v>15584</v>
      </c>
      <c r="B132" s="31">
        <v>45278.397916666669</v>
      </c>
      <c r="C132" s="18">
        <v>45278</v>
      </c>
      <c r="D132" t="s">
        <v>104</v>
      </c>
      <c r="E132" s="32">
        <v>0</v>
      </c>
      <c r="F132" s="32">
        <v>25442600</v>
      </c>
      <c r="G132" s="32">
        <v>107970701</v>
      </c>
      <c r="H132" t="s">
        <v>108</v>
      </c>
    </row>
    <row r="133" spans="1:8" hidden="1" x14ac:dyDescent="0.3">
      <c r="A133" s="28">
        <v>15583</v>
      </c>
      <c r="B133" s="31">
        <v>45278.397222222222</v>
      </c>
      <c r="C133" s="18">
        <v>45278</v>
      </c>
      <c r="D133" t="s">
        <v>104</v>
      </c>
      <c r="E133" s="32">
        <v>0</v>
      </c>
      <c r="F133" s="32">
        <v>13441500</v>
      </c>
      <c r="G133" s="32">
        <v>133413301</v>
      </c>
      <c r="H133" t="s">
        <v>108</v>
      </c>
    </row>
    <row r="134" spans="1:8" hidden="1" x14ac:dyDescent="0.3">
      <c r="A134" s="28">
        <v>15580</v>
      </c>
      <c r="B134" s="31">
        <v>45278.306944444441</v>
      </c>
      <c r="C134" s="18">
        <v>45278</v>
      </c>
      <c r="D134" t="s">
        <v>103</v>
      </c>
      <c r="E134" s="32">
        <v>18279</v>
      </c>
      <c r="F134" s="32">
        <v>0</v>
      </c>
      <c r="G134" s="32">
        <v>146854801</v>
      </c>
      <c r="H134" t="s">
        <v>149</v>
      </c>
    </row>
    <row r="135" spans="1:8" hidden="1" x14ac:dyDescent="0.3">
      <c r="A135" s="28">
        <v>15573</v>
      </c>
      <c r="B135" s="31">
        <v>45275.775694444441</v>
      </c>
      <c r="C135" s="18">
        <v>45275</v>
      </c>
      <c r="D135" t="s">
        <v>104</v>
      </c>
      <c r="E135" s="32">
        <v>0</v>
      </c>
      <c r="F135" s="32">
        <v>1920000</v>
      </c>
      <c r="G135" s="32">
        <v>146836522</v>
      </c>
      <c r="H135" t="s">
        <v>109</v>
      </c>
    </row>
    <row r="136" spans="1:8" hidden="1" x14ac:dyDescent="0.3">
      <c r="A136" s="28">
        <v>15555</v>
      </c>
      <c r="B136" s="31">
        <v>45274.656944444447</v>
      </c>
      <c r="C136" s="18">
        <v>45274</v>
      </c>
      <c r="D136" t="s">
        <v>103</v>
      </c>
      <c r="E136" s="32">
        <v>503800</v>
      </c>
      <c r="F136" s="32">
        <v>0</v>
      </c>
      <c r="G136" s="32">
        <v>148756522</v>
      </c>
      <c r="H136" t="s">
        <v>110</v>
      </c>
    </row>
    <row r="137" spans="1:8" hidden="1" x14ac:dyDescent="0.3">
      <c r="A137" s="28">
        <v>15551</v>
      </c>
      <c r="B137" s="31">
        <v>45274.375694444447</v>
      </c>
      <c r="C137" s="18">
        <v>45274</v>
      </c>
      <c r="D137" t="s">
        <v>104</v>
      </c>
      <c r="E137" s="32">
        <v>0</v>
      </c>
      <c r="F137" s="32">
        <v>25978000</v>
      </c>
      <c r="G137" s="32">
        <v>148252722</v>
      </c>
      <c r="H137" t="s">
        <v>108</v>
      </c>
    </row>
    <row r="138" spans="1:8" hidden="1" x14ac:dyDescent="0.3">
      <c r="A138" s="28">
        <v>15550</v>
      </c>
      <c r="B138" s="31">
        <v>45274.35833333333</v>
      </c>
      <c r="C138" s="18">
        <v>45274</v>
      </c>
      <c r="D138" t="s">
        <v>103</v>
      </c>
      <c r="E138" s="32">
        <v>100724589</v>
      </c>
      <c r="F138" s="32">
        <v>0</v>
      </c>
      <c r="G138" s="32">
        <v>174230722</v>
      </c>
      <c r="H138" t="s">
        <v>150</v>
      </c>
    </row>
    <row r="139" spans="1:8" hidden="1" x14ac:dyDescent="0.3">
      <c r="A139" s="28">
        <v>15549</v>
      </c>
      <c r="B139" s="31">
        <v>45274.357638888891</v>
      </c>
      <c r="C139" s="18">
        <v>45274</v>
      </c>
      <c r="D139" t="s">
        <v>104</v>
      </c>
      <c r="E139" s="32">
        <v>0</v>
      </c>
      <c r="F139" s="32">
        <v>200000000</v>
      </c>
      <c r="G139" s="32">
        <v>73506133</v>
      </c>
      <c r="H139" t="s">
        <v>114</v>
      </c>
    </row>
    <row r="140" spans="1:8" hidden="1" x14ac:dyDescent="0.3">
      <c r="A140" s="28">
        <v>15547</v>
      </c>
      <c r="B140" s="31">
        <v>45273.738194444442</v>
      </c>
      <c r="C140" s="18">
        <v>45273</v>
      </c>
      <c r="D140" t="s">
        <v>103</v>
      </c>
      <c r="E140" s="32">
        <v>30697700</v>
      </c>
      <c r="F140" s="32">
        <v>0</v>
      </c>
      <c r="G140" s="32">
        <v>273506133</v>
      </c>
      <c r="H140" t="s">
        <v>130</v>
      </c>
    </row>
    <row r="141" spans="1:8" hidden="1" x14ac:dyDescent="0.3">
      <c r="A141" s="28">
        <v>15546</v>
      </c>
      <c r="B141" s="31">
        <v>45273.737500000003</v>
      </c>
      <c r="C141" s="18">
        <v>45273</v>
      </c>
      <c r="D141" t="s">
        <v>103</v>
      </c>
      <c r="E141" s="32">
        <v>1188000</v>
      </c>
      <c r="F141" s="32">
        <v>0</v>
      </c>
      <c r="G141" s="32">
        <v>242808433</v>
      </c>
      <c r="H141" t="s">
        <v>130</v>
      </c>
    </row>
    <row r="142" spans="1:8" hidden="1" x14ac:dyDescent="0.3">
      <c r="A142" s="28">
        <v>15545</v>
      </c>
      <c r="B142" s="31">
        <v>45273.736805555556</v>
      </c>
      <c r="C142" s="18">
        <v>45273</v>
      </c>
      <c r="D142" t="s">
        <v>103</v>
      </c>
      <c r="E142" s="32">
        <v>476300</v>
      </c>
      <c r="F142" s="32">
        <v>0</v>
      </c>
      <c r="G142" s="32">
        <v>241620433</v>
      </c>
      <c r="H142" t="s">
        <v>130</v>
      </c>
    </row>
    <row r="143" spans="1:8" hidden="1" x14ac:dyDescent="0.3">
      <c r="A143" s="28">
        <v>15529</v>
      </c>
      <c r="B143" s="31">
        <v>45272.377083333333</v>
      </c>
      <c r="C143" s="18">
        <v>45272</v>
      </c>
      <c r="D143" t="s">
        <v>104</v>
      </c>
      <c r="E143" s="32">
        <v>0</v>
      </c>
      <c r="F143" s="32">
        <v>13180200</v>
      </c>
      <c r="G143" s="32">
        <v>241144133</v>
      </c>
      <c r="H143" t="s">
        <v>108</v>
      </c>
    </row>
    <row r="144" spans="1:8" hidden="1" x14ac:dyDescent="0.3">
      <c r="A144" s="28">
        <v>15528</v>
      </c>
      <c r="B144" s="31">
        <v>45272.377083333333</v>
      </c>
      <c r="C144" s="18">
        <v>45272</v>
      </c>
      <c r="D144" t="s">
        <v>104</v>
      </c>
      <c r="E144" s="32">
        <v>0</v>
      </c>
      <c r="F144" s="32">
        <v>13441500</v>
      </c>
      <c r="G144" s="32">
        <v>254324333</v>
      </c>
      <c r="H144" t="s">
        <v>108</v>
      </c>
    </row>
    <row r="145" spans="1:8" hidden="1" x14ac:dyDescent="0.3">
      <c r="A145" s="28">
        <v>15526</v>
      </c>
      <c r="B145" s="31">
        <v>45271.770138888889</v>
      </c>
      <c r="C145" s="18">
        <v>45271</v>
      </c>
      <c r="D145" t="s">
        <v>104</v>
      </c>
      <c r="E145" s="32">
        <v>0</v>
      </c>
      <c r="F145" s="32">
        <v>751210</v>
      </c>
      <c r="G145" s="32">
        <v>267765833</v>
      </c>
      <c r="H145" t="s">
        <v>151</v>
      </c>
    </row>
    <row r="146" spans="1:8" hidden="1" x14ac:dyDescent="0.3">
      <c r="A146" s="28">
        <v>15525</v>
      </c>
      <c r="B146" s="31">
        <v>45271.76666666667</v>
      </c>
      <c r="C146" s="18">
        <v>45271</v>
      </c>
      <c r="D146" t="s">
        <v>104</v>
      </c>
      <c r="E146" s="32">
        <v>0</v>
      </c>
      <c r="F146" s="32">
        <v>357840</v>
      </c>
      <c r="G146" s="32">
        <v>268517043</v>
      </c>
      <c r="H146" t="s">
        <v>152</v>
      </c>
    </row>
    <row r="147" spans="1:8" hidden="1" x14ac:dyDescent="0.3">
      <c r="A147" s="28">
        <v>15524</v>
      </c>
      <c r="B147" s="31">
        <v>45271.763194444444</v>
      </c>
      <c r="C147" s="18">
        <v>45271</v>
      </c>
      <c r="D147" t="s">
        <v>104</v>
      </c>
      <c r="E147" s="32">
        <v>0</v>
      </c>
      <c r="F147" s="32">
        <v>4419620</v>
      </c>
      <c r="G147" s="32">
        <v>268874883</v>
      </c>
      <c r="H147" t="s">
        <v>153</v>
      </c>
    </row>
    <row r="148" spans="1:8" hidden="1" x14ac:dyDescent="0.3">
      <c r="A148" s="28">
        <v>15523</v>
      </c>
      <c r="B148" s="31">
        <v>45271.760416666664</v>
      </c>
      <c r="C148" s="18">
        <v>45271</v>
      </c>
      <c r="D148" t="s">
        <v>104</v>
      </c>
      <c r="E148" s="32">
        <v>0</v>
      </c>
      <c r="F148" s="32">
        <v>4823220</v>
      </c>
      <c r="G148" s="32">
        <v>273294503</v>
      </c>
      <c r="H148" t="s">
        <v>154</v>
      </c>
    </row>
    <row r="149" spans="1:8" hidden="1" x14ac:dyDescent="0.3">
      <c r="A149" s="28">
        <v>15507</v>
      </c>
      <c r="B149" s="31">
        <v>45268.438194444447</v>
      </c>
      <c r="C149" s="18">
        <v>45268</v>
      </c>
      <c r="D149" t="s">
        <v>104</v>
      </c>
      <c r="E149" s="32">
        <v>0</v>
      </c>
      <c r="F149" s="32">
        <v>4203550</v>
      </c>
      <c r="G149" s="32">
        <v>278117723</v>
      </c>
      <c r="H149" t="s">
        <v>112</v>
      </c>
    </row>
    <row r="150" spans="1:8" hidden="1" x14ac:dyDescent="0.3">
      <c r="A150" s="28">
        <v>15506</v>
      </c>
      <c r="B150" s="31">
        <v>45268.376388888886</v>
      </c>
      <c r="C150" s="18">
        <v>45268</v>
      </c>
      <c r="D150" t="s">
        <v>104</v>
      </c>
      <c r="E150" s="32">
        <v>0</v>
      </c>
      <c r="F150" s="32">
        <v>13177200</v>
      </c>
      <c r="G150" s="32">
        <v>282321273</v>
      </c>
      <c r="H150" t="s">
        <v>108</v>
      </c>
    </row>
    <row r="151" spans="1:8" hidden="1" x14ac:dyDescent="0.3">
      <c r="A151" s="28">
        <v>15503</v>
      </c>
      <c r="B151" s="31">
        <v>45266.679166666669</v>
      </c>
      <c r="C151" s="18">
        <v>45266</v>
      </c>
      <c r="D151" t="s">
        <v>103</v>
      </c>
      <c r="E151" s="32">
        <v>426800</v>
      </c>
      <c r="F151" s="32">
        <v>0</v>
      </c>
      <c r="G151" s="32">
        <v>295498473</v>
      </c>
      <c r="H151" t="s">
        <v>133</v>
      </c>
    </row>
    <row r="152" spans="1:8" hidden="1" x14ac:dyDescent="0.3">
      <c r="A152" s="28">
        <v>15502</v>
      </c>
      <c r="B152" s="31">
        <v>45266.678472222222</v>
      </c>
      <c r="C152" s="18">
        <v>45266</v>
      </c>
      <c r="D152" t="s">
        <v>103</v>
      </c>
      <c r="E152" s="32">
        <v>530200</v>
      </c>
      <c r="F152" s="32">
        <v>0</v>
      </c>
      <c r="G152" s="32">
        <v>295071673</v>
      </c>
      <c r="H152" t="s">
        <v>133</v>
      </c>
    </row>
    <row r="153" spans="1:8" hidden="1" x14ac:dyDescent="0.3">
      <c r="A153" s="28">
        <v>15501</v>
      </c>
      <c r="B153" s="31">
        <v>45266.677083333336</v>
      </c>
      <c r="C153" s="18">
        <v>45266</v>
      </c>
      <c r="D153" t="s">
        <v>103</v>
      </c>
      <c r="E153" s="32">
        <v>17858500</v>
      </c>
      <c r="F153" s="32">
        <v>0</v>
      </c>
      <c r="G153" s="32">
        <v>294541473</v>
      </c>
      <c r="H153" t="s">
        <v>133</v>
      </c>
    </row>
    <row r="154" spans="1:8" hidden="1" x14ac:dyDescent="0.3">
      <c r="A154" s="28">
        <v>15494</v>
      </c>
      <c r="B154" s="31">
        <v>45266.573611111111</v>
      </c>
      <c r="C154" s="18">
        <v>45266</v>
      </c>
      <c r="D154" t="s">
        <v>104</v>
      </c>
      <c r="E154" s="32">
        <v>0</v>
      </c>
      <c r="F154" s="32">
        <v>105210</v>
      </c>
      <c r="G154" s="32">
        <v>276682973</v>
      </c>
      <c r="H154" t="s">
        <v>111</v>
      </c>
    </row>
    <row r="155" spans="1:8" hidden="1" x14ac:dyDescent="0.3">
      <c r="A155" s="28">
        <v>15488</v>
      </c>
      <c r="B155" s="31">
        <v>45266.461111111108</v>
      </c>
      <c r="C155" s="18">
        <v>45266</v>
      </c>
      <c r="D155" t="s">
        <v>103</v>
      </c>
      <c r="E155" s="32">
        <v>630300</v>
      </c>
      <c r="F155" s="32">
        <v>0</v>
      </c>
      <c r="G155" s="32">
        <v>276788183</v>
      </c>
      <c r="H155" t="s">
        <v>110</v>
      </c>
    </row>
    <row r="156" spans="1:8" hidden="1" x14ac:dyDescent="0.3">
      <c r="A156" s="28">
        <v>15487</v>
      </c>
      <c r="B156" s="31">
        <v>45266.461111111108</v>
      </c>
      <c r="C156" s="18">
        <v>45266</v>
      </c>
      <c r="D156" t="s">
        <v>103</v>
      </c>
      <c r="E156" s="32">
        <v>671000</v>
      </c>
      <c r="F156" s="32">
        <v>0</v>
      </c>
      <c r="G156" s="32">
        <v>276157883</v>
      </c>
      <c r="H156" t="s">
        <v>110</v>
      </c>
    </row>
    <row r="157" spans="1:8" hidden="1" x14ac:dyDescent="0.3">
      <c r="A157" s="28">
        <v>15483</v>
      </c>
      <c r="B157" s="31">
        <v>45265.759027777778</v>
      </c>
      <c r="C157" s="18">
        <v>45265</v>
      </c>
      <c r="D157" t="s">
        <v>104</v>
      </c>
      <c r="E157" s="32">
        <v>0</v>
      </c>
      <c r="F157" s="32">
        <v>240000</v>
      </c>
      <c r="G157" s="32">
        <v>275486883</v>
      </c>
      <c r="H157" t="s">
        <v>109</v>
      </c>
    </row>
    <row r="158" spans="1:8" hidden="1" x14ac:dyDescent="0.3">
      <c r="A158" s="28">
        <v>15474</v>
      </c>
      <c r="B158" s="31">
        <v>45265.4</v>
      </c>
      <c r="C158" s="18">
        <v>45265</v>
      </c>
      <c r="D158" t="s">
        <v>104</v>
      </c>
      <c r="E158" s="32">
        <v>0</v>
      </c>
      <c r="F158" s="32">
        <v>13441500</v>
      </c>
      <c r="G158" s="32">
        <v>275726883</v>
      </c>
      <c r="H158" t="s">
        <v>108</v>
      </c>
    </row>
    <row r="159" spans="1:8" hidden="1" x14ac:dyDescent="0.3">
      <c r="A159" s="28">
        <v>15426</v>
      </c>
      <c r="B159" s="31">
        <v>45259.674305555556</v>
      </c>
      <c r="C159" s="18">
        <v>45259</v>
      </c>
      <c r="D159" t="s">
        <v>103</v>
      </c>
      <c r="E159" s="32">
        <v>201175700</v>
      </c>
      <c r="F159" s="32">
        <v>0</v>
      </c>
      <c r="G159" s="32">
        <v>289168383</v>
      </c>
      <c r="H159" t="s">
        <v>115</v>
      </c>
    </row>
    <row r="160" spans="1:8" hidden="1" x14ac:dyDescent="0.3">
      <c r="A160" s="28">
        <v>15421</v>
      </c>
      <c r="B160" s="31">
        <v>45259.418749999997</v>
      </c>
      <c r="C160" s="18">
        <v>45259</v>
      </c>
      <c r="D160" t="s">
        <v>104</v>
      </c>
      <c r="E160" s="32">
        <v>0</v>
      </c>
      <c r="F160" s="32">
        <v>12884900</v>
      </c>
      <c r="G160" s="32">
        <v>87992683</v>
      </c>
      <c r="H160" t="s">
        <v>108</v>
      </c>
    </row>
    <row r="161" spans="1:8" hidden="1" x14ac:dyDescent="0.3">
      <c r="A161" s="28">
        <v>15419</v>
      </c>
      <c r="B161" s="31">
        <v>45259.407638888886</v>
      </c>
      <c r="C161" s="18">
        <v>45259</v>
      </c>
      <c r="D161" t="s">
        <v>104</v>
      </c>
      <c r="E161" s="32">
        <v>0</v>
      </c>
      <c r="F161" s="32">
        <v>13474900</v>
      </c>
      <c r="G161" s="32">
        <v>100877583</v>
      </c>
      <c r="H161" t="s">
        <v>108</v>
      </c>
    </row>
    <row r="162" spans="1:8" hidden="1" x14ac:dyDescent="0.3">
      <c r="A162" s="28">
        <v>15418</v>
      </c>
      <c r="B162" s="31">
        <v>45259.378472222219</v>
      </c>
      <c r="C162" s="18">
        <v>45259</v>
      </c>
      <c r="D162" t="s">
        <v>103</v>
      </c>
      <c r="E162" s="32">
        <v>100645874</v>
      </c>
      <c r="F162" s="32">
        <v>0</v>
      </c>
      <c r="G162" s="32">
        <v>114352483</v>
      </c>
      <c r="H162" t="s">
        <v>150</v>
      </c>
    </row>
    <row r="163" spans="1:8" hidden="1" x14ac:dyDescent="0.3">
      <c r="A163" s="28">
        <v>15413</v>
      </c>
      <c r="B163" s="31">
        <v>45258.306250000001</v>
      </c>
      <c r="C163" s="18">
        <v>45258</v>
      </c>
      <c r="D163" t="s">
        <v>104</v>
      </c>
      <c r="E163" s="32">
        <v>0</v>
      </c>
      <c r="F163" s="32">
        <v>356712</v>
      </c>
      <c r="G163" s="32">
        <v>13706609</v>
      </c>
      <c r="H163" t="s">
        <v>155</v>
      </c>
    </row>
    <row r="164" spans="1:8" hidden="1" x14ac:dyDescent="0.3">
      <c r="A164" s="28">
        <v>15411</v>
      </c>
      <c r="B164" s="31">
        <v>45257.820138888892</v>
      </c>
      <c r="C164" s="18">
        <v>45257</v>
      </c>
      <c r="D164" t="s">
        <v>104</v>
      </c>
      <c r="E164" s="32">
        <v>0</v>
      </c>
      <c r="F164" s="32">
        <v>240000</v>
      </c>
      <c r="G164" s="32">
        <v>14063321</v>
      </c>
      <c r="H164" t="s">
        <v>109</v>
      </c>
    </row>
    <row r="165" spans="1:8" hidden="1" x14ac:dyDescent="0.3">
      <c r="A165" s="28">
        <v>15410</v>
      </c>
      <c r="B165" s="31">
        <v>45257.797222222223</v>
      </c>
      <c r="C165" s="18">
        <v>45257</v>
      </c>
      <c r="D165" t="s">
        <v>104</v>
      </c>
      <c r="E165" s="32">
        <v>0</v>
      </c>
      <c r="F165" s="32">
        <v>5980</v>
      </c>
      <c r="G165" s="32">
        <v>14303321</v>
      </c>
      <c r="H165" t="s">
        <v>156</v>
      </c>
    </row>
    <row r="166" spans="1:8" hidden="1" x14ac:dyDescent="0.3">
      <c r="A166" s="28">
        <v>15404</v>
      </c>
      <c r="B166" s="31">
        <v>45257.303472222222</v>
      </c>
      <c r="C166" s="18">
        <v>45257</v>
      </c>
      <c r="D166" t="s">
        <v>104</v>
      </c>
      <c r="E166" s="32">
        <v>0</v>
      </c>
      <c r="F166" s="32">
        <v>410980</v>
      </c>
      <c r="G166" s="32">
        <v>14309301</v>
      </c>
      <c r="H166" t="s">
        <v>119</v>
      </c>
    </row>
    <row r="167" spans="1:8" hidden="1" x14ac:dyDescent="0.3">
      <c r="A167" s="28">
        <v>15403</v>
      </c>
      <c r="B167" s="31">
        <v>45257.303472222222</v>
      </c>
      <c r="C167" s="18">
        <v>45257</v>
      </c>
      <c r="D167" t="s">
        <v>104</v>
      </c>
      <c r="E167" s="32">
        <v>0</v>
      </c>
      <c r="F167" s="32">
        <v>5016356</v>
      </c>
      <c r="G167" s="32">
        <v>14720281</v>
      </c>
      <c r="H167" t="s">
        <v>119</v>
      </c>
    </row>
    <row r="168" spans="1:8" hidden="1" x14ac:dyDescent="0.3">
      <c r="A168" s="28">
        <v>15379</v>
      </c>
      <c r="B168" s="31">
        <v>45253.333333333336</v>
      </c>
      <c r="C168" s="18">
        <v>45253</v>
      </c>
      <c r="D168" t="s">
        <v>104</v>
      </c>
      <c r="E168" s="32">
        <v>0</v>
      </c>
      <c r="F168" s="32">
        <v>51470850</v>
      </c>
      <c r="G168" s="32">
        <v>19736637</v>
      </c>
      <c r="H168" t="s">
        <v>120</v>
      </c>
    </row>
    <row r="169" spans="1:8" hidden="1" x14ac:dyDescent="0.3">
      <c r="A169" s="28">
        <v>15366</v>
      </c>
      <c r="B169" s="31">
        <v>45251.756944444445</v>
      </c>
      <c r="C169" s="18">
        <v>45251</v>
      </c>
      <c r="D169" t="s">
        <v>104</v>
      </c>
      <c r="E169" s="32">
        <v>0</v>
      </c>
      <c r="F169" s="32">
        <v>266980</v>
      </c>
      <c r="G169" s="32">
        <v>71207487</v>
      </c>
      <c r="H169" t="s">
        <v>157</v>
      </c>
    </row>
    <row r="170" spans="1:8" hidden="1" x14ac:dyDescent="0.3">
      <c r="A170" s="28">
        <v>15352</v>
      </c>
      <c r="B170" s="31">
        <v>45251.385416666664</v>
      </c>
      <c r="C170" s="18">
        <v>45251</v>
      </c>
      <c r="D170" t="s">
        <v>103</v>
      </c>
      <c r="E170" s="32">
        <v>44300000</v>
      </c>
      <c r="F170" s="32">
        <v>0</v>
      </c>
      <c r="G170" s="32">
        <v>71474467</v>
      </c>
      <c r="H170" t="s">
        <v>132</v>
      </c>
    </row>
    <row r="171" spans="1:8" hidden="1" x14ac:dyDescent="0.3">
      <c r="A171" s="28">
        <v>15349</v>
      </c>
      <c r="B171" s="31">
        <v>45251.385416666664</v>
      </c>
      <c r="C171" s="18">
        <v>45251</v>
      </c>
      <c r="D171" t="s">
        <v>103</v>
      </c>
      <c r="E171" s="32">
        <v>127419</v>
      </c>
      <c r="F171" s="32">
        <v>0</v>
      </c>
      <c r="G171" s="32">
        <v>27174467</v>
      </c>
      <c r="H171" t="s">
        <v>158</v>
      </c>
    </row>
    <row r="172" spans="1:8" hidden="1" x14ac:dyDescent="0.3">
      <c r="A172" s="28">
        <v>15338</v>
      </c>
      <c r="B172" s="31">
        <v>45250.481249999997</v>
      </c>
      <c r="C172" s="18">
        <v>45250</v>
      </c>
      <c r="D172" t="s">
        <v>104</v>
      </c>
      <c r="E172" s="32">
        <v>0</v>
      </c>
      <c r="F172" s="32">
        <v>19387350</v>
      </c>
      <c r="G172" s="32">
        <v>27047048</v>
      </c>
      <c r="H172" t="s">
        <v>108</v>
      </c>
    </row>
    <row r="173" spans="1:8" hidden="1" x14ac:dyDescent="0.3">
      <c r="A173" s="28">
        <v>15329</v>
      </c>
      <c r="B173" s="31">
        <v>45250.313194444447</v>
      </c>
      <c r="C173" s="18">
        <v>45250</v>
      </c>
      <c r="D173" t="s">
        <v>103</v>
      </c>
      <c r="E173" s="32">
        <v>14052</v>
      </c>
      <c r="F173" s="32">
        <v>0</v>
      </c>
      <c r="G173" s="32">
        <v>46434398</v>
      </c>
      <c r="H173" t="s">
        <v>149</v>
      </c>
    </row>
    <row r="174" spans="1:8" hidden="1" x14ac:dyDescent="0.3">
      <c r="A174" s="28">
        <v>15320</v>
      </c>
      <c r="B174" s="31">
        <v>45247.376388888886</v>
      </c>
      <c r="C174" s="18">
        <v>45247</v>
      </c>
      <c r="D174" t="s">
        <v>104</v>
      </c>
      <c r="E174" s="32">
        <v>0</v>
      </c>
      <c r="F174" s="32">
        <v>6479950</v>
      </c>
      <c r="G174" s="32">
        <v>46420346</v>
      </c>
      <c r="H174" t="s">
        <v>108</v>
      </c>
    </row>
    <row r="175" spans="1:8" hidden="1" x14ac:dyDescent="0.3">
      <c r="A175" s="28">
        <v>15308</v>
      </c>
      <c r="B175" s="31">
        <v>45245.773611111108</v>
      </c>
      <c r="C175" s="18">
        <v>45245</v>
      </c>
      <c r="D175" t="s">
        <v>104</v>
      </c>
      <c r="E175" s="32">
        <v>0</v>
      </c>
      <c r="F175" s="32">
        <v>1920000</v>
      </c>
      <c r="G175" s="32">
        <v>52900296</v>
      </c>
      <c r="H175" t="s">
        <v>109</v>
      </c>
    </row>
    <row r="176" spans="1:8" hidden="1" x14ac:dyDescent="0.3">
      <c r="A176" s="28">
        <v>15304</v>
      </c>
      <c r="B176" s="31">
        <v>45245.635416666664</v>
      </c>
      <c r="C176" s="18">
        <v>45245</v>
      </c>
      <c r="D176" t="s">
        <v>103</v>
      </c>
      <c r="E176" s="32">
        <v>3066800</v>
      </c>
      <c r="F176" s="32">
        <v>0</v>
      </c>
      <c r="G176" s="32">
        <v>54820296</v>
      </c>
      <c r="H176" t="s">
        <v>110</v>
      </c>
    </row>
    <row r="177" spans="1:8" hidden="1" x14ac:dyDescent="0.3">
      <c r="A177" s="28">
        <v>15289</v>
      </c>
      <c r="B177" s="31">
        <v>45244.386805555558</v>
      </c>
      <c r="C177" s="18">
        <v>45244</v>
      </c>
      <c r="D177" t="s">
        <v>104</v>
      </c>
      <c r="E177" s="32">
        <v>0</v>
      </c>
      <c r="F177" s="32">
        <v>26448400</v>
      </c>
      <c r="G177" s="32">
        <v>51753496</v>
      </c>
      <c r="H177" t="s">
        <v>108</v>
      </c>
    </row>
    <row r="178" spans="1:8" hidden="1" x14ac:dyDescent="0.3">
      <c r="A178" s="28">
        <v>15287</v>
      </c>
      <c r="B178" s="31">
        <v>45243.701388888891</v>
      </c>
      <c r="C178" s="18">
        <v>45243</v>
      </c>
      <c r="D178" t="s">
        <v>103</v>
      </c>
      <c r="E178" s="32">
        <v>1677500</v>
      </c>
      <c r="F178" s="32">
        <v>0</v>
      </c>
      <c r="G178" s="32">
        <v>78201896</v>
      </c>
      <c r="H178" t="s">
        <v>130</v>
      </c>
    </row>
    <row r="179" spans="1:8" hidden="1" x14ac:dyDescent="0.3">
      <c r="A179" s="28">
        <v>15286</v>
      </c>
      <c r="B179" s="31">
        <v>45243.701388888891</v>
      </c>
      <c r="C179" s="18">
        <v>45243</v>
      </c>
      <c r="D179" t="s">
        <v>103</v>
      </c>
      <c r="E179" s="32">
        <v>1441000</v>
      </c>
      <c r="F179" s="32">
        <v>0</v>
      </c>
      <c r="G179" s="32">
        <v>76524396</v>
      </c>
      <c r="H179" t="s">
        <v>130</v>
      </c>
    </row>
    <row r="180" spans="1:8" hidden="1" x14ac:dyDescent="0.3">
      <c r="A180" s="28">
        <v>15285</v>
      </c>
      <c r="B180" s="31">
        <v>45243.701388888891</v>
      </c>
      <c r="C180" s="18">
        <v>45243</v>
      </c>
      <c r="D180" t="s">
        <v>103</v>
      </c>
      <c r="E180" s="32">
        <v>3612400</v>
      </c>
      <c r="F180" s="32">
        <v>0</v>
      </c>
      <c r="G180" s="32">
        <v>75083396</v>
      </c>
      <c r="H180" t="s">
        <v>130</v>
      </c>
    </row>
    <row r="181" spans="1:8" hidden="1" x14ac:dyDescent="0.3">
      <c r="A181" s="28">
        <v>15284</v>
      </c>
      <c r="B181" s="31">
        <v>45243.701388888891</v>
      </c>
      <c r="C181" s="18">
        <v>45243</v>
      </c>
      <c r="D181" t="s">
        <v>103</v>
      </c>
      <c r="E181" s="32">
        <v>2621300</v>
      </c>
      <c r="F181" s="32">
        <v>0</v>
      </c>
      <c r="G181" s="32">
        <v>71470996</v>
      </c>
      <c r="H181" t="s">
        <v>130</v>
      </c>
    </row>
    <row r="182" spans="1:8" hidden="1" x14ac:dyDescent="0.3">
      <c r="A182" s="28">
        <v>15283</v>
      </c>
      <c r="B182" s="31">
        <v>45243.700694444444</v>
      </c>
      <c r="C182" s="18">
        <v>45243</v>
      </c>
      <c r="D182" t="s">
        <v>103</v>
      </c>
      <c r="E182" s="32">
        <v>12111000</v>
      </c>
      <c r="F182" s="32">
        <v>0</v>
      </c>
      <c r="G182" s="32">
        <v>68849696</v>
      </c>
      <c r="H182" t="s">
        <v>130</v>
      </c>
    </row>
    <row r="183" spans="1:8" hidden="1" x14ac:dyDescent="0.3">
      <c r="A183" s="28">
        <v>15266</v>
      </c>
      <c r="B183" s="31">
        <v>45240.76458333333</v>
      </c>
      <c r="C183" s="18">
        <v>45240</v>
      </c>
      <c r="D183" t="s">
        <v>104</v>
      </c>
      <c r="E183" s="32">
        <v>0</v>
      </c>
      <c r="F183" s="32">
        <v>635620</v>
      </c>
      <c r="G183" s="32">
        <v>56738696</v>
      </c>
      <c r="H183" t="s">
        <v>159</v>
      </c>
    </row>
    <row r="184" spans="1:8" hidden="1" x14ac:dyDescent="0.3">
      <c r="A184" s="28">
        <v>15265</v>
      </c>
      <c r="B184" s="31">
        <v>45240.763888888891</v>
      </c>
      <c r="C184" s="18">
        <v>45240</v>
      </c>
      <c r="D184" t="s">
        <v>104</v>
      </c>
      <c r="E184" s="32">
        <v>0</v>
      </c>
      <c r="F184" s="32">
        <v>297550</v>
      </c>
      <c r="G184" s="32">
        <v>57374316</v>
      </c>
      <c r="H184" t="s">
        <v>160</v>
      </c>
    </row>
    <row r="185" spans="1:8" hidden="1" x14ac:dyDescent="0.3">
      <c r="A185" s="28">
        <v>15264</v>
      </c>
      <c r="B185" s="31">
        <v>45240.759722222225</v>
      </c>
      <c r="C185" s="18">
        <v>45240</v>
      </c>
      <c r="D185" t="s">
        <v>104</v>
      </c>
      <c r="E185" s="32">
        <v>0</v>
      </c>
      <c r="F185" s="32">
        <v>3942600</v>
      </c>
      <c r="G185" s="32">
        <v>57671866</v>
      </c>
      <c r="H185" t="s">
        <v>161</v>
      </c>
    </row>
    <row r="186" spans="1:8" hidden="1" x14ac:dyDescent="0.3">
      <c r="A186" s="28">
        <v>15263</v>
      </c>
      <c r="B186" s="31">
        <v>45240.759027777778</v>
      </c>
      <c r="C186" s="18">
        <v>45240</v>
      </c>
      <c r="D186" t="s">
        <v>104</v>
      </c>
      <c r="E186" s="32">
        <v>0</v>
      </c>
      <c r="F186" s="32">
        <v>4330060</v>
      </c>
      <c r="G186" s="32">
        <v>61614466</v>
      </c>
      <c r="H186" t="s">
        <v>162</v>
      </c>
    </row>
    <row r="187" spans="1:8" hidden="1" x14ac:dyDescent="0.3">
      <c r="A187" s="28">
        <v>15255</v>
      </c>
      <c r="B187" s="31">
        <v>45240.440972222219</v>
      </c>
      <c r="C187" s="18">
        <v>45240</v>
      </c>
      <c r="D187" t="s">
        <v>104</v>
      </c>
      <c r="E187" s="32">
        <v>0</v>
      </c>
      <c r="F187" s="32">
        <v>4091400</v>
      </c>
      <c r="G187" s="32">
        <v>65944526</v>
      </c>
      <c r="H187" t="s">
        <v>112</v>
      </c>
    </row>
    <row r="188" spans="1:8" hidden="1" x14ac:dyDescent="0.3">
      <c r="A188" s="28">
        <v>15248</v>
      </c>
      <c r="B188" s="31">
        <v>45239.65347222222</v>
      </c>
      <c r="C188" s="18">
        <v>45239</v>
      </c>
      <c r="D188" t="s">
        <v>103</v>
      </c>
      <c r="E188" s="32">
        <v>17166600</v>
      </c>
      <c r="F188" s="32">
        <v>0</v>
      </c>
      <c r="G188" s="32">
        <v>70035926</v>
      </c>
      <c r="H188" t="s">
        <v>95</v>
      </c>
    </row>
    <row r="189" spans="1:8" hidden="1" x14ac:dyDescent="0.3">
      <c r="A189" s="28">
        <v>15242</v>
      </c>
      <c r="B189" s="31">
        <v>45238.684027777781</v>
      </c>
      <c r="C189" s="18">
        <v>45238</v>
      </c>
      <c r="D189" t="s">
        <v>103</v>
      </c>
      <c r="E189" s="32">
        <v>3438600</v>
      </c>
      <c r="F189" s="32">
        <v>0</v>
      </c>
      <c r="G189" s="32">
        <v>52869326</v>
      </c>
      <c r="H189" t="s">
        <v>133</v>
      </c>
    </row>
    <row r="190" spans="1:8" hidden="1" x14ac:dyDescent="0.3">
      <c r="A190" s="28">
        <v>15235</v>
      </c>
      <c r="B190" s="31">
        <v>45238.47152777778</v>
      </c>
      <c r="C190" s="18">
        <v>45238</v>
      </c>
      <c r="D190" t="s">
        <v>104</v>
      </c>
      <c r="E190" s="32">
        <v>0</v>
      </c>
      <c r="F190" s="32">
        <v>1599470</v>
      </c>
      <c r="G190" s="32">
        <v>49430726</v>
      </c>
      <c r="H190" t="s">
        <v>108</v>
      </c>
    </row>
    <row r="191" spans="1:8" hidden="1" x14ac:dyDescent="0.3">
      <c r="A191" s="28">
        <v>15234</v>
      </c>
      <c r="B191" s="31">
        <v>45238.47152777778</v>
      </c>
      <c r="C191" s="18">
        <v>45238</v>
      </c>
      <c r="D191" t="s">
        <v>104</v>
      </c>
      <c r="E191" s="32">
        <v>0</v>
      </c>
      <c r="F191" s="32">
        <v>1392010</v>
      </c>
      <c r="G191" s="32">
        <v>51030196</v>
      </c>
      <c r="H191" t="s">
        <v>108</v>
      </c>
    </row>
    <row r="192" spans="1:8" hidden="1" x14ac:dyDescent="0.3">
      <c r="A192" s="28">
        <v>15231</v>
      </c>
      <c r="B192" s="31">
        <v>45238.461111111108</v>
      </c>
      <c r="C192" s="18">
        <v>45238</v>
      </c>
      <c r="D192" t="s">
        <v>104</v>
      </c>
      <c r="E192" s="32">
        <v>0</v>
      </c>
      <c r="F192" s="32">
        <v>39186000</v>
      </c>
      <c r="G192" s="32">
        <v>52422206</v>
      </c>
      <c r="H192" t="s">
        <v>108</v>
      </c>
    </row>
    <row r="193" spans="1:8" hidden="1" x14ac:dyDescent="0.3">
      <c r="A193" s="28">
        <v>15216</v>
      </c>
      <c r="B193" s="31">
        <v>45236.763194444444</v>
      </c>
      <c r="C193" s="18">
        <v>45236</v>
      </c>
      <c r="D193" t="s">
        <v>104</v>
      </c>
      <c r="E193" s="32">
        <v>0</v>
      </c>
      <c r="F193" s="32">
        <v>240000</v>
      </c>
      <c r="G193" s="32">
        <v>91608206</v>
      </c>
      <c r="H193" t="s">
        <v>109</v>
      </c>
    </row>
    <row r="194" spans="1:8" hidden="1" x14ac:dyDescent="0.3">
      <c r="A194" s="28">
        <v>15207</v>
      </c>
      <c r="B194" s="31">
        <v>45236.415277777778</v>
      </c>
      <c r="C194" s="18">
        <v>45236</v>
      </c>
      <c r="D194" t="s">
        <v>104</v>
      </c>
      <c r="E194" s="32">
        <v>0</v>
      </c>
      <c r="F194" s="32">
        <v>105210</v>
      </c>
      <c r="G194" s="32">
        <v>91848206</v>
      </c>
      <c r="H194" t="s">
        <v>111</v>
      </c>
    </row>
    <row r="195" spans="1:8" hidden="1" x14ac:dyDescent="0.3">
      <c r="A195" s="28">
        <v>15205</v>
      </c>
      <c r="B195" s="31">
        <v>45236.38958333333</v>
      </c>
      <c r="C195" s="18">
        <v>45236</v>
      </c>
      <c r="D195" t="s">
        <v>104</v>
      </c>
      <c r="E195" s="32">
        <v>0</v>
      </c>
      <c r="F195" s="32">
        <v>5270880</v>
      </c>
      <c r="G195" s="32">
        <v>91953416</v>
      </c>
      <c r="H195" t="s">
        <v>108</v>
      </c>
    </row>
    <row r="196" spans="1:8" hidden="1" x14ac:dyDescent="0.3">
      <c r="A196" s="28">
        <v>15204</v>
      </c>
      <c r="B196" s="31">
        <v>45233.720138888886</v>
      </c>
      <c r="C196" s="18">
        <v>45233</v>
      </c>
      <c r="D196" t="s">
        <v>104</v>
      </c>
      <c r="E196" s="32">
        <v>0</v>
      </c>
      <c r="F196" s="32">
        <v>500000</v>
      </c>
      <c r="G196" s="32">
        <v>97224296</v>
      </c>
      <c r="H196" t="s">
        <v>163</v>
      </c>
    </row>
    <row r="197" spans="1:8" hidden="1" x14ac:dyDescent="0.3">
      <c r="A197" s="28">
        <v>15199</v>
      </c>
      <c r="B197" s="31">
        <v>45232.574999999997</v>
      </c>
      <c r="C197" s="18">
        <v>45232</v>
      </c>
      <c r="D197" t="s">
        <v>103</v>
      </c>
      <c r="E197" s="32">
        <v>228800</v>
      </c>
      <c r="F197" s="32">
        <v>0</v>
      </c>
      <c r="G197" s="32">
        <v>97724296</v>
      </c>
      <c r="H197" t="s">
        <v>110</v>
      </c>
    </row>
    <row r="198" spans="1:8" hidden="1" x14ac:dyDescent="0.3">
      <c r="A198" s="28">
        <v>15198</v>
      </c>
      <c r="B198" s="31">
        <v>45232.574999999997</v>
      </c>
      <c r="C198" s="18">
        <v>45232</v>
      </c>
      <c r="D198" t="s">
        <v>103</v>
      </c>
      <c r="E198" s="32">
        <v>138600</v>
      </c>
      <c r="F198" s="32">
        <v>0</v>
      </c>
      <c r="G198" s="32">
        <v>97495496</v>
      </c>
      <c r="H198" t="s">
        <v>110</v>
      </c>
    </row>
    <row r="199" spans="1:8" hidden="1" x14ac:dyDescent="0.3">
      <c r="A199" s="28">
        <v>15197</v>
      </c>
      <c r="B199" s="31">
        <v>45232.574999999997</v>
      </c>
      <c r="C199" s="18">
        <v>45232</v>
      </c>
      <c r="D199" t="s">
        <v>103</v>
      </c>
      <c r="E199" s="32">
        <v>543400</v>
      </c>
      <c r="F199" s="32">
        <v>0</v>
      </c>
      <c r="G199" s="32">
        <v>97356896</v>
      </c>
      <c r="H199" t="s">
        <v>110</v>
      </c>
    </row>
    <row r="200" spans="1:8" hidden="1" x14ac:dyDescent="0.3">
      <c r="A200" s="28">
        <v>15196</v>
      </c>
      <c r="B200" s="31">
        <v>45232.574999999997</v>
      </c>
      <c r="C200" s="18">
        <v>45232</v>
      </c>
      <c r="D200" t="s">
        <v>103</v>
      </c>
      <c r="E200" s="32">
        <v>1287000</v>
      </c>
      <c r="F200" s="32">
        <v>0</v>
      </c>
      <c r="G200" s="32">
        <v>96813496</v>
      </c>
      <c r="H200" t="s">
        <v>110</v>
      </c>
    </row>
    <row r="201" spans="1:8" hidden="1" x14ac:dyDescent="0.3">
      <c r="A201" s="28">
        <v>15167</v>
      </c>
      <c r="B201" s="31">
        <v>45230.44027777778</v>
      </c>
      <c r="C201" s="18">
        <v>45230</v>
      </c>
      <c r="D201" t="s">
        <v>104</v>
      </c>
      <c r="E201" s="32">
        <v>0</v>
      </c>
      <c r="F201" s="32">
        <v>26949800</v>
      </c>
      <c r="G201" s="32">
        <v>95526496</v>
      </c>
      <c r="H201" t="s">
        <v>108</v>
      </c>
    </row>
    <row r="202" spans="1:8" hidden="1" x14ac:dyDescent="0.3">
      <c r="A202" s="28">
        <v>15161</v>
      </c>
      <c r="B202" s="31">
        <v>45229.780555555553</v>
      </c>
      <c r="C202" s="18">
        <v>45229</v>
      </c>
      <c r="D202" t="s">
        <v>104</v>
      </c>
      <c r="E202" s="32">
        <v>0</v>
      </c>
      <c r="F202" s="32">
        <v>100000000</v>
      </c>
      <c r="G202" s="32">
        <v>122476296</v>
      </c>
      <c r="H202" t="s">
        <v>114</v>
      </c>
    </row>
    <row r="203" spans="1:8" hidden="1" x14ac:dyDescent="0.3">
      <c r="A203" s="28">
        <v>15156</v>
      </c>
      <c r="B203" s="31">
        <v>45229.663194444445</v>
      </c>
      <c r="C203" s="18">
        <v>45229</v>
      </c>
      <c r="D203" t="s">
        <v>103</v>
      </c>
      <c r="E203" s="32">
        <v>1852800</v>
      </c>
      <c r="F203" s="32">
        <v>0</v>
      </c>
      <c r="G203" s="32">
        <v>222476296</v>
      </c>
      <c r="H203" t="s">
        <v>130</v>
      </c>
    </row>
    <row r="204" spans="1:8" hidden="1" x14ac:dyDescent="0.3">
      <c r="A204" s="28">
        <v>15152</v>
      </c>
      <c r="B204" s="31">
        <v>45229.598611111112</v>
      </c>
      <c r="C204" s="18">
        <v>45229</v>
      </c>
      <c r="D204" t="s">
        <v>103</v>
      </c>
      <c r="E204" s="32">
        <v>185216300</v>
      </c>
      <c r="F204" s="32">
        <v>0</v>
      </c>
      <c r="G204" s="32">
        <v>220623496</v>
      </c>
      <c r="H204" t="s">
        <v>115</v>
      </c>
    </row>
    <row r="205" spans="1:8" hidden="1" x14ac:dyDescent="0.3">
      <c r="A205" s="28">
        <v>15144</v>
      </c>
      <c r="B205" s="31">
        <v>45229.460416666669</v>
      </c>
      <c r="C205" s="18">
        <v>45229</v>
      </c>
      <c r="D205" t="s">
        <v>103</v>
      </c>
      <c r="E205" s="32">
        <v>18528000</v>
      </c>
      <c r="F205" s="32">
        <v>0</v>
      </c>
      <c r="G205" s="32">
        <v>35407196</v>
      </c>
      <c r="H205" t="s">
        <v>164</v>
      </c>
    </row>
    <row r="206" spans="1:8" hidden="1" x14ac:dyDescent="0.3">
      <c r="A206" s="28">
        <v>15141</v>
      </c>
      <c r="B206" s="31">
        <v>45229.324305555558</v>
      </c>
      <c r="C206" s="18">
        <v>45229</v>
      </c>
      <c r="D206" t="s">
        <v>104</v>
      </c>
      <c r="E206" s="32">
        <v>0</v>
      </c>
      <c r="F206" s="32">
        <v>345205</v>
      </c>
      <c r="G206" s="32">
        <v>16879196</v>
      </c>
      <c r="H206" t="s">
        <v>165</v>
      </c>
    </row>
    <row r="207" spans="1:8" hidden="1" x14ac:dyDescent="0.3">
      <c r="A207" s="28">
        <v>15131</v>
      </c>
      <c r="B207" s="31">
        <v>45225.710416666669</v>
      </c>
      <c r="C207" s="18">
        <v>45225</v>
      </c>
      <c r="D207" t="s">
        <v>104</v>
      </c>
      <c r="E207" s="32">
        <v>0</v>
      </c>
      <c r="F207" s="32">
        <v>277880</v>
      </c>
      <c r="G207" s="32">
        <v>17224401</v>
      </c>
      <c r="H207" t="s">
        <v>119</v>
      </c>
    </row>
    <row r="208" spans="1:8" hidden="1" x14ac:dyDescent="0.3">
      <c r="A208" s="28">
        <v>15130</v>
      </c>
      <c r="B208" s="31">
        <v>45225.710416666669</v>
      </c>
      <c r="C208" s="18">
        <v>45225</v>
      </c>
      <c r="D208" t="s">
        <v>104</v>
      </c>
      <c r="E208" s="32">
        <v>0</v>
      </c>
      <c r="F208" s="32">
        <v>1113253</v>
      </c>
      <c r="G208" s="32">
        <v>17502281</v>
      </c>
      <c r="H208" t="s">
        <v>119</v>
      </c>
    </row>
    <row r="209" spans="1:8" hidden="1" x14ac:dyDescent="0.3">
      <c r="A209" s="28">
        <v>15127</v>
      </c>
      <c r="B209" s="31">
        <v>45225.452777777777</v>
      </c>
      <c r="C209" s="18">
        <v>45225</v>
      </c>
      <c r="D209" t="s">
        <v>104</v>
      </c>
      <c r="E209" s="32">
        <v>0</v>
      </c>
      <c r="F209" s="32">
        <v>1356960</v>
      </c>
      <c r="G209" s="32">
        <v>18615534</v>
      </c>
      <c r="H209" t="s">
        <v>108</v>
      </c>
    </row>
    <row r="210" spans="1:8" hidden="1" x14ac:dyDescent="0.3">
      <c r="A210" s="28">
        <v>15121</v>
      </c>
      <c r="B210" s="31">
        <v>45225.384722222225</v>
      </c>
      <c r="C210" s="18">
        <v>45225</v>
      </c>
      <c r="D210" t="s">
        <v>104</v>
      </c>
      <c r="E210" s="32">
        <v>0</v>
      </c>
      <c r="F210" s="32">
        <v>30000000</v>
      </c>
      <c r="G210" s="32">
        <v>19972494</v>
      </c>
      <c r="H210" t="s">
        <v>114</v>
      </c>
    </row>
    <row r="211" spans="1:8" hidden="1" x14ac:dyDescent="0.3">
      <c r="A211" s="28">
        <v>15120</v>
      </c>
      <c r="B211" s="31">
        <v>45225.381249999999</v>
      </c>
      <c r="C211" s="18">
        <v>45225</v>
      </c>
      <c r="D211" t="s">
        <v>103</v>
      </c>
      <c r="E211" s="32">
        <v>49972494</v>
      </c>
      <c r="F211" s="32">
        <v>0</v>
      </c>
      <c r="G211" s="32">
        <v>49972494</v>
      </c>
      <c r="H211" t="s">
        <v>166</v>
      </c>
    </row>
    <row r="212" spans="1:8" hidden="1" x14ac:dyDescent="0.3">
      <c r="A212" s="28">
        <v>15119</v>
      </c>
      <c r="B212" s="31">
        <v>45225.29583333333</v>
      </c>
      <c r="C212" s="18">
        <v>45225</v>
      </c>
      <c r="D212" t="s">
        <v>104</v>
      </c>
      <c r="E212" s="32">
        <v>0</v>
      </c>
      <c r="F212" s="32">
        <v>3304654</v>
      </c>
      <c r="G212" s="32">
        <v>0</v>
      </c>
      <c r="H212" t="s">
        <v>119</v>
      </c>
    </row>
    <row r="213" spans="1:8" hidden="1" x14ac:dyDescent="0.3">
      <c r="A213" s="28">
        <v>15117</v>
      </c>
      <c r="B213" s="31">
        <v>45224.777083333334</v>
      </c>
      <c r="C213" s="18">
        <v>45224</v>
      </c>
      <c r="D213" t="s">
        <v>104</v>
      </c>
      <c r="E213" s="32">
        <v>0</v>
      </c>
      <c r="F213" s="32">
        <v>6800</v>
      </c>
      <c r="G213" s="32">
        <v>3304654</v>
      </c>
      <c r="H213" t="s">
        <v>167</v>
      </c>
    </row>
    <row r="214" spans="1:8" hidden="1" x14ac:dyDescent="0.3">
      <c r="A214" s="28">
        <v>15116</v>
      </c>
      <c r="B214" s="31">
        <v>45224.774305555555</v>
      </c>
      <c r="C214" s="18">
        <v>45224</v>
      </c>
      <c r="D214" t="s">
        <v>104</v>
      </c>
      <c r="E214" s="32">
        <v>0</v>
      </c>
      <c r="F214" s="32">
        <v>240000</v>
      </c>
      <c r="G214" s="32">
        <v>3311454</v>
      </c>
      <c r="H214" t="s">
        <v>109</v>
      </c>
    </row>
    <row r="215" spans="1:8" hidden="1" x14ac:dyDescent="0.3">
      <c r="A215" s="28">
        <v>15102</v>
      </c>
      <c r="B215" s="31">
        <v>45223.393055555556</v>
      </c>
      <c r="C215" s="18">
        <v>45223</v>
      </c>
      <c r="D215" t="s">
        <v>104</v>
      </c>
      <c r="E215" s="32">
        <v>0</v>
      </c>
      <c r="F215" s="32">
        <v>9420880</v>
      </c>
      <c r="G215" s="32">
        <v>3551454</v>
      </c>
      <c r="H215" t="s">
        <v>108</v>
      </c>
    </row>
    <row r="216" spans="1:8" hidden="1" x14ac:dyDescent="0.3">
      <c r="A216" s="28">
        <v>15101</v>
      </c>
      <c r="B216" s="31">
        <v>45223.383333333331</v>
      </c>
      <c r="C216" s="18">
        <v>45223</v>
      </c>
      <c r="D216" t="s">
        <v>104</v>
      </c>
      <c r="E216" s="32">
        <v>0</v>
      </c>
      <c r="F216" s="32">
        <v>13467500</v>
      </c>
      <c r="G216" s="32">
        <v>12972334</v>
      </c>
      <c r="H216" t="s">
        <v>108</v>
      </c>
    </row>
    <row r="217" spans="1:8" hidden="1" x14ac:dyDescent="0.3">
      <c r="A217" s="28">
        <v>15100</v>
      </c>
      <c r="B217" s="31">
        <v>45223.334027777775</v>
      </c>
      <c r="C217" s="18">
        <v>45223</v>
      </c>
      <c r="D217" t="s">
        <v>104</v>
      </c>
      <c r="E217" s="32">
        <v>0</v>
      </c>
      <c r="F217" s="32">
        <v>50220690</v>
      </c>
      <c r="G217" s="32">
        <v>26439834</v>
      </c>
      <c r="H217" t="s">
        <v>120</v>
      </c>
    </row>
    <row r="218" spans="1:8" hidden="1" x14ac:dyDescent="0.3">
      <c r="A218" s="28">
        <v>15099</v>
      </c>
      <c r="B218" s="31">
        <v>45222.768055555556</v>
      </c>
      <c r="C218" s="18">
        <v>45222</v>
      </c>
      <c r="D218" t="s">
        <v>104</v>
      </c>
      <c r="E218" s="32">
        <v>0</v>
      </c>
      <c r="F218" s="32">
        <v>262100</v>
      </c>
      <c r="G218" s="32">
        <v>76660524</v>
      </c>
      <c r="H218" t="s">
        <v>168</v>
      </c>
    </row>
    <row r="219" spans="1:8" hidden="1" x14ac:dyDescent="0.3">
      <c r="A219" s="28">
        <v>15098</v>
      </c>
      <c r="B219" s="31">
        <v>45222.765277777777</v>
      </c>
      <c r="C219" s="18">
        <v>45222</v>
      </c>
      <c r="D219" t="s">
        <v>104</v>
      </c>
      <c r="E219" s="32">
        <v>0</v>
      </c>
      <c r="F219" s="32">
        <v>12100</v>
      </c>
      <c r="G219" s="32">
        <v>76922624</v>
      </c>
      <c r="H219" t="s">
        <v>169</v>
      </c>
    </row>
    <row r="220" spans="1:8" hidden="1" x14ac:dyDescent="0.3">
      <c r="A220" s="28">
        <v>15094</v>
      </c>
      <c r="B220" s="31">
        <v>45222.496527777781</v>
      </c>
      <c r="C220" s="18">
        <v>45222</v>
      </c>
      <c r="D220" t="s">
        <v>104</v>
      </c>
      <c r="E220" s="32">
        <v>0</v>
      </c>
      <c r="F220" s="32">
        <v>50000000</v>
      </c>
      <c r="G220" s="32">
        <v>76934724</v>
      </c>
      <c r="H220" t="s">
        <v>114</v>
      </c>
    </row>
    <row r="221" spans="1:8" hidden="1" x14ac:dyDescent="0.3">
      <c r="A221" s="28">
        <v>15069</v>
      </c>
      <c r="B221" s="31">
        <v>45218.504861111112</v>
      </c>
      <c r="C221" s="18">
        <v>45218</v>
      </c>
      <c r="D221" t="s">
        <v>104</v>
      </c>
      <c r="E221" s="32">
        <v>0</v>
      </c>
      <c r="F221" s="32">
        <v>485213</v>
      </c>
      <c r="G221" s="32">
        <v>126934724</v>
      </c>
      <c r="H221" t="s">
        <v>170</v>
      </c>
    </row>
    <row r="222" spans="1:8" hidden="1" x14ac:dyDescent="0.3">
      <c r="A222" s="28">
        <v>15061</v>
      </c>
      <c r="B222" s="31">
        <v>45217.631249999999</v>
      </c>
      <c r="C222" s="18">
        <v>45217</v>
      </c>
      <c r="D222" t="s">
        <v>104</v>
      </c>
      <c r="E222" s="32">
        <v>0</v>
      </c>
      <c r="F222" s="32">
        <v>13502500</v>
      </c>
      <c r="G222" s="32">
        <v>127419937</v>
      </c>
      <c r="H222" t="s">
        <v>108</v>
      </c>
    </row>
    <row r="223" spans="1:8" hidden="1" x14ac:dyDescent="0.3">
      <c r="A223" s="28">
        <v>15059</v>
      </c>
      <c r="B223" s="31">
        <v>45217.490972222222</v>
      </c>
      <c r="C223" s="18">
        <v>45217</v>
      </c>
      <c r="D223" t="s">
        <v>104</v>
      </c>
      <c r="E223" s="32">
        <v>0</v>
      </c>
      <c r="F223" s="32">
        <v>13514500</v>
      </c>
      <c r="G223" s="32">
        <v>140922437</v>
      </c>
      <c r="H223" t="s">
        <v>108</v>
      </c>
    </row>
    <row r="224" spans="1:8" hidden="1" x14ac:dyDescent="0.3">
      <c r="A224" s="28">
        <v>15052</v>
      </c>
      <c r="B224" s="31">
        <v>45216.381249999999</v>
      </c>
      <c r="C224" s="18">
        <v>45216</v>
      </c>
      <c r="D224" t="s">
        <v>104</v>
      </c>
      <c r="E224" s="32">
        <v>0</v>
      </c>
      <c r="F224" s="32">
        <v>40441200</v>
      </c>
      <c r="G224" s="32">
        <v>154436937</v>
      </c>
      <c r="H224" t="s">
        <v>108</v>
      </c>
    </row>
    <row r="225" spans="1:8" hidden="1" x14ac:dyDescent="0.3">
      <c r="A225" s="28">
        <v>15043</v>
      </c>
      <c r="B225" s="31">
        <v>45215.775694444441</v>
      </c>
      <c r="C225" s="18">
        <v>45215</v>
      </c>
      <c r="D225" t="s">
        <v>104</v>
      </c>
      <c r="E225" s="32">
        <v>0</v>
      </c>
      <c r="F225" s="32">
        <v>1920000</v>
      </c>
      <c r="G225" s="32">
        <v>194878137</v>
      </c>
      <c r="H225" t="s">
        <v>109</v>
      </c>
    </row>
    <row r="226" spans="1:8" hidden="1" x14ac:dyDescent="0.3">
      <c r="A226" s="28">
        <v>15040</v>
      </c>
      <c r="B226" s="31">
        <v>45215.629166666666</v>
      </c>
      <c r="C226" s="18">
        <v>45215</v>
      </c>
      <c r="D226" t="s">
        <v>103</v>
      </c>
      <c r="E226" s="32">
        <v>4035900</v>
      </c>
      <c r="F226" s="32">
        <v>0</v>
      </c>
      <c r="G226" s="32">
        <v>196798137</v>
      </c>
      <c r="H226" t="s">
        <v>110</v>
      </c>
    </row>
    <row r="227" spans="1:8" hidden="1" x14ac:dyDescent="0.3">
      <c r="A227" s="28">
        <v>15028</v>
      </c>
      <c r="B227" s="31">
        <v>45215.318055555559</v>
      </c>
      <c r="C227" s="18">
        <v>45215</v>
      </c>
      <c r="D227" t="s">
        <v>103</v>
      </c>
      <c r="E227" s="32">
        <v>15165</v>
      </c>
      <c r="F227" s="32">
        <v>0</v>
      </c>
      <c r="G227" s="32">
        <v>192762237</v>
      </c>
      <c r="H227" t="s">
        <v>149</v>
      </c>
    </row>
    <row r="228" spans="1:8" hidden="1" x14ac:dyDescent="0.3">
      <c r="A228" s="28">
        <v>15021</v>
      </c>
      <c r="B228" s="31">
        <v>45212.658333333333</v>
      </c>
      <c r="C228" s="18">
        <v>45212</v>
      </c>
      <c r="D228" t="s">
        <v>103</v>
      </c>
      <c r="E228" s="32">
        <v>738100</v>
      </c>
      <c r="F228" s="32">
        <v>0</v>
      </c>
      <c r="G228" s="32">
        <v>192747072</v>
      </c>
      <c r="H228" t="s">
        <v>130</v>
      </c>
    </row>
    <row r="229" spans="1:8" hidden="1" x14ac:dyDescent="0.3">
      <c r="A229" s="28">
        <v>15020</v>
      </c>
      <c r="B229" s="31">
        <v>45212.658333333333</v>
      </c>
      <c r="C229" s="18">
        <v>45212</v>
      </c>
      <c r="D229" t="s">
        <v>103</v>
      </c>
      <c r="E229" s="32">
        <v>9654700</v>
      </c>
      <c r="F229" s="32">
        <v>0</v>
      </c>
      <c r="G229" s="32">
        <v>192008972</v>
      </c>
      <c r="H229" t="s">
        <v>130</v>
      </c>
    </row>
    <row r="230" spans="1:8" hidden="1" x14ac:dyDescent="0.3">
      <c r="A230" s="28">
        <v>15019</v>
      </c>
      <c r="B230" s="31">
        <v>45212.658333333333</v>
      </c>
      <c r="C230" s="18">
        <v>45212</v>
      </c>
      <c r="D230" t="s">
        <v>103</v>
      </c>
      <c r="E230" s="32">
        <v>843700</v>
      </c>
      <c r="F230" s="32">
        <v>0</v>
      </c>
      <c r="G230" s="32">
        <v>182354272</v>
      </c>
      <c r="H230" t="s">
        <v>130</v>
      </c>
    </row>
    <row r="231" spans="1:8" hidden="1" x14ac:dyDescent="0.3">
      <c r="A231" s="28">
        <v>15018</v>
      </c>
      <c r="B231" s="31">
        <v>45212.658333333333</v>
      </c>
      <c r="C231" s="18">
        <v>45212</v>
      </c>
      <c r="D231" t="s">
        <v>103</v>
      </c>
      <c r="E231" s="32">
        <v>10133200</v>
      </c>
      <c r="F231" s="32">
        <v>0</v>
      </c>
      <c r="G231" s="32">
        <v>181510572</v>
      </c>
      <c r="H231" t="s">
        <v>130</v>
      </c>
    </row>
    <row r="232" spans="1:8" hidden="1" x14ac:dyDescent="0.3">
      <c r="A232" s="28">
        <v>15017</v>
      </c>
      <c r="B232" s="31">
        <v>45212.658333333333</v>
      </c>
      <c r="C232" s="18">
        <v>45212</v>
      </c>
      <c r="D232" t="s">
        <v>103</v>
      </c>
      <c r="E232" s="32">
        <v>8499700</v>
      </c>
      <c r="F232" s="32">
        <v>0</v>
      </c>
      <c r="G232" s="32">
        <v>171377372</v>
      </c>
      <c r="H232" t="s">
        <v>130</v>
      </c>
    </row>
    <row r="233" spans="1:8" hidden="1" x14ac:dyDescent="0.3">
      <c r="A233" s="28">
        <v>15016</v>
      </c>
      <c r="B233" s="31">
        <v>45212.658333333333</v>
      </c>
      <c r="C233" s="18">
        <v>45212</v>
      </c>
      <c r="D233" t="s">
        <v>103</v>
      </c>
      <c r="E233" s="32">
        <v>1426700</v>
      </c>
      <c r="F233" s="32">
        <v>0</v>
      </c>
      <c r="G233" s="32">
        <v>162877672</v>
      </c>
      <c r="H233" t="s">
        <v>130</v>
      </c>
    </row>
    <row r="234" spans="1:8" hidden="1" x14ac:dyDescent="0.3">
      <c r="A234" s="28">
        <v>15012</v>
      </c>
      <c r="B234" s="31">
        <v>45212.390277777777</v>
      </c>
      <c r="C234" s="18">
        <v>45212</v>
      </c>
      <c r="D234" t="s">
        <v>104</v>
      </c>
      <c r="E234" s="32">
        <v>0</v>
      </c>
      <c r="F234" s="32">
        <v>1351050</v>
      </c>
      <c r="G234" s="32">
        <v>161450972</v>
      </c>
      <c r="H234" t="s">
        <v>108</v>
      </c>
    </row>
    <row r="235" spans="1:8" hidden="1" x14ac:dyDescent="0.3">
      <c r="A235" s="28">
        <v>15001</v>
      </c>
      <c r="B235" s="31">
        <v>45210.611805555556</v>
      </c>
      <c r="C235" s="18">
        <v>45210</v>
      </c>
      <c r="D235" t="s">
        <v>103</v>
      </c>
      <c r="E235" s="32">
        <v>1757800</v>
      </c>
      <c r="F235" s="32">
        <v>0</v>
      </c>
      <c r="G235" s="32">
        <v>162802022</v>
      </c>
      <c r="H235" t="s">
        <v>133</v>
      </c>
    </row>
    <row r="236" spans="1:8" hidden="1" x14ac:dyDescent="0.3">
      <c r="A236" s="28">
        <v>15000</v>
      </c>
      <c r="B236" s="31">
        <v>45210.611111111109</v>
      </c>
      <c r="C236" s="18">
        <v>45210</v>
      </c>
      <c r="D236" t="s">
        <v>103</v>
      </c>
      <c r="E236" s="32">
        <v>4138200</v>
      </c>
      <c r="F236" s="32">
        <v>0</v>
      </c>
      <c r="G236" s="32">
        <v>161044222</v>
      </c>
      <c r="H236" t="s">
        <v>133</v>
      </c>
    </row>
    <row r="237" spans="1:8" hidden="1" x14ac:dyDescent="0.3">
      <c r="A237" s="28">
        <v>14991</v>
      </c>
      <c r="B237" s="31">
        <v>45209.769444444442</v>
      </c>
      <c r="C237" s="18">
        <v>45209</v>
      </c>
      <c r="D237" t="s">
        <v>104</v>
      </c>
      <c r="E237" s="32">
        <v>0</v>
      </c>
      <c r="F237" s="32">
        <v>790380</v>
      </c>
      <c r="G237" s="32">
        <v>156906022</v>
      </c>
      <c r="H237" t="s">
        <v>171</v>
      </c>
    </row>
    <row r="238" spans="1:8" hidden="1" x14ac:dyDescent="0.3">
      <c r="A238" s="28">
        <v>14990</v>
      </c>
      <c r="B238" s="31">
        <v>45209.768055555556</v>
      </c>
      <c r="C238" s="18">
        <v>45209</v>
      </c>
      <c r="D238" t="s">
        <v>104</v>
      </c>
      <c r="E238" s="32">
        <v>0</v>
      </c>
      <c r="F238" s="32">
        <v>370010</v>
      </c>
      <c r="G238" s="32">
        <v>157696402</v>
      </c>
      <c r="H238" t="s">
        <v>172</v>
      </c>
    </row>
    <row r="239" spans="1:8" hidden="1" x14ac:dyDescent="0.3">
      <c r="A239" s="28">
        <v>14989</v>
      </c>
      <c r="B239" s="31">
        <v>45209.763888888891</v>
      </c>
      <c r="C239" s="18">
        <v>45209</v>
      </c>
      <c r="D239" t="s">
        <v>104</v>
      </c>
      <c r="E239" s="32">
        <v>0</v>
      </c>
      <c r="F239" s="32">
        <v>4483220</v>
      </c>
      <c r="G239" s="32">
        <v>158066412</v>
      </c>
      <c r="H239" t="s">
        <v>173</v>
      </c>
    </row>
    <row r="240" spans="1:8" hidden="1" x14ac:dyDescent="0.3">
      <c r="A240" s="28">
        <v>14988</v>
      </c>
      <c r="B240" s="31">
        <v>45209.757638888892</v>
      </c>
      <c r="C240" s="18">
        <v>45209</v>
      </c>
      <c r="D240" t="s">
        <v>104</v>
      </c>
      <c r="E240" s="32">
        <v>0</v>
      </c>
      <c r="F240" s="32">
        <v>4983180</v>
      </c>
      <c r="G240" s="32">
        <v>162549632</v>
      </c>
      <c r="H240" t="s">
        <v>174</v>
      </c>
    </row>
    <row r="241" spans="1:8" hidden="1" x14ac:dyDescent="0.3">
      <c r="A241" s="28">
        <v>14978</v>
      </c>
      <c r="B241" s="31">
        <v>45209.442361111112</v>
      </c>
      <c r="C241" s="18">
        <v>45209</v>
      </c>
      <c r="D241" t="s">
        <v>104</v>
      </c>
      <c r="E241" s="32">
        <v>0</v>
      </c>
      <c r="F241" s="32">
        <v>26933000</v>
      </c>
      <c r="G241" s="32">
        <v>167532812</v>
      </c>
      <c r="H241" t="s">
        <v>108</v>
      </c>
    </row>
    <row r="242" spans="1:8" hidden="1" x14ac:dyDescent="0.3">
      <c r="A242" s="28">
        <v>14977</v>
      </c>
      <c r="B242" s="31">
        <v>45209.438888888886</v>
      </c>
      <c r="C242" s="18">
        <v>45209</v>
      </c>
      <c r="D242" t="s">
        <v>104</v>
      </c>
      <c r="E242" s="32">
        <v>0</v>
      </c>
      <c r="F242" s="32">
        <v>4091400</v>
      </c>
      <c r="G242" s="32">
        <v>194465812</v>
      </c>
      <c r="H242" t="s">
        <v>112</v>
      </c>
    </row>
    <row r="243" spans="1:8" hidden="1" x14ac:dyDescent="0.3">
      <c r="A243" s="28">
        <v>14976</v>
      </c>
      <c r="B243" s="31">
        <v>45205.750694444447</v>
      </c>
      <c r="C243" s="18">
        <v>45205</v>
      </c>
      <c r="D243" t="s">
        <v>103</v>
      </c>
      <c r="E243" s="32">
        <v>99000</v>
      </c>
      <c r="F243" s="32">
        <v>0</v>
      </c>
      <c r="G243" s="32">
        <v>198557212</v>
      </c>
      <c r="H243" t="s">
        <v>110</v>
      </c>
    </row>
    <row r="244" spans="1:8" hidden="1" x14ac:dyDescent="0.3">
      <c r="A244" s="28">
        <v>14975</v>
      </c>
      <c r="B244" s="31">
        <v>45205.750694444447</v>
      </c>
      <c r="C244" s="18">
        <v>45205</v>
      </c>
      <c r="D244" t="s">
        <v>103</v>
      </c>
      <c r="E244" s="32">
        <v>1409100</v>
      </c>
      <c r="F244" s="32">
        <v>0</v>
      </c>
      <c r="G244" s="32">
        <v>198458212</v>
      </c>
      <c r="H244" t="s">
        <v>110</v>
      </c>
    </row>
    <row r="245" spans="1:8" hidden="1" x14ac:dyDescent="0.3">
      <c r="A245" s="28">
        <v>14971</v>
      </c>
      <c r="B245" s="31">
        <v>45204.769444444442</v>
      </c>
      <c r="C245" s="18">
        <v>45204</v>
      </c>
      <c r="D245" t="s">
        <v>104</v>
      </c>
      <c r="E245" s="32">
        <v>0</v>
      </c>
      <c r="F245" s="32">
        <v>240000</v>
      </c>
      <c r="G245" s="32">
        <v>197049112</v>
      </c>
      <c r="H245" t="s">
        <v>109</v>
      </c>
    </row>
    <row r="246" spans="1:8" hidden="1" x14ac:dyDescent="0.3">
      <c r="A246" s="28">
        <v>14969</v>
      </c>
      <c r="B246" s="31">
        <v>45204.645138888889</v>
      </c>
      <c r="C246" s="18">
        <v>45204</v>
      </c>
      <c r="D246" t="s">
        <v>104</v>
      </c>
      <c r="E246" s="32">
        <v>0</v>
      </c>
      <c r="F246" s="32">
        <v>2703500</v>
      </c>
      <c r="G246" s="32">
        <v>197289112</v>
      </c>
      <c r="H246" t="s">
        <v>108</v>
      </c>
    </row>
    <row r="247" spans="1:8" hidden="1" x14ac:dyDescent="0.3">
      <c r="A247" s="28">
        <v>14960</v>
      </c>
      <c r="B247" s="31">
        <v>45203.667361111111</v>
      </c>
      <c r="C247" s="18">
        <v>45203</v>
      </c>
      <c r="D247" t="s">
        <v>103</v>
      </c>
      <c r="E247" s="32">
        <v>187466400</v>
      </c>
      <c r="F247" s="32">
        <v>0</v>
      </c>
      <c r="G247" s="32">
        <v>199992612</v>
      </c>
      <c r="H247" t="s">
        <v>115</v>
      </c>
    </row>
    <row r="248" spans="1:8" hidden="1" x14ac:dyDescent="0.3">
      <c r="A248" s="28">
        <v>14948</v>
      </c>
      <c r="B248" s="31">
        <v>45203.375694444447</v>
      </c>
      <c r="C248" s="18">
        <v>45203</v>
      </c>
      <c r="D248" t="s">
        <v>104</v>
      </c>
      <c r="E248" s="32">
        <v>0</v>
      </c>
      <c r="F248" s="32">
        <v>105210</v>
      </c>
      <c r="G248" s="32">
        <v>12526212</v>
      </c>
      <c r="H248" t="s">
        <v>111</v>
      </c>
    </row>
    <row r="249" spans="1:8" hidden="1" x14ac:dyDescent="0.3">
      <c r="A249" s="28">
        <v>14947</v>
      </c>
      <c r="B249" s="31">
        <v>45203.375</v>
      </c>
      <c r="C249" s="18">
        <v>45203</v>
      </c>
      <c r="D249" t="s">
        <v>104</v>
      </c>
      <c r="E249" s="32">
        <v>0</v>
      </c>
      <c r="F249" s="32">
        <v>34049000</v>
      </c>
      <c r="G249" s="32">
        <v>12631422</v>
      </c>
      <c r="H249" t="s">
        <v>108</v>
      </c>
    </row>
    <row r="250" spans="1:8" hidden="1" x14ac:dyDescent="0.3">
      <c r="A250" s="28">
        <v>14946</v>
      </c>
      <c r="B250" s="31">
        <v>45203.348611111112</v>
      </c>
      <c r="C250" s="18">
        <v>45203</v>
      </c>
      <c r="D250" t="s">
        <v>104</v>
      </c>
      <c r="E250" s="32">
        <v>0</v>
      </c>
      <c r="F250" s="32">
        <v>356712</v>
      </c>
      <c r="G250" s="32">
        <v>46680422</v>
      </c>
      <c r="H250" t="s">
        <v>175</v>
      </c>
    </row>
    <row r="251" spans="1:8" hidden="1" x14ac:dyDescent="0.3">
      <c r="A251" s="28">
        <v>14941</v>
      </c>
      <c r="B251" s="31">
        <v>45196.677777777775</v>
      </c>
      <c r="C251" s="18">
        <v>45196</v>
      </c>
      <c r="D251" t="s">
        <v>103</v>
      </c>
      <c r="E251" s="32">
        <v>12463000</v>
      </c>
      <c r="F251" s="32">
        <v>0</v>
      </c>
      <c r="G251" s="32">
        <v>47037134</v>
      </c>
      <c r="H251" t="s">
        <v>164</v>
      </c>
    </row>
    <row r="252" spans="1:8" hidden="1" x14ac:dyDescent="0.3">
      <c r="A252" s="28">
        <v>14940</v>
      </c>
      <c r="B252" s="31">
        <v>45196.676388888889</v>
      </c>
      <c r="C252" s="18">
        <v>45196</v>
      </c>
      <c r="D252" t="s">
        <v>103</v>
      </c>
      <c r="E252" s="32">
        <v>1246300</v>
      </c>
      <c r="F252" s="32">
        <v>0</v>
      </c>
      <c r="G252" s="32">
        <v>34574134</v>
      </c>
      <c r="H252" t="s">
        <v>130</v>
      </c>
    </row>
    <row r="253" spans="1:8" hidden="1" x14ac:dyDescent="0.3">
      <c r="A253" s="28">
        <v>14938</v>
      </c>
      <c r="B253" s="31">
        <v>45196.624305555553</v>
      </c>
      <c r="C253" s="18">
        <v>45196</v>
      </c>
      <c r="D253" t="s">
        <v>103</v>
      </c>
      <c r="E253" s="32">
        <v>1632400</v>
      </c>
      <c r="F253" s="32">
        <v>0</v>
      </c>
      <c r="G253" s="32">
        <v>33327834</v>
      </c>
      <c r="H253" t="s">
        <v>133</v>
      </c>
    </row>
    <row r="254" spans="1:8" hidden="1" x14ac:dyDescent="0.3">
      <c r="A254" s="28">
        <v>14910</v>
      </c>
      <c r="B254" s="31">
        <v>45196.379166666666</v>
      </c>
      <c r="C254" s="18">
        <v>45196</v>
      </c>
      <c r="D254" t="s">
        <v>104</v>
      </c>
      <c r="E254" s="32">
        <v>0</v>
      </c>
      <c r="F254" s="32">
        <v>14903350</v>
      </c>
      <c r="G254" s="32">
        <v>31695434</v>
      </c>
      <c r="H254" t="s">
        <v>108</v>
      </c>
    </row>
    <row r="255" spans="1:8" hidden="1" x14ac:dyDescent="0.3">
      <c r="A255" s="28">
        <v>14897</v>
      </c>
      <c r="B255" s="31">
        <v>45195.433333333334</v>
      </c>
      <c r="C255" s="18">
        <v>45195</v>
      </c>
      <c r="D255" t="s">
        <v>104</v>
      </c>
      <c r="E255" s="32">
        <v>0</v>
      </c>
      <c r="F255" s="32">
        <v>500000</v>
      </c>
      <c r="G255" s="32">
        <v>46598784</v>
      </c>
      <c r="H255" t="s">
        <v>176</v>
      </c>
    </row>
    <row r="256" spans="1:8" hidden="1" x14ac:dyDescent="0.3">
      <c r="A256" s="28">
        <v>14896</v>
      </c>
      <c r="B256" s="31">
        <v>45195.431944444441</v>
      </c>
      <c r="C256" s="18">
        <v>45195</v>
      </c>
      <c r="D256" t="s">
        <v>104</v>
      </c>
      <c r="E256" s="32">
        <v>0</v>
      </c>
      <c r="F256" s="32">
        <v>500000</v>
      </c>
      <c r="G256" s="32">
        <v>47098784</v>
      </c>
      <c r="H256" t="s">
        <v>176</v>
      </c>
    </row>
    <row r="257" spans="1:8" hidden="1" x14ac:dyDescent="0.3">
      <c r="A257" s="28">
        <v>14895</v>
      </c>
      <c r="B257" s="31">
        <v>45195.429861111108</v>
      </c>
      <c r="C257" s="18">
        <v>45195</v>
      </c>
      <c r="D257" t="s">
        <v>104</v>
      </c>
      <c r="E257" s="32">
        <v>0</v>
      </c>
      <c r="F257" s="32">
        <v>1000000</v>
      </c>
      <c r="G257" s="32">
        <v>47598784</v>
      </c>
      <c r="H257" t="s">
        <v>176</v>
      </c>
    </row>
    <row r="258" spans="1:8" hidden="1" x14ac:dyDescent="0.3">
      <c r="A258" s="28">
        <v>14891</v>
      </c>
      <c r="B258" s="31">
        <v>45195.384722222225</v>
      </c>
      <c r="C258" s="18">
        <v>45195</v>
      </c>
      <c r="D258" t="s">
        <v>104</v>
      </c>
      <c r="E258" s="32">
        <v>0</v>
      </c>
      <c r="F258" s="32">
        <v>39837300</v>
      </c>
      <c r="G258" s="32">
        <v>48598784</v>
      </c>
      <c r="H258" t="s">
        <v>108</v>
      </c>
    </row>
    <row r="259" spans="1:8" hidden="1" x14ac:dyDescent="0.3">
      <c r="A259" s="28">
        <v>14882</v>
      </c>
      <c r="B259" s="31">
        <v>45195.29583333333</v>
      </c>
      <c r="C259" s="18">
        <v>45195</v>
      </c>
      <c r="D259" t="s">
        <v>104</v>
      </c>
      <c r="E259" s="32">
        <v>0</v>
      </c>
      <c r="F259" s="32">
        <v>245200</v>
      </c>
      <c r="G259" s="32">
        <v>88436084</v>
      </c>
      <c r="H259" t="s">
        <v>119</v>
      </c>
    </row>
    <row r="260" spans="1:8" hidden="1" x14ac:dyDescent="0.3">
      <c r="A260" s="28">
        <v>14881</v>
      </c>
      <c r="B260" s="31">
        <v>45195.29583333333</v>
      </c>
      <c r="C260" s="18">
        <v>45195</v>
      </c>
      <c r="D260" t="s">
        <v>104</v>
      </c>
      <c r="E260" s="32">
        <v>0</v>
      </c>
      <c r="F260" s="32">
        <v>3144667</v>
      </c>
      <c r="G260" s="32">
        <v>88681284</v>
      </c>
      <c r="H260" t="s">
        <v>119</v>
      </c>
    </row>
    <row r="261" spans="1:8" hidden="1" x14ac:dyDescent="0.3">
      <c r="A261" s="28">
        <v>14879</v>
      </c>
      <c r="B261" s="31">
        <v>45194.788194444445</v>
      </c>
      <c r="C261" s="18">
        <v>45194</v>
      </c>
      <c r="D261" t="s">
        <v>104</v>
      </c>
      <c r="E261" s="32">
        <v>0</v>
      </c>
      <c r="F261" s="32">
        <v>5970</v>
      </c>
      <c r="G261" s="32">
        <v>91825951</v>
      </c>
      <c r="H261" t="s">
        <v>177</v>
      </c>
    </row>
    <row r="262" spans="1:8" hidden="1" x14ac:dyDescent="0.3">
      <c r="A262" s="28">
        <v>14878</v>
      </c>
      <c r="B262" s="31">
        <v>45194.787499999999</v>
      </c>
      <c r="C262" s="18">
        <v>45194</v>
      </c>
      <c r="D262" t="s">
        <v>104</v>
      </c>
      <c r="E262" s="32">
        <v>0</v>
      </c>
      <c r="F262" s="32">
        <v>240000</v>
      </c>
      <c r="G262" s="32">
        <v>91831921</v>
      </c>
      <c r="H262" t="s">
        <v>109</v>
      </c>
    </row>
    <row r="263" spans="1:8" hidden="1" x14ac:dyDescent="0.3">
      <c r="A263" s="28">
        <v>14861</v>
      </c>
      <c r="B263" s="31">
        <v>45191.527083333334</v>
      </c>
      <c r="C263" s="18">
        <v>45191</v>
      </c>
      <c r="D263" t="s">
        <v>104</v>
      </c>
      <c r="E263" s="32">
        <v>0</v>
      </c>
      <c r="F263" s="32">
        <v>60000</v>
      </c>
      <c r="G263" s="32">
        <v>92071921</v>
      </c>
      <c r="H263" t="s">
        <v>178</v>
      </c>
    </row>
    <row r="264" spans="1:8" hidden="1" x14ac:dyDescent="0.3">
      <c r="A264" s="28">
        <v>14858</v>
      </c>
      <c r="B264" s="31">
        <v>45191.461111111108</v>
      </c>
      <c r="C264" s="18">
        <v>45191</v>
      </c>
      <c r="D264" t="s">
        <v>103</v>
      </c>
      <c r="E264" s="32">
        <v>1030700</v>
      </c>
      <c r="F264" s="32">
        <v>0</v>
      </c>
      <c r="G264" s="32">
        <v>92131921</v>
      </c>
      <c r="H264" t="s">
        <v>137</v>
      </c>
    </row>
    <row r="265" spans="1:8" hidden="1" x14ac:dyDescent="0.3">
      <c r="A265" s="28">
        <v>14853</v>
      </c>
      <c r="B265" s="31">
        <v>45191.333333333336</v>
      </c>
      <c r="C265" s="18">
        <v>45191</v>
      </c>
      <c r="D265" t="s">
        <v>104</v>
      </c>
      <c r="E265" s="32">
        <v>0</v>
      </c>
      <c r="F265" s="32">
        <v>23691970</v>
      </c>
      <c r="G265" s="32">
        <v>91101221</v>
      </c>
      <c r="H265" t="s">
        <v>134</v>
      </c>
    </row>
    <row r="266" spans="1:8" hidden="1" x14ac:dyDescent="0.3">
      <c r="A266" s="28">
        <v>14852</v>
      </c>
      <c r="B266" s="31">
        <v>45191.333333333336</v>
      </c>
      <c r="C266" s="18">
        <v>45191</v>
      </c>
      <c r="D266" t="s">
        <v>104</v>
      </c>
      <c r="E266" s="32">
        <v>0</v>
      </c>
      <c r="F266" s="32">
        <v>50213680</v>
      </c>
      <c r="G266" s="32">
        <v>114793191</v>
      </c>
      <c r="H266" t="s">
        <v>120</v>
      </c>
    </row>
    <row r="267" spans="1:8" hidden="1" x14ac:dyDescent="0.3">
      <c r="A267" s="28">
        <v>14851</v>
      </c>
      <c r="B267" s="31">
        <v>45190.761805555558</v>
      </c>
      <c r="C267" s="18">
        <v>45190</v>
      </c>
      <c r="D267" t="s">
        <v>104</v>
      </c>
      <c r="E267" s="32">
        <v>0</v>
      </c>
      <c r="F267" s="32">
        <v>261250</v>
      </c>
      <c r="G267" s="32">
        <v>165006871</v>
      </c>
      <c r="H267" t="s">
        <v>179</v>
      </c>
    </row>
    <row r="268" spans="1:8" hidden="1" x14ac:dyDescent="0.3">
      <c r="A268" s="28">
        <v>14850</v>
      </c>
      <c r="B268" s="31">
        <v>45190.760416666664</v>
      </c>
      <c r="C268" s="18">
        <v>45190</v>
      </c>
      <c r="D268" t="s">
        <v>104</v>
      </c>
      <c r="E268" s="32">
        <v>0</v>
      </c>
      <c r="F268" s="32">
        <v>12100</v>
      </c>
      <c r="G268" s="32">
        <v>165268121</v>
      </c>
      <c r="H268" t="s">
        <v>180</v>
      </c>
    </row>
    <row r="269" spans="1:8" hidden="1" x14ac:dyDescent="0.3">
      <c r="A269" s="28">
        <v>14838</v>
      </c>
      <c r="B269" s="31">
        <v>45189.457638888889</v>
      </c>
      <c r="C269" s="18">
        <v>45189</v>
      </c>
      <c r="D269" t="s">
        <v>104</v>
      </c>
      <c r="E269" s="32">
        <v>0</v>
      </c>
      <c r="F269" s="32">
        <v>39592800</v>
      </c>
      <c r="G269" s="32">
        <v>165280221</v>
      </c>
      <c r="H269" t="s">
        <v>108</v>
      </c>
    </row>
    <row r="270" spans="1:8" hidden="1" x14ac:dyDescent="0.3">
      <c r="A270" s="28">
        <v>14825</v>
      </c>
      <c r="B270" s="31">
        <v>45188.402777777781</v>
      </c>
      <c r="C270" s="18">
        <v>45188</v>
      </c>
      <c r="D270" t="s">
        <v>104</v>
      </c>
      <c r="E270" s="32">
        <v>0</v>
      </c>
      <c r="F270" s="32">
        <v>1414800</v>
      </c>
      <c r="G270" s="32">
        <v>204873021</v>
      </c>
      <c r="H270" t="s">
        <v>108</v>
      </c>
    </row>
    <row r="271" spans="1:8" hidden="1" x14ac:dyDescent="0.3">
      <c r="A271" s="28">
        <v>14824</v>
      </c>
      <c r="B271" s="31">
        <v>45188.401388888888</v>
      </c>
      <c r="C271" s="18">
        <v>45188</v>
      </c>
      <c r="D271" t="s">
        <v>104</v>
      </c>
      <c r="E271" s="32">
        <v>0</v>
      </c>
      <c r="F271" s="32">
        <v>1638450</v>
      </c>
      <c r="G271" s="32">
        <v>206287821</v>
      </c>
      <c r="H271" t="s">
        <v>108</v>
      </c>
    </row>
    <row r="272" spans="1:8" hidden="1" x14ac:dyDescent="0.3">
      <c r="A272" s="28">
        <v>14810</v>
      </c>
      <c r="B272" s="31">
        <v>45187.338888888888</v>
      </c>
      <c r="C272" s="18">
        <v>45187</v>
      </c>
      <c r="D272" t="s">
        <v>103</v>
      </c>
      <c r="E272" s="32">
        <v>16336</v>
      </c>
      <c r="F272" s="32">
        <v>0</v>
      </c>
      <c r="G272" s="32">
        <v>207926271</v>
      </c>
      <c r="H272" t="s">
        <v>149</v>
      </c>
    </row>
    <row r="273" spans="1:8" hidden="1" x14ac:dyDescent="0.3">
      <c r="A273" s="28">
        <v>14804</v>
      </c>
      <c r="B273" s="31">
        <v>45184.786111111112</v>
      </c>
      <c r="C273" s="18">
        <v>45184</v>
      </c>
      <c r="D273" t="s">
        <v>104</v>
      </c>
      <c r="E273" s="32">
        <v>0</v>
      </c>
      <c r="F273" s="32">
        <v>1920000</v>
      </c>
      <c r="G273" s="32">
        <v>207909935</v>
      </c>
      <c r="H273" t="s">
        <v>109</v>
      </c>
    </row>
    <row r="274" spans="1:8" hidden="1" x14ac:dyDescent="0.3">
      <c r="A274" s="28">
        <v>14802</v>
      </c>
      <c r="B274" s="31">
        <v>45184.742361111108</v>
      </c>
      <c r="C274" s="18">
        <v>45184</v>
      </c>
      <c r="D274" t="s">
        <v>103</v>
      </c>
      <c r="E274" s="32">
        <v>3756500</v>
      </c>
      <c r="F274" s="32">
        <v>0</v>
      </c>
      <c r="G274" s="32">
        <v>209829935</v>
      </c>
      <c r="H274" t="s">
        <v>110</v>
      </c>
    </row>
    <row r="275" spans="1:8" hidden="1" x14ac:dyDescent="0.3">
      <c r="A275" s="28">
        <v>14769</v>
      </c>
      <c r="B275" s="31">
        <v>45182.578472222223</v>
      </c>
      <c r="C275" s="18">
        <v>45182</v>
      </c>
      <c r="D275" t="s">
        <v>103</v>
      </c>
      <c r="E275" s="32">
        <v>5959800</v>
      </c>
      <c r="F275" s="32">
        <v>0</v>
      </c>
      <c r="G275" s="32">
        <v>206073435</v>
      </c>
      <c r="H275" t="s">
        <v>133</v>
      </c>
    </row>
    <row r="276" spans="1:8" hidden="1" x14ac:dyDescent="0.3">
      <c r="A276" s="28">
        <v>14768</v>
      </c>
      <c r="B276" s="31">
        <v>45182.563888888886</v>
      </c>
      <c r="C276" s="18">
        <v>45182</v>
      </c>
      <c r="D276" t="s">
        <v>103</v>
      </c>
      <c r="E276" s="32">
        <v>8764800</v>
      </c>
      <c r="F276" s="32">
        <v>0</v>
      </c>
      <c r="G276" s="32">
        <v>200113635</v>
      </c>
      <c r="H276" t="s">
        <v>130</v>
      </c>
    </row>
    <row r="277" spans="1:8" hidden="1" x14ac:dyDescent="0.3">
      <c r="A277" s="28">
        <v>14767</v>
      </c>
      <c r="B277" s="31">
        <v>45182.563888888886</v>
      </c>
      <c r="C277" s="18">
        <v>45182</v>
      </c>
      <c r="D277" t="s">
        <v>103</v>
      </c>
      <c r="E277" s="32">
        <v>3859900</v>
      </c>
      <c r="F277" s="32">
        <v>0</v>
      </c>
      <c r="G277" s="32">
        <v>191348835</v>
      </c>
      <c r="H277" t="s">
        <v>130</v>
      </c>
    </row>
    <row r="278" spans="1:8" hidden="1" x14ac:dyDescent="0.3">
      <c r="A278" s="28">
        <v>14766</v>
      </c>
      <c r="B278" s="31">
        <v>45182.563194444447</v>
      </c>
      <c r="C278" s="18">
        <v>45182</v>
      </c>
      <c r="D278" t="s">
        <v>103</v>
      </c>
      <c r="E278" s="32">
        <v>1080200</v>
      </c>
      <c r="F278" s="32">
        <v>0</v>
      </c>
      <c r="G278" s="32">
        <v>187488935</v>
      </c>
      <c r="H278" t="s">
        <v>130</v>
      </c>
    </row>
    <row r="279" spans="1:8" hidden="1" x14ac:dyDescent="0.3">
      <c r="A279" s="28">
        <v>14765</v>
      </c>
      <c r="B279" s="31">
        <v>45182.563194444447</v>
      </c>
      <c r="C279" s="18">
        <v>45182</v>
      </c>
      <c r="D279" t="s">
        <v>103</v>
      </c>
      <c r="E279" s="32">
        <v>11348700</v>
      </c>
      <c r="F279" s="32">
        <v>0</v>
      </c>
      <c r="G279" s="32">
        <v>186408735</v>
      </c>
      <c r="H279" t="s">
        <v>130</v>
      </c>
    </row>
    <row r="280" spans="1:8" hidden="1" x14ac:dyDescent="0.3">
      <c r="A280" s="28">
        <v>14756</v>
      </c>
      <c r="B280" s="31">
        <v>45180.768055555556</v>
      </c>
      <c r="C280" s="18">
        <v>45180</v>
      </c>
      <c r="D280" t="s">
        <v>104</v>
      </c>
      <c r="E280" s="32">
        <v>0</v>
      </c>
      <c r="F280" s="32">
        <v>791880</v>
      </c>
      <c r="G280" s="32">
        <v>175060035</v>
      </c>
      <c r="H280" t="s">
        <v>181</v>
      </c>
    </row>
    <row r="281" spans="1:8" hidden="1" x14ac:dyDescent="0.3">
      <c r="A281" s="28">
        <v>14755</v>
      </c>
      <c r="B281" s="31">
        <v>45180.763888888891</v>
      </c>
      <c r="C281" s="18">
        <v>45180</v>
      </c>
      <c r="D281" t="s">
        <v>104</v>
      </c>
      <c r="E281" s="32">
        <v>0</v>
      </c>
      <c r="F281" s="32">
        <v>375770</v>
      </c>
      <c r="G281" s="32">
        <v>175851915</v>
      </c>
      <c r="H281" t="s">
        <v>182</v>
      </c>
    </row>
    <row r="282" spans="1:8" hidden="1" x14ac:dyDescent="0.3">
      <c r="A282" s="28">
        <v>14754</v>
      </c>
      <c r="B282" s="31">
        <v>45180.760416666664</v>
      </c>
      <c r="C282" s="18">
        <v>45180</v>
      </c>
      <c r="D282" t="s">
        <v>104</v>
      </c>
      <c r="E282" s="32">
        <v>0</v>
      </c>
      <c r="F282" s="32">
        <v>4983180</v>
      </c>
      <c r="G282" s="32">
        <v>176227685</v>
      </c>
      <c r="H282" t="s">
        <v>183</v>
      </c>
    </row>
    <row r="283" spans="1:8" hidden="1" x14ac:dyDescent="0.3">
      <c r="A283" s="28">
        <v>14753</v>
      </c>
      <c r="B283" s="31">
        <v>45180.756249999999</v>
      </c>
      <c r="C283" s="18">
        <v>45180</v>
      </c>
      <c r="D283" t="s">
        <v>104</v>
      </c>
      <c r="E283" s="32">
        <v>0</v>
      </c>
      <c r="F283" s="32">
        <v>4483220</v>
      </c>
      <c r="G283" s="32">
        <v>181210865</v>
      </c>
      <c r="H283" t="s">
        <v>184</v>
      </c>
    </row>
    <row r="284" spans="1:8" hidden="1" x14ac:dyDescent="0.3">
      <c r="A284" s="28">
        <v>14751</v>
      </c>
      <c r="B284" s="31">
        <v>45180.624305555553</v>
      </c>
      <c r="C284" s="18">
        <v>45180</v>
      </c>
      <c r="D284" t="s">
        <v>103</v>
      </c>
      <c r="E284" s="32">
        <v>3410000</v>
      </c>
      <c r="F284" s="32">
        <v>0</v>
      </c>
      <c r="G284" s="32">
        <v>185694085</v>
      </c>
      <c r="H284" t="s">
        <v>95</v>
      </c>
    </row>
    <row r="285" spans="1:8" hidden="1" x14ac:dyDescent="0.3">
      <c r="A285" s="28">
        <v>14743</v>
      </c>
      <c r="B285" s="31">
        <v>45180.438888888886</v>
      </c>
      <c r="C285" s="18">
        <v>45180</v>
      </c>
      <c r="D285" t="s">
        <v>104</v>
      </c>
      <c r="E285" s="32">
        <v>0</v>
      </c>
      <c r="F285" s="32">
        <v>4091400</v>
      </c>
      <c r="G285" s="32">
        <v>182284085</v>
      </c>
      <c r="H285" t="s">
        <v>112</v>
      </c>
    </row>
    <row r="286" spans="1:8" hidden="1" x14ac:dyDescent="0.3">
      <c r="A286" s="28">
        <v>14741</v>
      </c>
      <c r="B286" s="31">
        <v>45180.422222222223</v>
      </c>
      <c r="C286" s="18">
        <v>45180</v>
      </c>
      <c r="D286" t="s">
        <v>103</v>
      </c>
      <c r="E286" s="32">
        <v>100000000</v>
      </c>
      <c r="F286" s="32">
        <v>0</v>
      </c>
      <c r="G286" s="32">
        <v>186375485</v>
      </c>
      <c r="H286" t="s">
        <v>117</v>
      </c>
    </row>
    <row r="287" spans="1:8" hidden="1" x14ac:dyDescent="0.3">
      <c r="A287" s="28">
        <v>14739</v>
      </c>
      <c r="B287" s="31">
        <v>45180.42083333333</v>
      </c>
      <c r="C287" s="18">
        <v>45180</v>
      </c>
      <c r="D287" t="s">
        <v>104</v>
      </c>
      <c r="E287" s="32">
        <v>0</v>
      </c>
      <c r="F287" s="32">
        <v>100000000</v>
      </c>
      <c r="G287" s="32">
        <v>86375485</v>
      </c>
      <c r="H287" t="s">
        <v>185</v>
      </c>
    </row>
    <row r="288" spans="1:8" hidden="1" x14ac:dyDescent="0.3">
      <c r="A288" s="28">
        <v>14738</v>
      </c>
      <c r="B288" s="31">
        <v>45180.40902777778</v>
      </c>
      <c r="C288" s="18">
        <v>45180</v>
      </c>
      <c r="D288" t="s">
        <v>104</v>
      </c>
      <c r="E288" s="32">
        <v>0</v>
      </c>
      <c r="F288" s="32">
        <v>39567000</v>
      </c>
      <c r="G288" s="32">
        <v>186375485</v>
      </c>
      <c r="H288" t="s">
        <v>108</v>
      </c>
    </row>
    <row r="289" spans="1:8" hidden="1" x14ac:dyDescent="0.3">
      <c r="A289" s="28">
        <v>14730</v>
      </c>
      <c r="B289" s="31">
        <v>45177.479166666664</v>
      </c>
      <c r="C289" s="18">
        <v>45177</v>
      </c>
      <c r="D289" t="s">
        <v>104</v>
      </c>
      <c r="E289" s="32">
        <v>0</v>
      </c>
      <c r="F289" s="32">
        <v>100000000</v>
      </c>
      <c r="G289" s="32">
        <v>225942485</v>
      </c>
      <c r="H289" t="s">
        <v>185</v>
      </c>
    </row>
    <row r="290" spans="1:8" hidden="1" x14ac:dyDescent="0.3">
      <c r="A290" s="28">
        <v>14705</v>
      </c>
      <c r="B290" s="31">
        <v>45174.761111111111</v>
      </c>
      <c r="C290" s="18">
        <v>45174</v>
      </c>
      <c r="D290" t="s">
        <v>104</v>
      </c>
      <c r="E290" s="32">
        <v>0</v>
      </c>
      <c r="F290" s="32">
        <v>240000</v>
      </c>
      <c r="G290" s="32">
        <v>325942485</v>
      </c>
      <c r="H290" t="s">
        <v>109</v>
      </c>
    </row>
    <row r="291" spans="1:8" hidden="1" x14ac:dyDescent="0.3">
      <c r="A291" s="28">
        <v>14704</v>
      </c>
      <c r="B291" s="31">
        <v>45174.616666666669</v>
      </c>
      <c r="C291" s="18">
        <v>45174</v>
      </c>
      <c r="D291" t="s">
        <v>104</v>
      </c>
      <c r="E291" s="32">
        <v>0</v>
      </c>
      <c r="F291" s="32">
        <v>13263300</v>
      </c>
      <c r="G291" s="32">
        <v>326182485</v>
      </c>
      <c r="H291" t="s">
        <v>108</v>
      </c>
    </row>
    <row r="292" spans="1:8" hidden="1" x14ac:dyDescent="0.3">
      <c r="A292" s="28">
        <v>14692</v>
      </c>
      <c r="B292" s="31">
        <v>45173.384722222225</v>
      </c>
      <c r="C292" s="18">
        <v>45173</v>
      </c>
      <c r="D292" t="s">
        <v>104</v>
      </c>
      <c r="E292" s="32">
        <v>0</v>
      </c>
      <c r="F292" s="32">
        <v>38323200</v>
      </c>
      <c r="G292" s="32">
        <v>339445785</v>
      </c>
      <c r="H292" t="s">
        <v>108</v>
      </c>
    </row>
    <row r="293" spans="1:8" hidden="1" x14ac:dyDescent="0.3">
      <c r="A293" s="28">
        <v>14691</v>
      </c>
      <c r="B293" s="31">
        <v>45173.384722222225</v>
      </c>
      <c r="C293" s="18">
        <v>45173</v>
      </c>
      <c r="D293" t="s">
        <v>103</v>
      </c>
      <c r="E293" s="32">
        <v>300000000</v>
      </c>
      <c r="F293" s="32">
        <v>0</v>
      </c>
      <c r="G293" s="32">
        <v>377768985</v>
      </c>
      <c r="H293" t="s">
        <v>117</v>
      </c>
    </row>
    <row r="294" spans="1:8" hidden="1" x14ac:dyDescent="0.3">
      <c r="A294" s="28">
        <v>14689</v>
      </c>
      <c r="B294" s="31">
        <v>45170.6875</v>
      </c>
      <c r="C294" s="18">
        <v>45170</v>
      </c>
      <c r="D294" t="s">
        <v>104</v>
      </c>
      <c r="E294" s="32">
        <v>0</v>
      </c>
      <c r="F294" s="32">
        <v>105210</v>
      </c>
      <c r="G294" s="32">
        <v>77768985</v>
      </c>
      <c r="H294" t="s">
        <v>111</v>
      </c>
    </row>
    <row r="295" spans="1:8" hidden="1" x14ac:dyDescent="0.3">
      <c r="A295" s="28">
        <v>14685</v>
      </c>
      <c r="B295" s="31">
        <v>45170.380555555559</v>
      </c>
      <c r="C295" s="18">
        <v>45170</v>
      </c>
      <c r="D295" t="s">
        <v>104</v>
      </c>
      <c r="E295" s="32">
        <v>0</v>
      </c>
      <c r="F295" s="32">
        <v>52972800</v>
      </c>
      <c r="G295" s="32">
        <v>77874195</v>
      </c>
      <c r="H295" t="s">
        <v>108</v>
      </c>
    </row>
    <row r="296" spans="1:8" hidden="1" x14ac:dyDescent="0.3">
      <c r="A296" s="28">
        <v>14640</v>
      </c>
      <c r="B296" s="31">
        <v>45167.671527777777</v>
      </c>
      <c r="C296" s="18">
        <v>45167</v>
      </c>
      <c r="D296" t="s">
        <v>104</v>
      </c>
      <c r="E296" s="32">
        <v>0</v>
      </c>
      <c r="F296" s="32">
        <v>130000000</v>
      </c>
      <c r="G296" s="32">
        <v>130846995</v>
      </c>
      <c r="H296" t="s">
        <v>114</v>
      </c>
    </row>
    <row r="297" spans="1:8" hidden="1" x14ac:dyDescent="0.3">
      <c r="A297" s="28">
        <v>14639</v>
      </c>
      <c r="B297" s="31">
        <v>45167.670138888891</v>
      </c>
      <c r="C297" s="18">
        <v>45167</v>
      </c>
      <c r="D297" t="s">
        <v>103</v>
      </c>
      <c r="E297" s="32">
        <v>248895900</v>
      </c>
      <c r="F297" s="32">
        <v>0</v>
      </c>
      <c r="G297" s="32">
        <v>260846995</v>
      </c>
      <c r="H297" t="s">
        <v>115</v>
      </c>
    </row>
    <row r="298" spans="1:8" hidden="1" x14ac:dyDescent="0.3">
      <c r="A298" s="28">
        <v>14621</v>
      </c>
      <c r="B298" s="31">
        <v>45166.481944444444</v>
      </c>
      <c r="C298" s="18">
        <v>45166</v>
      </c>
      <c r="D298" t="s">
        <v>103</v>
      </c>
      <c r="E298" s="32">
        <v>9538149</v>
      </c>
      <c r="F298" s="32">
        <v>0</v>
      </c>
      <c r="G298" s="32">
        <v>11951095</v>
      </c>
      <c r="H298" t="s">
        <v>186</v>
      </c>
    </row>
    <row r="299" spans="1:8" hidden="1" x14ac:dyDescent="0.3">
      <c r="A299" s="28">
        <v>14617</v>
      </c>
      <c r="B299" s="31">
        <v>45166.411111111112</v>
      </c>
      <c r="C299" s="18">
        <v>45166</v>
      </c>
      <c r="D299" t="s">
        <v>104</v>
      </c>
      <c r="E299" s="32">
        <v>0</v>
      </c>
      <c r="F299" s="32">
        <v>2644640</v>
      </c>
      <c r="G299" s="32">
        <v>2412946</v>
      </c>
      <c r="H299" t="s">
        <v>108</v>
      </c>
    </row>
    <row r="300" spans="1:8" hidden="1" x14ac:dyDescent="0.3">
      <c r="A300" s="28">
        <v>14616</v>
      </c>
      <c r="B300" s="31">
        <v>45166.335416666669</v>
      </c>
      <c r="C300" s="18">
        <v>45166</v>
      </c>
      <c r="D300" t="s">
        <v>104</v>
      </c>
      <c r="E300" s="32">
        <v>0</v>
      </c>
      <c r="F300" s="32">
        <v>263410</v>
      </c>
      <c r="G300" s="32">
        <v>5057586</v>
      </c>
      <c r="H300" t="s">
        <v>119</v>
      </c>
    </row>
    <row r="301" spans="1:8" hidden="1" x14ac:dyDescent="0.3">
      <c r="A301" s="28">
        <v>14615</v>
      </c>
      <c r="B301" s="31">
        <v>45166.335416666669</v>
      </c>
      <c r="C301" s="18">
        <v>45166</v>
      </c>
      <c r="D301" t="s">
        <v>104</v>
      </c>
      <c r="E301" s="32">
        <v>0</v>
      </c>
      <c r="F301" s="32">
        <v>4601949</v>
      </c>
      <c r="G301" s="32">
        <v>5320996</v>
      </c>
      <c r="H301" t="s">
        <v>119</v>
      </c>
    </row>
    <row r="302" spans="1:8" hidden="1" x14ac:dyDescent="0.3">
      <c r="A302" s="28">
        <v>14614</v>
      </c>
      <c r="B302" s="31">
        <v>45166.328472222223</v>
      </c>
      <c r="C302" s="18">
        <v>45166</v>
      </c>
      <c r="D302" t="s">
        <v>104</v>
      </c>
      <c r="E302" s="32">
        <v>0</v>
      </c>
      <c r="F302" s="32">
        <v>192000</v>
      </c>
      <c r="G302" s="32">
        <v>9922945</v>
      </c>
      <c r="H302" t="s">
        <v>187</v>
      </c>
    </row>
    <row r="303" spans="1:8" hidden="1" x14ac:dyDescent="0.3">
      <c r="A303" s="28">
        <v>14612</v>
      </c>
      <c r="B303" s="31">
        <v>45163.768055555556</v>
      </c>
      <c r="C303" s="18">
        <v>45163</v>
      </c>
      <c r="D303" t="s">
        <v>104</v>
      </c>
      <c r="E303" s="32">
        <v>0</v>
      </c>
      <c r="F303" s="32">
        <v>7410</v>
      </c>
      <c r="G303" s="32">
        <v>10114945</v>
      </c>
      <c r="H303" t="s">
        <v>188</v>
      </c>
    </row>
    <row r="304" spans="1:8" hidden="1" x14ac:dyDescent="0.3">
      <c r="A304" s="28">
        <v>14611</v>
      </c>
      <c r="B304" s="31">
        <v>45163.768055555556</v>
      </c>
      <c r="C304" s="18">
        <v>45163</v>
      </c>
      <c r="D304" t="s">
        <v>104</v>
      </c>
      <c r="E304" s="32">
        <v>0</v>
      </c>
      <c r="F304" s="32">
        <v>240000</v>
      </c>
      <c r="G304" s="32">
        <v>10122355</v>
      </c>
      <c r="H304" t="s">
        <v>109</v>
      </c>
    </row>
    <row r="305" spans="1:8" hidden="1" x14ac:dyDescent="0.3">
      <c r="A305" s="28">
        <v>14605</v>
      </c>
      <c r="B305" s="31">
        <v>45163.375694444447</v>
      </c>
      <c r="C305" s="18">
        <v>45163</v>
      </c>
      <c r="D305" t="s">
        <v>104</v>
      </c>
      <c r="E305" s="32">
        <v>0</v>
      </c>
      <c r="F305" s="32">
        <v>5317320</v>
      </c>
      <c r="G305" s="32">
        <v>10362355</v>
      </c>
      <c r="H305" t="s">
        <v>108</v>
      </c>
    </row>
    <row r="306" spans="1:8" hidden="1" x14ac:dyDescent="0.3">
      <c r="A306" s="28">
        <v>14597</v>
      </c>
      <c r="B306" s="31">
        <v>45162.333333333336</v>
      </c>
      <c r="C306" s="18">
        <v>45162</v>
      </c>
      <c r="D306" t="s">
        <v>104</v>
      </c>
      <c r="E306" s="32">
        <v>0</v>
      </c>
      <c r="F306" s="32">
        <v>50142950</v>
      </c>
      <c r="G306" s="32">
        <v>15679675</v>
      </c>
      <c r="H306" t="s">
        <v>120</v>
      </c>
    </row>
    <row r="307" spans="1:8" hidden="1" x14ac:dyDescent="0.3">
      <c r="A307" s="28">
        <v>14590</v>
      </c>
      <c r="B307" s="31">
        <v>45161.621527777781</v>
      </c>
      <c r="C307" s="18">
        <v>45161</v>
      </c>
      <c r="D307" t="s">
        <v>104</v>
      </c>
      <c r="E307" s="32">
        <v>0</v>
      </c>
      <c r="F307" s="32">
        <v>1340240</v>
      </c>
      <c r="G307" s="32">
        <v>65822625</v>
      </c>
      <c r="H307" t="s">
        <v>108</v>
      </c>
    </row>
    <row r="308" spans="1:8" hidden="1" x14ac:dyDescent="0.3">
      <c r="A308" s="28">
        <v>14589</v>
      </c>
      <c r="B308" s="31">
        <v>45161.617361111108</v>
      </c>
      <c r="C308" s="18">
        <v>45161</v>
      </c>
      <c r="D308" t="s">
        <v>104</v>
      </c>
      <c r="E308" s="32">
        <v>0</v>
      </c>
      <c r="F308" s="32">
        <v>728190</v>
      </c>
      <c r="G308" s="32">
        <v>67162865</v>
      </c>
      <c r="H308" t="s">
        <v>108</v>
      </c>
    </row>
    <row r="309" spans="1:8" hidden="1" x14ac:dyDescent="0.3">
      <c r="A309" s="28">
        <v>14588</v>
      </c>
      <c r="B309" s="31">
        <v>45161.611111111109</v>
      </c>
      <c r="C309" s="18">
        <v>45161</v>
      </c>
      <c r="D309" t="s">
        <v>103</v>
      </c>
      <c r="E309" s="32">
        <v>466400</v>
      </c>
      <c r="F309" s="32">
        <v>0</v>
      </c>
      <c r="G309" s="32">
        <v>67891055</v>
      </c>
      <c r="H309" t="s">
        <v>137</v>
      </c>
    </row>
    <row r="310" spans="1:8" hidden="1" x14ac:dyDescent="0.3">
      <c r="A310" s="28">
        <v>14580</v>
      </c>
      <c r="B310" s="31">
        <v>45160.681250000001</v>
      </c>
      <c r="C310" s="18">
        <v>45160</v>
      </c>
      <c r="D310" t="s">
        <v>103</v>
      </c>
      <c r="E310" s="32">
        <v>18900000</v>
      </c>
      <c r="F310" s="32">
        <v>0</v>
      </c>
      <c r="G310" s="32">
        <v>67424655</v>
      </c>
      <c r="H310" t="s">
        <v>132</v>
      </c>
    </row>
    <row r="311" spans="1:8" hidden="1" x14ac:dyDescent="0.3">
      <c r="A311" s="28">
        <v>14568</v>
      </c>
      <c r="B311" s="31">
        <v>45159.770833333336</v>
      </c>
      <c r="C311" s="18">
        <v>45159</v>
      </c>
      <c r="D311" t="s">
        <v>104</v>
      </c>
      <c r="E311" s="32">
        <v>0</v>
      </c>
      <c r="F311" s="32">
        <v>261980</v>
      </c>
      <c r="G311" s="32">
        <v>48524655</v>
      </c>
      <c r="H311" t="s">
        <v>189</v>
      </c>
    </row>
    <row r="312" spans="1:8" hidden="1" x14ac:dyDescent="0.3">
      <c r="A312" s="28">
        <v>14567</v>
      </c>
      <c r="B312" s="31">
        <v>45159.770833333336</v>
      </c>
      <c r="C312" s="18">
        <v>45159</v>
      </c>
      <c r="D312" t="s">
        <v>104</v>
      </c>
      <c r="E312" s="32">
        <v>0</v>
      </c>
      <c r="F312" s="32">
        <v>12100</v>
      </c>
      <c r="G312" s="32">
        <v>48786635</v>
      </c>
      <c r="H312" t="s">
        <v>190</v>
      </c>
    </row>
    <row r="313" spans="1:8" hidden="1" x14ac:dyDescent="0.3">
      <c r="A313" s="28">
        <v>14557</v>
      </c>
      <c r="B313" s="31">
        <v>45159.34375</v>
      </c>
      <c r="C313" s="18">
        <v>45159</v>
      </c>
      <c r="D313" t="s">
        <v>103</v>
      </c>
      <c r="E313" s="32">
        <v>12579</v>
      </c>
      <c r="F313" s="32">
        <v>0</v>
      </c>
      <c r="G313" s="32">
        <v>48798735</v>
      </c>
      <c r="H313" t="s">
        <v>149</v>
      </c>
    </row>
    <row r="314" spans="1:8" hidden="1" x14ac:dyDescent="0.3">
      <c r="A314" s="28">
        <v>14556</v>
      </c>
      <c r="B314" s="31">
        <v>45156.561805555553</v>
      </c>
      <c r="C314" s="18">
        <v>45156</v>
      </c>
      <c r="D314" t="s">
        <v>104</v>
      </c>
      <c r="E314" s="32">
        <v>0</v>
      </c>
      <c r="F314" s="32">
        <v>1000000</v>
      </c>
      <c r="G314" s="32">
        <v>48786156</v>
      </c>
      <c r="H314" t="s">
        <v>191</v>
      </c>
    </row>
    <row r="315" spans="1:8" hidden="1" x14ac:dyDescent="0.3">
      <c r="A315" s="28">
        <v>14541</v>
      </c>
      <c r="B315" s="31">
        <v>45154.775000000001</v>
      </c>
      <c r="C315" s="18">
        <v>45154</v>
      </c>
      <c r="D315" t="s">
        <v>104</v>
      </c>
      <c r="E315" s="32">
        <v>0</v>
      </c>
      <c r="F315" s="32">
        <v>1920000</v>
      </c>
      <c r="G315" s="32">
        <v>49786156</v>
      </c>
      <c r="H315" t="s">
        <v>109</v>
      </c>
    </row>
    <row r="316" spans="1:8" hidden="1" x14ac:dyDescent="0.3">
      <c r="A316" s="28">
        <v>14539</v>
      </c>
      <c r="B316" s="31">
        <v>45154.693749999999</v>
      </c>
      <c r="C316" s="18">
        <v>45154</v>
      </c>
      <c r="D316" t="s">
        <v>103</v>
      </c>
      <c r="E316" s="32">
        <v>1250700</v>
      </c>
      <c r="F316" s="32">
        <v>0</v>
      </c>
      <c r="G316" s="32">
        <v>51706156</v>
      </c>
      <c r="H316" t="s">
        <v>110</v>
      </c>
    </row>
    <row r="317" spans="1:8" hidden="1" x14ac:dyDescent="0.3">
      <c r="A317" s="28">
        <v>14530</v>
      </c>
      <c r="B317" s="31">
        <v>45154.477777777778</v>
      </c>
      <c r="C317" s="18">
        <v>45154</v>
      </c>
      <c r="D317" t="s">
        <v>103</v>
      </c>
      <c r="E317" s="32">
        <v>30000000</v>
      </c>
      <c r="F317" s="32">
        <v>0</v>
      </c>
      <c r="G317" s="32">
        <v>50455456</v>
      </c>
      <c r="H317" t="s">
        <v>117</v>
      </c>
    </row>
    <row r="318" spans="1:8" hidden="1" x14ac:dyDescent="0.3">
      <c r="A318" s="28">
        <v>14523</v>
      </c>
      <c r="B318" s="31">
        <v>45152.568749999999</v>
      </c>
      <c r="C318" s="18">
        <v>45152</v>
      </c>
      <c r="D318" t="s">
        <v>104</v>
      </c>
      <c r="E318" s="32">
        <v>0</v>
      </c>
      <c r="F318" s="32">
        <v>38781900</v>
      </c>
      <c r="G318" s="32">
        <v>20455456</v>
      </c>
      <c r="H318" t="s">
        <v>108</v>
      </c>
    </row>
    <row r="319" spans="1:8" hidden="1" x14ac:dyDescent="0.3">
      <c r="A319" s="28">
        <v>14522</v>
      </c>
      <c r="B319" s="31">
        <v>45152.566666666666</v>
      </c>
      <c r="C319" s="18">
        <v>45152</v>
      </c>
      <c r="D319" t="s">
        <v>103</v>
      </c>
      <c r="E319" s="32">
        <v>21000000</v>
      </c>
      <c r="F319" s="32">
        <v>0</v>
      </c>
      <c r="G319" s="32">
        <v>59237356</v>
      </c>
      <c r="H319" t="s">
        <v>125</v>
      </c>
    </row>
    <row r="320" spans="1:8" hidden="1" x14ac:dyDescent="0.3">
      <c r="A320" s="28">
        <v>14514</v>
      </c>
      <c r="B320" s="31">
        <v>45152.534722222219</v>
      </c>
      <c r="C320" s="18">
        <v>45152</v>
      </c>
      <c r="D320" t="s">
        <v>103</v>
      </c>
      <c r="E320" s="32">
        <v>10016600</v>
      </c>
      <c r="F320" s="32">
        <v>0</v>
      </c>
      <c r="G320" s="32">
        <v>38237356</v>
      </c>
      <c r="H320" t="s">
        <v>130</v>
      </c>
    </row>
    <row r="321" spans="1:8" hidden="1" x14ac:dyDescent="0.3">
      <c r="A321" s="28">
        <v>14513</v>
      </c>
      <c r="B321" s="31">
        <v>45152.534722222219</v>
      </c>
      <c r="C321" s="18">
        <v>45152</v>
      </c>
      <c r="D321" t="s">
        <v>103</v>
      </c>
      <c r="E321" s="32">
        <v>2273700</v>
      </c>
      <c r="F321" s="32">
        <v>0</v>
      </c>
      <c r="G321" s="32">
        <v>28220756</v>
      </c>
      <c r="H321" t="s">
        <v>130</v>
      </c>
    </row>
    <row r="322" spans="1:8" hidden="1" x14ac:dyDescent="0.3">
      <c r="A322" s="28">
        <v>14512</v>
      </c>
      <c r="B322" s="31">
        <v>45152.534722222219</v>
      </c>
      <c r="C322" s="18">
        <v>45152</v>
      </c>
      <c r="D322" t="s">
        <v>103</v>
      </c>
      <c r="E322" s="32">
        <v>2808300</v>
      </c>
      <c r="F322" s="32">
        <v>0</v>
      </c>
      <c r="G322" s="32">
        <v>25947056</v>
      </c>
      <c r="H322" t="s">
        <v>130</v>
      </c>
    </row>
    <row r="323" spans="1:8" hidden="1" x14ac:dyDescent="0.3">
      <c r="A323" s="28">
        <v>14511</v>
      </c>
      <c r="B323" s="31">
        <v>45152.534722222219</v>
      </c>
      <c r="C323" s="18">
        <v>45152</v>
      </c>
      <c r="D323" t="s">
        <v>103</v>
      </c>
      <c r="E323" s="32">
        <v>3165800</v>
      </c>
      <c r="F323" s="32">
        <v>0</v>
      </c>
      <c r="G323" s="32">
        <v>23138756</v>
      </c>
      <c r="H323" t="s">
        <v>130</v>
      </c>
    </row>
    <row r="324" spans="1:8" hidden="1" x14ac:dyDescent="0.3">
      <c r="A324" s="28">
        <v>14495</v>
      </c>
      <c r="B324" s="31">
        <v>45148.765277777777</v>
      </c>
      <c r="C324" s="18">
        <v>45148</v>
      </c>
      <c r="D324" t="s">
        <v>104</v>
      </c>
      <c r="E324" s="32">
        <v>0</v>
      </c>
      <c r="F324" s="32">
        <v>790380</v>
      </c>
      <c r="G324" s="32">
        <v>19972956</v>
      </c>
      <c r="H324" t="s">
        <v>192</v>
      </c>
    </row>
    <row r="325" spans="1:8" hidden="1" x14ac:dyDescent="0.3">
      <c r="A325" s="28">
        <v>14494</v>
      </c>
      <c r="B325" s="31">
        <v>45148.761805555558</v>
      </c>
      <c r="C325" s="18">
        <v>45148</v>
      </c>
      <c r="D325" t="s">
        <v>104</v>
      </c>
      <c r="E325" s="32">
        <v>0</v>
      </c>
      <c r="F325" s="32">
        <v>370010</v>
      </c>
      <c r="G325" s="32">
        <v>20763336</v>
      </c>
      <c r="H325" t="s">
        <v>193</v>
      </c>
    </row>
    <row r="326" spans="1:8" hidden="1" x14ac:dyDescent="0.3">
      <c r="A326" s="28">
        <v>14493</v>
      </c>
      <c r="B326" s="31">
        <v>45148.758333333331</v>
      </c>
      <c r="C326" s="18">
        <v>45148</v>
      </c>
      <c r="D326" t="s">
        <v>104</v>
      </c>
      <c r="E326" s="32">
        <v>0</v>
      </c>
      <c r="F326" s="32">
        <v>4983180</v>
      </c>
      <c r="G326" s="32">
        <v>21133346</v>
      </c>
      <c r="H326" t="s">
        <v>194</v>
      </c>
    </row>
    <row r="327" spans="1:8" hidden="1" x14ac:dyDescent="0.3">
      <c r="A327" s="28">
        <v>14492</v>
      </c>
      <c r="B327" s="31">
        <v>45148.754861111112</v>
      </c>
      <c r="C327" s="18">
        <v>45148</v>
      </c>
      <c r="D327" t="s">
        <v>104</v>
      </c>
      <c r="E327" s="32">
        <v>0</v>
      </c>
      <c r="F327" s="32">
        <v>4483220</v>
      </c>
      <c r="G327" s="32">
        <v>26116526</v>
      </c>
      <c r="H327" t="s">
        <v>195</v>
      </c>
    </row>
    <row r="328" spans="1:8" hidden="1" x14ac:dyDescent="0.3">
      <c r="A328" s="28">
        <v>14486</v>
      </c>
      <c r="B328" s="31">
        <v>45148.438194444447</v>
      </c>
      <c r="C328" s="18">
        <v>45148</v>
      </c>
      <c r="D328" t="s">
        <v>104</v>
      </c>
      <c r="E328" s="32">
        <v>0</v>
      </c>
      <c r="F328" s="32">
        <v>4091400</v>
      </c>
      <c r="G328" s="32">
        <v>30599746</v>
      </c>
      <c r="H328" t="s">
        <v>112</v>
      </c>
    </row>
    <row r="329" spans="1:8" hidden="1" x14ac:dyDescent="0.3">
      <c r="A329" s="28">
        <v>14484</v>
      </c>
      <c r="B329" s="31">
        <v>45148.422222222223</v>
      </c>
      <c r="C329" s="18">
        <v>45148</v>
      </c>
      <c r="D329" t="s">
        <v>104</v>
      </c>
      <c r="E329" s="32">
        <v>0</v>
      </c>
      <c r="F329" s="32">
        <v>39012600</v>
      </c>
      <c r="G329" s="32">
        <v>34691146</v>
      </c>
      <c r="H329" t="s">
        <v>108</v>
      </c>
    </row>
    <row r="330" spans="1:8" hidden="1" x14ac:dyDescent="0.3">
      <c r="A330" s="28">
        <v>14482</v>
      </c>
      <c r="B330" s="31">
        <v>45147.640972222223</v>
      </c>
      <c r="C330" s="18">
        <v>45147</v>
      </c>
      <c r="D330" t="s">
        <v>103</v>
      </c>
      <c r="E330" s="32">
        <v>1210000</v>
      </c>
      <c r="F330" s="32">
        <v>0</v>
      </c>
      <c r="G330" s="32">
        <v>73703746</v>
      </c>
      <c r="H330" t="s">
        <v>133</v>
      </c>
    </row>
    <row r="331" spans="1:8" hidden="1" x14ac:dyDescent="0.3">
      <c r="A331" s="28">
        <v>14481</v>
      </c>
      <c r="B331" s="31">
        <v>45147.640972222223</v>
      </c>
      <c r="C331" s="18">
        <v>45147</v>
      </c>
      <c r="D331" t="s">
        <v>103</v>
      </c>
      <c r="E331" s="32">
        <v>4934600</v>
      </c>
      <c r="F331" s="32">
        <v>0</v>
      </c>
      <c r="G331" s="32">
        <v>72493746</v>
      </c>
      <c r="H331" t="s">
        <v>133</v>
      </c>
    </row>
    <row r="332" spans="1:8" hidden="1" x14ac:dyDescent="0.3">
      <c r="A332" s="28">
        <v>14478</v>
      </c>
      <c r="B332" s="31">
        <v>45147.474305555559</v>
      </c>
      <c r="C332" s="18">
        <v>45147</v>
      </c>
      <c r="D332" t="s">
        <v>104</v>
      </c>
      <c r="E332" s="32">
        <v>0</v>
      </c>
      <c r="F332" s="32">
        <v>26222200</v>
      </c>
      <c r="G332" s="32">
        <v>67559146</v>
      </c>
      <c r="H332" t="s">
        <v>108</v>
      </c>
    </row>
    <row r="333" spans="1:8" hidden="1" x14ac:dyDescent="0.3">
      <c r="A333" s="28">
        <v>14465</v>
      </c>
      <c r="B333" s="31">
        <v>45145.761805555558</v>
      </c>
      <c r="C333" s="18">
        <v>45145</v>
      </c>
      <c r="D333" t="s">
        <v>104</v>
      </c>
      <c r="E333" s="32">
        <v>0</v>
      </c>
      <c r="F333" s="32">
        <v>240000</v>
      </c>
      <c r="G333" s="32">
        <v>93781346</v>
      </c>
      <c r="H333" t="s">
        <v>109</v>
      </c>
    </row>
    <row r="334" spans="1:8" hidden="1" x14ac:dyDescent="0.3">
      <c r="A334" s="28">
        <v>14460</v>
      </c>
      <c r="B334" s="31">
        <v>45145.48541666667</v>
      </c>
      <c r="C334" s="18">
        <v>45145</v>
      </c>
      <c r="D334" t="s">
        <v>104</v>
      </c>
      <c r="E334" s="32">
        <v>0</v>
      </c>
      <c r="F334" s="32">
        <v>26036000</v>
      </c>
      <c r="G334" s="32">
        <v>94021346</v>
      </c>
      <c r="H334" t="s">
        <v>108</v>
      </c>
    </row>
    <row r="335" spans="1:8" hidden="1" x14ac:dyDescent="0.3">
      <c r="A335" s="28">
        <v>14454</v>
      </c>
      <c r="B335" s="31">
        <v>45145.377083333333</v>
      </c>
      <c r="C335" s="18">
        <v>45145</v>
      </c>
      <c r="D335" t="s">
        <v>103</v>
      </c>
      <c r="E335" s="32">
        <v>41000000</v>
      </c>
      <c r="F335" s="32">
        <v>0</v>
      </c>
      <c r="G335" s="32">
        <v>120057346</v>
      </c>
      <c r="H335" t="s">
        <v>132</v>
      </c>
    </row>
    <row r="336" spans="1:8" hidden="1" x14ac:dyDescent="0.3">
      <c r="A336" s="28">
        <v>14436</v>
      </c>
      <c r="B336" s="31">
        <v>45141.490277777775</v>
      </c>
      <c r="C336" s="18">
        <v>45141</v>
      </c>
      <c r="D336" t="s">
        <v>104</v>
      </c>
      <c r="E336" s="32">
        <v>0</v>
      </c>
      <c r="F336" s="32">
        <v>70000000</v>
      </c>
      <c r="G336" s="32">
        <v>79057346</v>
      </c>
      <c r="H336" t="s">
        <v>114</v>
      </c>
    </row>
    <row r="337" spans="1:8" hidden="1" x14ac:dyDescent="0.3">
      <c r="A337" s="28">
        <v>14435</v>
      </c>
      <c r="B337" s="31">
        <v>45141.45</v>
      </c>
      <c r="C337" s="18">
        <v>45141</v>
      </c>
      <c r="D337" t="s">
        <v>104</v>
      </c>
      <c r="E337" s="32">
        <v>0</v>
      </c>
      <c r="F337" s="32">
        <v>105210</v>
      </c>
      <c r="G337" s="32">
        <v>149057346</v>
      </c>
      <c r="H337" t="s">
        <v>111</v>
      </c>
    </row>
    <row r="338" spans="1:8" hidden="1" x14ac:dyDescent="0.3">
      <c r="A338" s="28">
        <v>14421</v>
      </c>
      <c r="B338" s="31">
        <v>45138.670138888891</v>
      </c>
      <c r="C338" s="18">
        <v>45138</v>
      </c>
      <c r="D338" t="s">
        <v>103</v>
      </c>
      <c r="E338" s="32">
        <v>124117900</v>
      </c>
      <c r="F338" s="32">
        <v>0</v>
      </c>
      <c r="G338" s="32">
        <v>149162556</v>
      </c>
      <c r="H338" t="s">
        <v>115</v>
      </c>
    </row>
    <row r="339" spans="1:8" hidden="1" x14ac:dyDescent="0.3">
      <c r="A339" s="28">
        <v>14382</v>
      </c>
      <c r="B339" s="31">
        <v>45134.648611111108</v>
      </c>
      <c r="C339" s="18">
        <v>45134</v>
      </c>
      <c r="D339" t="s">
        <v>103</v>
      </c>
      <c r="E339" s="32">
        <v>7620800</v>
      </c>
      <c r="F339" s="32">
        <v>0</v>
      </c>
      <c r="G339" s="32">
        <v>25044656</v>
      </c>
      <c r="H339" t="s">
        <v>164</v>
      </c>
    </row>
    <row r="340" spans="1:8" hidden="1" x14ac:dyDescent="0.3">
      <c r="A340" s="28">
        <v>14372</v>
      </c>
      <c r="B340" s="31">
        <v>45134.304166666669</v>
      </c>
      <c r="C340" s="18">
        <v>45134</v>
      </c>
      <c r="D340" t="s">
        <v>104</v>
      </c>
      <c r="E340" s="32">
        <v>0</v>
      </c>
      <c r="F340" s="32">
        <v>180000</v>
      </c>
      <c r="G340" s="32">
        <v>17423856</v>
      </c>
      <c r="H340" t="s">
        <v>196</v>
      </c>
    </row>
    <row r="341" spans="1:8" hidden="1" x14ac:dyDescent="0.3">
      <c r="A341" s="28">
        <v>14370</v>
      </c>
      <c r="B341" s="31">
        <v>45133.686111111114</v>
      </c>
      <c r="C341" s="18">
        <v>45133</v>
      </c>
      <c r="D341" t="s">
        <v>103</v>
      </c>
      <c r="E341" s="32">
        <v>1254000</v>
      </c>
      <c r="F341" s="32">
        <v>0</v>
      </c>
      <c r="G341" s="32">
        <v>17603856</v>
      </c>
      <c r="H341" t="s">
        <v>133</v>
      </c>
    </row>
    <row r="342" spans="1:8" hidden="1" x14ac:dyDescent="0.3">
      <c r="A342" s="28">
        <v>14367</v>
      </c>
      <c r="B342" s="31">
        <v>45133.295138888891</v>
      </c>
      <c r="C342" s="18">
        <v>45133</v>
      </c>
      <c r="D342" t="s">
        <v>104</v>
      </c>
      <c r="E342" s="32">
        <v>0</v>
      </c>
      <c r="F342" s="32">
        <v>251200</v>
      </c>
      <c r="G342" s="32">
        <v>16349856</v>
      </c>
      <c r="H342" t="s">
        <v>119</v>
      </c>
    </row>
    <row r="343" spans="1:8" hidden="1" x14ac:dyDescent="0.3">
      <c r="A343" s="28">
        <v>14366</v>
      </c>
      <c r="B343" s="31">
        <v>45133.295138888891</v>
      </c>
      <c r="C343" s="18">
        <v>45133</v>
      </c>
      <c r="D343" t="s">
        <v>104</v>
      </c>
      <c r="E343" s="32">
        <v>0</v>
      </c>
      <c r="F343" s="32">
        <v>3215022</v>
      </c>
      <c r="G343" s="32">
        <v>16601056</v>
      </c>
      <c r="H343" t="s">
        <v>119</v>
      </c>
    </row>
    <row r="344" spans="1:8" hidden="1" x14ac:dyDescent="0.3">
      <c r="A344" s="28">
        <v>14364</v>
      </c>
      <c r="B344" s="31">
        <v>45132.773611111108</v>
      </c>
      <c r="C344" s="18">
        <v>45132</v>
      </c>
      <c r="D344" t="s">
        <v>104</v>
      </c>
      <c r="E344" s="32">
        <v>0</v>
      </c>
      <c r="F344" s="32">
        <v>5980</v>
      </c>
      <c r="G344" s="32">
        <v>19816078</v>
      </c>
      <c r="H344" t="s">
        <v>197</v>
      </c>
    </row>
    <row r="345" spans="1:8" hidden="1" x14ac:dyDescent="0.3">
      <c r="A345" s="28">
        <v>14363</v>
      </c>
      <c r="B345" s="31">
        <v>45132.772222222222</v>
      </c>
      <c r="C345" s="18">
        <v>45132</v>
      </c>
      <c r="D345" t="s">
        <v>104</v>
      </c>
      <c r="E345" s="32">
        <v>0</v>
      </c>
      <c r="F345" s="32">
        <v>240000</v>
      </c>
      <c r="G345" s="32">
        <v>19822058</v>
      </c>
      <c r="H345" t="s">
        <v>109</v>
      </c>
    </row>
    <row r="346" spans="1:8" hidden="1" x14ac:dyDescent="0.3">
      <c r="A346" s="28">
        <v>14347</v>
      </c>
      <c r="B346" s="31">
        <v>45131.333333333336</v>
      </c>
      <c r="C346" s="18">
        <v>45131</v>
      </c>
      <c r="D346" t="s">
        <v>104</v>
      </c>
      <c r="E346" s="32">
        <v>0</v>
      </c>
      <c r="F346" s="32">
        <v>51352690</v>
      </c>
      <c r="G346" s="32">
        <v>20062058</v>
      </c>
      <c r="H346" t="s">
        <v>198</v>
      </c>
    </row>
    <row r="347" spans="1:8" hidden="1" x14ac:dyDescent="0.3">
      <c r="A347" s="28">
        <v>14346</v>
      </c>
      <c r="B347" s="31">
        <v>45128.758333333331</v>
      </c>
      <c r="C347" s="18">
        <v>45128</v>
      </c>
      <c r="D347" t="s">
        <v>104</v>
      </c>
      <c r="E347" s="32">
        <v>0</v>
      </c>
      <c r="F347" s="32">
        <v>12100</v>
      </c>
      <c r="G347" s="32">
        <v>71414748</v>
      </c>
      <c r="H347" t="s">
        <v>199</v>
      </c>
    </row>
    <row r="348" spans="1:8" hidden="1" x14ac:dyDescent="0.3">
      <c r="A348" s="28">
        <v>14345</v>
      </c>
      <c r="B348" s="31">
        <v>45128.758333333331</v>
      </c>
      <c r="C348" s="18">
        <v>45128</v>
      </c>
      <c r="D348" t="s">
        <v>104</v>
      </c>
      <c r="E348" s="32">
        <v>0</v>
      </c>
      <c r="F348" s="32">
        <v>260510</v>
      </c>
      <c r="G348" s="32">
        <v>71426848</v>
      </c>
      <c r="H348" t="s">
        <v>200</v>
      </c>
    </row>
    <row r="349" spans="1:8" hidden="1" x14ac:dyDescent="0.3">
      <c r="A349" s="28">
        <v>14344</v>
      </c>
      <c r="B349" s="31">
        <v>45128.62222222222</v>
      </c>
      <c r="C349" s="18">
        <v>45128</v>
      </c>
      <c r="D349" t="s">
        <v>103</v>
      </c>
      <c r="E349" s="32">
        <v>1180300</v>
      </c>
      <c r="F349" s="32">
        <v>0</v>
      </c>
      <c r="G349" s="32">
        <v>71687358</v>
      </c>
      <c r="H349" t="s">
        <v>201</v>
      </c>
    </row>
    <row r="350" spans="1:8" hidden="1" x14ac:dyDescent="0.3">
      <c r="A350" s="28">
        <v>14315</v>
      </c>
      <c r="B350" s="31">
        <v>45126.474999999999</v>
      </c>
      <c r="C350" s="18">
        <v>45126</v>
      </c>
      <c r="D350" t="s">
        <v>104</v>
      </c>
      <c r="E350" s="32">
        <v>0</v>
      </c>
      <c r="F350" s="32">
        <v>40000000</v>
      </c>
      <c r="G350" s="32">
        <v>70507058</v>
      </c>
      <c r="H350" t="s">
        <v>202</v>
      </c>
    </row>
    <row r="351" spans="1:8" hidden="1" x14ac:dyDescent="0.3">
      <c r="A351" s="28">
        <v>14314</v>
      </c>
      <c r="B351" s="31">
        <v>45126.472916666666</v>
      </c>
      <c r="C351" s="18">
        <v>45126</v>
      </c>
      <c r="D351" t="s">
        <v>103</v>
      </c>
      <c r="E351" s="32">
        <v>99837261</v>
      </c>
      <c r="F351" s="32">
        <v>0</v>
      </c>
      <c r="G351" s="32">
        <v>110507058</v>
      </c>
      <c r="H351" t="s">
        <v>203</v>
      </c>
    </row>
    <row r="352" spans="1:8" hidden="1" x14ac:dyDescent="0.3">
      <c r="A352" s="28">
        <v>14313</v>
      </c>
      <c r="B352" s="31">
        <v>45126.46597222222</v>
      </c>
      <c r="C352" s="18">
        <v>45126</v>
      </c>
      <c r="D352" t="s">
        <v>104</v>
      </c>
      <c r="E352" s="32">
        <v>0</v>
      </c>
      <c r="F352" s="32">
        <v>38093100</v>
      </c>
      <c r="G352" s="32">
        <v>10669797</v>
      </c>
      <c r="H352" t="s">
        <v>204</v>
      </c>
    </row>
    <row r="353" spans="1:8" hidden="1" x14ac:dyDescent="0.3">
      <c r="A353" s="28">
        <v>14305</v>
      </c>
      <c r="B353" s="31">
        <v>45125.408333333333</v>
      </c>
      <c r="C353" s="18">
        <v>45125</v>
      </c>
      <c r="D353" t="s">
        <v>104</v>
      </c>
      <c r="E353" s="32">
        <v>0</v>
      </c>
      <c r="F353" s="32">
        <v>25315200</v>
      </c>
      <c r="G353" s="32">
        <v>48762897</v>
      </c>
      <c r="H353" t="s">
        <v>204</v>
      </c>
    </row>
    <row r="354" spans="1:8" hidden="1" x14ac:dyDescent="0.3">
      <c r="A354" s="28">
        <v>14304</v>
      </c>
      <c r="B354" s="31">
        <v>45125.400694444441</v>
      </c>
      <c r="C354" s="18">
        <v>45125</v>
      </c>
      <c r="D354" t="s">
        <v>104</v>
      </c>
      <c r="E354" s="32">
        <v>0</v>
      </c>
      <c r="F354" s="32">
        <v>993756</v>
      </c>
      <c r="G354" s="32">
        <v>74078097</v>
      </c>
      <c r="H354" t="s">
        <v>204</v>
      </c>
    </row>
    <row r="355" spans="1:8" hidden="1" x14ac:dyDescent="0.3">
      <c r="A355" s="28">
        <v>14303</v>
      </c>
      <c r="B355" s="31">
        <v>45125.384027777778</v>
      </c>
      <c r="C355" s="18">
        <v>45125</v>
      </c>
      <c r="D355" t="s">
        <v>103</v>
      </c>
      <c r="E355" s="32">
        <v>69000000</v>
      </c>
      <c r="F355" s="32">
        <v>0</v>
      </c>
      <c r="G355" s="32">
        <v>75071853</v>
      </c>
      <c r="H355" t="s">
        <v>205</v>
      </c>
    </row>
    <row r="356" spans="1:8" hidden="1" x14ac:dyDescent="0.3">
      <c r="A356" s="28">
        <v>14295</v>
      </c>
      <c r="B356" s="31">
        <v>45124.806944444441</v>
      </c>
      <c r="C356" s="18">
        <v>45124</v>
      </c>
      <c r="D356" t="s">
        <v>104</v>
      </c>
      <c r="E356" s="32">
        <v>0</v>
      </c>
      <c r="F356" s="32">
        <v>3000000</v>
      </c>
      <c r="G356" s="32">
        <v>6071853</v>
      </c>
      <c r="H356" t="s">
        <v>206</v>
      </c>
    </row>
    <row r="357" spans="1:8" hidden="1" x14ac:dyDescent="0.3">
      <c r="A357" s="28">
        <v>14293</v>
      </c>
      <c r="B357" s="31">
        <v>45124.780555555553</v>
      </c>
      <c r="C357" s="18">
        <v>45124</v>
      </c>
      <c r="D357" t="s">
        <v>104</v>
      </c>
      <c r="E357" s="32">
        <v>0</v>
      </c>
      <c r="F357" s="32">
        <v>1920000</v>
      </c>
      <c r="G357" s="32">
        <v>9071853</v>
      </c>
      <c r="H357" t="s">
        <v>207</v>
      </c>
    </row>
    <row r="358" spans="1:8" hidden="1" x14ac:dyDescent="0.3">
      <c r="A358" s="28">
        <v>14285</v>
      </c>
      <c r="B358" s="31">
        <v>45124.35</v>
      </c>
      <c r="C358" s="18">
        <v>45124</v>
      </c>
      <c r="D358" t="s">
        <v>103</v>
      </c>
      <c r="E358" s="32">
        <v>6938</v>
      </c>
      <c r="F358" s="32">
        <v>0</v>
      </c>
      <c r="G358" s="32">
        <v>10991853</v>
      </c>
      <c r="H358" t="s">
        <v>208</v>
      </c>
    </row>
    <row r="359" spans="1:8" hidden="1" x14ac:dyDescent="0.3">
      <c r="A359" s="28">
        <v>14265</v>
      </c>
      <c r="B359" s="31">
        <v>45121.405555555553</v>
      </c>
      <c r="C359" s="18">
        <v>45121</v>
      </c>
      <c r="D359" t="s">
        <v>104</v>
      </c>
      <c r="E359" s="32">
        <v>0</v>
      </c>
      <c r="F359" s="32">
        <v>7000000</v>
      </c>
      <c r="G359" s="32">
        <v>10984915</v>
      </c>
      <c r="H359" t="s">
        <v>202</v>
      </c>
    </row>
    <row r="360" spans="1:8" hidden="1" x14ac:dyDescent="0.3">
      <c r="A360" s="28">
        <v>14264</v>
      </c>
      <c r="B360" s="31">
        <v>45121.402083333334</v>
      </c>
      <c r="C360" s="18">
        <v>45121</v>
      </c>
      <c r="D360" t="s">
        <v>104</v>
      </c>
      <c r="E360" s="32">
        <v>0</v>
      </c>
      <c r="F360" s="32">
        <v>2542540</v>
      </c>
      <c r="G360" s="32">
        <v>17984915</v>
      </c>
      <c r="H360" t="s">
        <v>204</v>
      </c>
    </row>
    <row r="361" spans="1:8" hidden="1" x14ac:dyDescent="0.3">
      <c r="A361" s="28">
        <v>14261</v>
      </c>
      <c r="B361" s="31">
        <v>45120.697916666664</v>
      </c>
      <c r="C361" s="18">
        <v>45120</v>
      </c>
      <c r="D361" t="s">
        <v>103</v>
      </c>
      <c r="E361" s="32">
        <v>6751800</v>
      </c>
      <c r="F361" s="32">
        <v>0</v>
      </c>
      <c r="G361" s="32">
        <v>20527455</v>
      </c>
      <c r="H361" t="s">
        <v>209</v>
      </c>
    </row>
    <row r="362" spans="1:8" hidden="1" x14ac:dyDescent="0.3">
      <c r="A362" s="28">
        <v>14259</v>
      </c>
      <c r="B362" s="31">
        <v>45120.645138888889</v>
      </c>
      <c r="C362" s="18">
        <v>45120</v>
      </c>
      <c r="D362" t="s">
        <v>103</v>
      </c>
      <c r="E362" s="32">
        <v>2134000</v>
      </c>
      <c r="F362" s="32">
        <v>0</v>
      </c>
      <c r="G362" s="32">
        <v>13775655</v>
      </c>
      <c r="H362" t="s">
        <v>210</v>
      </c>
    </row>
    <row r="363" spans="1:8" hidden="1" x14ac:dyDescent="0.3">
      <c r="A363" s="28">
        <v>14258</v>
      </c>
      <c r="B363" s="31">
        <v>45120.645138888889</v>
      </c>
      <c r="C363" s="18">
        <v>45120</v>
      </c>
      <c r="D363" t="s">
        <v>103</v>
      </c>
      <c r="E363" s="32">
        <v>2673000</v>
      </c>
      <c r="F363" s="32">
        <v>0</v>
      </c>
      <c r="G363" s="32">
        <v>11641655</v>
      </c>
      <c r="H363" t="s">
        <v>210</v>
      </c>
    </row>
    <row r="364" spans="1:8" hidden="1" x14ac:dyDescent="0.3">
      <c r="A364" s="28">
        <v>14257</v>
      </c>
      <c r="B364" s="31">
        <v>45120.645138888889</v>
      </c>
      <c r="C364" s="18">
        <v>45120</v>
      </c>
      <c r="D364" t="s">
        <v>103</v>
      </c>
      <c r="E364" s="32">
        <v>6021400</v>
      </c>
      <c r="F364" s="32">
        <v>0</v>
      </c>
      <c r="G364" s="32">
        <v>8968655</v>
      </c>
      <c r="H364" t="s">
        <v>210</v>
      </c>
    </row>
    <row r="365" spans="1:8" hidden="1" x14ac:dyDescent="0.3">
      <c r="A365" s="28">
        <v>14256</v>
      </c>
      <c r="B365" s="31">
        <v>45120.645138888889</v>
      </c>
      <c r="C365" s="18">
        <v>45120</v>
      </c>
      <c r="D365" t="s">
        <v>103</v>
      </c>
      <c r="E365" s="32">
        <v>1142900</v>
      </c>
      <c r="F365" s="32">
        <v>0</v>
      </c>
      <c r="G365" s="32">
        <v>2947255</v>
      </c>
      <c r="H365" t="s">
        <v>210</v>
      </c>
    </row>
    <row r="366" spans="1:8" hidden="1" x14ac:dyDescent="0.3">
      <c r="A366" s="28">
        <v>14255</v>
      </c>
      <c r="B366" s="31">
        <v>45120.628472222219</v>
      </c>
      <c r="C366" s="18">
        <v>45120</v>
      </c>
      <c r="D366" t="s">
        <v>104</v>
      </c>
      <c r="E366" s="32">
        <v>0</v>
      </c>
      <c r="F366" s="32">
        <v>2555560</v>
      </c>
      <c r="G366" s="32">
        <v>1804355</v>
      </c>
      <c r="H366" t="s">
        <v>204</v>
      </c>
    </row>
    <row r="367" spans="1:8" hidden="1" x14ac:dyDescent="0.3">
      <c r="A367" s="28">
        <v>14253</v>
      </c>
      <c r="B367" s="31">
        <v>45120.393750000003</v>
      </c>
      <c r="C367" s="18">
        <v>45120</v>
      </c>
      <c r="D367" t="s">
        <v>104</v>
      </c>
      <c r="E367" s="32">
        <v>0</v>
      </c>
      <c r="F367" s="32">
        <v>3838440</v>
      </c>
      <c r="G367" s="32">
        <v>4359915</v>
      </c>
      <c r="H367" t="s">
        <v>204</v>
      </c>
    </row>
    <row r="368" spans="1:8" hidden="1" x14ac:dyDescent="0.3">
      <c r="A368" s="28">
        <v>14249</v>
      </c>
      <c r="B368" s="31">
        <v>45119.620833333334</v>
      </c>
      <c r="C368" s="18">
        <v>45119</v>
      </c>
      <c r="D368" t="s">
        <v>103</v>
      </c>
      <c r="E368" s="32">
        <v>1861200</v>
      </c>
      <c r="F368" s="32">
        <v>0</v>
      </c>
      <c r="G368" s="32">
        <v>8198355</v>
      </c>
      <c r="H368" t="s">
        <v>211</v>
      </c>
    </row>
    <row r="369" spans="1:8" hidden="1" x14ac:dyDescent="0.3">
      <c r="A369" s="28">
        <v>14248</v>
      </c>
      <c r="B369" s="31">
        <v>45119.589583333334</v>
      </c>
      <c r="C369" s="18">
        <v>45119</v>
      </c>
      <c r="D369" t="s">
        <v>103</v>
      </c>
      <c r="E369" s="32">
        <v>60500</v>
      </c>
      <c r="F369" s="32">
        <v>0</v>
      </c>
      <c r="G369" s="32">
        <v>6337155</v>
      </c>
      <c r="H369" t="s">
        <v>212</v>
      </c>
    </row>
    <row r="370" spans="1:8" hidden="1" x14ac:dyDescent="0.3">
      <c r="A370" s="28">
        <v>14247</v>
      </c>
      <c r="B370" s="31">
        <v>45119.588888888888</v>
      </c>
      <c r="C370" s="18">
        <v>45119</v>
      </c>
      <c r="D370" t="s">
        <v>103</v>
      </c>
      <c r="E370" s="32">
        <v>1151700</v>
      </c>
      <c r="F370" s="32">
        <v>0</v>
      </c>
      <c r="G370" s="32">
        <v>6276655</v>
      </c>
      <c r="H370" t="s">
        <v>212</v>
      </c>
    </row>
    <row r="371" spans="1:8" hidden="1" x14ac:dyDescent="0.3">
      <c r="A371" s="28">
        <v>14239</v>
      </c>
      <c r="B371" s="31">
        <v>45118.438194444447</v>
      </c>
      <c r="C371" s="18">
        <v>45118</v>
      </c>
      <c r="D371" t="s">
        <v>104</v>
      </c>
      <c r="E371" s="32">
        <v>0</v>
      </c>
      <c r="F371" s="32">
        <v>4091400</v>
      </c>
      <c r="G371" s="32">
        <v>5124955</v>
      </c>
      <c r="H371" t="s">
        <v>213</v>
      </c>
    </row>
    <row r="372" spans="1:8" hidden="1" x14ac:dyDescent="0.3">
      <c r="A372" s="28">
        <v>14236</v>
      </c>
      <c r="B372" s="31">
        <v>45118.390972222223</v>
      </c>
      <c r="C372" s="18">
        <v>45118</v>
      </c>
      <c r="D372" t="s">
        <v>104</v>
      </c>
      <c r="E372" s="32">
        <v>0</v>
      </c>
      <c r="F372" s="32">
        <v>32492500</v>
      </c>
      <c r="G372" s="32">
        <v>9216355</v>
      </c>
      <c r="H372" t="s">
        <v>204</v>
      </c>
    </row>
    <row r="373" spans="1:8" hidden="1" x14ac:dyDescent="0.3">
      <c r="A373" s="28">
        <v>14235</v>
      </c>
      <c r="B373" s="31">
        <v>45117.772222222222</v>
      </c>
      <c r="C373" s="18">
        <v>45117</v>
      </c>
      <c r="D373" t="s">
        <v>104</v>
      </c>
      <c r="E373" s="32">
        <v>0</v>
      </c>
      <c r="F373" s="32">
        <v>791880</v>
      </c>
      <c r="G373" s="32">
        <v>41708855</v>
      </c>
      <c r="H373" t="s">
        <v>214</v>
      </c>
    </row>
    <row r="374" spans="1:8" hidden="1" x14ac:dyDescent="0.3">
      <c r="A374" s="28">
        <v>14234</v>
      </c>
      <c r="B374" s="31">
        <v>45117.770138888889</v>
      </c>
      <c r="C374" s="18">
        <v>45117</v>
      </c>
      <c r="D374" t="s">
        <v>104</v>
      </c>
      <c r="E374" s="32">
        <v>0</v>
      </c>
      <c r="F374" s="32">
        <v>375770</v>
      </c>
      <c r="G374" s="32">
        <v>42500735</v>
      </c>
      <c r="H374" t="s">
        <v>215</v>
      </c>
    </row>
    <row r="375" spans="1:8" hidden="1" x14ac:dyDescent="0.3">
      <c r="A375" s="28">
        <v>14233</v>
      </c>
      <c r="B375" s="31">
        <v>45117.767361111109</v>
      </c>
      <c r="C375" s="18">
        <v>45117</v>
      </c>
      <c r="D375" t="s">
        <v>104</v>
      </c>
      <c r="E375" s="32">
        <v>0</v>
      </c>
      <c r="F375" s="32">
        <v>4983180</v>
      </c>
      <c r="G375" s="32">
        <v>42876505</v>
      </c>
      <c r="H375" t="s">
        <v>216</v>
      </c>
    </row>
    <row r="376" spans="1:8" hidden="1" x14ac:dyDescent="0.3">
      <c r="A376" s="28">
        <v>14232</v>
      </c>
      <c r="B376" s="31">
        <v>45117.762499999997</v>
      </c>
      <c r="C376" s="18">
        <v>45117</v>
      </c>
      <c r="D376" t="s">
        <v>104</v>
      </c>
      <c r="E376" s="32">
        <v>0</v>
      </c>
      <c r="F376" s="32">
        <v>4095700</v>
      </c>
      <c r="G376" s="32">
        <v>47859685</v>
      </c>
      <c r="H376" t="s">
        <v>217</v>
      </c>
    </row>
    <row r="377" spans="1:8" hidden="1" x14ac:dyDescent="0.3">
      <c r="A377" s="28">
        <v>14231</v>
      </c>
      <c r="B377" s="31">
        <v>45117.701388888891</v>
      </c>
      <c r="C377" s="18">
        <v>45117</v>
      </c>
      <c r="D377" t="s">
        <v>103</v>
      </c>
      <c r="E377" s="32">
        <v>9149800</v>
      </c>
      <c r="F377" s="32">
        <v>0</v>
      </c>
      <c r="G377" s="32">
        <v>51955385</v>
      </c>
      <c r="H377" t="s">
        <v>218</v>
      </c>
    </row>
    <row r="378" spans="1:8" hidden="1" x14ac:dyDescent="0.3">
      <c r="A378" s="28">
        <v>14230</v>
      </c>
      <c r="B378" s="31">
        <v>45117.614583333336</v>
      </c>
      <c r="C378" s="18">
        <v>45117</v>
      </c>
      <c r="D378" t="s">
        <v>103</v>
      </c>
      <c r="E378" s="32">
        <v>11000000</v>
      </c>
      <c r="F378" s="32">
        <v>0</v>
      </c>
      <c r="G378" s="32">
        <v>42805585</v>
      </c>
      <c r="H378" t="s">
        <v>202</v>
      </c>
    </row>
    <row r="379" spans="1:8" hidden="1" x14ac:dyDescent="0.3">
      <c r="A379" s="28">
        <v>14227</v>
      </c>
      <c r="B379" s="31">
        <v>45117.548611111109</v>
      </c>
      <c r="C379" s="18">
        <v>45117</v>
      </c>
      <c r="D379" t="s">
        <v>103</v>
      </c>
      <c r="E379" s="32">
        <v>12300000</v>
      </c>
      <c r="F379" s="32">
        <v>0</v>
      </c>
      <c r="G379" s="32">
        <v>31805585</v>
      </c>
      <c r="H379" t="s">
        <v>219</v>
      </c>
    </row>
    <row r="380" spans="1:8" hidden="1" x14ac:dyDescent="0.3">
      <c r="A380" s="28">
        <v>14217</v>
      </c>
      <c r="B380" s="31">
        <v>45117.209722222222</v>
      </c>
      <c r="C380" s="18">
        <v>45117</v>
      </c>
      <c r="D380" t="s">
        <v>103</v>
      </c>
      <c r="E380" s="32">
        <v>12075800</v>
      </c>
      <c r="F380" s="32">
        <v>0</v>
      </c>
      <c r="G380" s="32">
        <v>19505585</v>
      </c>
      <c r="H380" t="s">
        <v>220</v>
      </c>
    </row>
    <row r="381" spans="1:8" hidden="1" x14ac:dyDescent="0.3">
      <c r="A381" s="28">
        <v>14199</v>
      </c>
      <c r="B381" s="31">
        <v>45112.762499999997</v>
      </c>
      <c r="C381" s="18">
        <v>45112</v>
      </c>
      <c r="D381" t="s">
        <v>104</v>
      </c>
      <c r="E381" s="32">
        <v>0</v>
      </c>
      <c r="F381" s="32">
        <v>240000</v>
      </c>
      <c r="G381" s="32">
        <v>7429785</v>
      </c>
      <c r="H381" t="s">
        <v>207</v>
      </c>
    </row>
    <row r="382" spans="1:8" hidden="1" x14ac:dyDescent="0.3">
      <c r="A382" s="28">
        <v>14198</v>
      </c>
      <c r="B382" s="31">
        <v>45112.699305555558</v>
      </c>
      <c r="C382" s="18">
        <v>45112</v>
      </c>
      <c r="D382" t="s">
        <v>104</v>
      </c>
      <c r="E382" s="32">
        <v>0</v>
      </c>
      <c r="F382" s="32">
        <v>141280</v>
      </c>
      <c r="G382" s="32">
        <v>7669785</v>
      </c>
      <c r="H382" t="s">
        <v>221</v>
      </c>
    </row>
    <row r="383" spans="1:8" hidden="1" x14ac:dyDescent="0.3">
      <c r="A383" s="28">
        <v>14197</v>
      </c>
      <c r="B383" s="31">
        <v>45112.69027777778</v>
      </c>
      <c r="C383" s="18">
        <v>45112</v>
      </c>
      <c r="D383" t="s">
        <v>103</v>
      </c>
      <c r="E383" s="32">
        <v>640200</v>
      </c>
      <c r="F383" s="32">
        <v>0</v>
      </c>
      <c r="G383" s="32">
        <v>7811065</v>
      </c>
      <c r="H383" t="s">
        <v>212</v>
      </c>
    </row>
    <row r="384" spans="1:8" hidden="1" x14ac:dyDescent="0.3">
      <c r="A384" s="28">
        <v>14196</v>
      </c>
      <c r="B384" s="31">
        <v>45112.689583333333</v>
      </c>
      <c r="C384" s="18">
        <v>45112</v>
      </c>
      <c r="D384" t="s">
        <v>103</v>
      </c>
      <c r="E384" s="32">
        <v>1896400</v>
      </c>
      <c r="F384" s="32">
        <v>0</v>
      </c>
      <c r="G384" s="32">
        <v>7170865</v>
      </c>
      <c r="H384" t="s">
        <v>212</v>
      </c>
    </row>
    <row r="385" spans="1:8" hidden="1" x14ac:dyDescent="0.3">
      <c r="A385" s="28">
        <v>14194</v>
      </c>
      <c r="B385" s="31">
        <v>45112.620833333334</v>
      </c>
      <c r="C385" s="18">
        <v>45112</v>
      </c>
      <c r="D385" t="s">
        <v>104</v>
      </c>
      <c r="E385" s="32">
        <v>0</v>
      </c>
      <c r="F385" s="32">
        <v>39000000</v>
      </c>
      <c r="G385" s="32">
        <v>5274465</v>
      </c>
      <c r="H385" t="s">
        <v>204</v>
      </c>
    </row>
    <row r="386" spans="1:8" hidden="1" x14ac:dyDescent="0.3">
      <c r="A386" s="28">
        <v>14193</v>
      </c>
      <c r="B386" s="31">
        <v>45112.605555555558</v>
      </c>
      <c r="C386" s="18">
        <v>45112</v>
      </c>
      <c r="D386" t="s">
        <v>103</v>
      </c>
      <c r="E386" s="32">
        <v>10000000</v>
      </c>
      <c r="F386" s="32">
        <v>0</v>
      </c>
      <c r="G386" s="32">
        <v>44274465</v>
      </c>
      <c r="H386" t="s">
        <v>202</v>
      </c>
    </row>
    <row r="387" spans="1:8" hidden="1" x14ac:dyDescent="0.3">
      <c r="A387" s="28">
        <v>14191</v>
      </c>
      <c r="B387" s="31">
        <v>45112.598611111112</v>
      </c>
      <c r="C387" s="18">
        <v>45112</v>
      </c>
      <c r="D387" t="s">
        <v>103</v>
      </c>
      <c r="E387" s="32">
        <v>19929622</v>
      </c>
      <c r="F387" s="32">
        <v>0</v>
      </c>
      <c r="G387" s="32">
        <v>34274465</v>
      </c>
      <c r="H387" t="s">
        <v>203</v>
      </c>
    </row>
    <row r="388" spans="1:8" hidden="1" x14ac:dyDescent="0.3">
      <c r="A388" s="28">
        <v>14183</v>
      </c>
      <c r="B388" s="31">
        <v>45112.393750000003</v>
      </c>
      <c r="C388" s="18">
        <v>45112</v>
      </c>
      <c r="D388" t="s">
        <v>103</v>
      </c>
      <c r="E388" s="32">
        <v>4300000</v>
      </c>
      <c r="F388" s="32">
        <v>0</v>
      </c>
      <c r="G388" s="32">
        <v>14344843</v>
      </c>
      <c r="H388" t="s">
        <v>205</v>
      </c>
    </row>
    <row r="389" spans="1:8" hidden="1" x14ac:dyDescent="0.3">
      <c r="A389" s="28">
        <v>14166</v>
      </c>
      <c r="B389" s="31">
        <v>45110.679861111108</v>
      </c>
      <c r="C389" s="18">
        <v>45110</v>
      </c>
      <c r="D389" t="s">
        <v>104</v>
      </c>
      <c r="E389" s="32">
        <v>0</v>
      </c>
      <c r="F389" s="32">
        <v>4400</v>
      </c>
      <c r="G389" s="32">
        <v>10044843</v>
      </c>
      <c r="H389" t="s">
        <v>222</v>
      </c>
    </row>
    <row r="390" spans="1:8" hidden="1" x14ac:dyDescent="0.3">
      <c r="A390" s="28">
        <v>14158</v>
      </c>
      <c r="B390" s="31">
        <v>45110.413194444445</v>
      </c>
      <c r="C390" s="18">
        <v>45110</v>
      </c>
      <c r="D390" t="s">
        <v>104</v>
      </c>
      <c r="E390" s="32">
        <v>0</v>
      </c>
      <c r="F390" s="32">
        <v>70000000</v>
      </c>
      <c r="G390" s="32">
        <v>10049243</v>
      </c>
      <c r="H390" t="s">
        <v>223</v>
      </c>
    </row>
    <row r="391" spans="1:8" hidden="1" x14ac:dyDescent="0.3">
      <c r="A391" s="28">
        <v>14157</v>
      </c>
      <c r="B391" s="31">
        <v>45110.411111111112</v>
      </c>
      <c r="C391" s="18">
        <v>45110</v>
      </c>
      <c r="D391" t="s">
        <v>103</v>
      </c>
      <c r="E391" s="32">
        <v>69734192</v>
      </c>
      <c r="F391" s="32">
        <v>0</v>
      </c>
      <c r="G391" s="32">
        <v>80049243</v>
      </c>
      <c r="H391" t="s">
        <v>224</v>
      </c>
    </row>
    <row r="392" spans="1:8" hidden="1" x14ac:dyDescent="0.3">
      <c r="A392" s="28">
        <v>14131</v>
      </c>
      <c r="B392" s="31">
        <v>45107.418749999997</v>
      </c>
      <c r="C392" s="18">
        <v>45107</v>
      </c>
      <c r="D392" t="s">
        <v>104</v>
      </c>
      <c r="E392" s="32">
        <v>0</v>
      </c>
      <c r="F392" s="32">
        <v>80000000</v>
      </c>
      <c r="G392" s="32">
        <v>10315051</v>
      </c>
      <c r="H392" t="s">
        <v>225</v>
      </c>
    </row>
    <row r="393" spans="1:8" hidden="1" x14ac:dyDescent="0.3">
      <c r="A393" s="28">
        <v>14130</v>
      </c>
      <c r="B393" s="31">
        <v>45107.415972222225</v>
      </c>
      <c r="C393" s="18">
        <v>45107</v>
      </c>
      <c r="D393" t="s">
        <v>103</v>
      </c>
      <c r="E393" s="32">
        <v>79663672</v>
      </c>
      <c r="F393" s="32">
        <v>0</v>
      </c>
      <c r="G393" s="32">
        <v>90315051</v>
      </c>
      <c r="H393" t="s">
        <v>224</v>
      </c>
    </row>
    <row r="394" spans="1:8" hidden="1" x14ac:dyDescent="0.3">
      <c r="A394" s="28">
        <v>14124</v>
      </c>
      <c r="B394" s="31">
        <v>45107.388194444444</v>
      </c>
      <c r="C394" s="18">
        <v>45107</v>
      </c>
      <c r="D394" t="s">
        <v>104</v>
      </c>
      <c r="E394" s="32">
        <v>0</v>
      </c>
      <c r="F394" s="32">
        <v>13111100</v>
      </c>
      <c r="G394" s="32">
        <v>10651379</v>
      </c>
      <c r="H394" t="s">
        <v>226</v>
      </c>
    </row>
    <row r="395" spans="1:8" hidden="1" x14ac:dyDescent="0.3">
      <c r="A395" s="28">
        <v>14122</v>
      </c>
      <c r="B395" s="31">
        <v>45107.386805555558</v>
      </c>
      <c r="C395" s="18">
        <v>45107</v>
      </c>
      <c r="D395" t="s">
        <v>103</v>
      </c>
      <c r="E395" s="32">
        <v>15000000</v>
      </c>
      <c r="F395" s="32">
        <v>0</v>
      </c>
      <c r="G395" s="32">
        <v>23762479</v>
      </c>
      <c r="H395" t="s">
        <v>227</v>
      </c>
    </row>
    <row r="396" spans="1:8" hidden="1" x14ac:dyDescent="0.3">
      <c r="A396" s="28">
        <v>14107</v>
      </c>
      <c r="B396" s="31">
        <v>45106.384027777778</v>
      </c>
      <c r="C396" s="18">
        <v>45106</v>
      </c>
      <c r="D396" t="s">
        <v>104</v>
      </c>
      <c r="E396" s="32">
        <v>0</v>
      </c>
      <c r="F396" s="32">
        <v>18349940</v>
      </c>
      <c r="G396" s="32">
        <v>8762479</v>
      </c>
      <c r="H396" t="s">
        <v>226</v>
      </c>
    </row>
    <row r="397" spans="1:8" hidden="1" x14ac:dyDescent="0.3">
      <c r="A397" s="28">
        <v>14106</v>
      </c>
      <c r="B397" s="31">
        <v>45106.381944444445</v>
      </c>
      <c r="C397" s="18">
        <v>45106</v>
      </c>
      <c r="D397" t="s">
        <v>104</v>
      </c>
      <c r="E397" s="32">
        <v>0</v>
      </c>
      <c r="F397" s="32">
        <v>25938000</v>
      </c>
      <c r="G397" s="32">
        <v>27112419</v>
      </c>
      <c r="H397" t="s">
        <v>226</v>
      </c>
    </row>
    <row r="398" spans="1:8" hidden="1" x14ac:dyDescent="0.3">
      <c r="A398" s="28">
        <v>14104</v>
      </c>
      <c r="B398" s="31">
        <v>45106.37222222222</v>
      </c>
      <c r="C398" s="18">
        <v>45106</v>
      </c>
      <c r="D398" t="s">
        <v>103</v>
      </c>
      <c r="E398" s="32">
        <v>40000000</v>
      </c>
      <c r="F398" s="32">
        <v>0</v>
      </c>
      <c r="G398" s="32">
        <v>53050419</v>
      </c>
      <c r="H398" t="s">
        <v>227</v>
      </c>
    </row>
    <row r="399" spans="1:8" hidden="1" x14ac:dyDescent="0.3">
      <c r="A399" s="28">
        <v>14098</v>
      </c>
      <c r="B399" s="31">
        <v>45105.618750000001</v>
      </c>
      <c r="C399" s="18">
        <v>45105</v>
      </c>
      <c r="D399" t="s">
        <v>103</v>
      </c>
      <c r="E399" s="32">
        <v>6774900</v>
      </c>
      <c r="F399" s="32">
        <v>0</v>
      </c>
      <c r="G399" s="32">
        <v>13050419</v>
      </c>
      <c r="H399" t="s">
        <v>228</v>
      </c>
    </row>
    <row r="400" spans="1:8" hidden="1" x14ac:dyDescent="0.3">
      <c r="A400" s="28">
        <v>14084</v>
      </c>
      <c r="B400" s="31">
        <v>45104.40902777778</v>
      </c>
      <c r="C400" s="18">
        <v>45104</v>
      </c>
      <c r="D400" t="s">
        <v>104</v>
      </c>
      <c r="E400" s="32">
        <v>0</v>
      </c>
      <c r="F400" s="32">
        <v>12969000</v>
      </c>
      <c r="G400" s="32">
        <v>6275519</v>
      </c>
      <c r="H400" t="s">
        <v>226</v>
      </c>
    </row>
    <row r="401" spans="1:8" hidden="1" x14ac:dyDescent="0.3">
      <c r="A401" s="28">
        <v>14083</v>
      </c>
      <c r="B401" s="31">
        <v>45104.305555555555</v>
      </c>
      <c r="C401" s="18">
        <v>45104</v>
      </c>
      <c r="D401" t="s">
        <v>104</v>
      </c>
      <c r="E401" s="32">
        <v>0</v>
      </c>
      <c r="F401" s="32">
        <v>347115</v>
      </c>
      <c r="G401" s="32">
        <v>19244519</v>
      </c>
      <c r="H401" t="s">
        <v>229</v>
      </c>
    </row>
    <row r="402" spans="1:8" hidden="1" x14ac:dyDescent="0.3">
      <c r="A402" s="28">
        <v>14081</v>
      </c>
      <c r="B402" s="31">
        <v>45103.8</v>
      </c>
      <c r="C402" s="18">
        <v>45103</v>
      </c>
      <c r="D402" t="s">
        <v>104</v>
      </c>
      <c r="E402" s="32">
        <v>0</v>
      </c>
      <c r="F402" s="32">
        <v>240000</v>
      </c>
      <c r="G402" s="32">
        <v>19591634</v>
      </c>
      <c r="H402" t="s">
        <v>230</v>
      </c>
    </row>
    <row r="403" spans="1:8" hidden="1" x14ac:dyDescent="0.3">
      <c r="A403" s="28">
        <v>14080</v>
      </c>
      <c r="B403" s="31">
        <v>45103.777083333334</v>
      </c>
      <c r="C403" s="18">
        <v>45103</v>
      </c>
      <c r="D403" t="s">
        <v>104</v>
      </c>
      <c r="E403" s="32">
        <v>0</v>
      </c>
      <c r="F403" s="32">
        <v>18290</v>
      </c>
      <c r="G403" s="32">
        <v>19831634</v>
      </c>
      <c r="H403" t="s">
        <v>231</v>
      </c>
    </row>
    <row r="404" spans="1:8" hidden="1" x14ac:dyDescent="0.3">
      <c r="A404" s="28">
        <v>14079</v>
      </c>
      <c r="B404" s="31">
        <v>45103.660416666666</v>
      </c>
      <c r="C404" s="18">
        <v>45103</v>
      </c>
      <c r="D404" t="s">
        <v>103</v>
      </c>
      <c r="E404" s="32">
        <v>10000000</v>
      </c>
      <c r="F404" s="32">
        <v>0</v>
      </c>
      <c r="G404" s="32">
        <v>19849924</v>
      </c>
      <c r="H404" t="s">
        <v>227</v>
      </c>
    </row>
    <row r="405" spans="1:8" hidden="1" x14ac:dyDescent="0.3">
      <c r="A405" s="28">
        <v>14069</v>
      </c>
      <c r="B405" s="31">
        <v>45103.300694444442</v>
      </c>
      <c r="C405" s="18">
        <v>45103</v>
      </c>
      <c r="D405" t="s">
        <v>104</v>
      </c>
      <c r="E405" s="32">
        <v>0</v>
      </c>
      <c r="F405" s="32">
        <v>282300</v>
      </c>
      <c r="G405" s="32">
        <v>9849924</v>
      </c>
      <c r="H405" t="s">
        <v>232</v>
      </c>
    </row>
    <row r="406" spans="1:8" hidden="1" x14ac:dyDescent="0.3">
      <c r="A406" s="28">
        <v>14068</v>
      </c>
      <c r="B406" s="31">
        <v>45103.300694444442</v>
      </c>
      <c r="C406" s="18">
        <v>45103</v>
      </c>
      <c r="D406" t="s">
        <v>104</v>
      </c>
      <c r="E406" s="32">
        <v>0</v>
      </c>
      <c r="F406" s="32">
        <v>6406767</v>
      </c>
      <c r="G406" s="32">
        <v>10132224</v>
      </c>
      <c r="H406" t="s">
        <v>232</v>
      </c>
    </row>
    <row r="407" spans="1:8" hidden="1" x14ac:dyDescent="0.3">
      <c r="A407" s="28">
        <v>14060</v>
      </c>
      <c r="B407" s="31">
        <v>45100.423611111109</v>
      </c>
      <c r="C407" s="18">
        <v>45100</v>
      </c>
      <c r="D407" t="s">
        <v>103</v>
      </c>
      <c r="E407" s="32">
        <v>1249600</v>
      </c>
      <c r="F407" s="32">
        <v>0</v>
      </c>
      <c r="G407" s="32">
        <v>16538991</v>
      </c>
      <c r="H407" t="s">
        <v>233</v>
      </c>
    </row>
    <row r="408" spans="1:8" hidden="1" x14ac:dyDescent="0.3">
      <c r="A408" s="28">
        <v>14058</v>
      </c>
      <c r="B408" s="31">
        <v>45100.380555555559</v>
      </c>
      <c r="C408" s="18">
        <v>45100</v>
      </c>
      <c r="D408" t="s">
        <v>104</v>
      </c>
      <c r="E408" s="32">
        <v>0</v>
      </c>
      <c r="F408" s="32">
        <v>39402000</v>
      </c>
      <c r="G408" s="32">
        <v>15289391</v>
      </c>
      <c r="H408" t="s">
        <v>234</v>
      </c>
    </row>
    <row r="409" spans="1:8" hidden="1" x14ac:dyDescent="0.3">
      <c r="A409" s="28">
        <v>14057</v>
      </c>
      <c r="B409" s="31">
        <v>45100.334027777775</v>
      </c>
      <c r="C409" s="18">
        <v>45100</v>
      </c>
      <c r="D409" t="s">
        <v>104</v>
      </c>
      <c r="E409" s="32">
        <v>0</v>
      </c>
      <c r="F409" s="32">
        <v>52256060</v>
      </c>
      <c r="G409" s="32">
        <v>54691391</v>
      </c>
      <c r="H409" t="s">
        <v>235</v>
      </c>
    </row>
    <row r="410" spans="1:8" hidden="1" x14ac:dyDescent="0.3">
      <c r="A410" s="28">
        <v>14052</v>
      </c>
      <c r="B410" s="31">
        <v>45099.461111111108</v>
      </c>
      <c r="C410" s="18">
        <v>45099</v>
      </c>
      <c r="D410" t="s">
        <v>104</v>
      </c>
      <c r="E410" s="32">
        <v>0</v>
      </c>
      <c r="F410" s="32">
        <v>25827800</v>
      </c>
      <c r="G410" s="32">
        <v>106947451</v>
      </c>
      <c r="H410" t="s">
        <v>234</v>
      </c>
    </row>
    <row r="411" spans="1:8" hidden="1" x14ac:dyDescent="0.3">
      <c r="A411" s="28">
        <v>14050</v>
      </c>
      <c r="B411" s="31">
        <v>45099.441666666666</v>
      </c>
      <c r="C411" s="18">
        <v>45099</v>
      </c>
      <c r="D411" t="s">
        <v>104</v>
      </c>
      <c r="E411" s="32">
        <v>0</v>
      </c>
      <c r="F411" s="32">
        <v>10000000</v>
      </c>
      <c r="G411" s="32">
        <v>132775251</v>
      </c>
      <c r="H411" t="s">
        <v>236</v>
      </c>
    </row>
    <row r="412" spans="1:8" hidden="1" x14ac:dyDescent="0.3">
      <c r="A412" s="28">
        <v>14049</v>
      </c>
      <c r="B412" s="31">
        <v>45099.43472222222</v>
      </c>
      <c r="C412" s="18">
        <v>45099</v>
      </c>
      <c r="D412" t="s">
        <v>103</v>
      </c>
      <c r="E412" s="32">
        <v>131979092</v>
      </c>
      <c r="F412" s="32">
        <v>0</v>
      </c>
      <c r="G412" s="32">
        <v>142775251</v>
      </c>
      <c r="H412" t="s">
        <v>237</v>
      </c>
    </row>
    <row r="413" spans="1:8" hidden="1" x14ac:dyDescent="0.3">
      <c r="A413" s="28">
        <v>14047</v>
      </c>
      <c r="B413" s="31">
        <v>45098.758333333331</v>
      </c>
      <c r="C413" s="18">
        <v>45098</v>
      </c>
      <c r="D413" t="s">
        <v>104</v>
      </c>
      <c r="E413" s="32">
        <v>0</v>
      </c>
      <c r="F413" s="32">
        <v>12100</v>
      </c>
      <c r="G413" s="32">
        <v>10796159</v>
      </c>
      <c r="H413" t="s">
        <v>238</v>
      </c>
    </row>
    <row r="414" spans="1:8" hidden="1" x14ac:dyDescent="0.3">
      <c r="A414" s="28">
        <v>14046</v>
      </c>
      <c r="B414" s="31">
        <v>45098.756249999999</v>
      </c>
      <c r="C414" s="18">
        <v>45098</v>
      </c>
      <c r="D414" t="s">
        <v>104</v>
      </c>
      <c r="E414" s="32">
        <v>0</v>
      </c>
      <c r="F414" s="32">
        <v>261030</v>
      </c>
      <c r="G414" s="32">
        <v>10808259</v>
      </c>
      <c r="H414" t="s">
        <v>239</v>
      </c>
    </row>
    <row r="415" spans="1:8" hidden="1" x14ac:dyDescent="0.3">
      <c r="A415" s="28">
        <v>14023</v>
      </c>
      <c r="B415" s="31">
        <v>45096.345833333333</v>
      </c>
      <c r="C415" s="18">
        <v>45096</v>
      </c>
      <c r="D415" t="s">
        <v>103</v>
      </c>
      <c r="E415" s="32">
        <v>10768</v>
      </c>
      <c r="F415" s="32">
        <v>0</v>
      </c>
      <c r="G415" s="32">
        <v>11069289</v>
      </c>
      <c r="H415" t="s">
        <v>240</v>
      </c>
    </row>
    <row r="416" spans="1:8" hidden="1" x14ac:dyDescent="0.3">
      <c r="A416" s="28">
        <v>14010</v>
      </c>
      <c r="B416" s="31">
        <v>45093.409722222219</v>
      </c>
      <c r="C416" s="18">
        <v>45093</v>
      </c>
      <c r="D416" t="s">
        <v>104</v>
      </c>
      <c r="E416" s="32">
        <v>0</v>
      </c>
      <c r="F416" s="32">
        <v>240005150</v>
      </c>
      <c r="G416" s="32">
        <v>11058521</v>
      </c>
      <c r="H416" t="s">
        <v>234</v>
      </c>
    </row>
    <row r="417" spans="1:8" hidden="1" x14ac:dyDescent="0.3">
      <c r="A417" s="28">
        <v>14009</v>
      </c>
      <c r="B417" s="31">
        <v>45093.356249999997</v>
      </c>
      <c r="C417" s="18">
        <v>45093</v>
      </c>
      <c r="D417" t="s">
        <v>103</v>
      </c>
      <c r="E417" s="32">
        <v>100000000</v>
      </c>
      <c r="F417" s="32">
        <v>0</v>
      </c>
      <c r="G417" s="32">
        <v>251063671</v>
      </c>
      <c r="H417" t="s">
        <v>241</v>
      </c>
    </row>
    <row r="418" spans="1:8" hidden="1" x14ac:dyDescent="0.3">
      <c r="A418" s="28">
        <v>14007</v>
      </c>
      <c r="B418" s="31">
        <v>45093.35</v>
      </c>
      <c r="C418" s="18">
        <v>45093</v>
      </c>
      <c r="D418" t="s">
        <v>103</v>
      </c>
      <c r="E418" s="32">
        <v>70700000</v>
      </c>
      <c r="F418" s="32">
        <v>0</v>
      </c>
      <c r="G418" s="32">
        <v>151063671</v>
      </c>
      <c r="H418" t="s">
        <v>242</v>
      </c>
    </row>
    <row r="419" spans="1:8" hidden="1" x14ac:dyDescent="0.3">
      <c r="A419" s="28">
        <v>14004</v>
      </c>
      <c r="B419" s="31">
        <v>45093.34652777778</v>
      </c>
      <c r="C419" s="18">
        <v>45093</v>
      </c>
      <c r="D419" t="s">
        <v>103</v>
      </c>
      <c r="E419" s="32">
        <v>38200000</v>
      </c>
      <c r="F419" s="32">
        <v>0</v>
      </c>
      <c r="G419" s="32">
        <v>80363671</v>
      </c>
      <c r="H419" t="s">
        <v>243</v>
      </c>
    </row>
    <row r="420" spans="1:8" hidden="1" x14ac:dyDescent="0.3">
      <c r="A420" s="28">
        <v>14001</v>
      </c>
      <c r="B420" s="31">
        <v>45092.807638888888</v>
      </c>
      <c r="C420" s="18">
        <v>45092</v>
      </c>
      <c r="D420" t="s">
        <v>104</v>
      </c>
      <c r="E420" s="32">
        <v>0</v>
      </c>
      <c r="F420" s="32">
        <v>3000000</v>
      </c>
      <c r="G420" s="32">
        <v>42163671</v>
      </c>
      <c r="H420" t="s">
        <v>244</v>
      </c>
    </row>
    <row r="421" spans="1:8" hidden="1" x14ac:dyDescent="0.3">
      <c r="A421" s="28">
        <v>13998</v>
      </c>
      <c r="B421" s="31">
        <v>45092.788888888892</v>
      </c>
      <c r="C421" s="18">
        <v>45092</v>
      </c>
      <c r="D421" t="s">
        <v>104</v>
      </c>
      <c r="E421" s="32">
        <v>0</v>
      </c>
      <c r="F421" s="32">
        <v>1920000</v>
      </c>
      <c r="G421" s="32">
        <v>45163671</v>
      </c>
      <c r="H421" t="s">
        <v>245</v>
      </c>
    </row>
    <row r="422" spans="1:8" hidden="1" x14ac:dyDescent="0.3">
      <c r="A422" s="28">
        <v>13988</v>
      </c>
      <c r="B422" s="31">
        <v>45092.473611111112</v>
      </c>
      <c r="C422" s="18">
        <v>45092</v>
      </c>
      <c r="D422" t="s">
        <v>103</v>
      </c>
      <c r="E422" s="32">
        <v>4904900</v>
      </c>
      <c r="F422" s="32">
        <v>0</v>
      </c>
      <c r="G422" s="32">
        <v>47083671</v>
      </c>
      <c r="H422" t="s">
        <v>246</v>
      </c>
    </row>
    <row r="423" spans="1:8" hidden="1" x14ac:dyDescent="0.3">
      <c r="A423" s="28">
        <v>13980</v>
      </c>
      <c r="B423" s="31">
        <v>45092.392361111109</v>
      </c>
      <c r="C423" s="18">
        <v>45092</v>
      </c>
      <c r="D423" t="s">
        <v>104</v>
      </c>
      <c r="E423" s="32">
        <v>0</v>
      </c>
      <c r="F423" s="32">
        <v>39540600</v>
      </c>
      <c r="G423" s="32">
        <v>42178771</v>
      </c>
      <c r="H423" t="s">
        <v>234</v>
      </c>
    </row>
    <row r="424" spans="1:8" hidden="1" x14ac:dyDescent="0.3">
      <c r="A424" s="28">
        <v>13974</v>
      </c>
      <c r="B424" s="31">
        <v>45090.65902777778</v>
      </c>
      <c r="C424" s="18">
        <v>45090</v>
      </c>
      <c r="D424" t="s">
        <v>104</v>
      </c>
      <c r="E424" s="32">
        <v>0</v>
      </c>
      <c r="F424" s="32">
        <v>141280</v>
      </c>
      <c r="G424" s="32">
        <v>81719371</v>
      </c>
      <c r="H424" t="s">
        <v>247</v>
      </c>
    </row>
    <row r="425" spans="1:8" hidden="1" x14ac:dyDescent="0.3">
      <c r="A425" s="28">
        <v>13971</v>
      </c>
      <c r="B425" s="31">
        <v>45090.619444444441</v>
      </c>
      <c r="C425" s="18">
        <v>45090</v>
      </c>
      <c r="D425" t="s">
        <v>103</v>
      </c>
      <c r="E425" s="32">
        <v>1430000</v>
      </c>
      <c r="F425" s="32">
        <v>0</v>
      </c>
      <c r="G425" s="32">
        <v>81860651</v>
      </c>
      <c r="H425" t="s">
        <v>248</v>
      </c>
    </row>
    <row r="426" spans="1:8" hidden="1" x14ac:dyDescent="0.3">
      <c r="A426" s="28">
        <v>13970</v>
      </c>
      <c r="B426" s="31">
        <v>45090.619444444441</v>
      </c>
      <c r="C426" s="18">
        <v>45090</v>
      </c>
      <c r="D426" t="s">
        <v>103</v>
      </c>
      <c r="E426" s="32">
        <v>16596800</v>
      </c>
      <c r="F426" s="32">
        <v>0</v>
      </c>
      <c r="G426" s="32">
        <v>80430651</v>
      </c>
      <c r="H426" t="s">
        <v>248</v>
      </c>
    </row>
    <row r="427" spans="1:8" hidden="1" x14ac:dyDescent="0.3">
      <c r="A427" s="28">
        <v>13969</v>
      </c>
      <c r="B427" s="31">
        <v>45090.619444444441</v>
      </c>
      <c r="C427" s="18">
        <v>45090</v>
      </c>
      <c r="D427" t="s">
        <v>103</v>
      </c>
      <c r="E427" s="32">
        <v>814000</v>
      </c>
      <c r="F427" s="32">
        <v>0</v>
      </c>
      <c r="G427" s="32">
        <v>63833851</v>
      </c>
      <c r="H427" t="s">
        <v>248</v>
      </c>
    </row>
    <row r="428" spans="1:8" hidden="1" x14ac:dyDescent="0.3">
      <c r="A428" s="28">
        <v>13968</v>
      </c>
      <c r="B428" s="31">
        <v>45090.619444444441</v>
      </c>
      <c r="C428" s="18">
        <v>45090</v>
      </c>
      <c r="D428" t="s">
        <v>103</v>
      </c>
      <c r="E428" s="32">
        <v>1387100</v>
      </c>
      <c r="F428" s="32">
        <v>0</v>
      </c>
      <c r="G428" s="32">
        <v>63019851</v>
      </c>
      <c r="H428" t="s">
        <v>248</v>
      </c>
    </row>
    <row r="429" spans="1:8" hidden="1" x14ac:dyDescent="0.3">
      <c r="A429" s="28">
        <v>13967</v>
      </c>
      <c r="B429" s="31">
        <v>45090.619444444441</v>
      </c>
      <c r="C429" s="18">
        <v>45090</v>
      </c>
      <c r="D429" t="s">
        <v>103</v>
      </c>
      <c r="E429" s="32">
        <v>424600</v>
      </c>
      <c r="F429" s="32">
        <v>0</v>
      </c>
      <c r="G429" s="32">
        <v>61632751</v>
      </c>
      <c r="H429" t="s">
        <v>248</v>
      </c>
    </row>
    <row r="430" spans="1:8" hidden="1" x14ac:dyDescent="0.3">
      <c r="A430" s="28">
        <v>13954</v>
      </c>
      <c r="B430" s="31">
        <v>45089.769444444442</v>
      </c>
      <c r="C430" s="18">
        <v>45089</v>
      </c>
      <c r="D430" t="s">
        <v>104</v>
      </c>
      <c r="E430" s="32">
        <v>0</v>
      </c>
      <c r="F430" s="32">
        <v>790380</v>
      </c>
      <c r="G430" s="32">
        <v>61208151</v>
      </c>
      <c r="H430" t="s">
        <v>249</v>
      </c>
    </row>
    <row r="431" spans="1:8" hidden="1" x14ac:dyDescent="0.3">
      <c r="A431" s="28">
        <v>13953</v>
      </c>
      <c r="B431" s="31">
        <v>45089.765277777777</v>
      </c>
      <c r="C431" s="18">
        <v>45089</v>
      </c>
      <c r="D431" t="s">
        <v>104</v>
      </c>
      <c r="E431" s="32">
        <v>0</v>
      </c>
      <c r="F431" s="32">
        <v>370010</v>
      </c>
      <c r="G431" s="32">
        <v>61998531</v>
      </c>
      <c r="H431" t="s">
        <v>250</v>
      </c>
    </row>
    <row r="432" spans="1:8" hidden="1" x14ac:dyDescent="0.3">
      <c r="A432" s="28">
        <v>13952</v>
      </c>
      <c r="B432" s="31">
        <v>45089.761111111111</v>
      </c>
      <c r="C432" s="18">
        <v>45089</v>
      </c>
      <c r="D432" t="s">
        <v>104</v>
      </c>
      <c r="E432" s="32">
        <v>0</v>
      </c>
      <c r="F432" s="32">
        <v>4095700</v>
      </c>
      <c r="G432" s="32">
        <v>62368541</v>
      </c>
      <c r="H432" t="s">
        <v>251</v>
      </c>
    </row>
    <row r="433" spans="1:8" hidden="1" x14ac:dyDescent="0.3">
      <c r="A433" s="28">
        <v>13951</v>
      </c>
      <c r="B433" s="31">
        <v>45089.759027777778</v>
      </c>
      <c r="C433" s="18">
        <v>45089</v>
      </c>
      <c r="D433" t="s">
        <v>104</v>
      </c>
      <c r="E433" s="32">
        <v>0</v>
      </c>
      <c r="F433" s="32">
        <v>4983180</v>
      </c>
      <c r="G433" s="32">
        <v>66464241</v>
      </c>
      <c r="H433" t="s">
        <v>252</v>
      </c>
    </row>
    <row r="434" spans="1:8" hidden="1" x14ac:dyDescent="0.3">
      <c r="A434" s="28">
        <v>13935</v>
      </c>
      <c r="B434" s="31">
        <v>45086.438888888886</v>
      </c>
      <c r="C434" s="18">
        <v>45086</v>
      </c>
      <c r="D434" t="s">
        <v>104</v>
      </c>
      <c r="E434" s="32">
        <v>0</v>
      </c>
      <c r="F434" s="32">
        <v>4091400</v>
      </c>
      <c r="G434" s="32">
        <v>71447421</v>
      </c>
      <c r="H434" t="s">
        <v>253</v>
      </c>
    </row>
    <row r="435" spans="1:8" hidden="1" x14ac:dyDescent="0.3">
      <c r="A435" s="28">
        <v>13933</v>
      </c>
      <c r="B435" s="31">
        <v>45086.412499999999</v>
      </c>
      <c r="C435" s="18">
        <v>45086</v>
      </c>
      <c r="D435" t="s">
        <v>104</v>
      </c>
      <c r="E435" s="32">
        <v>0</v>
      </c>
      <c r="F435" s="32">
        <v>1628030</v>
      </c>
      <c r="G435" s="32">
        <v>75538821</v>
      </c>
      <c r="H435" t="s">
        <v>234</v>
      </c>
    </row>
    <row r="436" spans="1:8" hidden="1" x14ac:dyDescent="0.3">
      <c r="A436" s="28">
        <v>13932</v>
      </c>
      <c r="B436" s="31">
        <v>45086.412499999999</v>
      </c>
      <c r="C436" s="18">
        <v>45086</v>
      </c>
      <c r="D436" t="s">
        <v>104</v>
      </c>
      <c r="E436" s="32">
        <v>0</v>
      </c>
      <c r="F436" s="32">
        <v>4195080</v>
      </c>
      <c r="G436" s="32">
        <v>77166851</v>
      </c>
      <c r="H436" t="s">
        <v>234</v>
      </c>
    </row>
    <row r="437" spans="1:8" hidden="1" x14ac:dyDescent="0.3">
      <c r="A437" s="28">
        <v>13931</v>
      </c>
      <c r="B437" s="31">
        <v>45086.401388888888</v>
      </c>
      <c r="C437" s="18">
        <v>45086</v>
      </c>
      <c r="D437" t="s">
        <v>103</v>
      </c>
      <c r="E437" s="32">
        <v>3638800</v>
      </c>
      <c r="F437" s="32">
        <v>0</v>
      </c>
      <c r="G437" s="32">
        <v>81361931</v>
      </c>
      <c r="H437" t="s">
        <v>254</v>
      </c>
    </row>
    <row r="438" spans="1:8" hidden="1" x14ac:dyDescent="0.3">
      <c r="A438" s="28">
        <v>13915</v>
      </c>
      <c r="B438" s="31">
        <v>45084.644444444442</v>
      </c>
      <c r="C438" s="18">
        <v>45084</v>
      </c>
      <c r="D438" t="s">
        <v>103</v>
      </c>
      <c r="E438" s="32">
        <v>2414500</v>
      </c>
      <c r="F438" s="32">
        <v>0</v>
      </c>
      <c r="G438" s="32">
        <v>77723131</v>
      </c>
      <c r="H438" t="s">
        <v>255</v>
      </c>
    </row>
    <row r="439" spans="1:8" hidden="1" x14ac:dyDescent="0.3">
      <c r="A439" s="28">
        <v>13907</v>
      </c>
      <c r="B439" s="31">
        <v>45084.338194444441</v>
      </c>
      <c r="C439" s="18">
        <v>45084</v>
      </c>
      <c r="D439" t="s">
        <v>104</v>
      </c>
      <c r="E439" s="32">
        <v>0</v>
      </c>
      <c r="F439" s="32">
        <v>100000000</v>
      </c>
      <c r="G439" s="32">
        <v>75308631</v>
      </c>
      <c r="H439" t="s">
        <v>236</v>
      </c>
    </row>
    <row r="440" spans="1:8" hidden="1" x14ac:dyDescent="0.3">
      <c r="A440" s="28">
        <v>13904</v>
      </c>
      <c r="B440" s="31">
        <v>45082.765277777777</v>
      </c>
      <c r="C440" s="18">
        <v>45082</v>
      </c>
      <c r="D440" t="s">
        <v>104</v>
      </c>
      <c r="E440" s="32">
        <v>0</v>
      </c>
      <c r="F440" s="32">
        <v>240000</v>
      </c>
      <c r="G440" s="32">
        <v>175308631</v>
      </c>
      <c r="H440" t="s">
        <v>245</v>
      </c>
    </row>
    <row r="441" spans="1:8" hidden="1" x14ac:dyDescent="0.3">
      <c r="A441" s="28">
        <v>13898</v>
      </c>
      <c r="B441" s="31">
        <v>45079.666666666664</v>
      </c>
      <c r="C441" s="18">
        <v>45079</v>
      </c>
      <c r="D441" t="s">
        <v>104</v>
      </c>
      <c r="E441" s="32">
        <v>0</v>
      </c>
      <c r="F441" s="32">
        <v>141280</v>
      </c>
      <c r="G441" s="32">
        <v>175548631</v>
      </c>
      <c r="H441" t="s">
        <v>247</v>
      </c>
    </row>
    <row r="442" spans="1:8" hidden="1" x14ac:dyDescent="0.3">
      <c r="A442" s="28">
        <v>13893</v>
      </c>
      <c r="B442" s="31">
        <v>45079.42083333333</v>
      </c>
      <c r="C442" s="18">
        <v>45079</v>
      </c>
      <c r="D442" t="s">
        <v>104</v>
      </c>
      <c r="E442" s="32">
        <v>0</v>
      </c>
      <c r="F442" s="32">
        <v>39902400</v>
      </c>
      <c r="G442" s="32">
        <v>175689911</v>
      </c>
      <c r="H442" t="s">
        <v>234</v>
      </c>
    </row>
    <row r="443" spans="1:8" hidden="1" x14ac:dyDescent="0.3">
      <c r="A443" s="28">
        <v>13859</v>
      </c>
      <c r="B443" s="31">
        <v>45076.713194444441</v>
      </c>
      <c r="C443" s="18">
        <v>45076</v>
      </c>
      <c r="D443" t="s">
        <v>103</v>
      </c>
      <c r="E443" s="32">
        <v>141861500</v>
      </c>
      <c r="F443" s="32">
        <v>0</v>
      </c>
      <c r="G443" s="32">
        <v>215592311</v>
      </c>
      <c r="H443" t="s">
        <v>256</v>
      </c>
    </row>
    <row r="444" spans="1:8" hidden="1" x14ac:dyDescent="0.3">
      <c r="A444" s="28">
        <v>13858</v>
      </c>
      <c r="B444" s="31">
        <v>45076.587500000001</v>
      </c>
      <c r="C444" s="18">
        <v>45076</v>
      </c>
      <c r="D444" t="s">
        <v>103</v>
      </c>
      <c r="E444" s="32">
        <v>7230300</v>
      </c>
      <c r="F444" s="32">
        <v>0</v>
      </c>
      <c r="G444" s="32">
        <v>73730811</v>
      </c>
      <c r="H444" t="s">
        <v>257</v>
      </c>
    </row>
    <row r="445" spans="1:8" hidden="1" x14ac:dyDescent="0.3">
      <c r="A445" s="28">
        <v>13844</v>
      </c>
      <c r="B445" s="31">
        <v>45076.333333333336</v>
      </c>
      <c r="C445" s="18">
        <v>45076</v>
      </c>
      <c r="D445" t="s">
        <v>104</v>
      </c>
      <c r="E445" s="32">
        <v>0</v>
      </c>
      <c r="F445" s="32">
        <v>336229</v>
      </c>
      <c r="G445" s="32">
        <v>66500511</v>
      </c>
      <c r="H445" t="s">
        <v>258</v>
      </c>
    </row>
    <row r="446" spans="1:8" hidden="1" x14ac:dyDescent="0.3">
      <c r="A446" s="28">
        <v>13837</v>
      </c>
      <c r="B446" s="31">
        <v>45072.294444444444</v>
      </c>
      <c r="C446" s="18">
        <v>45072</v>
      </c>
      <c r="D446" t="s">
        <v>104</v>
      </c>
      <c r="E446" s="32">
        <v>0</v>
      </c>
      <c r="F446" s="32">
        <v>310520</v>
      </c>
      <c r="G446" s="32">
        <v>66836740</v>
      </c>
      <c r="H446" t="s">
        <v>259</v>
      </c>
    </row>
    <row r="447" spans="1:8" hidden="1" x14ac:dyDescent="0.3">
      <c r="A447" s="28">
        <v>13835</v>
      </c>
      <c r="B447" s="31">
        <v>45071.781944444447</v>
      </c>
      <c r="C447" s="18">
        <v>45071</v>
      </c>
      <c r="D447" t="s">
        <v>104</v>
      </c>
      <c r="E447" s="32">
        <v>0</v>
      </c>
      <c r="F447" s="32">
        <v>240000</v>
      </c>
      <c r="G447" s="32">
        <v>67147260</v>
      </c>
      <c r="H447" t="s">
        <v>245</v>
      </c>
    </row>
    <row r="448" spans="1:8" hidden="1" x14ac:dyDescent="0.3">
      <c r="A448" s="28">
        <v>13834</v>
      </c>
      <c r="B448" s="31">
        <v>45071.772222222222</v>
      </c>
      <c r="C448" s="18">
        <v>45071</v>
      </c>
      <c r="D448" t="s">
        <v>104</v>
      </c>
      <c r="E448" s="32">
        <v>0</v>
      </c>
      <c r="F448" s="32">
        <v>17720</v>
      </c>
      <c r="G448" s="32">
        <v>67387260</v>
      </c>
      <c r="H448" t="s">
        <v>260</v>
      </c>
    </row>
    <row r="449" spans="1:8" hidden="1" x14ac:dyDescent="0.3">
      <c r="A449" s="28">
        <v>13805</v>
      </c>
      <c r="B449" s="31">
        <v>45070.333333333336</v>
      </c>
      <c r="C449" s="18">
        <v>45070</v>
      </c>
      <c r="D449" t="s">
        <v>104</v>
      </c>
      <c r="E449" s="32">
        <v>0</v>
      </c>
      <c r="F449" s="32">
        <v>54608270</v>
      </c>
      <c r="G449" s="32">
        <v>67404980</v>
      </c>
      <c r="H449" t="s">
        <v>235</v>
      </c>
    </row>
    <row r="450" spans="1:8" hidden="1" x14ac:dyDescent="0.3">
      <c r="A450" s="28">
        <v>13801</v>
      </c>
      <c r="B450" s="31">
        <v>45069.672222222223</v>
      </c>
      <c r="C450" s="18">
        <v>45069</v>
      </c>
      <c r="D450" t="s">
        <v>103</v>
      </c>
      <c r="E450" s="32">
        <v>457600</v>
      </c>
      <c r="F450" s="32">
        <v>0</v>
      </c>
      <c r="G450" s="32">
        <v>122013250</v>
      </c>
      <c r="H450" t="s">
        <v>233</v>
      </c>
    </row>
    <row r="451" spans="1:8" hidden="1" x14ac:dyDescent="0.3">
      <c r="A451" s="28">
        <v>13800</v>
      </c>
      <c r="B451" s="31">
        <v>45069.65</v>
      </c>
      <c r="C451" s="18">
        <v>45069</v>
      </c>
      <c r="D451" t="s">
        <v>103</v>
      </c>
      <c r="E451" s="32">
        <v>583000</v>
      </c>
      <c r="F451" s="32">
        <v>0</v>
      </c>
      <c r="G451" s="32">
        <v>121555650</v>
      </c>
      <c r="H451" t="s">
        <v>261</v>
      </c>
    </row>
    <row r="452" spans="1:8" hidden="1" x14ac:dyDescent="0.3">
      <c r="A452" s="28">
        <v>13783</v>
      </c>
      <c r="B452" s="31">
        <v>45068.768055555556</v>
      </c>
      <c r="C452" s="18">
        <v>45068</v>
      </c>
      <c r="D452" t="s">
        <v>104</v>
      </c>
      <c r="E452" s="32">
        <v>0</v>
      </c>
      <c r="F452" s="32">
        <v>12100</v>
      </c>
      <c r="G452" s="32">
        <v>120972650</v>
      </c>
      <c r="H452" t="s">
        <v>262</v>
      </c>
    </row>
    <row r="453" spans="1:8" hidden="1" x14ac:dyDescent="0.3">
      <c r="A453" s="28">
        <v>13782</v>
      </c>
      <c r="B453" s="31">
        <v>45068.768055555556</v>
      </c>
      <c r="C453" s="18">
        <v>45068</v>
      </c>
      <c r="D453" t="s">
        <v>104</v>
      </c>
      <c r="E453" s="32">
        <v>0</v>
      </c>
      <c r="F453" s="32">
        <v>262430</v>
      </c>
      <c r="G453" s="32">
        <v>120984750</v>
      </c>
      <c r="H453" t="s">
        <v>263</v>
      </c>
    </row>
    <row r="454" spans="1:8" hidden="1" x14ac:dyDescent="0.3">
      <c r="A454" s="28">
        <v>13774</v>
      </c>
      <c r="B454" s="31">
        <v>45068.356944444444</v>
      </c>
      <c r="C454" s="18">
        <v>45068</v>
      </c>
      <c r="D454" t="s">
        <v>103</v>
      </c>
      <c r="E454" s="32">
        <v>15115</v>
      </c>
      <c r="F454" s="32">
        <v>0</v>
      </c>
      <c r="G454" s="32">
        <v>121247180</v>
      </c>
      <c r="H454" t="s">
        <v>240</v>
      </c>
    </row>
    <row r="455" spans="1:8" hidden="1" x14ac:dyDescent="0.3">
      <c r="A455" s="28">
        <v>13768</v>
      </c>
      <c r="B455" s="31">
        <v>45065.376388888886</v>
      </c>
      <c r="C455" s="18">
        <v>45065</v>
      </c>
      <c r="D455" t="s">
        <v>104</v>
      </c>
      <c r="E455" s="32">
        <v>0</v>
      </c>
      <c r="F455" s="32">
        <v>64841500</v>
      </c>
      <c r="G455" s="32">
        <v>121232065</v>
      </c>
      <c r="H455" t="s">
        <v>234</v>
      </c>
    </row>
    <row r="456" spans="1:8" hidden="1" x14ac:dyDescent="0.3">
      <c r="A456" s="28">
        <v>13735</v>
      </c>
      <c r="B456" s="31">
        <v>45061.814583333333</v>
      </c>
      <c r="C456" s="18">
        <v>45061</v>
      </c>
      <c r="D456" t="s">
        <v>104</v>
      </c>
      <c r="E456" s="32">
        <v>0</v>
      </c>
      <c r="F456" s="32">
        <v>3000000</v>
      </c>
      <c r="G456" s="32">
        <v>186073565</v>
      </c>
      <c r="H456" t="s">
        <v>264</v>
      </c>
    </row>
    <row r="457" spans="1:8" hidden="1" x14ac:dyDescent="0.3">
      <c r="A457" s="28">
        <v>13730</v>
      </c>
      <c r="B457" s="31">
        <v>45061.785416666666</v>
      </c>
      <c r="C457" s="18">
        <v>45061</v>
      </c>
      <c r="D457" t="s">
        <v>104</v>
      </c>
      <c r="E457" s="32">
        <v>0</v>
      </c>
      <c r="F457" s="32">
        <v>1920000</v>
      </c>
      <c r="G457" s="32">
        <v>189073565</v>
      </c>
      <c r="H457" t="s">
        <v>245</v>
      </c>
    </row>
    <row r="458" spans="1:8" hidden="1" x14ac:dyDescent="0.3">
      <c r="A458" s="28">
        <v>13716</v>
      </c>
      <c r="B458" s="31">
        <v>45061.611111111109</v>
      </c>
      <c r="C458" s="18">
        <v>45061</v>
      </c>
      <c r="D458" t="s">
        <v>103</v>
      </c>
      <c r="E458" s="32">
        <v>23114300</v>
      </c>
      <c r="F458" s="32">
        <v>0</v>
      </c>
      <c r="G458" s="32">
        <v>190993565</v>
      </c>
      <c r="H458" t="s">
        <v>248</v>
      </c>
    </row>
    <row r="459" spans="1:8" hidden="1" x14ac:dyDescent="0.3">
      <c r="A459" s="28">
        <v>13715</v>
      </c>
      <c r="B459" s="31">
        <v>45061.611111111109</v>
      </c>
      <c r="C459" s="18">
        <v>45061</v>
      </c>
      <c r="D459" t="s">
        <v>103</v>
      </c>
      <c r="E459" s="32">
        <v>2827000</v>
      </c>
      <c r="F459" s="32">
        <v>0</v>
      </c>
      <c r="G459" s="32">
        <v>167879265</v>
      </c>
      <c r="H459" t="s">
        <v>248</v>
      </c>
    </row>
    <row r="460" spans="1:8" hidden="1" x14ac:dyDescent="0.3">
      <c r="A460" s="28">
        <v>13714</v>
      </c>
      <c r="B460" s="31">
        <v>45061.611111111109</v>
      </c>
      <c r="C460" s="18">
        <v>45061</v>
      </c>
      <c r="D460" t="s">
        <v>103</v>
      </c>
      <c r="E460" s="32">
        <v>1701700</v>
      </c>
      <c r="F460" s="32">
        <v>0</v>
      </c>
      <c r="G460" s="32">
        <v>165052265</v>
      </c>
      <c r="H460" t="s">
        <v>248</v>
      </c>
    </row>
    <row r="461" spans="1:8" hidden="1" x14ac:dyDescent="0.3">
      <c r="A461" s="28">
        <v>13713</v>
      </c>
      <c r="B461" s="31">
        <v>45061.611111111109</v>
      </c>
      <c r="C461" s="18">
        <v>45061</v>
      </c>
      <c r="D461" t="s">
        <v>103</v>
      </c>
      <c r="E461" s="32">
        <v>6653900</v>
      </c>
      <c r="F461" s="32">
        <v>0</v>
      </c>
      <c r="G461" s="32">
        <v>163350565</v>
      </c>
      <c r="H461" t="s">
        <v>248</v>
      </c>
    </row>
    <row r="462" spans="1:8" hidden="1" x14ac:dyDescent="0.3">
      <c r="A462" s="28">
        <v>13712</v>
      </c>
      <c r="B462" s="31">
        <v>45061.572222222225</v>
      </c>
      <c r="C462" s="18">
        <v>45061</v>
      </c>
      <c r="D462" t="s">
        <v>103</v>
      </c>
      <c r="E462" s="32">
        <v>6707800</v>
      </c>
      <c r="F462" s="32">
        <v>0</v>
      </c>
      <c r="G462" s="32">
        <v>156696665</v>
      </c>
      <c r="H462" t="s">
        <v>246</v>
      </c>
    </row>
    <row r="463" spans="1:8" hidden="1" x14ac:dyDescent="0.3">
      <c r="A463" s="28">
        <v>13684</v>
      </c>
      <c r="B463" s="31">
        <v>45056.76458333333</v>
      </c>
      <c r="C463" s="18">
        <v>45056</v>
      </c>
      <c r="D463" t="s">
        <v>104</v>
      </c>
      <c r="E463" s="32">
        <v>0</v>
      </c>
      <c r="F463" s="32">
        <v>1370630</v>
      </c>
      <c r="G463" s="32">
        <v>149988865</v>
      </c>
      <c r="H463" t="s">
        <v>265</v>
      </c>
    </row>
    <row r="464" spans="1:8" hidden="1" x14ac:dyDescent="0.3">
      <c r="A464" s="28">
        <v>13683</v>
      </c>
      <c r="B464" s="31">
        <v>45056.761805555558</v>
      </c>
      <c r="C464" s="18">
        <v>45056</v>
      </c>
      <c r="D464" t="s">
        <v>104</v>
      </c>
      <c r="E464" s="32">
        <v>0</v>
      </c>
      <c r="F464" s="32">
        <v>657020</v>
      </c>
      <c r="G464" s="32">
        <v>151359495</v>
      </c>
      <c r="H464" t="s">
        <v>266</v>
      </c>
    </row>
    <row r="465" spans="1:8" hidden="1" x14ac:dyDescent="0.3">
      <c r="A465" s="28">
        <v>13682</v>
      </c>
      <c r="B465" s="31">
        <v>45056.759027777778</v>
      </c>
      <c r="C465" s="18">
        <v>45056</v>
      </c>
      <c r="D465" t="s">
        <v>104</v>
      </c>
      <c r="E465" s="32">
        <v>0</v>
      </c>
      <c r="F465" s="32">
        <v>4611100</v>
      </c>
      <c r="G465" s="32">
        <v>152016515</v>
      </c>
      <c r="H465" t="s">
        <v>267</v>
      </c>
    </row>
    <row r="466" spans="1:8" hidden="1" x14ac:dyDescent="0.3">
      <c r="A466" s="28">
        <v>13681</v>
      </c>
      <c r="B466" s="31">
        <v>45056.756944444445</v>
      </c>
      <c r="C466" s="18">
        <v>45056</v>
      </c>
      <c r="D466" t="s">
        <v>104</v>
      </c>
      <c r="E466" s="32">
        <v>0</v>
      </c>
      <c r="F466" s="32">
        <v>4095700</v>
      </c>
      <c r="G466" s="32">
        <v>156627615</v>
      </c>
      <c r="H466" t="s">
        <v>268</v>
      </c>
    </row>
    <row r="467" spans="1:8" hidden="1" x14ac:dyDescent="0.3">
      <c r="A467" s="28">
        <v>13680</v>
      </c>
      <c r="B467" s="31">
        <v>45056.711805555555</v>
      </c>
      <c r="C467" s="18">
        <v>45056</v>
      </c>
      <c r="D467" t="s">
        <v>103</v>
      </c>
      <c r="E467" s="32">
        <v>1294700</v>
      </c>
      <c r="F467" s="32">
        <v>0</v>
      </c>
      <c r="G467" s="32">
        <v>160723315</v>
      </c>
      <c r="H467" t="s">
        <v>269</v>
      </c>
    </row>
    <row r="468" spans="1:8" hidden="1" x14ac:dyDescent="0.3">
      <c r="A468" s="28">
        <v>13679</v>
      </c>
      <c r="B468" s="31">
        <v>45056.652777777781</v>
      </c>
      <c r="C468" s="18">
        <v>45056</v>
      </c>
      <c r="D468" t="s">
        <v>103</v>
      </c>
      <c r="E468" s="32">
        <v>366300</v>
      </c>
      <c r="F468" s="32">
        <v>0</v>
      </c>
      <c r="G468" s="32">
        <v>159428615</v>
      </c>
      <c r="H468" t="s">
        <v>255</v>
      </c>
    </row>
    <row r="469" spans="1:8" hidden="1" x14ac:dyDescent="0.3">
      <c r="A469" s="28">
        <v>13678</v>
      </c>
      <c r="B469" s="31">
        <v>45056.652777777781</v>
      </c>
      <c r="C469" s="18">
        <v>45056</v>
      </c>
      <c r="D469" t="s">
        <v>103</v>
      </c>
      <c r="E469" s="32">
        <v>421300</v>
      </c>
      <c r="F469" s="32">
        <v>0</v>
      </c>
      <c r="G469" s="32">
        <v>159062315</v>
      </c>
      <c r="H469" t="s">
        <v>255</v>
      </c>
    </row>
    <row r="470" spans="1:8" hidden="1" x14ac:dyDescent="0.3">
      <c r="A470" s="28">
        <v>13677</v>
      </c>
      <c r="B470" s="31">
        <v>45056.651388888888</v>
      </c>
      <c r="C470" s="18">
        <v>45056</v>
      </c>
      <c r="D470" t="s">
        <v>103</v>
      </c>
      <c r="E470" s="32">
        <v>10227800</v>
      </c>
      <c r="F470" s="32">
        <v>0</v>
      </c>
      <c r="G470" s="32">
        <v>158641015</v>
      </c>
      <c r="H470" t="s">
        <v>255</v>
      </c>
    </row>
    <row r="471" spans="1:8" hidden="1" x14ac:dyDescent="0.3">
      <c r="A471" s="28">
        <v>13675</v>
      </c>
      <c r="B471" s="31">
        <v>45056.602083333331</v>
      </c>
      <c r="C471" s="18">
        <v>45056</v>
      </c>
      <c r="D471" t="s">
        <v>104</v>
      </c>
      <c r="E471" s="32">
        <v>0</v>
      </c>
      <c r="F471" s="32">
        <v>15941941</v>
      </c>
      <c r="G471" s="32">
        <v>148413215</v>
      </c>
      <c r="H471" t="s">
        <v>270</v>
      </c>
    </row>
    <row r="472" spans="1:8" hidden="1" x14ac:dyDescent="0.3">
      <c r="A472" s="28">
        <v>13671</v>
      </c>
      <c r="B472" s="31">
        <v>45056.438194444447</v>
      </c>
      <c r="C472" s="18">
        <v>45056</v>
      </c>
      <c r="D472" t="s">
        <v>104</v>
      </c>
      <c r="E472" s="32">
        <v>0</v>
      </c>
      <c r="F472" s="32">
        <v>3919800</v>
      </c>
      <c r="G472" s="32">
        <v>164355156</v>
      </c>
      <c r="H472" t="s">
        <v>253</v>
      </c>
    </row>
    <row r="473" spans="1:8" hidden="1" x14ac:dyDescent="0.3">
      <c r="A473" s="28">
        <v>13665</v>
      </c>
      <c r="B473" s="31">
        <v>45055.606944444444</v>
      </c>
      <c r="C473" s="18">
        <v>45055</v>
      </c>
      <c r="D473" t="s">
        <v>104</v>
      </c>
      <c r="E473" s="32">
        <v>0</v>
      </c>
      <c r="F473" s="32">
        <v>50000000</v>
      </c>
      <c r="G473" s="32">
        <v>168274956</v>
      </c>
      <c r="H473" t="s">
        <v>236</v>
      </c>
    </row>
    <row r="474" spans="1:8" hidden="1" x14ac:dyDescent="0.3">
      <c r="A474" s="28">
        <v>13664</v>
      </c>
      <c r="B474" s="31">
        <v>45055.600694444445</v>
      </c>
      <c r="C474" s="18">
        <v>45055</v>
      </c>
      <c r="D474" t="s">
        <v>104</v>
      </c>
      <c r="E474" s="32">
        <v>0</v>
      </c>
      <c r="F474" s="32">
        <v>3337260</v>
      </c>
      <c r="G474" s="32">
        <v>218274956</v>
      </c>
      <c r="H474" t="s">
        <v>234</v>
      </c>
    </row>
    <row r="475" spans="1:8" hidden="1" x14ac:dyDescent="0.3">
      <c r="A475" s="28">
        <v>13657</v>
      </c>
      <c r="B475" s="31">
        <v>45054.760416666664</v>
      </c>
      <c r="C475" s="18">
        <v>45054</v>
      </c>
      <c r="D475" t="s">
        <v>104</v>
      </c>
      <c r="E475" s="32">
        <v>0</v>
      </c>
      <c r="F475" s="32">
        <v>240000</v>
      </c>
      <c r="G475" s="32">
        <v>221612216</v>
      </c>
      <c r="H475" t="s">
        <v>245</v>
      </c>
    </row>
    <row r="476" spans="1:8" hidden="1" x14ac:dyDescent="0.3">
      <c r="A476" s="28">
        <v>13656</v>
      </c>
      <c r="B476" s="31">
        <v>45054.625694444447</v>
      </c>
      <c r="C476" s="18">
        <v>45054</v>
      </c>
      <c r="D476" t="s">
        <v>103</v>
      </c>
      <c r="E476" s="32">
        <v>396000</v>
      </c>
      <c r="F476" s="32">
        <v>0</v>
      </c>
      <c r="G476" s="32">
        <v>221852216</v>
      </c>
      <c r="H476" t="s">
        <v>254</v>
      </c>
    </row>
    <row r="477" spans="1:8" hidden="1" x14ac:dyDescent="0.3">
      <c r="A477" s="28">
        <v>13651</v>
      </c>
      <c r="B477" s="31">
        <v>45054.581250000003</v>
      </c>
      <c r="C477" s="18">
        <v>45054</v>
      </c>
      <c r="D477" t="s">
        <v>104</v>
      </c>
      <c r="E477" s="32">
        <v>0</v>
      </c>
      <c r="F477" s="32">
        <v>3345800</v>
      </c>
      <c r="G477" s="32">
        <v>221456216</v>
      </c>
      <c r="H477" t="s">
        <v>234</v>
      </c>
    </row>
    <row r="478" spans="1:8" hidden="1" x14ac:dyDescent="0.3">
      <c r="A478" s="28">
        <v>13624</v>
      </c>
      <c r="B478" s="31">
        <v>45048.677083333336</v>
      </c>
      <c r="C478" s="18">
        <v>45048</v>
      </c>
      <c r="D478" t="s">
        <v>103</v>
      </c>
      <c r="E478" s="32">
        <v>164069400</v>
      </c>
      <c r="F478" s="32">
        <v>0</v>
      </c>
      <c r="G478" s="32">
        <v>224802016</v>
      </c>
      <c r="H478" t="s">
        <v>256</v>
      </c>
    </row>
    <row r="479" spans="1:8" hidden="1" x14ac:dyDescent="0.3">
      <c r="A479" s="28">
        <v>13617</v>
      </c>
      <c r="B479" s="31">
        <v>45048.385416666664</v>
      </c>
      <c r="C479" s="18">
        <v>45048</v>
      </c>
      <c r="D479" t="s">
        <v>104</v>
      </c>
      <c r="E479" s="32">
        <v>0</v>
      </c>
      <c r="F479" s="32">
        <v>45489500</v>
      </c>
      <c r="G479" s="32">
        <v>60732616</v>
      </c>
      <c r="H479" t="s">
        <v>234</v>
      </c>
    </row>
    <row r="480" spans="1:8" hidden="1" x14ac:dyDescent="0.3">
      <c r="A480" s="28">
        <v>13583</v>
      </c>
      <c r="B480" s="31">
        <v>45043.631249999999</v>
      </c>
      <c r="C480" s="18">
        <v>45043</v>
      </c>
      <c r="D480" t="s">
        <v>104</v>
      </c>
      <c r="E480" s="32">
        <v>0</v>
      </c>
      <c r="F480" s="32">
        <v>13399400</v>
      </c>
      <c r="G480" s="32">
        <v>106222116</v>
      </c>
      <c r="H480" t="s">
        <v>234</v>
      </c>
    </row>
    <row r="481" spans="1:8" hidden="1" x14ac:dyDescent="0.3">
      <c r="A481" s="28">
        <v>13582</v>
      </c>
      <c r="B481" s="31">
        <v>45043.474305555559</v>
      </c>
      <c r="C481" s="18">
        <v>45043</v>
      </c>
      <c r="D481" t="s">
        <v>103</v>
      </c>
      <c r="E481" s="32">
        <v>24000000</v>
      </c>
      <c r="F481" s="32">
        <v>0</v>
      </c>
      <c r="G481" s="32">
        <v>119621516</v>
      </c>
      <c r="H481" t="s">
        <v>243</v>
      </c>
    </row>
    <row r="482" spans="1:8" hidden="1" x14ac:dyDescent="0.3">
      <c r="A482" s="28">
        <v>13572</v>
      </c>
      <c r="B482" s="31">
        <v>45043.304861111108</v>
      </c>
      <c r="C482" s="18">
        <v>45043</v>
      </c>
      <c r="D482" t="s">
        <v>104</v>
      </c>
      <c r="E482" s="32">
        <v>0</v>
      </c>
      <c r="F482" s="32">
        <v>348769</v>
      </c>
      <c r="G482" s="32">
        <v>95621516</v>
      </c>
      <c r="H482" t="s">
        <v>271</v>
      </c>
    </row>
    <row r="483" spans="1:8" hidden="1" x14ac:dyDescent="0.3">
      <c r="A483" s="28">
        <v>13571</v>
      </c>
      <c r="B483" s="31">
        <v>45042.744444444441</v>
      </c>
      <c r="C483" s="18">
        <v>45042</v>
      </c>
      <c r="D483" t="s">
        <v>104</v>
      </c>
      <c r="E483" s="32">
        <v>0</v>
      </c>
      <c r="F483" s="32">
        <v>240000</v>
      </c>
      <c r="G483" s="32">
        <v>95970285</v>
      </c>
      <c r="H483" t="s">
        <v>245</v>
      </c>
    </row>
    <row r="484" spans="1:8" hidden="1" x14ac:dyDescent="0.3">
      <c r="A484" s="28">
        <v>13563</v>
      </c>
      <c r="B484" s="31">
        <v>45042.295138888891</v>
      </c>
      <c r="C484" s="18">
        <v>45042</v>
      </c>
      <c r="D484" t="s">
        <v>104</v>
      </c>
      <c r="E484" s="32">
        <v>0</v>
      </c>
      <c r="F484" s="32">
        <v>233760</v>
      </c>
      <c r="G484" s="32">
        <v>96210285</v>
      </c>
      <c r="H484" t="s">
        <v>259</v>
      </c>
    </row>
    <row r="485" spans="1:8" hidden="1" x14ac:dyDescent="0.3">
      <c r="A485" s="28">
        <v>13562</v>
      </c>
      <c r="B485" s="31">
        <v>45042.295138888891</v>
      </c>
      <c r="C485" s="18">
        <v>45042</v>
      </c>
      <c r="D485" t="s">
        <v>104</v>
      </c>
      <c r="E485" s="32">
        <v>0</v>
      </c>
      <c r="F485" s="32">
        <v>3406107</v>
      </c>
      <c r="G485" s="32">
        <v>96444045</v>
      </c>
      <c r="H485" t="s">
        <v>259</v>
      </c>
    </row>
    <row r="486" spans="1:8" hidden="1" x14ac:dyDescent="0.3">
      <c r="A486" s="28">
        <v>13560</v>
      </c>
      <c r="B486" s="31">
        <v>45041.770833333336</v>
      </c>
      <c r="C486" s="18">
        <v>45041</v>
      </c>
      <c r="D486" t="s">
        <v>104</v>
      </c>
      <c r="E486" s="32">
        <v>0</v>
      </c>
      <c r="F486" s="32">
        <v>17050</v>
      </c>
      <c r="G486" s="32">
        <v>99850152</v>
      </c>
      <c r="H486" t="s">
        <v>272</v>
      </c>
    </row>
    <row r="487" spans="1:8" hidden="1" x14ac:dyDescent="0.3">
      <c r="A487" s="28">
        <v>13558</v>
      </c>
      <c r="B487" s="31">
        <v>45041.63958333333</v>
      </c>
      <c r="C487" s="18">
        <v>45041</v>
      </c>
      <c r="D487" t="s">
        <v>103</v>
      </c>
      <c r="E487" s="32">
        <v>688600</v>
      </c>
      <c r="F487" s="32">
        <v>0</v>
      </c>
      <c r="G487" s="32">
        <v>99867202</v>
      </c>
      <c r="H487" t="s">
        <v>261</v>
      </c>
    </row>
    <row r="488" spans="1:8" hidden="1" x14ac:dyDescent="0.3">
      <c r="A488" s="28">
        <v>13542</v>
      </c>
      <c r="B488" s="31">
        <v>45040.669444444444</v>
      </c>
      <c r="C488" s="18">
        <v>45040</v>
      </c>
      <c r="D488" t="s">
        <v>103</v>
      </c>
      <c r="E488" s="32">
        <v>50000000</v>
      </c>
      <c r="F488" s="32">
        <v>0</v>
      </c>
      <c r="G488" s="32">
        <v>99178602</v>
      </c>
      <c r="H488" t="s">
        <v>242</v>
      </c>
    </row>
    <row r="489" spans="1:8" hidden="1" x14ac:dyDescent="0.3">
      <c r="A489" s="28">
        <v>13537</v>
      </c>
      <c r="B489" s="31">
        <v>45040.333333333336</v>
      </c>
      <c r="C489" s="18">
        <v>45040</v>
      </c>
      <c r="D489" t="s">
        <v>104</v>
      </c>
      <c r="E489" s="32">
        <v>0</v>
      </c>
      <c r="F489" s="32">
        <v>49353090</v>
      </c>
      <c r="G489" s="32">
        <v>49178602</v>
      </c>
      <c r="H489" t="s">
        <v>235</v>
      </c>
    </row>
    <row r="490" spans="1:8" hidden="1" x14ac:dyDescent="0.3">
      <c r="A490" s="28">
        <v>13536</v>
      </c>
      <c r="B490" s="31">
        <v>45037.756944444445</v>
      </c>
      <c r="C490" s="18">
        <v>45037</v>
      </c>
      <c r="D490" t="s">
        <v>104</v>
      </c>
      <c r="E490" s="32">
        <v>0</v>
      </c>
      <c r="F490" s="32">
        <v>12100</v>
      </c>
      <c r="G490" s="32">
        <v>98531692</v>
      </c>
      <c r="H490" t="s">
        <v>273</v>
      </c>
    </row>
    <row r="491" spans="1:8" hidden="1" x14ac:dyDescent="0.3">
      <c r="A491" s="28">
        <v>13535</v>
      </c>
      <c r="B491" s="31">
        <v>45037.756249999999</v>
      </c>
      <c r="C491" s="18">
        <v>45037</v>
      </c>
      <c r="D491" t="s">
        <v>104</v>
      </c>
      <c r="E491" s="32">
        <v>0</v>
      </c>
      <c r="F491" s="32">
        <v>255950</v>
      </c>
      <c r="G491" s="32">
        <v>98543792</v>
      </c>
      <c r="H491" t="s">
        <v>274</v>
      </c>
    </row>
    <row r="492" spans="1:8" hidden="1" x14ac:dyDescent="0.3">
      <c r="A492" s="28">
        <v>13531</v>
      </c>
      <c r="B492" s="31">
        <v>45037.553472222222</v>
      </c>
      <c r="C492" s="18">
        <v>45037</v>
      </c>
      <c r="D492" t="s">
        <v>103</v>
      </c>
      <c r="E492" s="32">
        <v>383900</v>
      </c>
      <c r="F492" s="32">
        <v>0</v>
      </c>
      <c r="G492" s="32">
        <v>98799742</v>
      </c>
      <c r="H492" t="s">
        <v>233</v>
      </c>
    </row>
    <row r="493" spans="1:8" hidden="1" x14ac:dyDescent="0.3">
      <c r="A493" s="28">
        <v>13507</v>
      </c>
      <c r="B493" s="31">
        <v>45035.742361111108</v>
      </c>
      <c r="C493" s="18">
        <v>45035</v>
      </c>
      <c r="D493" t="s">
        <v>104</v>
      </c>
      <c r="E493" s="32">
        <v>0</v>
      </c>
      <c r="F493" s="32">
        <v>651100</v>
      </c>
      <c r="G493" s="32">
        <v>98415842</v>
      </c>
      <c r="H493" t="s">
        <v>275</v>
      </c>
    </row>
    <row r="494" spans="1:8" hidden="1" x14ac:dyDescent="0.3">
      <c r="A494" s="28">
        <v>13502</v>
      </c>
      <c r="B494" s="31">
        <v>45034.746527777781</v>
      </c>
      <c r="C494" s="18">
        <v>45034</v>
      </c>
      <c r="D494" t="s">
        <v>104</v>
      </c>
      <c r="E494" s="32">
        <v>0</v>
      </c>
      <c r="F494" s="32">
        <v>240000</v>
      </c>
      <c r="G494" s="32">
        <v>99066942</v>
      </c>
      <c r="H494" t="s">
        <v>245</v>
      </c>
    </row>
    <row r="495" spans="1:8" hidden="1" x14ac:dyDescent="0.3">
      <c r="A495" s="28">
        <v>13489</v>
      </c>
      <c r="B495" s="31">
        <v>45033.804861111108</v>
      </c>
      <c r="C495" s="18">
        <v>45033</v>
      </c>
      <c r="D495" t="s">
        <v>104</v>
      </c>
      <c r="E495" s="32">
        <v>0</v>
      </c>
      <c r="F495" s="32">
        <v>3000000</v>
      </c>
      <c r="G495" s="32">
        <v>99306942</v>
      </c>
      <c r="H495" t="s">
        <v>276</v>
      </c>
    </row>
    <row r="496" spans="1:8" hidden="1" x14ac:dyDescent="0.3">
      <c r="A496" s="28">
        <v>13487</v>
      </c>
      <c r="B496" s="31">
        <v>45033.779166666667</v>
      </c>
      <c r="C496" s="18">
        <v>45033</v>
      </c>
      <c r="D496" t="s">
        <v>104</v>
      </c>
      <c r="E496" s="32">
        <v>0</v>
      </c>
      <c r="F496" s="32">
        <v>1920000</v>
      </c>
      <c r="G496" s="32">
        <v>102306942</v>
      </c>
      <c r="H496" t="s">
        <v>245</v>
      </c>
    </row>
    <row r="497" spans="1:8" hidden="1" x14ac:dyDescent="0.3">
      <c r="A497" s="28">
        <v>13476</v>
      </c>
      <c r="B497" s="31">
        <v>45033.379861111112</v>
      </c>
      <c r="C497" s="18">
        <v>45033</v>
      </c>
      <c r="D497" t="s">
        <v>104</v>
      </c>
      <c r="E497" s="32">
        <v>0</v>
      </c>
      <c r="F497" s="32">
        <v>65004500</v>
      </c>
      <c r="G497" s="32">
        <v>104226942</v>
      </c>
      <c r="H497" t="s">
        <v>234</v>
      </c>
    </row>
    <row r="498" spans="1:8" hidden="1" x14ac:dyDescent="0.3">
      <c r="A498" s="28">
        <v>13475</v>
      </c>
      <c r="B498" s="31">
        <v>45033.353472222225</v>
      </c>
      <c r="C498" s="18">
        <v>45033</v>
      </c>
      <c r="D498" t="s">
        <v>103</v>
      </c>
      <c r="E498" s="32">
        <v>17051</v>
      </c>
      <c r="F498" s="32">
        <v>0</v>
      </c>
      <c r="G498" s="32">
        <v>169231442</v>
      </c>
      <c r="H498" t="s">
        <v>240</v>
      </c>
    </row>
    <row r="499" spans="1:8" hidden="1" x14ac:dyDescent="0.3">
      <c r="A499" s="28">
        <v>13461</v>
      </c>
      <c r="B499" s="31">
        <v>45029.581944444442</v>
      </c>
      <c r="C499" s="18">
        <v>45029</v>
      </c>
      <c r="D499" t="s">
        <v>103</v>
      </c>
      <c r="E499" s="32">
        <v>1383800</v>
      </c>
      <c r="F499" s="32">
        <v>0</v>
      </c>
      <c r="G499" s="32">
        <v>169214391</v>
      </c>
      <c r="H499" t="s">
        <v>248</v>
      </c>
    </row>
    <row r="500" spans="1:8" hidden="1" x14ac:dyDescent="0.3">
      <c r="A500" s="28">
        <v>13460</v>
      </c>
      <c r="B500" s="31">
        <v>45029.581944444442</v>
      </c>
      <c r="C500" s="18">
        <v>45029</v>
      </c>
      <c r="D500" t="s">
        <v>103</v>
      </c>
      <c r="E500" s="32">
        <v>16211800</v>
      </c>
      <c r="F500" s="32">
        <v>0</v>
      </c>
      <c r="G500" s="32">
        <v>167830591</v>
      </c>
      <c r="H500" t="s">
        <v>248</v>
      </c>
    </row>
    <row r="501" spans="1:8" hidden="1" x14ac:dyDescent="0.3">
      <c r="A501" s="28">
        <v>13459</v>
      </c>
      <c r="B501" s="31">
        <v>45029.581944444442</v>
      </c>
      <c r="C501" s="18">
        <v>45029</v>
      </c>
      <c r="D501" t="s">
        <v>103</v>
      </c>
      <c r="E501" s="32">
        <v>1027400</v>
      </c>
      <c r="F501" s="32">
        <v>0</v>
      </c>
      <c r="G501" s="32">
        <v>151618791</v>
      </c>
      <c r="H501" t="s">
        <v>248</v>
      </c>
    </row>
    <row r="502" spans="1:8" hidden="1" x14ac:dyDescent="0.3">
      <c r="A502" s="28">
        <v>13451</v>
      </c>
      <c r="B502" s="31">
        <v>45029.385416666664</v>
      </c>
      <c r="C502" s="18">
        <v>45029</v>
      </c>
      <c r="D502" t="s">
        <v>103</v>
      </c>
      <c r="E502" s="32">
        <v>1608200</v>
      </c>
      <c r="F502" s="32">
        <v>0</v>
      </c>
      <c r="G502" s="32">
        <v>150591391</v>
      </c>
      <c r="H502" t="s">
        <v>246</v>
      </c>
    </row>
    <row r="503" spans="1:8" hidden="1" x14ac:dyDescent="0.3">
      <c r="A503" s="28">
        <v>13449</v>
      </c>
      <c r="B503" s="31">
        <v>45028.682638888888</v>
      </c>
      <c r="C503" s="18">
        <v>45028</v>
      </c>
      <c r="D503" t="s">
        <v>103</v>
      </c>
      <c r="E503" s="32">
        <v>15094200</v>
      </c>
      <c r="F503" s="32">
        <v>0</v>
      </c>
      <c r="G503" s="32">
        <v>148983191</v>
      </c>
      <c r="H503" t="s">
        <v>255</v>
      </c>
    </row>
    <row r="504" spans="1:8" hidden="1" x14ac:dyDescent="0.3">
      <c r="A504" s="28">
        <v>13448</v>
      </c>
      <c r="B504" s="31">
        <v>45028.626388888886</v>
      </c>
      <c r="C504" s="18">
        <v>45028</v>
      </c>
      <c r="D504" t="s">
        <v>104</v>
      </c>
      <c r="E504" s="32">
        <v>0</v>
      </c>
      <c r="F504" s="32">
        <v>3303780</v>
      </c>
      <c r="G504" s="32">
        <v>133888991</v>
      </c>
      <c r="H504" t="s">
        <v>234</v>
      </c>
    </row>
    <row r="505" spans="1:8" hidden="1" x14ac:dyDescent="0.3">
      <c r="A505" s="28">
        <v>13436</v>
      </c>
      <c r="B505" s="31">
        <v>45026.768055555556</v>
      </c>
      <c r="C505" s="18">
        <v>45026</v>
      </c>
      <c r="D505" t="s">
        <v>104</v>
      </c>
      <c r="E505" s="32">
        <v>0</v>
      </c>
      <c r="F505" s="32">
        <v>325860</v>
      </c>
      <c r="G505" s="32">
        <v>137192771</v>
      </c>
      <c r="H505" t="s">
        <v>277</v>
      </c>
    </row>
    <row r="506" spans="1:8" hidden="1" x14ac:dyDescent="0.3">
      <c r="A506" s="28">
        <v>13435</v>
      </c>
      <c r="B506" s="31">
        <v>45026.76666666667</v>
      </c>
      <c r="C506" s="18">
        <v>45026</v>
      </c>
      <c r="D506" t="s">
        <v>104</v>
      </c>
      <c r="E506" s="32">
        <v>0</v>
      </c>
      <c r="F506" s="32">
        <v>696150</v>
      </c>
      <c r="G506" s="32">
        <v>137518631</v>
      </c>
      <c r="H506" t="s">
        <v>278</v>
      </c>
    </row>
    <row r="507" spans="1:8" hidden="1" x14ac:dyDescent="0.3">
      <c r="A507" s="28">
        <v>13434</v>
      </c>
      <c r="B507" s="31">
        <v>45026.763194444444</v>
      </c>
      <c r="C507" s="18">
        <v>45026</v>
      </c>
      <c r="D507" t="s">
        <v>104</v>
      </c>
      <c r="E507" s="32">
        <v>0</v>
      </c>
      <c r="F507" s="32">
        <v>3843700</v>
      </c>
      <c r="G507" s="32">
        <v>138214781</v>
      </c>
      <c r="H507" t="s">
        <v>279</v>
      </c>
    </row>
    <row r="508" spans="1:8" hidden="1" x14ac:dyDescent="0.3">
      <c r="A508" s="28">
        <v>13433</v>
      </c>
      <c r="B508" s="31">
        <v>45026.759722222225</v>
      </c>
      <c r="C508" s="18">
        <v>45026</v>
      </c>
      <c r="D508" t="s">
        <v>104</v>
      </c>
      <c r="E508" s="32">
        <v>0</v>
      </c>
      <c r="F508" s="32">
        <v>4373680</v>
      </c>
      <c r="G508" s="32">
        <v>142058481</v>
      </c>
      <c r="H508" t="s">
        <v>280</v>
      </c>
    </row>
    <row r="509" spans="1:8" hidden="1" x14ac:dyDescent="0.3">
      <c r="A509" s="28">
        <v>13430</v>
      </c>
      <c r="B509" s="31">
        <v>45026.693749999999</v>
      </c>
      <c r="C509" s="18">
        <v>45026</v>
      </c>
      <c r="D509" t="s">
        <v>103</v>
      </c>
      <c r="E509" s="32">
        <v>510400</v>
      </c>
      <c r="F509" s="32">
        <v>0</v>
      </c>
      <c r="G509" s="32">
        <v>146432161</v>
      </c>
      <c r="H509" t="s">
        <v>269</v>
      </c>
    </row>
    <row r="510" spans="1:8" hidden="1" x14ac:dyDescent="0.3">
      <c r="A510" s="28">
        <v>13429</v>
      </c>
      <c r="B510" s="31">
        <v>45026.693749999999</v>
      </c>
      <c r="C510" s="18">
        <v>45026</v>
      </c>
      <c r="D510" t="s">
        <v>103</v>
      </c>
      <c r="E510" s="32">
        <v>71500</v>
      </c>
      <c r="F510" s="32">
        <v>0</v>
      </c>
      <c r="G510" s="32">
        <v>145921761</v>
      </c>
      <c r="H510" t="s">
        <v>269</v>
      </c>
    </row>
    <row r="511" spans="1:8" hidden="1" x14ac:dyDescent="0.3">
      <c r="A511" s="28">
        <v>13424</v>
      </c>
      <c r="B511" s="31">
        <v>45026.438194444447</v>
      </c>
      <c r="C511" s="18">
        <v>45026</v>
      </c>
      <c r="D511" t="s">
        <v>104</v>
      </c>
      <c r="E511" s="32">
        <v>0</v>
      </c>
      <c r="F511" s="32">
        <v>3698540</v>
      </c>
      <c r="G511" s="32">
        <v>145850261</v>
      </c>
      <c r="H511" t="s">
        <v>253</v>
      </c>
    </row>
    <row r="512" spans="1:8" hidden="1" x14ac:dyDescent="0.3">
      <c r="A512" s="28">
        <v>13422</v>
      </c>
      <c r="B512" s="31">
        <v>45023.5625</v>
      </c>
      <c r="C512" s="18">
        <v>45023</v>
      </c>
      <c r="D512" t="s">
        <v>104</v>
      </c>
      <c r="E512" s="32">
        <v>0</v>
      </c>
      <c r="F512" s="32">
        <v>26000600</v>
      </c>
      <c r="G512" s="32">
        <v>149548801</v>
      </c>
      <c r="H512" t="s">
        <v>234</v>
      </c>
    </row>
    <row r="513" spans="1:8" hidden="1" x14ac:dyDescent="0.3">
      <c r="A513" s="28">
        <v>13417</v>
      </c>
      <c r="B513" s="31">
        <v>45022.431250000001</v>
      </c>
      <c r="C513" s="18">
        <v>45022</v>
      </c>
      <c r="D513" t="s">
        <v>104</v>
      </c>
      <c r="E513" s="32">
        <v>0</v>
      </c>
      <c r="F513" s="32">
        <v>141280</v>
      </c>
      <c r="G513" s="32">
        <v>175549401</v>
      </c>
      <c r="H513" t="s">
        <v>281</v>
      </c>
    </row>
    <row r="514" spans="1:8" hidden="1" x14ac:dyDescent="0.3">
      <c r="A514" s="28">
        <v>13412</v>
      </c>
      <c r="B514" s="31">
        <v>45021.65902777778</v>
      </c>
      <c r="C514" s="18">
        <v>45021</v>
      </c>
      <c r="D514" t="s">
        <v>103</v>
      </c>
      <c r="E514" s="32">
        <v>467500</v>
      </c>
      <c r="F514" s="32">
        <v>0</v>
      </c>
      <c r="G514" s="32">
        <v>175690681</v>
      </c>
      <c r="H514" t="s">
        <v>255</v>
      </c>
    </row>
    <row r="515" spans="1:8" hidden="1" x14ac:dyDescent="0.3">
      <c r="A515" s="28">
        <v>13405</v>
      </c>
      <c r="B515" s="31">
        <v>45020.649305555555</v>
      </c>
      <c r="C515" s="18">
        <v>45020</v>
      </c>
      <c r="D515" t="s">
        <v>104</v>
      </c>
      <c r="E515" s="32">
        <v>0</v>
      </c>
      <c r="F515" s="32">
        <v>2284200</v>
      </c>
      <c r="G515" s="32">
        <v>175223181</v>
      </c>
      <c r="H515" t="s">
        <v>282</v>
      </c>
    </row>
    <row r="516" spans="1:8" hidden="1" x14ac:dyDescent="0.3">
      <c r="A516" s="28">
        <v>13404</v>
      </c>
      <c r="B516" s="31">
        <v>45020.648611111108</v>
      </c>
      <c r="C516" s="18">
        <v>45020</v>
      </c>
      <c r="D516" t="s">
        <v>104</v>
      </c>
      <c r="E516" s="32">
        <v>0</v>
      </c>
      <c r="F516" s="32">
        <v>2961000</v>
      </c>
      <c r="G516" s="32">
        <v>177507381</v>
      </c>
      <c r="H516" t="s">
        <v>283</v>
      </c>
    </row>
    <row r="517" spans="1:8" hidden="1" x14ac:dyDescent="0.3">
      <c r="A517" s="28">
        <v>13403</v>
      </c>
      <c r="B517" s="31">
        <v>45020.647222222222</v>
      </c>
      <c r="C517" s="18">
        <v>45020</v>
      </c>
      <c r="D517" t="s">
        <v>104</v>
      </c>
      <c r="E517" s="32">
        <v>0</v>
      </c>
      <c r="F517" s="32">
        <v>4822200</v>
      </c>
      <c r="G517" s="32">
        <v>180468381</v>
      </c>
      <c r="H517" t="s">
        <v>283</v>
      </c>
    </row>
    <row r="518" spans="1:8" hidden="1" x14ac:dyDescent="0.3">
      <c r="A518" s="28">
        <v>13402</v>
      </c>
      <c r="B518" s="31">
        <v>45020.646527777775</v>
      </c>
      <c r="C518" s="18">
        <v>45020</v>
      </c>
      <c r="D518" t="s">
        <v>104</v>
      </c>
      <c r="E518" s="32">
        <v>0</v>
      </c>
      <c r="F518" s="32">
        <v>34770600</v>
      </c>
      <c r="G518" s="32">
        <v>185290581</v>
      </c>
      <c r="H518" t="s">
        <v>283</v>
      </c>
    </row>
    <row r="519" spans="1:8" hidden="1" x14ac:dyDescent="0.3">
      <c r="A519" s="28">
        <v>13401</v>
      </c>
      <c r="B519" s="31">
        <v>45020.645138888889</v>
      </c>
      <c r="C519" s="18">
        <v>45020</v>
      </c>
      <c r="D519" t="s">
        <v>104</v>
      </c>
      <c r="E519" s="32">
        <v>0</v>
      </c>
      <c r="F519" s="32">
        <v>39762000</v>
      </c>
      <c r="G519" s="32">
        <v>220061181</v>
      </c>
      <c r="H519" t="s">
        <v>284</v>
      </c>
    </row>
    <row r="520" spans="1:8" hidden="1" x14ac:dyDescent="0.3">
      <c r="A520" s="28">
        <v>13390</v>
      </c>
      <c r="B520" s="31">
        <v>45019.709722222222</v>
      </c>
      <c r="C520" s="18">
        <v>45019</v>
      </c>
      <c r="D520" t="s">
        <v>103</v>
      </c>
      <c r="E520" s="32">
        <v>3693800</v>
      </c>
      <c r="F520" s="32">
        <v>0</v>
      </c>
      <c r="G520" s="32">
        <v>259823181</v>
      </c>
      <c r="H520" t="s">
        <v>254</v>
      </c>
    </row>
    <row r="521" spans="1:8" hidden="1" x14ac:dyDescent="0.3">
      <c r="A521" s="28">
        <v>13389</v>
      </c>
      <c r="B521" s="31">
        <v>45019.709027777775</v>
      </c>
      <c r="C521" s="18">
        <v>45019</v>
      </c>
      <c r="D521" t="s">
        <v>103</v>
      </c>
      <c r="E521" s="32">
        <v>646800</v>
      </c>
      <c r="F521" s="32">
        <v>0</v>
      </c>
      <c r="G521" s="32">
        <v>256129381</v>
      </c>
      <c r="H521" t="s">
        <v>254</v>
      </c>
    </row>
    <row r="522" spans="1:8" hidden="1" x14ac:dyDescent="0.3">
      <c r="A522" s="28">
        <v>13374</v>
      </c>
      <c r="B522" s="31">
        <v>45016.668749999997</v>
      </c>
      <c r="C522" s="18">
        <v>45016</v>
      </c>
      <c r="D522" t="s">
        <v>103</v>
      </c>
      <c r="E522" s="32">
        <v>201455100</v>
      </c>
      <c r="F522" s="32">
        <v>0</v>
      </c>
      <c r="G522" s="32">
        <v>255482581</v>
      </c>
      <c r="H522" t="s">
        <v>256</v>
      </c>
    </row>
    <row r="523" spans="1:8" hidden="1" x14ac:dyDescent="0.3">
      <c r="A523" s="28">
        <v>13350</v>
      </c>
      <c r="B523" s="31">
        <v>45015.423611111109</v>
      </c>
      <c r="C523" s="18">
        <v>45015</v>
      </c>
      <c r="D523" t="s">
        <v>104</v>
      </c>
      <c r="E523" s="32">
        <v>0</v>
      </c>
      <c r="F523" s="32">
        <v>39000900</v>
      </c>
      <c r="G523" s="32">
        <v>54027481</v>
      </c>
      <c r="H523" t="s">
        <v>234</v>
      </c>
    </row>
    <row r="524" spans="1:8" hidden="1" x14ac:dyDescent="0.3">
      <c r="A524" s="28">
        <v>13340</v>
      </c>
      <c r="B524" s="31">
        <v>45013.556250000001</v>
      </c>
      <c r="C524" s="18">
        <v>45013</v>
      </c>
      <c r="D524" t="s">
        <v>104</v>
      </c>
      <c r="E524" s="32">
        <v>0</v>
      </c>
      <c r="F524" s="32">
        <v>4802880</v>
      </c>
      <c r="G524" s="32">
        <v>93028381</v>
      </c>
      <c r="H524" t="s">
        <v>234</v>
      </c>
    </row>
    <row r="525" spans="1:8" hidden="1" x14ac:dyDescent="0.3">
      <c r="A525" s="28">
        <v>13335</v>
      </c>
      <c r="B525" s="31">
        <v>45013.356944444444</v>
      </c>
      <c r="C525" s="18">
        <v>45013</v>
      </c>
      <c r="D525" t="s">
        <v>104</v>
      </c>
      <c r="E525" s="32">
        <v>0</v>
      </c>
      <c r="F525" s="32">
        <v>2912320</v>
      </c>
      <c r="G525" s="32">
        <v>97831261</v>
      </c>
      <c r="H525" t="s">
        <v>235</v>
      </c>
    </row>
    <row r="526" spans="1:8" hidden="1" x14ac:dyDescent="0.3">
      <c r="A526" s="28">
        <v>13333</v>
      </c>
      <c r="B526" s="31">
        <v>45012.775694444441</v>
      </c>
      <c r="C526" s="18">
        <v>45012</v>
      </c>
      <c r="D526" t="s">
        <v>104</v>
      </c>
      <c r="E526" s="32">
        <v>0</v>
      </c>
      <c r="F526" s="32">
        <v>16750</v>
      </c>
      <c r="G526" s="32">
        <v>100743581</v>
      </c>
      <c r="H526" t="s">
        <v>285</v>
      </c>
    </row>
    <row r="527" spans="1:8" hidden="1" x14ac:dyDescent="0.3">
      <c r="A527" s="28">
        <v>13326</v>
      </c>
      <c r="B527" s="31">
        <v>45012.343055555553</v>
      </c>
      <c r="C527" s="18">
        <v>45012</v>
      </c>
      <c r="D527" t="s">
        <v>104</v>
      </c>
      <c r="E527" s="32">
        <v>0</v>
      </c>
      <c r="F527" s="32">
        <v>344320</v>
      </c>
      <c r="G527" s="32">
        <v>100760331</v>
      </c>
      <c r="H527" t="s">
        <v>259</v>
      </c>
    </row>
    <row r="528" spans="1:8" hidden="1" x14ac:dyDescent="0.3">
      <c r="A528" s="28">
        <v>13325</v>
      </c>
      <c r="B528" s="31">
        <v>45012.343055555553</v>
      </c>
      <c r="C528" s="18">
        <v>45012</v>
      </c>
      <c r="D528" t="s">
        <v>104</v>
      </c>
      <c r="E528" s="32">
        <v>0</v>
      </c>
      <c r="F528" s="32">
        <v>2460632</v>
      </c>
      <c r="G528" s="32">
        <v>101104651</v>
      </c>
      <c r="H528" t="s">
        <v>259</v>
      </c>
    </row>
    <row r="529" spans="1:8" hidden="1" x14ac:dyDescent="0.3">
      <c r="A529" s="28">
        <v>13324</v>
      </c>
      <c r="B529" s="31">
        <v>45012.331944444442</v>
      </c>
      <c r="C529" s="18">
        <v>45012</v>
      </c>
      <c r="D529" t="s">
        <v>104</v>
      </c>
      <c r="E529" s="32">
        <v>0</v>
      </c>
      <c r="F529" s="32">
        <v>316744</v>
      </c>
      <c r="G529" s="32">
        <v>103565283</v>
      </c>
      <c r="H529" t="s">
        <v>286</v>
      </c>
    </row>
    <row r="530" spans="1:8" hidden="1" x14ac:dyDescent="0.3">
      <c r="A530" s="28">
        <v>13309</v>
      </c>
      <c r="B530" s="31">
        <v>45009.422222222223</v>
      </c>
      <c r="C530" s="18">
        <v>45009</v>
      </c>
      <c r="D530" t="s">
        <v>103</v>
      </c>
      <c r="E530" s="32">
        <v>866800</v>
      </c>
      <c r="F530" s="32">
        <v>0</v>
      </c>
      <c r="G530" s="32">
        <v>103882027</v>
      </c>
      <c r="H530" t="s">
        <v>261</v>
      </c>
    </row>
    <row r="531" spans="1:8" hidden="1" x14ac:dyDescent="0.3">
      <c r="A531" s="28">
        <v>13308</v>
      </c>
      <c r="B531" s="31">
        <v>45008.708333333336</v>
      </c>
      <c r="C531" s="18">
        <v>45008</v>
      </c>
      <c r="D531" t="s">
        <v>104</v>
      </c>
      <c r="E531" s="32">
        <v>0</v>
      </c>
      <c r="F531" s="32">
        <v>47538690</v>
      </c>
      <c r="G531" s="32">
        <v>103015227</v>
      </c>
      <c r="H531" t="s">
        <v>235</v>
      </c>
    </row>
    <row r="532" spans="1:8" hidden="1" x14ac:dyDescent="0.3">
      <c r="A532" s="28">
        <v>13307</v>
      </c>
      <c r="B532" s="31">
        <v>45008.554166666669</v>
      </c>
      <c r="C532" s="18">
        <v>45008</v>
      </c>
      <c r="D532" t="s">
        <v>103</v>
      </c>
      <c r="E532" s="32">
        <v>1602700</v>
      </c>
      <c r="F532" s="32">
        <v>0</v>
      </c>
      <c r="G532" s="32">
        <v>150553917</v>
      </c>
      <c r="H532" t="s">
        <v>233</v>
      </c>
    </row>
    <row r="533" spans="1:8" hidden="1" x14ac:dyDescent="0.3">
      <c r="A533" s="28">
        <v>13296</v>
      </c>
      <c r="B533" s="31">
        <v>45008.378472222219</v>
      </c>
      <c r="C533" s="18">
        <v>45008</v>
      </c>
      <c r="D533" t="s">
        <v>104</v>
      </c>
      <c r="E533" s="32">
        <v>0</v>
      </c>
      <c r="F533" s="32">
        <v>64995000</v>
      </c>
      <c r="G533" s="32">
        <v>148951217</v>
      </c>
      <c r="H533" t="s">
        <v>234</v>
      </c>
    </row>
    <row r="534" spans="1:8" hidden="1" x14ac:dyDescent="0.3">
      <c r="A534" s="28">
        <v>13282</v>
      </c>
      <c r="B534" s="31">
        <v>45007.386111111111</v>
      </c>
      <c r="C534" s="18">
        <v>45007</v>
      </c>
      <c r="D534" t="s">
        <v>104</v>
      </c>
      <c r="E534" s="32">
        <v>0</v>
      </c>
      <c r="F534" s="32">
        <v>26144200</v>
      </c>
      <c r="G534" s="32">
        <v>213946217</v>
      </c>
      <c r="H534" t="s">
        <v>234</v>
      </c>
    </row>
    <row r="535" spans="1:8" hidden="1" x14ac:dyDescent="0.3">
      <c r="A535" s="28">
        <v>13281</v>
      </c>
      <c r="B535" s="31">
        <v>45006.758333333331</v>
      </c>
      <c r="C535" s="18">
        <v>45006</v>
      </c>
      <c r="D535" t="s">
        <v>104</v>
      </c>
      <c r="E535" s="32">
        <v>0</v>
      </c>
      <c r="F535" s="32">
        <v>12100</v>
      </c>
      <c r="G535" s="32">
        <v>240090417</v>
      </c>
      <c r="H535" t="s">
        <v>287</v>
      </c>
    </row>
    <row r="536" spans="1:8" hidden="1" x14ac:dyDescent="0.3">
      <c r="A536" s="28">
        <v>13280</v>
      </c>
      <c r="B536" s="31">
        <v>45006.758333333331</v>
      </c>
      <c r="C536" s="18">
        <v>45006</v>
      </c>
      <c r="D536" t="s">
        <v>104</v>
      </c>
      <c r="E536" s="32">
        <v>0</v>
      </c>
      <c r="F536" s="32">
        <v>259820</v>
      </c>
      <c r="G536" s="32">
        <v>240102517</v>
      </c>
      <c r="H536" t="s">
        <v>288</v>
      </c>
    </row>
    <row r="537" spans="1:8" hidden="1" x14ac:dyDescent="0.3">
      <c r="A537" s="28">
        <v>13271</v>
      </c>
      <c r="B537" s="31">
        <v>45005.775694444441</v>
      </c>
      <c r="C537" s="18">
        <v>45005</v>
      </c>
      <c r="D537" t="s">
        <v>104</v>
      </c>
      <c r="E537" s="32">
        <v>0</v>
      </c>
      <c r="F537" s="32">
        <v>651100</v>
      </c>
      <c r="G537" s="32">
        <v>240362337</v>
      </c>
      <c r="H537" t="s">
        <v>275</v>
      </c>
    </row>
    <row r="538" spans="1:8" hidden="1" x14ac:dyDescent="0.3">
      <c r="A538" s="28">
        <v>13265</v>
      </c>
      <c r="B538" s="31">
        <v>45005.34097222222</v>
      </c>
      <c r="C538" s="18">
        <v>45005</v>
      </c>
      <c r="D538" t="s">
        <v>103</v>
      </c>
      <c r="E538" s="32">
        <v>19247</v>
      </c>
      <c r="F538" s="32">
        <v>0</v>
      </c>
      <c r="G538" s="32">
        <v>241013437</v>
      </c>
      <c r="H538" t="s">
        <v>240</v>
      </c>
    </row>
    <row r="539" spans="1:8" hidden="1" x14ac:dyDescent="0.3">
      <c r="A539" s="28">
        <v>13245</v>
      </c>
      <c r="B539" s="49">
        <v>45000.796527777777</v>
      </c>
      <c r="C539" s="18">
        <v>45000</v>
      </c>
      <c r="D539" t="s">
        <v>104</v>
      </c>
      <c r="E539" s="32">
        <v>0</v>
      </c>
      <c r="F539" s="32">
        <v>3000000</v>
      </c>
      <c r="G539" s="32">
        <v>240994190</v>
      </c>
      <c r="H539" t="s">
        <v>289</v>
      </c>
    </row>
    <row r="540" spans="1:8" hidden="1" x14ac:dyDescent="0.3">
      <c r="A540" s="28">
        <v>13244</v>
      </c>
      <c r="B540" s="49">
        <v>45000.780555555553</v>
      </c>
      <c r="C540" s="18">
        <v>45000</v>
      </c>
      <c r="D540" t="s">
        <v>104</v>
      </c>
      <c r="E540" s="32">
        <v>0</v>
      </c>
      <c r="F540" s="32">
        <v>1920000</v>
      </c>
      <c r="G540" s="32">
        <v>243994190</v>
      </c>
      <c r="H540" t="s">
        <v>245</v>
      </c>
    </row>
    <row r="541" spans="1:8" hidden="1" x14ac:dyDescent="0.3">
      <c r="A541" s="28">
        <v>13236</v>
      </c>
      <c r="B541" s="49">
        <v>45000.584722222222</v>
      </c>
      <c r="C541" s="18">
        <v>45000</v>
      </c>
      <c r="D541" t="s">
        <v>103</v>
      </c>
      <c r="E541" s="32">
        <v>38300900</v>
      </c>
      <c r="F541" s="32">
        <v>0</v>
      </c>
      <c r="G541" s="32">
        <v>245914190</v>
      </c>
      <c r="H541" t="s">
        <v>255</v>
      </c>
    </row>
    <row r="542" spans="1:8" hidden="1" x14ac:dyDescent="0.3">
      <c r="A542" s="28"/>
      <c r="B542" s="49"/>
    </row>
    <row r="543" spans="1:8" hidden="1" x14ac:dyDescent="0.3">
      <c r="A543" s="28"/>
      <c r="B543" s="49"/>
    </row>
    <row r="544" spans="1:8" hidden="1" x14ac:dyDescent="0.3">
      <c r="A544" s="28"/>
      <c r="B544" s="49"/>
    </row>
    <row r="545" spans="1:2" hidden="1" x14ac:dyDescent="0.3">
      <c r="A545" s="28"/>
      <c r="B545" s="49"/>
    </row>
    <row r="546" spans="1:2" hidden="1" x14ac:dyDescent="0.3">
      <c r="A546" s="28"/>
      <c r="B546" s="49"/>
    </row>
    <row r="547" spans="1:2" hidden="1" x14ac:dyDescent="0.3">
      <c r="A547" s="28"/>
      <c r="B547" s="49"/>
    </row>
    <row r="548" spans="1:2" hidden="1" x14ac:dyDescent="0.3">
      <c r="A548" s="28"/>
      <c r="B548" s="49"/>
    </row>
    <row r="549" spans="1:2" hidden="1" x14ac:dyDescent="0.3">
      <c r="A549" s="28"/>
      <c r="B549" s="49"/>
    </row>
    <row r="550" spans="1:2" hidden="1" x14ac:dyDescent="0.3">
      <c r="A550" s="28"/>
      <c r="B550" s="49"/>
    </row>
    <row r="551" spans="1:2" hidden="1" x14ac:dyDescent="0.3">
      <c r="A551" s="28"/>
      <c r="B551" s="49"/>
    </row>
    <row r="552" spans="1:2" hidden="1" x14ac:dyDescent="0.3">
      <c r="A552" s="28"/>
      <c r="B552" s="49"/>
    </row>
    <row r="553" spans="1:2" hidden="1" x14ac:dyDescent="0.3">
      <c r="A553" s="28"/>
      <c r="B553" s="49"/>
    </row>
    <row r="554" spans="1:2" hidden="1" x14ac:dyDescent="0.3">
      <c r="A554" s="28"/>
      <c r="B554" s="49"/>
    </row>
    <row r="555" spans="1:2" hidden="1" x14ac:dyDescent="0.3">
      <c r="A555" s="28"/>
      <c r="B555" s="49"/>
    </row>
    <row r="556" spans="1:2" hidden="1" x14ac:dyDescent="0.3">
      <c r="A556" s="28"/>
      <c r="B556" s="49"/>
    </row>
    <row r="557" spans="1:2" hidden="1" x14ac:dyDescent="0.3">
      <c r="A557" s="28"/>
      <c r="B557" s="49"/>
    </row>
    <row r="558" spans="1:2" hidden="1" x14ac:dyDescent="0.3">
      <c r="A558" s="28"/>
      <c r="B558" s="49"/>
    </row>
    <row r="559" spans="1:2" hidden="1" x14ac:dyDescent="0.3">
      <c r="A559" s="28"/>
      <c r="B559" s="49"/>
    </row>
    <row r="560" spans="1:2" hidden="1" x14ac:dyDescent="0.3">
      <c r="A560" s="28"/>
      <c r="B560" s="49"/>
    </row>
    <row r="561" spans="1:2" hidden="1" x14ac:dyDescent="0.3">
      <c r="A561" s="28"/>
      <c r="B561" s="49"/>
    </row>
    <row r="562" spans="1:2" hidden="1" x14ac:dyDescent="0.3">
      <c r="A562" s="28"/>
      <c r="B562" s="49"/>
    </row>
    <row r="563" spans="1:2" hidden="1" x14ac:dyDescent="0.3">
      <c r="A563" s="28"/>
      <c r="B563" s="49"/>
    </row>
    <row r="564" spans="1:2" hidden="1" x14ac:dyDescent="0.3">
      <c r="A564" s="28"/>
      <c r="B564" s="49"/>
    </row>
    <row r="565" spans="1:2" hidden="1" x14ac:dyDescent="0.3">
      <c r="A565" s="28"/>
      <c r="B565" s="49"/>
    </row>
    <row r="566" spans="1:2" hidden="1" x14ac:dyDescent="0.3">
      <c r="A566" s="28"/>
      <c r="B566" s="49"/>
    </row>
    <row r="567" spans="1:2" hidden="1" x14ac:dyDescent="0.3">
      <c r="A567" s="28"/>
      <c r="B567" s="49"/>
    </row>
    <row r="568" spans="1:2" hidden="1" x14ac:dyDescent="0.3">
      <c r="A568" s="28"/>
      <c r="B568" s="49"/>
    </row>
    <row r="569" spans="1:2" hidden="1" x14ac:dyDescent="0.3">
      <c r="A569" s="28"/>
      <c r="B569" s="49"/>
    </row>
    <row r="570" spans="1:2" hidden="1" x14ac:dyDescent="0.3">
      <c r="A570" s="28"/>
      <c r="B570" s="49"/>
    </row>
    <row r="571" spans="1:2" hidden="1" x14ac:dyDescent="0.3">
      <c r="A571" s="28"/>
      <c r="B571" s="49"/>
    </row>
    <row r="572" spans="1:2" hidden="1" x14ac:dyDescent="0.3">
      <c r="A572" s="28"/>
      <c r="B572" s="49"/>
    </row>
    <row r="573" spans="1:2" hidden="1" x14ac:dyDescent="0.3">
      <c r="A573" s="28"/>
      <c r="B573" s="49"/>
    </row>
    <row r="574" spans="1:2" hidden="1" x14ac:dyDescent="0.3">
      <c r="A574" s="28"/>
      <c r="B574" s="49"/>
    </row>
    <row r="575" spans="1:2" hidden="1" x14ac:dyDescent="0.3">
      <c r="A575" s="28"/>
      <c r="B575" s="49"/>
    </row>
    <row r="576" spans="1:2" hidden="1" x14ac:dyDescent="0.3">
      <c r="A576" s="28"/>
      <c r="B576" s="49"/>
    </row>
    <row r="577" spans="1:2" hidden="1" x14ac:dyDescent="0.3">
      <c r="A577" s="28"/>
      <c r="B577" s="49"/>
    </row>
    <row r="578" spans="1:2" hidden="1" x14ac:dyDescent="0.3">
      <c r="A578" s="28"/>
      <c r="B578" s="49"/>
    </row>
    <row r="579" spans="1:2" hidden="1" x14ac:dyDescent="0.3">
      <c r="A579" s="28"/>
      <c r="B579" s="49"/>
    </row>
    <row r="580" spans="1:2" hidden="1" x14ac:dyDescent="0.3">
      <c r="A580" s="28"/>
      <c r="B580" s="49"/>
    </row>
    <row r="581" spans="1:2" hidden="1" x14ac:dyDescent="0.3">
      <c r="A581" s="28"/>
      <c r="B581" s="49"/>
    </row>
    <row r="582" spans="1:2" hidden="1" x14ac:dyDescent="0.3">
      <c r="A582" s="28"/>
      <c r="B582" s="49"/>
    </row>
    <row r="583" spans="1:2" hidden="1" x14ac:dyDescent="0.3">
      <c r="A583" s="28"/>
      <c r="B583" s="49"/>
    </row>
    <row r="584" spans="1:2" hidden="1" x14ac:dyDescent="0.3">
      <c r="A584" s="28"/>
      <c r="B584" s="49"/>
    </row>
    <row r="585" spans="1:2" hidden="1" x14ac:dyDescent="0.3">
      <c r="A585" s="28"/>
      <c r="B585" s="49"/>
    </row>
    <row r="586" spans="1:2" hidden="1" x14ac:dyDescent="0.3">
      <c r="A586" s="28"/>
      <c r="B586" s="49"/>
    </row>
    <row r="587" spans="1:2" hidden="1" x14ac:dyDescent="0.3">
      <c r="A587" s="28"/>
      <c r="B587" s="49"/>
    </row>
    <row r="588" spans="1:2" hidden="1" x14ac:dyDescent="0.3">
      <c r="A588" s="28"/>
      <c r="B588" s="49"/>
    </row>
    <row r="589" spans="1:2" hidden="1" x14ac:dyDescent="0.3">
      <c r="A589" s="28"/>
      <c r="B589" s="49"/>
    </row>
    <row r="590" spans="1:2" hidden="1" x14ac:dyDescent="0.3">
      <c r="A590" s="28"/>
      <c r="B590" s="49"/>
    </row>
    <row r="591" spans="1:2" hidden="1" x14ac:dyDescent="0.3">
      <c r="A591" s="28"/>
      <c r="B591" s="49"/>
    </row>
    <row r="592" spans="1:2" hidden="1" x14ac:dyDescent="0.3">
      <c r="A592" s="28"/>
      <c r="B592" s="49"/>
    </row>
    <row r="593" spans="1:8" hidden="1" x14ac:dyDescent="0.3">
      <c r="A593" s="28"/>
      <c r="B593" s="49"/>
    </row>
    <row r="594" spans="1:8" hidden="1" x14ac:dyDescent="0.3">
      <c r="A594" s="28"/>
      <c r="B594" s="49"/>
    </row>
    <row r="595" spans="1:8" hidden="1" x14ac:dyDescent="0.3">
      <c r="A595" s="28"/>
      <c r="B595" s="49"/>
    </row>
    <row r="596" spans="1:8" hidden="1" x14ac:dyDescent="0.3">
      <c r="A596" s="28"/>
      <c r="B596" s="49"/>
    </row>
    <row r="597" spans="1:8" hidden="1" x14ac:dyDescent="0.3">
      <c r="A597" s="28"/>
      <c r="B597" s="49"/>
    </row>
    <row r="598" spans="1:8" hidden="1" x14ac:dyDescent="0.3">
      <c r="A598" s="28"/>
      <c r="B598" s="49"/>
    </row>
    <row r="599" spans="1:8" hidden="1" x14ac:dyDescent="0.3">
      <c r="A599" s="28"/>
      <c r="B599" s="49"/>
    </row>
    <row r="600" spans="1:8" hidden="1" x14ac:dyDescent="0.3">
      <c r="A600" s="28"/>
      <c r="B600" s="49"/>
    </row>
    <row r="601" spans="1:8" x14ac:dyDescent="0.3">
      <c r="A601" s="56" t="s">
        <v>96</v>
      </c>
      <c r="B601" s="57">
        <v>63230104134613</v>
      </c>
      <c r="C601" s="59" t="s">
        <v>1063</v>
      </c>
      <c r="E601" s="32">
        <f>SUBTOTAL(9,표8[입금액])</f>
        <v>28729800</v>
      </c>
      <c r="F601" s="32">
        <f>SUBTOTAL(9,표8[출금액])</f>
        <v>111509796</v>
      </c>
      <c r="G601" s="32">
        <f>E601-F601</f>
        <v>-82779996</v>
      </c>
    </row>
    <row r="602" spans="1:8" x14ac:dyDescent="0.3">
      <c r="A602" s="50" t="s">
        <v>97</v>
      </c>
      <c r="B602" s="51" t="s">
        <v>35</v>
      </c>
      <c r="C602" s="52" t="s">
        <v>98</v>
      </c>
      <c r="D602" s="53" t="s">
        <v>99</v>
      </c>
      <c r="E602" s="54" t="s">
        <v>100</v>
      </c>
      <c r="F602" s="54" t="s">
        <v>101</v>
      </c>
      <c r="G602" s="54" t="s">
        <v>34</v>
      </c>
      <c r="H602" s="55" t="s">
        <v>36</v>
      </c>
    </row>
    <row r="603" spans="1:8" x14ac:dyDescent="0.3">
      <c r="A603" s="28">
        <v>16161</v>
      </c>
      <c r="B603" s="49">
        <v>45355.390972222223</v>
      </c>
      <c r="C603" s="18">
        <v>45355</v>
      </c>
      <c r="D603" t="s">
        <v>104</v>
      </c>
      <c r="E603" s="32">
        <v>0</v>
      </c>
      <c r="F603" s="32">
        <v>39887400</v>
      </c>
      <c r="G603" s="32">
        <v>42745264</v>
      </c>
      <c r="H603" t="s">
        <v>314</v>
      </c>
    </row>
    <row r="604" spans="1:8" x14ac:dyDescent="0.3">
      <c r="A604" s="28">
        <v>16158</v>
      </c>
      <c r="B604" s="49">
        <v>45355.38958333333</v>
      </c>
      <c r="C604" s="18">
        <v>45355</v>
      </c>
      <c r="D604" t="s">
        <v>104</v>
      </c>
      <c r="E604" s="32">
        <v>0</v>
      </c>
      <c r="F604" s="32">
        <v>26598000</v>
      </c>
      <c r="G604" s="32">
        <v>109588309</v>
      </c>
      <c r="H604" t="s">
        <v>316</v>
      </c>
    </row>
    <row r="605" spans="1:8" x14ac:dyDescent="0.3">
      <c r="A605" s="28">
        <v>16159</v>
      </c>
      <c r="B605" s="49">
        <v>45355.390277777777</v>
      </c>
      <c r="C605" s="18">
        <v>45355</v>
      </c>
      <c r="D605" t="s">
        <v>104</v>
      </c>
      <c r="E605" s="32">
        <v>0</v>
      </c>
      <c r="F605" s="32">
        <v>26592000</v>
      </c>
      <c r="G605" s="32">
        <v>82996309</v>
      </c>
      <c r="H605" t="s">
        <v>315</v>
      </c>
    </row>
    <row r="606" spans="1:8" x14ac:dyDescent="0.3">
      <c r="A606" s="28">
        <v>16214</v>
      </c>
      <c r="B606" s="49">
        <v>45364.5625</v>
      </c>
      <c r="C606" s="18">
        <v>45364</v>
      </c>
      <c r="D606" t="s">
        <v>104</v>
      </c>
      <c r="E606" s="32">
        <v>0</v>
      </c>
      <c r="F606" s="32">
        <v>11010000</v>
      </c>
      <c r="G606" s="32">
        <v>53059813</v>
      </c>
      <c r="H606" t="s">
        <v>291</v>
      </c>
    </row>
    <row r="607" spans="1:8" x14ac:dyDescent="0.3">
      <c r="A607" s="28">
        <v>16182</v>
      </c>
      <c r="B607" s="49">
        <v>45357.490972222222</v>
      </c>
      <c r="C607" s="18">
        <v>45357</v>
      </c>
      <c r="D607" t="s">
        <v>104</v>
      </c>
      <c r="E607" s="32">
        <v>0</v>
      </c>
      <c r="F607" s="32">
        <v>2357516</v>
      </c>
      <c r="G607" s="32">
        <v>43484356</v>
      </c>
      <c r="H607" t="s">
        <v>293</v>
      </c>
    </row>
    <row r="608" spans="1:8" x14ac:dyDescent="0.3">
      <c r="A608" s="28">
        <v>16212</v>
      </c>
      <c r="B608" s="49">
        <v>45364.493750000001</v>
      </c>
      <c r="C608" s="18">
        <v>45364</v>
      </c>
      <c r="D608" t="s">
        <v>104</v>
      </c>
      <c r="E608" s="32">
        <v>0</v>
      </c>
      <c r="F608" s="32">
        <v>933394</v>
      </c>
      <c r="G608" s="32">
        <v>63693613</v>
      </c>
      <c r="H608" t="s">
        <v>293</v>
      </c>
    </row>
    <row r="609" spans="1:8" x14ac:dyDescent="0.3">
      <c r="A609" s="28">
        <v>16179</v>
      </c>
      <c r="B609" s="49">
        <v>45357.409722222219</v>
      </c>
      <c r="C609" s="18">
        <v>45357</v>
      </c>
      <c r="D609" t="s">
        <v>104</v>
      </c>
      <c r="E609" s="32">
        <v>0</v>
      </c>
      <c r="F609" s="32">
        <v>862300</v>
      </c>
      <c r="G609" s="32">
        <v>45841872</v>
      </c>
      <c r="H609" t="s">
        <v>309</v>
      </c>
    </row>
    <row r="610" spans="1:8" x14ac:dyDescent="0.3">
      <c r="A610" s="28">
        <v>16177</v>
      </c>
      <c r="B610" s="49">
        <v>45356.79791666667</v>
      </c>
      <c r="C610" s="18">
        <v>45356</v>
      </c>
      <c r="D610" t="s">
        <v>104</v>
      </c>
      <c r="E610" s="32">
        <v>0</v>
      </c>
      <c r="F610" s="32">
        <v>711920</v>
      </c>
      <c r="G610" s="32">
        <v>47330644</v>
      </c>
      <c r="H610" t="s">
        <v>311</v>
      </c>
    </row>
    <row r="611" spans="1:8" x14ac:dyDescent="0.3">
      <c r="A611" s="28">
        <v>16178</v>
      </c>
      <c r="B611" s="49">
        <v>45356.832638888889</v>
      </c>
      <c r="C611" s="18">
        <v>45356</v>
      </c>
      <c r="D611" t="s">
        <v>104</v>
      </c>
      <c r="E611" s="32">
        <v>0</v>
      </c>
      <c r="F611" s="32">
        <v>626472</v>
      </c>
      <c r="G611" s="32">
        <v>46704172</v>
      </c>
      <c r="H611" t="s">
        <v>310</v>
      </c>
    </row>
    <row r="612" spans="1:8" x14ac:dyDescent="0.3">
      <c r="A612" s="28">
        <v>16196</v>
      </c>
      <c r="B612" s="49">
        <v>45362.434027777781</v>
      </c>
      <c r="C612" s="18">
        <v>45362</v>
      </c>
      <c r="D612" t="s">
        <v>104</v>
      </c>
      <c r="E612" s="32">
        <v>0</v>
      </c>
      <c r="F612" s="32">
        <v>473825</v>
      </c>
      <c r="G612" s="32">
        <v>56393455</v>
      </c>
      <c r="H612" t="s">
        <v>298</v>
      </c>
    </row>
    <row r="613" spans="1:8" x14ac:dyDescent="0.3">
      <c r="A613" s="28">
        <v>16193</v>
      </c>
      <c r="B613" s="49">
        <v>45359.678472222222</v>
      </c>
      <c r="C613" s="18">
        <v>45359</v>
      </c>
      <c r="D613" t="s">
        <v>104</v>
      </c>
      <c r="E613" s="32">
        <v>0</v>
      </c>
      <c r="F613" s="32">
        <v>394500</v>
      </c>
      <c r="G613" s="32">
        <v>57023813</v>
      </c>
      <c r="H613" t="s">
        <v>299</v>
      </c>
    </row>
    <row r="614" spans="1:8" x14ac:dyDescent="0.3">
      <c r="A614" s="28">
        <v>16160</v>
      </c>
      <c r="B614" s="49">
        <v>45355.390277777777</v>
      </c>
      <c r="C614" s="18">
        <v>45355</v>
      </c>
      <c r="D614" t="s">
        <v>104</v>
      </c>
      <c r="E614" s="32">
        <v>0</v>
      </c>
      <c r="F614" s="32">
        <v>363645</v>
      </c>
      <c r="G614" s="32">
        <v>82632664</v>
      </c>
      <c r="H614" t="s">
        <v>293</v>
      </c>
    </row>
    <row r="615" spans="1:8" x14ac:dyDescent="0.3">
      <c r="A615" s="28">
        <v>16198</v>
      </c>
      <c r="B615" s="49">
        <v>45362.706944444442</v>
      </c>
      <c r="C615" s="18">
        <v>45362</v>
      </c>
      <c r="D615" t="s">
        <v>104</v>
      </c>
      <c r="E615" s="32">
        <v>0</v>
      </c>
      <c r="F615" s="32">
        <v>198000</v>
      </c>
      <c r="G615" s="32">
        <v>56195455</v>
      </c>
      <c r="H615" t="s">
        <v>297</v>
      </c>
    </row>
    <row r="616" spans="1:8" x14ac:dyDescent="0.3">
      <c r="A616" s="28">
        <v>16194</v>
      </c>
      <c r="B616" s="49">
        <v>45362.37777777778</v>
      </c>
      <c r="C616" s="18">
        <v>45362</v>
      </c>
      <c r="D616" t="s">
        <v>104</v>
      </c>
      <c r="E616" s="32">
        <v>0</v>
      </c>
      <c r="F616" s="32">
        <v>156533</v>
      </c>
      <c r="G616" s="32">
        <v>56867280</v>
      </c>
      <c r="H616" t="s">
        <v>293</v>
      </c>
    </row>
    <row r="617" spans="1:8" x14ac:dyDescent="0.3">
      <c r="A617" s="28">
        <v>16185</v>
      </c>
      <c r="B617" s="49">
        <v>45358.372916666667</v>
      </c>
      <c r="C617" s="18">
        <v>45358</v>
      </c>
      <c r="D617" t="s">
        <v>104</v>
      </c>
      <c r="E617" s="32">
        <v>0</v>
      </c>
      <c r="F617" s="32">
        <v>153743</v>
      </c>
      <c r="G617" s="32">
        <v>47639313</v>
      </c>
      <c r="H617" t="s">
        <v>293</v>
      </c>
    </row>
    <row r="618" spans="1:8" x14ac:dyDescent="0.3">
      <c r="A618" s="28">
        <v>16206</v>
      </c>
      <c r="B618" s="49">
        <v>45363.37777777778</v>
      </c>
      <c r="C618" s="18">
        <v>45363</v>
      </c>
      <c r="D618" t="s">
        <v>104</v>
      </c>
      <c r="E618" s="32">
        <v>0</v>
      </c>
      <c r="F618" s="32">
        <v>125048</v>
      </c>
      <c r="G618" s="32">
        <v>64371807</v>
      </c>
      <c r="H618" t="s">
        <v>293</v>
      </c>
    </row>
    <row r="619" spans="1:8" x14ac:dyDescent="0.3">
      <c r="A619" s="28">
        <v>16205</v>
      </c>
      <c r="B619" s="49">
        <v>45362.836805555555</v>
      </c>
      <c r="C619" s="18">
        <v>45362</v>
      </c>
      <c r="D619" t="s">
        <v>104</v>
      </c>
      <c r="E619" s="32">
        <v>0</v>
      </c>
      <c r="F619" s="32">
        <v>57500</v>
      </c>
      <c r="G619" s="32">
        <v>64496855</v>
      </c>
      <c r="H619" t="s">
        <v>294</v>
      </c>
    </row>
    <row r="620" spans="1:8" x14ac:dyDescent="0.3">
      <c r="A620" s="28">
        <v>16168</v>
      </c>
      <c r="B620" s="49">
        <v>45356.393750000003</v>
      </c>
      <c r="C620" s="18">
        <v>45356</v>
      </c>
      <c r="D620" t="s">
        <v>104</v>
      </c>
      <c r="E620" s="32">
        <v>0</v>
      </c>
      <c r="F620" s="32">
        <v>8000</v>
      </c>
      <c r="G620" s="32">
        <v>45630264</v>
      </c>
      <c r="H620" t="s">
        <v>313</v>
      </c>
    </row>
    <row r="621" spans="1:8" x14ac:dyDescent="0.3">
      <c r="A621" s="28">
        <v>16218</v>
      </c>
      <c r="B621" s="49">
        <v>45364.711111111108</v>
      </c>
      <c r="C621" s="18">
        <v>45364</v>
      </c>
      <c r="D621" t="s">
        <v>103</v>
      </c>
      <c r="E621" s="32">
        <v>346500</v>
      </c>
      <c r="F621" s="32">
        <v>0</v>
      </c>
      <c r="G621" s="32">
        <v>53406313</v>
      </c>
      <c r="H621" t="s">
        <v>290</v>
      </c>
    </row>
    <row r="622" spans="1:8" x14ac:dyDescent="0.3">
      <c r="A622" s="28">
        <v>16213</v>
      </c>
      <c r="B622" s="49">
        <v>45364.559027777781</v>
      </c>
      <c r="C622" s="18">
        <v>45364</v>
      </c>
      <c r="D622" t="s">
        <v>103</v>
      </c>
      <c r="E622" s="32">
        <v>376200</v>
      </c>
      <c r="F622" s="32">
        <v>0</v>
      </c>
      <c r="G622" s="32">
        <v>64069813</v>
      </c>
      <c r="H622" t="s">
        <v>292</v>
      </c>
    </row>
    <row r="623" spans="1:8" x14ac:dyDescent="0.3">
      <c r="A623" s="28">
        <v>16208</v>
      </c>
      <c r="B623" s="49">
        <v>45363.57708333333</v>
      </c>
      <c r="C623" s="18">
        <v>45363</v>
      </c>
      <c r="D623" t="s">
        <v>103</v>
      </c>
      <c r="E623" s="32">
        <v>255200</v>
      </c>
      <c r="F623" s="32">
        <v>0</v>
      </c>
      <c r="G623" s="32">
        <v>64627007</v>
      </c>
      <c r="H623" t="s">
        <v>94</v>
      </c>
    </row>
    <row r="624" spans="1:8" x14ac:dyDescent="0.3">
      <c r="A624" s="28">
        <v>16200</v>
      </c>
      <c r="B624" s="49">
        <v>45362.737500000003</v>
      </c>
      <c r="C624" s="18">
        <v>45362</v>
      </c>
      <c r="D624" t="s">
        <v>103</v>
      </c>
      <c r="E624" s="32">
        <v>174900</v>
      </c>
      <c r="F624" s="32">
        <v>0</v>
      </c>
      <c r="G624" s="32">
        <v>64554355</v>
      </c>
      <c r="H624" t="s">
        <v>295</v>
      </c>
    </row>
    <row r="625" spans="1:8" x14ac:dyDescent="0.3">
      <c r="A625" s="28">
        <v>16199</v>
      </c>
      <c r="B625" s="49">
        <v>45362.713888888888</v>
      </c>
      <c r="C625" s="18">
        <v>45362</v>
      </c>
      <c r="D625" t="s">
        <v>103</v>
      </c>
      <c r="E625" s="32">
        <v>8184000</v>
      </c>
      <c r="F625" s="32">
        <v>0</v>
      </c>
      <c r="G625" s="32">
        <v>64379455</v>
      </c>
      <c r="H625" t="s">
        <v>296</v>
      </c>
    </row>
    <row r="626" spans="1:8" x14ac:dyDescent="0.3">
      <c r="A626" s="28">
        <v>16192</v>
      </c>
      <c r="B626" s="49">
        <v>45359.611805555556</v>
      </c>
      <c r="C626" s="18">
        <v>45359</v>
      </c>
      <c r="D626" t="s">
        <v>103</v>
      </c>
      <c r="E626" s="32">
        <v>427900</v>
      </c>
      <c r="F626" s="32">
        <v>0</v>
      </c>
      <c r="G626" s="32">
        <v>57418313</v>
      </c>
      <c r="H626" t="s">
        <v>300</v>
      </c>
    </row>
    <row r="627" spans="1:8" x14ac:dyDescent="0.3">
      <c r="A627" s="28">
        <v>16191</v>
      </c>
      <c r="B627" s="49">
        <v>45359.59375</v>
      </c>
      <c r="C627" s="18">
        <v>45359</v>
      </c>
      <c r="D627" t="s">
        <v>103</v>
      </c>
      <c r="E627" s="32">
        <v>733700</v>
      </c>
      <c r="F627" s="32">
        <v>0</v>
      </c>
      <c r="G627" s="32">
        <v>56990413</v>
      </c>
      <c r="H627" t="s">
        <v>301</v>
      </c>
    </row>
    <row r="628" spans="1:8" x14ac:dyDescent="0.3">
      <c r="A628" s="28">
        <v>16190</v>
      </c>
      <c r="B628" s="49">
        <v>45358.65902777778</v>
      </c>
      <c r="C628" s="18">
        <v>45358</v>
      </c>
      <c r="D628" t="s">
        <v>103</v>
      </c>
      <c r="E628" s="32">
        <v>372900</v>
      </c>
      <c r="F628" s="32">
        <v>0</v>
      </c>
      <c r="G628" s="32">
        <v>56256713</v>
      </c>
      <c r="H628" t="s">
        <v>302</v>
      </c>
    </row>
    <row r="629" spans="1:8" x14ac:dyDescent="0.3">
      <c r="A629" s="28">
        <v>16189</v>
      </c>
      <c r="B629" s="49">
        <v>45358.658333333333</v>
      </c>
      <c r="C629" s="18">
        <v>45358</v>
      </c>
      <c r="D629" t="s">
        <v>103</v>
      </c>
      <c r="E629" s="32">
        <v>696300</v>
      </c>
      <c r="F629" s="32">
        <v>0</v>
      </c>
      <c r="G629" s="32">
        <v>55883813</v>
      </c>
      <c r="H629" t="s">
        <v>303</v>
      </c>
    </row>
    <row r="630" spans="1:8" x14ac:dyDescent="0.3">
      <c r="A630" s="28">
        <v>16188</v>
      </c>
      <c r="B630" s="49">
        <v>45358.629166666666</v>
      </c>
      <c r="C630" s="18">
        <v>45358</v>
      </c>
      <c r="D630" t="s">
        <v>103</v>
      </c>
      <c r="E630" s="32">
        <v>1444300</v>
      </c>
      <c r="F630" s="32">
        <v>0</v>
      </c>
      <c r="G630" s="32">
        <v>55187513</v>
      </c>
      <c r="H630" t="s">
        <v>304</v>
      </c>
    </row>
    <row r="631" spans="1:8" x14ac:dyDescent="0.3">
      <c r="A631" s="28">
        <v>16187</v>
      </c>
      <c r="B631" s="49">
        <v>45358.449305555558</v>
      </c>
      <c r="C631" s="18">
        <v>45358</v>
      </c>
      <c r="D631" t="s">
        <v>103</v>
      </c>
      <c r="E631" s="32">
        <v>3047000</v>
      </c>
      <c r="F631" s="32">
        <v>0</v>
      </c>
      <c r="G631" s="32">
        <v>53743213</v>
      </c>
      <c r="H631" t="s">
        <v>305</v>
      </c>
    </row>
    <row r="632" spans="1:8" x14ac:dyDescent="0.3">
      <c r="A632" s="28">
        <v>16186</v>
      </c>
      <c r="B632" s="49">
        <v>45358.425000000003</v>
      </c>
      <c r="C632" s="18">
        <v>45358</v>
      </c>
      <c r="D632" t="s">
        <v>103</v>
      </c>
      <c r="E632" s="32">
        <v>3056900</v>
      </c>
      <c r="F632" s="32">
        <v>0</v>
      </c>
      <c r="G632" s="32">
        <v>50696213</v>
      </c>
      <c r="H632" t="s">
        <v>306</v>
      </c>
    </row>
    <row r="633" spans="1:8" x14ac:dyDescent="0.3">
      <c r="A633" s="28">
        <v>16184</v>
      </c>
      <c r="B633" s="49">
        <v>45357.620138888888</v>
      </c>
      <c r="C633" s="18">
        <v>45357</v>
      </c>
      <c r="D633" t="s">
        <v>103</v>
      </c>
      <c r="E633" s="32">
        <v>674300</v>
      </c>
      <c r="F633" s="32">
        <v>0</v>
      </c>
      <c r="G633" s="32">
        <v>47793056</v>
      </c>
      <c r="H633" t="s">
        <v>307</v>
      </c>
    </row>
    <row r="634" spans="1:8" x14ac:dyDescent="0.3">
      <c r="A634" s="28">
        <v>16183</v>
      </c>
      <c r="B634" s="49">
        <v>45357.595833333333</v>
      </c>
      <c r="C634" s="18">
        <v>45357</v>
      </c>
      <c r="D634" t="s">
        <v>103</v>
      </c>
      <c r="E634" s="32">
        <v>3634400</v>
      </c>
      <c r="F634" s="32">
        <v>0</v>
      </c>
      <c r="G634" s="32">
        <v>47118756</v>
      </c>
      <c r="H634" t="s">
        <v>308</v>
      </c>
    </row>
    <row r="635" spans="1:8" x14ac:dyDescent="0.3">
      <c r="A635" s="28">
        <v>16175</v>
      </c>
      <c r="B635" s="49">
        <v>45356.619444444441</v>
      </c>
      <c r="C635" s="18">
        <v>45356</v>
      </c>
      <c r="D635" t="s">
        <v>103</v>
      </c>
      <c r="E635" s="32">
        <v>825000</v>
      </c>
      <c r="F635" s="32">
        <v>0</v>
      </c>
      <c r="G635" s="32">
        <v>48042564</v>
      </c>
      <c r="H635" t="s">
        <v>302</v>
      </c>
    </row>
    <row r="636" spans="1:8" x14ac:dyDescent="0.3">
      <c r="A636" s="28">
        <v>16174</v>
      </c>
      <c r="B636" s="49">
        <v>45356.588888888888</v>
      </c>
      <c r="C636" s="18">
        <v>45356</v>
      </c>
      <c r="D636" t="s">
        <v>103</v>
      </c>
      <c r="E636" s="32">
        <v>479600</v>
      </c>
      <c r="F636" s="32">
        <v>0</v>
      </c>
      <c r="G636" s="32">
        <v>47217564</v>
      </c>
      <c r="H636" t="s">
        <v>295</v>
      </c>
    </row>
    <row r="637" spans="1:8" x14ac:dyDescent="0.3">
      <c r="A637" s="28">
        <v>16170</v>
      </c>
      <c r="B637" s="49">
        <v>45356.522916666669</v>
      </c>
      <c r="C637" s="18">
        <v>45356</v>
      </c>
      <c r="D637" t="s">
        <v>103</v>
      </c>
      <c r="E637" s="32">
        <v>1107700</v>
      </c>
      <c r="F637" s="32">
        <v>0</v>
      </c>
      <c r="G637" s="32">
        <v>46737964</v>
      </c>
      <c r="H637" t="s">
        <v>312</v>
      </c>
    </row>
    <row r="638" spans="1:8" x14ac:dyDescent="0.3">
      <c r="A638" s="28">
        <v>16167</v>
      </c>
      <c r="B638" s="49">
        <v>45356.392361111109</v>
      </c>
      <c r="C638" s="18">
        <v>45356</v>
      </c>
      <c r="D638" t="s">
        <v>103</v>
      </c>
      <c r="E638" s="32">
        <v>392700</v>
      </c>
      <c r="F638" s="32">
        <v>0</v>
      </c>
      <c r="G638" s="32">
        <v>45638264</v>
      </c>
      <c r="H638" t="s">
        <v>292</v>
      </c>
    </row>
    <row r="639" spans="1:8" x14ac:dyDescent="0.3">
      <c r="A639" s="28">
        <v>16166</v>
      </c>
      <c r="B639" s="49">
        <v>45356.392361111109</v>
      </c>
      <c r="C639" s="18">
        <v>45356</v>
      </c>
      <c r="D639" t="s">
        <v>103</v>
      </c>
      <c r="E639" s="32">
        <v>541200</v>
      </c>
      <c r="F639" s="32">
        <v>0</v>
      </c>
      <c r="G639" s="32">
        <v>45245564</v>
      </c>
      <c r="H639" t="s">
        <v>292</v>
      </c>
    </row>
    <row r="640" spans="1:8" x14ac:dyDescent="0.3">
      <c r="A640" s="28">
        <v>16165</v>
      </c>
      <c r="B640" s="49">
        <v>45356.392361111109</v>
      </c>
      <c r="C640" s="18">
        <v>45356</v>
      </c>
      <c r="D640" t="s">
        <v>103</v>
      </c>
      <c r="E640" s="32">
        <v>1959100</v>
      </c>
      <c r="F640" s="32">
        <v>0</v>
      </c>
      <c r="G640" s="32">
        <v>44704364</v>
      </c>
      <c r="H640" t="s">
        <v>292</v>
      </c>
    </row>
    <row r="641" spans="1:8" hidden="1" x14ac:dyDescent="0.3">
      <c r="A641" s="28">
        <v>16157</v>
      </c>
      <c r="B641" s="49">
        <v>45351.796527777777</v>
      </c>
      <c r="C641" s="18">
        <v>45351</v>
      </c>
      <c r="D641" t="s">
        <v>104</v>
      </c>
      <c r="E641" s="32">
        <v>0</v>
      </c>
      <c r="F641" s="32">
        <v>400510</v>
      </c>
      <c r="G641" s="32">
        <v>136186309</v>
      </c>
      <c r="H641" t="s">
        <v>311</v>
      </c>
    </row>
    <row r="642" spans="1:8" hidden="1" x14ac:dyDescent="0.3">
      <c r="A642" s="28">
        <v>16156</v>
      </c>
      <c r="B642" s="49">
        <v>45351.731944444444</v>
      </c>
      <c r="C642" s="18">
        <v>45351</v>
      </c>
      <c r="D642" t="s">
        <v>103</v>
      </c>
      <c r="E642" s="32">
        <v>490600</v>
      </c>
      <c r="F642" s="32">
        <v>0</v>
      </c>
      <c r="G642" s="32">
        <v>136586819</v>
      </c>
      <c r="H642" t="s">
        <v>317</v>
      </c>
    </row>
    <row r="643" spans="1:8" hidden="1" x14ac:dyDescent="0.3">
      <c r="A643" s="28">
        <v>16155</v>
      </c>
      <c r="B643" s="49">
        <v>45351.702777777777</v>
      </c>
      <c r="C643" s="18">
        <v>45351</v>
      </c>
      <c r="D643" t="s">
        <v>103</v>
      </c>
      <c r="E643" s="32">
        <v>949000</v>
      </c>
      <c r="F643" s="32">
        <v>0</v>
      </c>
      <c r="G643" s="32">
        <v>136096219</v>
      </c>
      <c r="H643" t="s">
        <v>318</v>
      </c>
    </row>
    <row r="644" spans="1:8" hidden="1" x14ac:dyDescent="0.3">
      <c r="A644" s="28">
        <v>16154</v>
      </c>
      <c r="B644" s="49">
        <v>45351.654166666667</v>
      </c>
      <c r="C644" s="18">
        <v>45351</v>
      </c>
      <c r="D644" t="s">
        <v>103</v>
      </c>
      <c r="E644" s="32">
        <v>94900</v>
      </c>
      <c r="F644" s="32">
        <v>0</v>
      </c>
      <c r="G644" s="32">
        <v>135147219</v>
      </c>
      <c r="H644" t="s">
        <v>319</v>
      </c>
    </row>
    <row r="645" spans="1:8" hidden="1" x14ac:dyDescent="0.3">
      <c r="A645" s="28">
        <v>16149</v>
      </c>
      <c r="B645" s="49">
        <v>45351.611111111109</v>
      </c>
      <c r="C645" s="18">
        <v>45351</v>
      </c>
      <c r="D645" t="s">
        <v>103</v>
      </c>
      <c r="E645" s="32">
        <v>198000</v>
      </c>
      <c r="F645" s="32">
        <v>0</v>
      </c>
      <c r="G645" s="32">
        <v>135052319</v>
      </c>
      <c r="H645" t="s">
        <v>320</v>
      </c>
    </row>
    <row r="646" spans="1:8" hidden="1" x14ac:dyDescent="0.3">
      <c r="A646" s="28">
        <v>16148</v>
      </c>
      <c r="B646" s="49">
        <v>45351.593055555553</v>
      </c>
      <c r="C646" s="18">
        <v>45351</v>
      </c>
      <c r="D646" t="s">
        <v>103</v>
      </c>
      <c r="E646" s="32">
        <v>5229400</v>
      </c>
      <c r="F646" s="32">
        <v>0</v>
      </c>
      <c r="G646" s="32">
        <v>134854319</v>
      </c>
      <c r="H646" t="s">
        <v>321</v>
      </c>
    </row>
    <row r="647" spans="1:8" hidden="1" x14ac:dyDescent="0.3">
      <c r="A647" s="28">
        <v>16147</v>
      </c>
      <c r="B647" s="49">
        <v>45351.579861111109</v>
      </c>
      <c r="C647" s="18">
        <v>45351</v>
      </c>
      <c r="D647" t="s">
        <v>103</v>
      </c>
      <c r="E647" s="32">
        <v>1491600</v>
      </c>
      <c r="F647" s="32">
        <v>0</v>
      </c>
      <c r="G647" s="32">
        <v>129624919</v>
      </c>
      <c r="H647" t="s">
        <v>322</v>
      </c>
    </row>
    <row r="648" spans="1:8" hidden="1" x14ac:dyDescent="0.3">
      <c r="A648" s="28">
        <v>16146</v>
      </c>
      <c r="B648" s="49">
        <v>45351.573611111111</v>
      </c>
      <c r="C648" s="18">
        <v>45351</v>
      </c>
      <c r="D648" t="s">
        <v>103</v>
      </c>
      <c r="E648" s="32">
        <v>1457500</v>
      </c>
      <c r="F648" s="32">
        <v>0</v>
      </c>
      <c r="G648" s="32">
        <v>128133319</v>
      </c>
      <c r="H648" t="s">
        <v>323</v>
      </c>
    </row>
    <row r="649" spans="1:8" hidden="1" x14ac:dyDescent="0.3">
      <c r="A649" s="28">
        <v>16145</v>
      </c>
      <c r="B649" s="49">
        <v>45351.555555555555</v>
      </c>
      <c r="C649" s="18">
        <v>45351</v>
      </c>
      <c r="D649" t="s">
        <v>103</v>
      </c>
      <c r="E649" s="32">
        <v>160600</v>
      </c>
      <c r="F649" s="32">
        <v>0</v>
      </c>
      <c r="G649" s="32">
        <v>126675819</v>
      </c>
      <c r="H649" t="s">
        <v>324</v>
      </c>
    </row>
    <row r="650" spans="1:8" hidden="1" x14ac:dyDescent="0.3">
      <c r="A650" s="28">
        <v>16144</v>
      </c>
      <c r="B650" s="49">
        <v>45351.555555555555</v>
      </c>
      <c r="C650" s="18">
        <v>45351</v>
      </c>
      <c r="D650" t="s">
        <v>103</v>
      </c>
      <c r="E650" s="32">
        <v>182600</v>
      </c>
      <c r="F650" s="32">
        <v>0</v>
      </c>
      <c r="G650" s="32">
        <v>126515219</v>
      </c>
      <c r="H650" t="s">
        <v>324</v>
      </c>
    </row>
    <row r="651" spans="1:8" hidden="1" x14ac:dyDescent="0.3">
      <c r="A651" s="28">
        <v>16143</v>
      </c>
      <c r="B651" s="49">
        <v>45351.555555555555</v>
      </c>
      <c r="C651" s="18">
        <v>45351</v>
      </c>
      <c r="D651" t="s">
        <v>103</v>
      </c>
      <c r="E651" s="32">
        <v>232100</v>
      </c>
      <c r="F651" s="32">
        <v>0</v>
      </c>
      <c r="G651" s="32">
        <v>126332619</v>
      </c>
      <c r="H651" t="s">
        <v>324</v>
      </c>
    </row>
    <row r="652" spans="1:8" hidden="1" x14ac:dyDescent="0.3">
      <c r="A652" s="28">
        <v>16140</v>
      </c>
      <c r="B652" s="49">
        <v>45351.47152777778</v>
      </c>
      <c r="C652" s="18">
        <v>45351</v>
      </c>
      <c r="D652" t="s">
        <v>103</v>
      </c>
      <c r="E652" s="32">
        <v>222200</v>
      </c>
      <c r="F652" s="32">
        <v>0</v>
      </c>
      <c r="G652" s="32">
        <v>126100519</v>
      </c>
      <c r="H652" t="s">
        <v>325</v>
      </c>
    </row>
    <row r="653" spans="1:8" hidden="1" x14ac:dyDescent="0.3">
      <c r="A653" s="28">
        <v>16139</v>
      </c>
      <c r="B653" s="49">
        <v>45351.46597222222</v>
      </c>
      <c r="C653" s="18">
        <v>45351</v>
      </c>
      <c r="D653" t="s">
        <v>103</v>
      </c>
      <c r="E653" s="32">
        <v>2071300</v>
      </c>
      <c r="F653" s="32">
        <v>0</v>
      </c>
      <c r="G653" s="32">
        <v>125878319</v>
      </c>
      <c r="H653" t="s">
        <v>326</v>
      </c>
    </row>
    <row r="654" spans="1:8" hidden="1" x14ac:dyDescent="0.3">
      <c r="A654" s="28">
        <v>16138</v>
      </c>
      <c r="B654" s="49">
        <v>45351.46597222222</v>
      </c>
      <c r="C654" s="18">
        <v>45351</v>
      </c>
      <c r="D654" t="s">
        <v>103</v>
      </c>
      <c r="E654" s="32">
        <v>1652200</v>
      </c>
      <c r="F654" s="32">
        <v>0</v>
      </c>
      <c r="G654" s="32">
        <v>123807019</v>
      </c>
      <c r="H654" t="s">
        <v>326</v>
      </c>
    </row>
    <row r="655" spans="1:8" hidden="1" x14ac:dyDescent="0.3">
      <c r="A655" s="28">
        <v>16137</v>
      </c>
      <c r="B655" s="49">
        <v>45351.465277777781</v>
      </c>
      <c r="C655" s="18">
        <v>45351</v>
      </c>
      <c r="D655" t="s">
        <v>103</v>
      </c>
      <c r="E655" s="32">
        <v>328900</v>
      </c>
      <c r="F655" s="32">
        <v>0</v>
      </c>
      <c r="G655" s="32">
        <v>122154819</v>
      </c>
      <c r="H655" t="s">
        <v>326</v>
      </c>
    </row>
    <row r="656" spans="1:8" hidden="1" x14ac:dyDescent="0.3">
      <c r="A656" s="28">
        <v>16136</v>
      </c>
      <c r="B656" s="49">
        <v>45351.464583333334</v>
      </c>
      <c r="C656" s="18">
        <v>45351</v>
      </c>
      <c r="D656" t="s">
        <v>103</v>
      </c>
      <c r="E656" s="32">
        <v>5045700</v>
      </c>
      <c r="F656" s="32">
        <v>0</v>
      </c>
      <c r="G656" s="32">
        <v>121825919</v>
      </c>
      <c r="H656" t="s">
        <v>327</v>
      </c>
    </row>
    <row r="657" spans="1:8" hidden="1" x14ac:dyDescent="0.3">
      <c r="A657" s="28">
        <v>16135</v>
      </c>
      <c r="B657" s="49">
        <v>45351.445833333331</v>
      </c>
      <c r="C657" s="18">
        <v>45351</v>
      </c>
      <c r="D657" t="s">
        <v>103</v>
      </c>
      <c r="E657" s="32">
        <v>367400</v>
      </c>
      <c r="F657" s="32">
        <v>0</v>
      </c>
      <c r="G657" s="32">
        <v>116780219</v>
      </c>
      <c r="H657" t="s">
        <v>328</v>
      </c>
    </row>
    <row r="658" spans="1:8" hidden="1" x14ac:dyDescent="0.3">
      <c r="A658" s="28">
        <v>16134</v>
      </c>
      <c r="B658" s="49">
        <v>45351.379166666666</v>
      </c>
      <c r="C658" s="18">
        <v>45351</v>
      </c>
      <c r="D658" t="s">
        <v>103</v>
      </c>
      <c r="E658" s="32">
        <v>1093400</v>
      </c>
      <c r="F658" s="32">
        <v>0</v>
      </c>
      <c r="G658" s="32">
        <v>116412819</v>
      </c>
      <c r="H658" t="s">
        <v>329</v>
      </c>
    </row>
    <row r="659" spans="1:8" hidden="1" x14ac:dyDescent="0.3">
      <c r="A659" s="28">
        <v>16133</v>
      </c>
      <c r="B659" s="49">
        <v>45351.354861111111</v>
      </c>
      <c r="C659" s="18">
        <v>45351</v>
      </c>
      <c r="D659" t="s">
        <v>104</v>
      </c>
      <c r="E659" s="32">
        <v>0</v>
      </c>
      <c r="F659" s="32">
        <v>23477200</v>
      </c>
      <c r="G659" s="32">
        <v>115319419</v>
      </c>
      <c r="H659" t="s">
        <v>330</v>
      </c>
    </row>
    <row r="660" spans="1:8" hidden="1" x14ac:dyDescent="0.3">
      <c r="A660" s="28">
        <v>16132</v>
      </c>
      <c r="B660" s="49">
        <v>45351.354861111111</v>
      </c>
      <c r="C660" s="18">
        <v>45351</v>
      </c>
      <c r="D660" t="s">
        <v>104</v>
      </c>
      <c r="E660" s="32">
        <v>0</v>
      </c>
      <c r="F660" s="32">
        <v>11483570</v>
      </c>
      <c r="G660" s="32">
        <v>138796619</v>
      </c>
      <c r="H660" t="s">
        <v>330</v>
      </c>
    </row>
    <row r="661" spans="1:8" hidden="1" x14ac:dyDescent="0.3">
      <c r="A661" s="28">
        <v>16131</v>
      </c>
      <c r="B661" s="49">
        <v>45350.708333333336</v>
      </c>
      <c r="C661" s="18">
        <v>45350</v>
      </c>
      <c r="D661" t="s">
        <v>103</v>
      </c>
      <c r="E661" s="32">
        <v>100000000</v>
      </c>
      <c r="F661" s="32">
        <v>0</v>
      </c>
      <c r="G661" s="32">
        <v>150280189</v>
      </c>
      <c r="H661" t="s">
        <v>331</v>
      </c>
    </row>
    <row r="662" spans="1:8" hidden="1" x14ac:dyDescent="0.3">
      <c r="A662" s="28">
        <v>16129</v>
      </c>
      <c r="B662" s="49">
        <v>45350.685416666667</v>
      </c>
      <c r="C662" s="18">
        <v>45350</v>
      </c>
      <c r="D662" t="s">
        <v>103</v>
      </c>
      <c r="E662" s="32">
        <v>662200</v>
      </c>
      <c r="F662" s="32">
        <v>0</v>
      </c>
      <c r="G662" s="32">
        <v>50280189</v>
      </c>
      <c r="H662" t="s">
        <v>332</v>
      </c>
    </row>
    <row r="663" spans="1:8" hidden="1" x14ac:dyDescent="0.3">
      <c r="A663" s="28">
        <v>16127</v>
      </c>
      <c r="B663" s="49">
        <v>45350.616666666669</v>
      </c>
      <c r="C663" s="18">
        <v>45350</v>
      </c>
      <c r="D663" t="s">
        <v>104</v>
      </c>
      <c r="E663" s="32">
        <v>0</v>
      </c>
      <c r="F663" s="32">
        <v>1980000</v>
      </c>
      <c r="G663" s="32">
        <v>49617989</v>
      </c>
      <c r="H663" t="s">
        <v>333</v>
      </c>
    </row>
    <row r="664" spans="1:8" hidden="1" x14ac:dyDescent="0.3">
      <c r="A664" s="28">
        <v>16126</v>
      </c>
      <c r="B664" s="49">
        <v>45350.585416666669</v>
      </c>
      <c r="C664" s="18">
        <v>45350</v>
      </c>
      <c r="D664" t="s">
        <v>104</v>
      </c>
      <c r="E664" s="32">
        <v>0</v>
      </c>
      <c r="F664" s="32">
        <v>48240</v>
      </c>
      <c r="G664" s="32">
        <v>51597989</v>
      </c>
      <c r="H664" t="s">
        <v>334</v>
      </c>
    </row>
    <row r="665" spans="1:8" hidden="1" x14ac:dyDescent="0.3">
      <c r="A665" s="28">
        <v>16125</v>
      </c>
      <c r="B665" s="49">
        <v>45350.577777777777</v>
      </c>
      <c r="C665" s="18">
        <v>45350</v>
      </c>
      <c r="D665" t="s">
        <v>103</v>
      </c>
      <c r="E665" s="32">
        <v>1446500</v>
      </c>
      <c r="F665" s="32">
        <v>0</v>
      </c>
      <c r="G665" s="32">
        <v>51646229</v>
      </c>
      <c r="H665" t="s">
        <v>335</v>
      </c>
    </row>
    <row r="666" spans="1:8" hidden="1" x14ac:dyDescent="0.3">
      <c r="A666" s="28">
        <v>16124</v>
      </c>
      <c r="B666" s="49">
        <v>45350.46875</v>
      </c>
      <c r="C666" s="18">
        <v>45350</v>
      </c>
      <c r="D666" t="s">
        <v>103</v>
      </c>
      <c r="E666" s="32">
        <v>567600</v>
      </c>
      <c r="F666" s="32">
        <v>0</v>
      </c>
      <c r="G666" s="32">
        <v>50199729</v>
      </c>
      <c r="H666" t="s">
        <v>336</v>
      </c>
    </row>
    <row r="667" spans="1:8" hidden="1" x14ac:dyDescent="0.3">
      <c r="A667" s="28">
        <v>16122</v>
      </c>
      <c r="B667" s="49">
        <v>45350.45</v>
      </c>
      <c r="C667" s="18">
        <v>45350</v>
      </c>
      <c r="D667" t="s">
        <v>104</v>
      </c>
      <c r="E667" s="32">
        <v>0</v>
      </c>
      <c r="F667" s="32">
        <v>240000</v>
      </c>
      <c r="G667" s="32">
        <v>49632129</v>
      </c>
      <c r="H667" t="s">
        <v>337</v>
      </c>
    </row>
    <row r="668" spans="1:8" hidden="1" x14ac:dyDescent="0.3">
      <c r="A668" s="28">
        <v>16121</v>
      </c>
      <c r="B668" s="49">
        <v>45350.447222222225</v>
      </c>
      <c r="C668" s="18">
        <v>45350</v>
      </c>
      <c r="D668" t="s">
        <v>103</v>
      </c>
      <c r="E668" s="32">
        <v>446600</v>
      </c>
      <c r="F668" s="32">
        <v>0</v>
      </c>
      <c r="G668" s="32">
        <v>49872129</v>
      </c>
      <c r="H668" t="s">
        <v>338</v>
      </c>
    </row>
    <row r="669" spans="1:8" hidden="1" x14ac:dyDescent="0.3">
      <c r="A669" s="28">
        <v>16120</v>
      </c>
      <c r="B669" s="49">
        <v>45350.40902777778</v>
      </c>
      <c r="C669" s="18">
        <v>45350</v>
      </c>
      <c r="D669" t="s">
        <v>103</v>
      </c>
      <c r="E669" s="32">
        <v>3005200</v>
      </c>
      <c r="F669" s="32">
        <v>0</v>
      </c>
      <c r="G669" s="32">
        <v>49425529</v>
      </c>
      <c r="H669" t="s">
        <v>326</v>
      </c>
    </row>
    <row r="670" spans="1:8" hidden="1" x14ac:dyDescent="0.3">
      <c r="A670" s="28">
        <v>16117</v>
      </c>
      <c r="B670" s="49">
        <v>45349.816666666666</v>
      </c>
      <c r="C670" s="18">
        <v>45349</v>
      </c>
      <c r="D670" t="s">
        <v>103</v>
      </c>
      <c r="E670" s="32">
        <v>315700</v>
      </c>
      <c r="F670" s="32">
        <v>0</v>
      </c>
      <c r="G670" s="32">
        <v>46420329</v>
      </c>
      <c r="H670" t="s">
        <v>339</v>
      </c>
    </row>
    <row r="671" spans="1:8" hidden="1" x14ac:dyDescent="0.3">
      <c r="A671" s="28">
        <v>16116</v>
      </c>
      <c r="B671" s="49">
        <v>45349.697916666664</v>
      </c>
      <c r="C671" s="18">
        <v>45349</v>
      </c>
      <c r="D671" t="s">
        <v>103</v>
      </c>
      <c r="E671" s="32">
        <v>694100</v>
      </c>
      <c r="F671" s="32">
        <v>0</v>
      </c>
      <c r="G671" s="32">
        <v>46104629</v>
      </c>
      <c r="H671" t="s">
        <v>295</v>
      </c>
    </row>
    <row r="672" spans="1:8" hidden="1" x14ac:dyDescent="0.3">
      <c r="A672" s="28">
        <v>16115</v>
      </c>
      <c r="B672" s="49">
        <v>45349.670138888891</v>
      </c>
      <c r="C672" s="18">
        <v>45349</v>
      </c>
      <c r="D672" t="s">
        <v>104</v>
      </c>
      <c r="E672" s="32">
        <v>0</v>
      </c>
      <c r="F672" s="32">
        <v>123820</v>
      </c>
      <c r="G672" s="32">
        <v>45410529</v>
      </c>
      <c r="H672" t="s">
        <v>293</v>
      </c>
    </row>
    <row r="673" spans="1:8" hidden="1" x14ac:dyDescent="0.3">
      <c r="A673" s="28">
        <v>16114</v>
      </c>
      <c r="B673" s="49">
        <v>45349.603472222225</v>
      </c>
      <c r="C673" s="18">
        <v>45349</v>
      </c>
      <c r="D673" t="s">
        <v>103</v>
      </c>
      <c r="E673" s="32">
        <v>6082000</v>
      </c>
      <c r="F673" s="32">
        <v>0</v>
      </c>
      <c r="G673" s="32">
        <v>45534349</v>
      </c>
      <c r="H673" t="s">
        <v>340</v>
      </c>
    </row>
    <row r="674" spans="1:8" hidden="1" x14ac:dyDescent="0.3">
      <c r="A674" s="28">
        <v>16113</v>
      </c>
      <c r="B674" s="49">
        <v>45349.603472222225</v>
      </c>
      <c r="C674" s="18">
        <v>45349</v>
      </c>
      <c r="D674" t="s">
        <v>103</v>
      </c>
      <c r="E674" s="32">
        <v>10000000</v>
      </c>
      <c r="F674" s="32">
        <v>0</v>
      </c>
      <c r="G674" s="32">
        <v>39452349</v>
      </c>
      <c r="H674" t="s">
        <v>340</v>
      </c>
    </row>
    <row r="675" spans="1:8" hidden="1" x14ac:dyDescent="0.3">
      <c r="A675" s="28">
        <v>16112</v>
      </c>
      <c r="B675" s="49">
        <v>45349.468055555553</v>
      </c>
      <c r="C675" s="18">
        <v>45349</v>
      </c>
      <c r="D675" t="s">
        <v>103</v>
      </c>
      <c r="E675" s="32">
        <v>666600</v>
      </c>
      <c r="F675" s="32">
        <v>0</v>
      </c>
      <c r="G675" s="32">
        <v>29452349</v>
      </c>
      <c r="H675" t="s">
        <v>341</v>
      </c>
    </row>
    <row r="676" spans="1:8" hidden="1" x14ac:dyDescent="0.3">
      <c r="A676" s="28">
        <v>16110</v>
      </c>
      <c r="B676" s="49">
        <v>45349.461111111108</v>
      </c>
      <c r="C676" s="18">
        <v>45349</v>
      </c>
      <c r="D676" t="s">
        <v>104</v>
      </c>
      <c r="E676" s="32">
        <v>0</v>
      </c>
      <c r="F676" s="32">
        <v>40000000</v>
      </c>
      <c r="G676" s="32">
        <v>28785749</v>
      </c>
      <c r="H676" t="s">
        <v>342</v>
      </c>
    </row>
    <row r="677" spans="1:8" hidden="1" x14ac:dyDescent="0.3">
      <c r="A677" s="28">
        <v>16108</v>
      </c>
      <c r="B677" s="49">
        <v>45348.838194444441</v>
      </c>
      <c r="C677" s="18">
        <v>45348</v>
      </c>
      <c r="D677" t="s">
        <v>104</v>
      </c>
      <c r="E677" s="32">
        <v>0</v>
      </c>
      <c r="F677" s="32">
        <v>440000</v>
      </c>
      <c r="G677" s="32">
        <v>68785749</v>
      </c>
      <c r="H677" t="s">
        <v>343</v>
      </c>
    </row>
    <row r="678" spans="1:8" hidden="1" x14ac:dyDescent="0.3">
      <c r="A678" s="28">
        <v>16105</v>
      </c>
      <c r="B678" s="49">
        <v>45348.706944444442</v>
      </c>
      <c r="C678" s="18">
        <v>45348</v>
      </c>
      <c r="D678" t="s">
        <v>103</v>
      </c>
      <c r="E678" s="32">
        <v>2697200</v>
      </c>
      <c r="F678" s="32">
        <v>0</v>
      </c>
      <c r="G678" s="32">
        <v>69225749</v>
      </c>
      <c r="H678" t="s">
        <v>344</v>
      </c>
    </row>
    <row r="679" spans="1:8" hidden="1" x14ac:dyDescent="0.3">
      <c r="A679" s="28">
        <v>16104</v>
      </c>
      <c r="B679" s="49">
        <v>45348.696527777778</v>
      </c>
      <c r="C679" s="18">
        <v>45348</v>
      </c>
      <c r="D679" t="s">
        <v>103</v>
      </c>
      <c r="E679" s="32">
        <v>649000</v>
      </c>
      <c r="F679" s="32">
        <v>0</v>
      </c>
      <c r="G679" s="32">
        <v>66528549</v>
      </c>
      <c r="H679" t="s">
        <v>303</v>
      </c>
    </row>
    <row r="680" spans="1:8" hidden="1" x14ac:dyDescent="0.3">
      <c r="A680" s="28">
        <v>16103</v>
      </c>
      <c r="B680" s="49">
        <v>45348.670138888891</v>
      </c>
      <c r="C680" s="18">
        <v>45348</v>
      </c>
      <c r="D680" t="s">
        <v>103</v>
      </c>
      <c r="E680" s="32">
        <v>2090000</v>
      </c>
      <c r="F680" s="32">
        <v>0</v>
      </c>
      <c r="G680" s="32">
        <v>65879549</v>
      </c>
      <c r="H680" t="s">
        <v>345</v>
      </c>
    </row>
    <row r="681" spans="1:8" hidden="1" x14ac:dyDescent="0.3">
      <c r="A681" s="28">
        <v>16102</v>
      </c>
      <c r="B681" s="49">
        <v>45348.668749999997</v>
      </c>
      <c r="C681" s="18">
        <v>45348</v>
      </c>
      <c r="D681" t="s">
        <v>103</v>
      </c>
      <c r="E681" s="32">
        <v>2000000</v>
      </c>
      <c r="F681" s="32">
        <v>0</v>
      </c>
      <c r="G681" s="32">
        <v>63789549</v>
      </c>
      <c r="H681" t="s">
        <v>345</v>
      </c>
    </row>
    <row r="682" spans="1:8" hidden="1" x14ac:dyDescent="0.3">
      <c r="A682" s="28">
        <v>16101</v>
      </c>
      <c r="B682" s="49">
        <v>45348.660416666666</v>
      </c>
      <c r="C682" s="18">
        <v>45348</v>
      </c>
      <c r="D682" t="s">
        <v>103</v>
      </c>
      <c r="E682" s="32">
        <v>28594500</v>
      </c>
      <c r="F682" s="32">
        <v>0</v>
      </c>
      <c r="G682" s="32">
        <v>61789549</v>
      </c>
      <c r="H682" t="s">
        <v>346</v>
      </c>
    </row>
    <row r="683" spans="1:8" hidden="1" x14ac:dyDescent="0.3">
      <c r="A683" s="28">
        <v>16100</v>
      </c>
      <c r="B683" s="49">
        <v>45348.657638888886</v>
      </c>
      <c r="C683" s="18">
        <v>45348</v>
      </c>
      <c r="D683" t="s">
        <v>103</v>
      </c>
      <c r="E683" s="32">
        <v>2068000</v>
      </c>
      <c r="F683" s="32">
        <v>0</v>
      </c>
      <c r="G683" s="32">
        <v>33195049</v>
      </c>
      <c r="H683" t="s">
        <v>347</v>
      </c>
    </row>
    <row r="684" spans="1:8" hidden="1" x14ac:dyDescent="0.3">
      <c r="A684" s="28">
        <v>16099</v>
      </c>
      <c r="B684" s="49">
        <v>45348.620833333334</v>
      </c>
      <c r="C684" s="18">
        <v>45348</v>
      </c>
      <c r="D684" t="s">
        <v>104</v>
      </c>
      <c r="E684" s="32">
        <v>0</v>
      </c>
      <c r="F684" s="32">
        <v>12000</v>
      </c>
      <c r="G684" s="32">
        <v>31127049</v>
      </c>
      <c r="H684" t="s">
        <v>348</v>
      </c>
    </row>
    <row r="685" spans="1:8" hidden="1" x14ac:dyDescent="0.3">
      <c r="A685" s="28">
        <v>16098</v>
      </c>
      <c r="B685" s="49">
        <v>45348.607638888891</v>
      </c>
      <c r="C685" s="18">
        <v>45348</v>
      </c>
      <c r="D685" t="s">
        <v>103</v>
      </c>
      <c r="E685" s="32">
        <v>212300</v>
      </c>
      <c r="F685" s="32">
        <v>0</v>
      </c>
      <c r="G685" s="32">
        <v>31139049</v>
      </c>
      <c r="H685" t="s">
        <v>292</v>
      </c>
    </row>
    <row r="686" spans="1:8" hidden="1" x14ac:dyDescent="0.3">
      <c r="A686" s="28">
        <v>16097</v>
      </c>
      <c r="B686" s="49">
        <v>45348.607638888891</v>
      </c>
      <c r="C686" s="18">
        <v>45348</v>
      </c>
      <c r="D686" t="s">
        <v>103</v>
      </c>
      <c r="E686" s="32">
        <v>1490500</v>
      </c>
      <c r="F686" s="32">
        <v>0</v>
      </c>
      <c r="G686" s="32">
        <v>30926749</v>
      </c>
      <c r="H686" t="s">
        <v>292</v>
      </c>
    </row>
    <row r="687" spans="1:8" hidden="1" x14ac:dyDescent="0.3">
      <c r="A687" s="28">
        <v>16096</v>
      </c>
      <c r="B687" s="49">
        <v>45348.599305555559</v>
      </c>
      <c r="C687" s="18">
        <v>45348</v>
      </c>
      <c r="D687" t="s">
        <v>104</v>
      </c>
      <c r="E687" s="32">
        <v>0</v>
      </c>
      <c r="F687" s="32">
        <v>130000</v>
      </c>
      <c r="G687" s="32">
        <v>29436249</v>
      </c>
      <c r="H687" t="s">
        <v>349</v>
      </c>
    </row>
    <row r="688" spans="1:8" hidden="1" x14ac:dyDescent="0.3">
      <c r="A688" s="28">
        <v>16095</v>
      </c>
      <c r="B688" s="49">
        <v>45348.598611111112</v>
      </c>
      <c r="C688" s="18">
        <v>45348</v>
      </c>
      <c r="D688" t="s">
        <v>104</v>
      </c>
      <c r="E688" s="32">
        <v>0</v>
      </c>
      <c r="F688" s="32">
        <v>6600000</v>
      </c>
      <c r="G688" s="32">
        <v>29566249</v>
      </c>
      <c r="H688" t="s">
        <v>350</v>
      </c>
    </row>
    <row r="689" spans="1:8" hidden="1" x14ac:dyDescent="0.3">
      <c r="A689" s="28">
        <v>16094</v>
      </c>
      <c r="B689" s="49">
        <v>45348.588888888888</v>
      </c>
      <c r="C689" s="18">
        <v>45348</v>
      </c>
      <c r="D689" t="s">
        <v>103</v>
      </c>
      <c r="E689" s="32">
        <v>2059200</v>
      </c>
      <c r="F689" s="32">
        <v>0</v>
      </c>
      <c r="G689" s="32">
        <v>36166249</v>
      </c>
      <c r="H689" t="s">
        <v>351</v>
      </c>
    </row>
    <row r="690" spans="1:8" hidden="1" x14ac:dyDescent="0.3">
      <c r="A690" s="28">
        <v>16093</v>
      </c>
      <c r="B690" s="49">
        <v>45348.584027777775</v>
      </c>
      <c r="C690" s="18">
        <v>45348</v>
      </c>
      <c r="D690" t="s">
        <v>104</v>
      </c>
      <c r="E690" s="32">
        <v>0</v>
      </c>
      <c r="F690" s="32">
        <v>444290</v>
      </c>
      <c r="G690" s="32">
        <v>34107049</v>
      </c>
      <c r="H690" t="s">
        <v>352</v>
      </c>
    </row>
    <row r="691" spans="1:8" hidden="1" x14ac:dyDescent="0.3">
      <c r="A691" s="28">
        <v>16088</v>
      </c>
      <c r="B691" s="49">
        <v>45345.481249999997</v>
      </c>
      <c r="C691" s="18">
        <v>45345</v>
      </c>
      <c r="D691" t="s">
        <v>104</v>
      </c>
      <c r="E691" s="32">
        <v>0</v>
      </c>
      <c r="F691" s="32">
        <v>514483</v>
      </c>
      <c r="G691" s="32">
        <v>34551339</v>
      </c>
      <c r="H691" t="s">
        <v>293</v>
      </c>
    </row>
    <row r="692" spans="1:8" hidden="1" x14ac:dyDescent="0.3">
      <c r="A692" s="28">
        <v>16087</v>
      </c>
      <c r="B692" s="49">
        <v>45345.478472222225</v>
      </c>
      <c r="C692" s="18">
        <v>45345</v>
      </c>
      <c r="D692" t="s">
        <v>104</v>
      </c>
      <c r="E692" s="32">
        <v>0</v>
      </c>
      <c r="F692" s="32">
        <v>103277</v>
      </c>
      <c r="G692" s="32">
        <v>35065822</v>
      </c>
      <c r="H692" t="s">
        <v>293</v>
      </c>
    </row>
    <row r="693" spans="1:8" hidden="1" x14ac:dyDescent="0.3">
      <c r="A693" s="28">
        <v>16086</v>
      </c>
      <c r="B693" s="49">
        <v>45345.423611111109</v>
      </c>
      <c r="C693" s="18">
        <v>45345</v>
      </c>
      <c r="D693" t="s">
        <v>104</v>
      </c>
      <c r="E693" s="32">
        <v>0</v>
      </c>
      <c r="F693" s="32">
        <v>2792869</v>
      </c>
      <c r="G693" s="32">
        <v>35169099</v>
      </c>
      <c r="H693" t="s">
        <v>353</v>
      </c>
    </row>
    <row r="694" spans="1:8" hidden="1" x14ac:dyDescent="0.3">
      <c r="A694" s="28">
        <v>16085</v>
      </c>
      <c r="B694" s="49">
        <v>45345.422222222223</v>
      </c>
      <c r="C694" s="18">
        <v>45345</v>
      </c>
      <c r="D694" t="s">
        <v>104</v>
      </c>
      <c r="E694" s="32">
        <v>0</v>
      </c>
      <c r="F694" s="32">
        <v>450000</v>
      </c>
      <c r="G694" s="32">
        <v>37961968</v>
      </c>
      <c r="H694" t="s">
        <v>354</v>
      </c>
    </row>
    <row r="695" spans="1:8" hidden="1" x14ac:dyDescent="0.3">
      <c r="A695" s="28">
        <v>16084</v>
      </c>
      <c r="B695" s="49">
        <v>45345.42083333333</v>
      </c>
      <c r="C695" s="18">
        <v>45345</v>
      </c>
      <c r="D695" t="s">
        <v>104</v>
      </c>
      <c r="E695" s="32">
        <v>0</v>
      </c>
      <c r="F695" s="32">
        <v>33110</v>
      </c>
      <c r="G695" s="32">
        <v>38411968</v>
      </c>
      <c r="H695" t="s">
        <v>352</v>
      </c>
    </row>
    <row r="696" spans="1:8" hidden="1" x14ac:dyDescent="0.3">
      <c r="A696" s="28">
        <v>16083</v>
      </c>
      <c r="B696" s="49">
        <v>45344.706944444442</v>
      </c>
      <c r="C696" s="18">
        <v>45344</v>
      </c>
      <c r="D696" t="s">
        <v>104</v>
      </c>
      <c r="E696" s="32">
        <v>0</v>
      </c>
      <c r="F696" s="32">
        <v>66220</v>
      </c>
      <c r="G696" s="32">
        <v>38445078</v>
      </c>
      <c r="H696" t="s">
        <v>352</v>
      </c>
    </row>
    <row r="697" spans="1:8" hidden="1" x14ac:dyDescent="0.3">
      <c r="A697" s="28">
        <v>16080</v>
      </c>
      <c r="B697" s="49">
        <v>45344.573611111111</v>
      </c>
      <c r="C697" s="18">
        <v>45344</v>
      </c>
      <c r="D697" t="s">
        <v>103</v>
      </c>
      <c r="E697" s="32">
        <v>150700</v>
      </c>
      <c r="F697" s="32">
        <v>0</v>
      </c>
      <c r="G697" s="32">
        <v>38511298</v>
      </c>
      <c r="H697" t="s">
        <v>355</v>
      </c>
    </row>
    <row r="698" spans="1:8" hidden="1" x14ac:dyDescent="0.3">
      <c r="A698" s="28">
        <v>16079</v>
      </c>
      <c r="B698" s="49">
        <v>45344.506944444445</v>
      </c>
      <c r="C698" s="18">
        <v>45344</v>
      </c>
      <c r="D698" t="s">
        <v>103</v>
      </c>
      <c r="E698" s="32">
        <v>264120</v>
      </c>
      <c r="F698" s="32">
        <v>0</v>
      </c>
      <c r="G698" s="32">
        <v>38360598</v>
      </c>
      <c r="H698" t="s">
        <v>356</v>
      </c>
    </row>
    <row r="699" spans="1:8" hidden="1" x14ac:dyDescent="0.3">
      <c r="A699" s="28">
        <v>16077</v>
      </c>
      <c r="B699" s="49">
        <v>45342.852083333331</v>
      </c>
      <c r="C699" s="18">
        <v>45342</v>
      </c>
      <c r="D699" t="s">
        <v>104</v>
      </c>
      <c r="E699" s="32">
        <v>0</v>
      </c>
      <c r="F699" s="32">
        <v>598530</v>
      </c>
      <c r="G699" s="32">
        <v>38096478</v>
      </c>
      <c r="H699" t="s">
        <v>357</v>
      </c>
    </row>
    <row r="700" spans="1:8" hidden="1" x14ac:dyDescent="0.3">
      <c r="A700" s="28">
        <v>16076</v>
      </c>
      <c r="B700" s="49">
        <v>45342.830555555556</v>
      </c>
      <c r="C700" s="18">
        <v>45342</v>
      </c>
      <c r="D700" t="s">
        <v>104</v>
      </c>
      <c r="E700" s="32">
        <v>0</v>
      </c>
      <c r="F700" s="32">
        <v>287875</v>
      </c>
      <c r="G700" s="32">
        <v>38695008</v>
      </c>
      <c r="H700" t="s">
        <v>358</v>
      </c>
    </row>
    <row r="701" spans="1:8" hidden="1" x14ac:dyDescent="0.3">
      <c r="A701" s="28">
        <v>16075</v>
      </c>
      <c r="B701" s="49">
        <v>45342.820833333331</v>
      </c>
      <c r="C701" s="18">
        <v>45342</v>
      </c>
      <c r="D701" t="s">
        <v>104</v>
      </c>
      <c r="E701" s="32">
        <v>0</v>
      </c>
      <c r="F701" s="32">
        <v>77429</v>
      </c>
      <c r="G701" s="32">
        <v>38982883</v>
      </c>
      <c r="H701" t="s">
        <v>359</v>
      </c>
    </row>
    <row r="702" spans="1:8" hidden="1" x14ac:dyDescent="0.3">
      <c r="A702" s="28">
        <v>16074</v>
      </c>
      <c r="B702" s="49">
        <v>45342.817361111112</v>
      </c>
      <c r="C702" s="18">
        <v>45342</v>
      </c>
      <c r="D702" t="s">
        <v>104</v>
      </c>
      <c r="E702" s="32">
        <v>0</v>
      </c>
      <c r="F702" s="32">
        <v>1000000</v>
      </c>
      <c r="G702" s="32">
        <v>39060312</v>
      </c>
      <c r="H702" t="s">
        <v>360</v>
      </c>
    </row>
    <row r="703" spans="1:8" hidden="1" x14ac:dyDescent="0.3">
      <c r="A703" s="28">
        <v>16073</v>
      </c>
      <c r="B703" s="49">
        <v>45342.693749999999</v>
      </c>
      <c r="C703" s="18">
        <v>45342</v>
      </c>
      <c r="D703" t="s">
        <v>104</v>
      </c>
      <c r="E703" s="32">
        <v>0</v>
      </c>
      <c r="F703" s="32">
        <v>1293400</v>
      </c>
      <c r="G703" s="32">
        <v>40060312</v>
      </c>
      <c r="H703" t="s">
        <v>361</v>
      </c>
    </row>
    <row r="704" spans="1:8" hidden="1" x14ac:dyDescent="0.3">
      <c r="A704" s="28">
        <v>16071</v>
      </c>
      <c r="B704" s="49">
        <v>45342.442361111112</v>
      </c>
      <c r="C704" s="18">
        <v>45342</v>
      </c>
      <c r="D704" t="s">
        <v>104</v>
      </c>
      <c r="E704" s="32">
        <v>0</v>
      </c>
      <c r="F704" s="32">
        <v>99000</v>
      </c>
      <c r="G704" s="32">
        <v>41353712</v>
      </c>
      <c r="H704" t="s">
        <v>362</v>
      </c>
    </row>
    <row r="705" spans="1:8" hidden="1" x14ac:dyDescent="0.3">
      <c r="A705" s="28">
        <v>16070</v>
      </c>
      <c r="B705" s="49">
        <v>45342.429861111108</v>
      </c>
      <c r="C705" s="18">
        <v>45342</v>
      </c>
      <c r="D705" t="s">
        <v>104</v>
      </c>
      <c r="E705" s="32">
        <v>0</v>
      </c>
      <c r="F705" s="32">
        <v>989289</v>
      </c>
      <c r="G705" s="32">
        <v>41452712</v>
      </c>
      <c r="H705" t="s">
        <v>363</v>
      </c>
    </row>
    <row r="706" spans="1:8" hidden="1" x14ac:dyDescent="0.3">
      <c r="A706" s="28">
        <v>16069</v>
      </c>
      <c r="B706" s="49">
        <v>45342.390972222223</v>
      </c>
      <c r="C706" s="18">
        <v>45342</v>
      </c>
      <c r="D706" t="s">
        <v>104</v>
      </c>
      <c r="E706" s="32">
        <v>0</v>
      </c>
      <c r="F706" s="32">
        <v>6614100</v>
      </c>
      <c r="G706" s="32">
        <v>42442001</v>
      </c>
      <c r="H706" t="s">
        <v>361</v>
      </c>
    </row>
    <row r="707" spans="1:8" hidden="1" x14ac:dyDescent="0.3">
      <c r="A707" s="28">
        <v>16068</v>
      </c>
      <c r="B707" s="49">
        <v>45342.388888888891</v>
      </c>
      <c r="C707" s="18">
        <v>45342</v>
      </c>
      <c r="D707" t="s">
        <v>104</v>
      </c>
      <c r="E707" s="32">
        <v>0</v>
      </c>
      <c r="F707" s="32">
        <v>472230</v>
      </c>
      <c r="G707" s="32">
        <v>49056101</v>
      </c>
      <c r="H707" t="s">
        <v>352</v>
      </c>
    </row>
    <row r="708" spans="1:8" hidden="1" x14ac:dyDescent="0.3">
      <c r="A708" s="28">
        <v>16067</v>
      </c>
      <c r="B708" s="49">
        <v>45342.386111111111</v>
      </c>
      <c r="C708" s="18">
        <v>45342</v>
      </c>
      <c r="D708" t="s">
        <v>104</v>
      </c>
      <c r="E708" s="32">
        <v>0</v>
      </c>
      <c r="F708" s="32">
        <v>98029</v>
      </c>
      <c r="G708" s="32">
        <v>49528331</v>
      </c>
      <c r="H708" t="s">
        <v>293</v>
      </c>
    </row>
    <row r="709" spans="1:8" hidden="1" x14ac:dyDescent="0.3">
      <c r="A709" s="28">
        <v>16066</v>
      </c>
      <c r="B709" s="49">
        <v>45341.724305555559</v>
      </c>
      <c r="C709" s="18">
        <v>45341</v>
      </c>
      <c r="D709" t="s">
        <v>103</v>
      </c>
      <c r="E709" s="32">
        <v>840400</v>
      </c>
      <c r="F709" s="32">
        <v>0</v>
      </c>
      <c r="G709" s="32">
        <v>49626360</v>
      </c>
      <c r="H709" t="s">
        <v>295</v>
      </c>
    </row>
    <row r="710" spans="1:8" hidden="1" x14ac:dyDescent="0.3">
      <c r="A710" s="28">
        <v>16065</v>
      </c>
      <c r="B710" s="49">
        <v>45341.572222222225</v>
      </c>
      <c r="C710" s="18">
        <v>45341</v>
      </c>
      <c r="D710" t="s">
        <v>103</v>
      </c>
      <c r="E710" s="32">
        <v>1150600</v>
      </c>
      <c r="F710" s="32">
        <v>0</v>
      </c>
      <c r="G710" s="32">
        <v>48785960</v>
      </c>
      <c r="H710" t="s">
        <v>292</v>
      </c>
    </row>
    <row r="711" spans="1:8" hidden="1" x14ac:dyDescent="0.3">
      <c r="A711" s="28">
        <v>16064</v>
      </c>
      <c r="B711" s="49">
        <v>45341.495138888888</v>
      </c>
      <c r="C711" s="18">
        <v>45341</v>
      </c>
      <c r="D711" t="s">
        <v>103</v>
      </c>
      <c r="E711" s="32">
        <v>379500</v>
      </c>
      <c r="F711" s="32">
        <v>0</v>
      </c>
      <c r="G711" s="32">
        <v>47635360</v>
      </c>
      <c r="H711" t="s">
        <v>364</v>
      </c>
    </row>
    <row r="712" spans="1:8" hidden="1" x14ac:dyDescent="0.3">
      <c r="A712" s="28">
        <v>16063</v>
      </c>
      <c r="B712" s="49">
        <v>45341.435416666667</v>
      </c>
      <c r="C712" s="18">
        <v>45341</v>
      </c>
      <c r="D712" t="s">
        <v>104</v>
      </c>
      <c r="E712" s="32">
        <v>0</v>
      </c>
      <c r="F712" s="32">
        <v>366300</v>
      </c>
      <c r="G712" s="32">
        <v>47255860</v>
      </c>
      <c r="H712" t="s">
        <v>365</v>
      </c>
    </row>
    <row r="713" spans="1:8" hidden="1" x14ac:dyDescent="0.3">
      <c r="A713" s="28">
        <v>16062</v>
      </c>
      <c r="B713" s="49">
        <v>45341.431250000001</v>
      </c>
      <c r="C713" s="18">
        <v>45341</v>
      </c>
      <c r="D713" t="s">
        <v>104</v>
      </c>
      <c r="E713" s="32">
        <v>0</v>
      </c>
      <c r="F713" s="32">
        <v>1678880</v>
      </c>
      <c r="G713" s="32">
        <v>47622160</v>
      </c>
      <c r="H713" t="s">
        <v>366</v>
      </c>
    </row>
    <row r="714" spans="1:8" hidden="1" x14ac:dyDescent="0.3">
      <c r="A714" s="28">
        <v>16061</v>
      </c>
      <c r="B714" s="49">
        <v>45341.428472222222</v>
      </c>
      <c r="C714" s="18">
        <v>45341</v>
      </c>
      <c r="D714" t="s">
        <v>104</v>
      </c>
      <c r="E714" s="32">
        <v>0</v>
      </c>
      <c r="F714" s="32">
        <v>20000</v>
      </c>
      <c r="G714" s="32">
        <v>49301040</v>
      </c>
      <c r="H714" t="s">
        <v>367</v>
      </c>
    </row>
    <row r="715" spans="1:8" hidden="1" x14ac:dyDescent="0.3">
      <c r="A715" s="28">
        <v>16060</v>
      </c>
      <c r="B715" s="49">
        <v>45341.427777777775</v>
      </c>
      <c r="C715" s="18">
        <v>45341</v>
      </c>
      <c r="D715" t="s">
        <v>104</v>
      </c>
      <c r="E715" s="32">
        <v>0</v>
      </c>
      <c r="F715" s="32">
        <v>48840</v>
      </c>
      <c r="G715" s="32">
        <v>49321040</v>
      </c>
      <c r="H715" t="s">
        <v>352</v>
      </c>
    </row>
    <row r="716" spans="1:8" hidden="1" x14ac:dyDescent="0.3">
      <c r="A716" s="28">
        <v>16058</v>
      </c>
      <c r="B716" s="49">
        <v>45338.792361111111</v>
      </c>
      <c r="C716" s="18">
        <v>45338</v>
      </c>
      <c r="D716" t="s">
        <v>104</v>
      </c>
      <c r="E716" s="32">
        <v>0</v>
      </c>
      <c r="F716" s="32">
        <v>410550</v>
      </c>
      <c r="G716" s="32">
        <v>49369880</v>
      </c>
      <c r="H716" t="s">
        <v>368</v>
      </c>
    </row>
    <row r="717" spans="1:8" hidden="1" x14ac:dyDescent="0.3">
      <c r="A717" s="28">
        <v>16057</v>
      </c>
      <c r="B717" s="49">
        <v>45338.792361111111</v>
      </c>
      <c r="C717" s="18">
        <v>45338</v>
      </c>
      <c r="D717" t="s">
        <v>104</v>
      </c>
      <c r="E717" s="32">
        <v>0</v>
      </c>
      <c r="F717" s="32">
        <v>770227</v>
      </c>
      <c r="G717" s="32">
        <v>49780430</v>
      </c>
      <c r="H717" t="s">
        <v>368</v>
      </c>
    </row>
    <row r="718" spans="1:8" hidden="1" x14ac:dyDescent="0.3">
      <c r="A718" s="28">
        <v>16056</v>
      </c>
      <c r="B718" s="49">
        <v>45338.792361111111</v>
      </c>
      <c r="C718" s="18">
        <v>45338</v>
      </c>
      <c r="D718" t="s">
        <v>104</v>
      </c>
      <c r="E718" s="32">
        <v>0</v>
      </c>
      <c r="F718" s="32">
        <v>1000000</v>
      </c>
      <c r="G718" s="32">
        <v>50550657</v>
      </c>
      <c r="H718" t="s">
        <v>368</v>
      </c>
    </row>
    <row r="719" spans="1:8" hidden="1" x14ac:dyDescent="0.3">
      <c r="A719" s="28">
        <v>16055</v>
      </c>
      <c r="B719" s="49">
        <v>45338.792361111111</v>
      </c>
      <c r="C719" s="18">
        <v>45338</v>
      </c>
      <c r="D719" t="s">
        <v>104</v>
      </c>
      <c r="E719" s="32">
        <v>0</v>
      </c>
      <c r="F719" s="32">
        <v>811690</v>
      </c>
      <c r="G719" s="32">
        <v>51550657</v>
      </c>
      <c r="H719" t="s">
        <v>368</v>
      </c>
    </row>
    <row r="720" spans="1:8" hidden="1" x14ac:dyDescent="0.3">
      <c r="A720" s="28">
        <v>16054</v>
      </c>
      <c r="B720" s="49">
        <v>45338.708333333336</v>
      </c>
      <c r="C720" s="18">
        <v>45338</v>
      </c>
      <c r="D720" t="s">
        <v>103</v>
      </c>
      <c r="E720" s="32">
        <v>496100</v>
      </c>
      <c r="F720" s="32">
        <v>0</v>
      </c>
      <c r="G720" s="32">
        <v>52362347</v>
      </c>
      <c r="H720" t="s">
        <v>369</v>
      </c>
    </row>
    <row r="721" spans="1:8" hidden="1" x14ac:dyDescent="0.3">
      <c r="A721" s="28">
        <v>16053</v>
      </c>
      <c r="B721" s="49">
        <v>45338.65</v>
      </c>
      <c r="C721" s="18">
        <v>45338</v>
      </c>
      <c r="D721" t="s">
        <v>104</v>
      </c>
      <c r="E721" s="32">
        <v>0</v>
      </c>
      <c r="F721" s="32">
        <v>452430</v>
      </c>
      <c r="G721" s="32">
        <v>51866247</v>
      </c>
      <c r="H721" t="s">
        <v>365</v>
      </c>
    </row>
    <row r="722" spans="1:8" hidden="1" x14ac:dyDescent="0.3">
      <c r="A722" s="28">
        <v>16051</v>
      </c>
      <c r="B722" s="49">
        <v>45338.568749999999</v>
      </c>
      <c r="C722" s="18">
        <v>45338</v>
      </c>
      <c r="D722" t="s">
        <v>103</v>
      </c>
      <c r="E722" s="32">
        <v>335500</v>
      </c>
      <c r="F722" s="32">
        <v>0</v>
      </c>
      <c r="G722" s="32">
        <v>52318677</v>
      </c>
      <c r="H722" t="s">
        <v>370</v>
      </c>
    </row>
    <row r="723" spans="1:8" hidden="1" x14ac:dyDescent="0.3">
      <c r="A723" s="28">
        <v>16050</v>
      </c>
      <c r="B723" s="49">
        <v>45338.476388888892</v>
      </c>
      <c r="C723" s="18">
        <v>45338</v>
      </c>
      <c r="D723" t="s">
        <v>104</v>
      </c>
      <c r="E723" s="32">
        <v>0</v>
      </c>
      <c r="F723" s="32">
        <v>177412</v>
      </c>
      <c r="G723" s="32">
        <v>51983177</v>
      </c>
      <c r="H723" t="s">
        <v>293</v>
      </c>
    </row>
    <row r="724" spans="1:8" hidden="1" x14ac:dyDescent="0.3">
      <c r="A724" s="28">
        <v>16047</v>
      </c>
      <c r="B724" s="49">
        <v>45338.434027777781</v>
      </c>
      <c r="C724" s="18">
        <v>45338</v>
      </c>
      <c r="D724" t="s">
        <v>103</v>
      </c>
      <c r="E724" s="32">
        <v>727100</v>
      </c>
      <c r="F724" s="32">
        <v>0</v>
      </c>
      <c r="G724" s="32">
        <v>52160589</v>
      </c>
      <c r="H724" t="s">
        <v>371</v>
      </c>
    </row>
    <row r="725" spans="1:8" hidden="1" x14ac:dyDescent="0.3">
      <c r="A725" s="28">
        <v>16046</v>
      </c>
      <c r="B725" s="49">
        <v>45337.835416666669</v>
      </c>
      <c r="C725" s="18">
        <v>45337</v>
      </c>
      <c r="D725" t="s">
        <v>104</v>
      </c>
      <c r="E725" s="32">
        <v>0</v>
      </c>
      <c r="F725" s="32">
        <v>439661</v>
      </c>
      <c r="G725" s="32">
        <v>51433489</v>
      </c>
      <c r="H725" t="s">
        <v>372</v>
      </c>
    </row>
    <row r="726" spans="1:8" hidden="1" x14ac:dyDescent="0.3">
      <c r="A726" s="28">
        <v>16045</v>
      </c>
      <c r="B726" s="49">
        <v>45337.808333333334</v>
      </c>
      <c r="C726" s="18">
        <v>45337</v>
      </c>
      <c r="D726" t="s">
        <v>104</v>
      </c>
      <c r="E726" s="32">
        <v>0</v>
      </c>
      <c r="F726" s="32">
        <v>99000</v>
      </c>
      <c r="G726" s="32">
        <v>51873150</v>
      </c>
      <c r="H726" t="s">
        <v>373</v>
      </c>
    </row>
    <row r="727" spans="1:8" hidden="1" x14ac:dyDescent="0.3">
      <c r="A727" s="28">
        <v>16044</v>
      </c>
      <c r="B727" s="49">
        <v>45337.806250000001</v>
      </c>
      <c r="C727" s="18">
        <v>45337</v>
      </c>
      <c r="D727" t="s">
        <v>104</v>
      </c>
      <c r="E727" s="32">
        <v>0</v>
      </c>
      <c r="F727" s="32">
        <v>5719</v>
      </c>
      <c r="G727" s="32">
        <v>51972150</v>
      </c>
      <c r="H727" t="s">
        <v>374</v>
      </c>
    </row>
    <row r="728" spans="1:8" hidden="1" x14ac:dyDescent="0.3">
      <c r="A728" s="28">
        <v>16043</v>
      </c>
      <c r="B728" s="49">
        <v>45337.806250000001</v>
      </c>
      <c r="C728" s="18">
        <v>45337</v>
      </c>
      <c r="D728" t="s">
        <v>104</v>
      </c>
      <c r="E728" s="32">
        <v>0</v>
      </c>
      <c r="F728" s="32">
        <v>723337</v>
      </c>
      <c r="G728" s="32">
        <v>51977869</v>
      </c>
      <c r="H728" t="s">
        <v>374</v>
      </c>
    </row>
    <row r="729" spans="1:8" hidden="1" x14ac:dyDescent="0.3">
      <c r="A729" s="28">
        <v>16042</v>
      </c>
      <c r="B729" s="49">
        <v>45337.800694444442</v>
      </c>
      <c r="C729" s="18">
        <v>45337</v>
      </c>
      <c r="D729" t="s">
        <v>104</v>
      </c>
      <c r="E729" s="32">
        <v>0</v>
      </c>
      <c r="F729" s="32">
        <v>684420</v>
      </c>
      <c r="G729" s="32">
        <v>52701206</v>
      </c>
      <c r="H729" t="s">
        <v>311</v>
      </c>
    </row>
    <row r="730" spans="1:8" hidden="1" x14ac:dyDescent="0.3">
      <c r="A730" s="28">
        <v>16040</v>
      </c>
      <c r="B730" s="49">
        <v>45337.762499999997</v>
      </c>
      <c r="C730" s="18">
        <v>45337</v>
      </c>
      <c r="D730" t="s">
        <v>104</v>
      </c>
      <c r="E730" s="32">
        <v>0</v>
      </c>
      <c r="F730" s="32">
        <v>15872983</v>
      </c>
      <c r="G730" s="32">
        <v>53385626</v>
      </c>
      <c r="H730" t="s">
        <v>375</v>
      </c>
    </row>
    <row r="731" spans="1:8" hidden="1" x14ac:dyDescent="0.3">
      <c r="A731" s="28">
        <v>16038</v>
      </c>
      <c r="B731" s="49">
        <v>45337.705555555556</v>
      </c>
      <c r="C731" s="18">
        <v>45337</v>
      </c>
      <c r="D731" t="s">
        <v>103</v>
      </c>
      <c r="E731" s="32">
        <v>1178100</v>
      </c>
      <c r="F731" s="32">
        <v>0</v>
      </c>
      <c r="G731" s="32">
        <v>69258609</v>
      </c>
      <c r="H731" t="s">
        <v>376</v>
      </c>
    </row>
    <row r="732" spans="1:8" hidden="1" x14ac:dyDescent="0.3">
      <c r="A732" s="28">
        <v>16032</v>
      </c>
      <c r="B732" s="49">
        <v>45337.629166666666</v>
      </c>
      <c r="C732" s="18">
        <v>45337</v>
      </c>
      <c r="D732" t="s">
        <v>103</v>
      </c>
      <c r="E732" s="32">
        <v>536800</v>
      </c>
      <c r="F732" s="32">
        <v>0</v>
      </c>
      <c r="G732" s="32">
        <v>68080509</v>
      </c>
      <c r="H732" t="s">
        <v>377</v>
      </c>
    </row>
    <row r="733" spans="1:8" hidden="1" x14ac:dyDescent="0.3">
      <c r="A733" s="28">
        <v>16031</v>
      </c>
      <c r="B733" s="49">
        <v>45337.614583333336</v>
      </c>
      <c r="C733" s="18">
        <v>45337</v>
      </c>
      <c r="D733" t="s">
        <v>103</v>
      </c>
      <c r="E733" s="32">
        <v>699600</v>
      </c>
      <c r="F733" s="32">
        <v>0</v>
      </c>
      <c r="G733" s="32">
        <v>67543709</v>
      </c>
      <c r="H733" t="s">
        <v>324</v>
      </c>
    </row>
    <row r="734" spans="1:8" hidden="1" x14ac:dyDescent="0.3">
      <c r="A734" s="28">
        <v>16028</v>
      </c>
      <c r="B734" s="49">
        <v>45337.425000000003</v>
      </c>
      <c r="C734" s="18">
        <v>45337</v>
      </c>
      <c r="D734" t="s">
        <v>103</v>
      </c>
      <c r="E734" s="32">
        <v>13753300</v>
      </c>
      <c r="F734" s="32">
        <v>0</v>
      </c>
      <c r="G734" s="32">
        <v>66844109</v>
      </c>
      <c r="H734" t="s">
        <v>378</v>
      </c>
    </row>
    <row r="735" spans="1:8" hidden="1" x14ac:dyDescent="0.3">
      <c r="A735" s="28">
        <v>16027</v>
      </c>
      <c r="B735" s="49">
        <v>45337.376388888886</v>
      </c>
      <c r="C735" s="18">
        <v>45337</v>
      </c>
      <c r="D735" t="s">
        <v>103</v>
      </c>
      <c r="E735" s="32">
        <v>712800</v>
      </c>
      <c r="F735" s="32">
        <v>0</v>
      </c>
      <c r="G735" s="32">
        <v>53090809</v>
      </c>
      <c r="H735" t="s">
        <v>379</v>
      </c>
    </row>
    <row r="736" spans="1:8" hidden="1" x14ac:dyDescent="0.3">
      <c r="A736" s="28">
        <v>16026</v>
      </c>
      <c r="B736" s="49">
        <v>45337.376388888886</v>
      </c>
      <c r="C736" s="18">
        <v>45337</v>
      </c>
      <c r="D736" t="s">
        <v>103</v>
      </c>
      <c r="E736" s="32">
        <v>412500</v>
      </c>
      <c r="F736" s="32">
        <v>0</v>
      </c>
      <c r="G736" s="32">
        <v>52378009</v>
      </c>
      <c r="H736" t="s">
        <v>379</v>
      </c>
    </row>
    <row r="737" spans="1:8" hidden="1" x14ac:dyDescent="0.3">
      <c r="A737" s="28">
        <v>16025</v>
      </c>
      <c r="B737" s="49">
        <v>45337.376388888886</v>
      </c>
      <c r="C737" s="18">
        <v>45337</v>
      </c>
      <c r="D737" t="s">
        <v>103</v>
      </c>
      <c r="E737" s="32">
        <v>638000</v>
      </c>
      <c r="F737" s="32">
        <v>0</v>
      </c>
      <c r="G737" s="32">
        <v>51965509</v>
      </c>
      <c r="H737" t="s">
        <v>379</v>
      </c>
    </row>
    <row r="738" spans="1:8" hidden="1" x14ac:dyDescent="0.3">
      <c r="A738" s="28">
        <v>16024</v>
      </c>
      <c r="B738" s="49">
        <v>45336.984027777777</v>
      </c>
      <c r="C738" s="18">
        <v>45336</v>
      </c>
      <c r="D738" t="s">
        <v>103</v>
      </c>
      <c r="E738" s="32">
        <v>707300</v>
      </c>
      <c r="F738" s="32">
        <v>0</v>
      </c>
      <c r="G738" s="32">
        <v>51327509</v>
      </c>
      <c r="H738" t="s">
        <v>380</v>
      </c>
    </row>
    <row r="739" spans="1:8" hidden="1" x14ac:dyDescent="0.3">
      <c r="A739" s="28">
        <v>16023</v>
      </c>
      <c r="B739" s="49">
        <v>45336.599305555559</v>
      </c>
      <c r="C739" s="18">
        <v>45336</v>
      </c>
      <c r="D739" t="s">
        <v>103</v>
      </c>
      <c r="E739" s="32">
        <v>180400</v>
      </c>
      <c r="F739" s="32">
        <v>0</v>
      </c>
      <c r="G739" s="32">
        <v>50620209</v>
      </c>
      <c r="H739" t="s">
        <v>381</v>
      </c>
    </row>
    <row r="740" spans="1:8" hidden="1" x14ac:dyDescent="0.3">
      <c r="A740" s="28">
        <v>16022</v>
      </c>
      <c r="B740" s="49">
        <v>45336.599305555559</v>
      </c>
      <c r="C740" s="18">
        <v>45336</v>
      </c>
      <c r="D740" t="s">
        <v>103</v>
      </c>
      <c r="E740" s="32">
        <v>422400</v>
      </c>
      <c r="F740" s="32">
        <v>0</v>
      </c>
      <c r="G740" s="32">
        <v>50439809</v>
      </c>
      <c r="H740" t="s">
        <v>381</v>
      </c>
    </row>
    <row r="741" spans="1:8" hidden="1" x14ac:dyDescent="0.3">
      <c r="A741" s="28">
        <v>16021</v>
      </c>
      <c r="B741" s="49">
        <v>45336.481944444444</v>
      </c>
      <c r="C741" s="18">
        <v>45336</v>
      </c>
      <c r="D741" t="s">
        <v>103</v>
      </c>
      <c r="E741" s="32">
        <v>79200</v>
      </c>
      <c r="F741" s="32">
        <v>0</v>
      </c>
      <c r="G741" s="32">
        <v>50017409</v>
      </c>
      <c r="H741" t="s">
        <v>382</v>
      </c>
    </row>
    <row r="742" spans="1:8" hidden="1" x14ac:dyDescent="0.3">
      <c r="A742" s="28">
        <v>16019</v>
      </c>
      <c r="B742" s="49">
        <v>45336.44027777778</v>
      </c>
      <c r="C742" s="18">
        <v>45336</v>
      </c>
      <c r="D742" t="s">
        <v>103</v>
      </c>
      <c r="E742" s="32">
        <v>2407900</v>
      </c>
      <c r="F742" s="32">
        <v>0</v>
      </c>
      <c r="G742" s="32">
        <v>49938209</v>
      </c>
      <c r="H742" t="s">
        <v>383</v>
      </c>
    </row>
    <row r="743" spans="1:8" hidden="1" x14ac:dyDescent="0.3">
      <c r="A743" s="28">
        <v>16018</v>
      </c>
      <c r="B743" s="49">
        <v>45336.411111111112</v>
      </c>
      <c r="C743" s="18">
        <v>45336</v>
      </c>
      <c r="D743" t="s">
        <v>103</v>
      </c>
      <c r="E743" s="32">
        <v>281600</v>
      </c>
      <c r="F743" s="32">
        <v>0</v>
      </c>
      <c r="G743" s="32">
        <v>47530309</v>
      </c>
      <c r="H743" t="s">
        <v>384</v>
      </c>
    </row>
    <row r="744" spans="1:8" hidden="1" x14ac:dyDescent="0.3">
      <c r="A744" s="28">
        <v>16017</v>
      </c>
      <c r="B744" s="49">
        <v>45335.845833333333</v>
      </c>
      <c r="C744" s="18">
        <v>45335</v>
      </c>
      <c r="D744" t="s">
        <v>104</v>
      </c>
      <c r="E744" s="32">
        <v>0</v>
      </c>
      <c r="F744" s="32">
        <v>57500</v>
      </c>
      <c r="G744" s="32">
        <v>47248709</v>
      </c>
      <c r="H744" t="s">
        <v>294</v>
      </c>
    </row>
    <row r="745" spans="1:8" hidden="1" x14ac:dyDescent="0.3">
      <c r="A745" s="28">
        <v>16012</v>
      </c>
      <c r="B745" s="49">
        <v>45335.759027777778</v>
      </c>
      <c r="C745" s="18">
        <v>45335</v>
      </c>
      <c r="D745" t="s">
        <v>103</v>
      </c>
      <c r="E745" s="32">
        <v>993300</v>
      </c>
      <c r="F745" s="32">
        <v>0</v>
      </c>
      <c r="G745" s="32">
        <v>47306209</v>
      </c>
      <c r="H745" t="s">
        <v>295</v>
      </c>
    </row>
    <row r="746" spans="1:8" hidden="1" x14ac:dyDescent="0.3">
      <c r="A746" s="28">
        <v>16009</v>
      </c>
      <c r="B746" s="49">
        <v>45335.606249999997</v>
      </c>
      <c r="C746" s="18">
        <v>45335</v>
      </c>
      <c r="D746" t="s">
        <v>103</v>
      </c>
      <c r="E746" s="32">
        <v>37300</v>
      </c>
      <c r="F746" s="32">
        <v>0</v>
      </c>
      <c r="G746" s="32">
        <v>46312909</v>
      </c>
      <c r="H746" t="s">
        <v>385</v>
      </c>
    </row>
    <row r="747" spans="1:8" hidden="1" x14ac:dyDescent="0.3">
      <c r="A747" s="28">
        <v>16008</v>
      </c>
      <c r="B747" s="49">
        <v>45335.605555555558</v>
      </c>
      <c r="C747" s="18">
        <v>45335</v>
      </c>
      <c r="D747" t="s">
        <v>103</v>
      </c>
      <c r="E747" s="32">
        <v>373000</v>
      </c>
      <c r="F747" s="32">
        <v>0</v>
      </c>
      <c r="G747" s="32">
        <v>46275609</v>
      </c>
      <c r="H747" t="s">
        <v>386</v>
      </c>
    </row>
    <row r="748" spans="1:8" hidden="1" x14ac:dyDescent="0.3">
      <c r="A748" s="28">
        <v>16007</v>
      </c>
      <c r="B748" s="49">
        <v>45335.604861111111</v>
      </c>
      <c r="C748" s="18">
        <v>45335</v>
      </c>
      <c r="D748" t="s">
        <v>103</v>
      </c>
      <c r="E748" s="32">
        <v>110600</v>
      </c>
      <c r="F748" s="32">
        <v>0</v>
      </c>
      <c r="G748" s="32">
        <v>45902609</v>
      </c>
      <c r="H748" t="s">
        <v>385</v>
      </c>
    </row>
    <row r="749" spans="1:8" hidden="1" x14ac:dyDescent="0.3">
      <c r="A749" s="28">
        <v>16006</v>
      </c>
      <c r="B749" s="49">
        <v>45335.604166666664</v>
      </c>
      <c r="C749" s="18">
        <v>45335</v>
      </c>
      <c r="D749" t="s">
        <v>103</v>
      </c>
      <c r="E749" s="32">
        <v>1106000</v>
      </c>
      <c r="F749" s="32">
        <v>0</v>
      </c>
      <c r="G749" s="32">
        <v>45792009</v>
      </c>
      <c r="H749" t="s">
        <v>386</v>
      </c>
    </row>
    <row r="750" spans="1:8" hidden="1" x14ac:dyDescent="0.3">
      <c r="A750" s="28">
        <v>15998</v>
      </c>
      <c r="B750" s="49">
        <v>45335.522916666669</v>
      </c>
      <c r="C750" s="18">
        <v>45335</v>
      </c>
      <c r="D750" t="s">
        <v>103</v>
      </c>
      <c r="E750" s="32">
        <v>319000</v>
      </c>
      <c r="F750" s="32">
        <v>0</v>
      </c>
      <c r="G750" s="32">
        <v>44686009</v>
      </c>
      <c r="H750" t="s">
        <v>312</v>
      </c>
    </row>
    <row r="751" spans="1:8" hidden="1" x14ac:dyDescent="0.3">
      <c r="A751" s="28">
        <v>15997</v>
      </c>
      <c r="B751" s="49">
        <v>45335.436805555553</v>
      </c>
      <c r="C751" s="18">
        <v>45335</v>
      </c>
      <c r="D751" t="s">
        <v>104</v>
      </c>
      <c r="E751" s="32">
        <v>0</v>
      </c>
      <c r="F751" s="32">
        <v>506502</v>
      </c>
      <c r="G751" s="32">
        <v>44367009</v>
      </c>
      <c r="H751" t="s">
        <v>298</v>
      </c>
    </row>
    <row r="752" spans="1:8" hidden="1" x14ac:dyDescent="0.3">
      <c r="A752" s="28">
        <v>15995</v>
      </c>
      <c r="B752" s="49">
        <v>45330.589583333334</v>
      </c>
      <c r="C752" s="18">
        <v>45330</v>
      </c>
      <c r="D752" t="s">
        <v>103</v>
      </c>
      <c r="E752" s="32">
        <v>466400</v>
      </c>
      <c r="F752" s="32">
        <v>0</v>
      </c>
      <c r="G752" s="32">
        <v>44873511</v>
      </c>
      <c r="H752" t="s">
        <v>387</v>
      </c>
    </row>
    <row r="753" spans="1:8" hidden="1" x14ac:dyDescent="0.3">
      <c r="A753" s="28">
        <v>15994</v>
      </c>
      <c r="B753" s="49">
        <v>45330.5625</v>
      </c>
      <c r="C753" s="18">
        <v>45330</v>
      </c>
      <c r="D753" t="s">
        <v>103</v>
      </c>
      <c r="E753" s="32">
        <v>311300</v>
      </c>
      <c r="F753" s="32">
        <v>0</v>
      </c>
      <c r="G753" s="32">
        <v>44407111</v>
      </c>
      <c r="H753" t="s">
        <v>388</v>
      </c>
    </row>
    <row r="754" spans="1:8" hidden="1" x14ac:dyDescent="0.3">
      <c r="A754" s="28">
        <v>15993</v>
      </c>
      <c r="B754" s="49">
        <v>45330.538194444445</v>
      </c>
      <c r="C754" s="18">
        <v>45330</v>
      </c>
      <c r="D754" t="s">
        <v>103</v>
      </c>
      <c r="E754" s="32">
        <v>277200</v>
      </c>
      <c r="F754" s="32">
        <v>0</v>
      </c>
      <c r="G754" s="32">
        <v>44095811</v>
      </c>
      <c r="H754" t="s">
        <v>389</v>
      </c>
    </row>
    <row r="755" spans="1:8" hidden="1" x14ac:dyDescent="0.3">
      <c r="A755" s="28">
        <v>15990</v>
      </c>
      <c r="B755" s="49">
        <v>45330.445138888892</v>
      </c>
      <c r="C755" s="18">
        <v>45330</v>
      </c>
      <c r="D755" t="s">
        <v>103</v>
      </c>
      <c r="E755" s="32">
        <v>5165600</v>
      </c>
      <c r="F755" s="32">
        <v>0</v>
      </c>
      <c r="G755" s="32">
        <v>43818611</v>
      </c>
      <c r="H755" t="s">
        <v>306</v>
      </c>
    </row>
    <row r="756" spans="1:8" hidden="1" x14ac:dyDescent="0.3">
      <c r="A756" s="28">
        <v>15989</v>
      </c>
      <c r="B756" s="49">
        <v>45330.37777777778</v>
      </c>
      <c r="C756" s="18">
        <v>45330</v>
      </c>
      <c r="D756" t="s">
        <v>104</v>
      </c>
      <c r="E756" s="32">
        <v>0</v>
      </c>
      <c r="F756" s="32">
        <v>8000</v>
      </c>
      <c r="G756" s="32">
        <v>38653011</v>
      </c>
      <c r="H756" t="s">
        <v>313</v>
      </c>
    </row>
    <row r="757" spans="1:8" hidden="1" x14ac:dyDescent="0.3">
      <c r="A757" s="28">
        <v>15988</v>
      </c>
      <c r="B757" s="49">
        <v>45329.71875</v>
      </c>
      <c r="C757" s="18">
        <v>45329</v>
      </c>
      <c r="D757" t="s">
        <v>103</v>
      </c>
      <c r="E757" s="32">
        <v>30000000</v>
      </c>
      <c r="F757" s="32">
        <v>0</v>
      </c>
      <c r="G757" s="32">
        <v>38661011</v>
      </c>
      <c r="H757" t="s">
        <v>331</v>
      </c>
    </row>
    <row r="758" spans="1:8" hidden="1" x14ac:dyDescent="0.3">
      <c r="A758" s="28">
        <v>15986</v>
      </c>
      <c r="B758" s="49">
        <v>45329.695138888892</v>
      </c>
      <c r="C758" s="18">
        <v>45329</v>
      </c>
      <c r="D758" t="s">
        <v>103</v>
      </c>
      <c r="E758" s="32">
        <v>2480500</v>
      </c>
      <c r="F758" s="32">
        <v>0</v>
      </c>
      <c r="G758" s="32">
        <v>8661011</v>
      </c>
      <c r="H758" t="s">
        <v>295</v>
      </c>
    </row>
    <row r="759" spans="1:8" hidden="1" x14ac:dyDescent="0.3">
      <c r="A759" s="28">
        <v>15985</v>
      </c>
      <c r="B759" s="49">
        <v>45329.695138888892</v>
      </c>
      <c r="C759" s="18">
        <v>45329</v>
      </c>
      <c r="D759" t="s">
        <v>103</v>
      </c>
      <c r="E759" s="32">
        <v>872300</v>
      </c>
      <c r="F759" s="32">
        <v>0</v>
      </c>
      <c r="G759" s="32">
        <v>6180511</v>
      </c>
      <c r="H759" t="s">
        <v>295</v>
      </c>
    </row>
    <row r="760" spans="1:8" hidden="1" x14ac:dyDescent="0.3">
      <c r="A760" s="28">
        <v>15983</v>
      </c>
      <c r="B760" s="49">
        <v>45329.627083333333</v>
      </c>
      <c r="C760" s="18">
        <v>45329</v>
      </c>
      <c r="D760" t="s">
        <v>103</v>
      </c>
      <c r="E760" s="32">
        <v>280500</v>
      </c>
      <c r="F760" s="32">
        <v>0</v>
      </c>
      <c r="G760" s="32">
        <v>5308211</v>
      </c>
      <c r="H760" t="s">
        <v>390</v>
      </c>
    </row>
    <row r="761" spans="1:8" hidden="1" x14ac:dyDescent="0.3">
      <c r="A761" s="28">
        <v>15982</v>
      </c>
      <c r="B761" s="49">
        <v>45329.48333333333</v>
      </c>
      <c r="C761" s="18">
        <v>45329</v>
      </c>
      <c r="D761" t="s">
        <v>104</v>
      </c>
      <c r="E761" s="32">
        <v>0</v>
      </c>
      <c r="F761" s="32">
        <v>81951</v>
      </c>
      <c r="G761" s="32">
        <v>5027711</v>
      </c>
      <c r="H761" t="s">
        <v>293</v>
      </c>
    </row>
    <row r="762" spans="1:8" hidden="1" x14ac:dyDescent="0.3">
      <c r="A762" s="28">
        <v>15980</v>
      </c>
      <c r="B762" s="49">
        <v>45329.469444444447</v>
      </c>
      <c r="C762" s="18">
        <v>45329</v>
      </c>
      <c r="D762" t="s">
        <v>104</v>
      </c>
      <c r="E762" s="32">
        <v>0</v>
      </c>
      <c r="F762" s="32">
        <v>869910</v>
      </c>
      <c r="G762" s="32">
        <v>5109662</v>
      </c>
      <c r="H762" t="s">
        <v>391</v>
      </c>
    </row>
    <row r="763" spans="1:8" hidden="1" x14ac:dyDescent="0.3">
      <c r="A763" s="28">
        <v>15979</v>
      </c>
      <c r="B763" s="49">
        <v>45329.46875</v>
      </c>
      <c r="C763" s="18">
        <v>45329</v>
      </c>
      <c r="D763" t="s">
        <v>104</v>
      </c>
      <c r="E763" s="32">
        <v>0</v>
      </c>
      <c r="F763" s="32">
        <v>8647890</v>
      </c>
      <c r="G763" s="32">
        <v>5979572</v>
      </c>
      <c r="H763" t="s">
        <v>392</v>
      </c>
    </row>
    <row r="764" spans="1:8" hidden="1" x14ac:dyDescent="0.3">
      <c r="A764" s="28">
        <v>15978</v>
      </c>
      <c r="B764" s="49">
        <v>45329.467361111114</v>
      </c>
      <c r="C764" s="18">
        <v>45329</v>
      </c>
      <c r="D764" t="s">
        <v>104</v>
      </c>
      <c r="E764" s="32">
        <v>0</v>
      </c>
      <c r="F764" s="32">
        <v>52500</v>
      </c>
      <c r="G764" s="32">
        <v>14627462</v>
      </c>
      <c r="H764" t="s">
        <v>393</v>
      </c>
    </row>
    <row r="765" spans="1:8" hidden="1" x14ac:dyDescent="0.3">
      <c r="A765" s="28">
        <v>15977</v>
      </c>
      <c r="B765" s="49">
        <v>45329.438888888886</v>
      </c>
      <c r="C765" s="18">
        <v>45329</v>
      </c>
      <c r="D765" t="s">
        <v>104</v>
      </c>
      <c r="E765" s="32">
        <v>0</v>
      </c>
      <c r="F765" s="32">
        <v>1644720</v>
      </c>
      <c r="G765" s="32">
        <v>14679962</v>
      </c>
      <c r="H765" t="s">
        <v>352</v>
      </c>
    </row>
    <row r="766" spans="1:8" hidden="1" x14ac:dyDescent="0.3">
      <c r="A766" s="28">
        <v>15976</v>
      </c>
      <c r="B766" s="49">
        <v>45329.384027777778</v>
      </c>
      <c r="C766" s="18">
        <v>45329</v>
      </c>
      <c r="D766" t="s">
        <v>104</v>
      </c>
      <c r="E766" s="32">
        <v>0</v>
      </c>
      <c r="F766" s="32">
        <v>39946500</v>
      </c>
      <c r="G766" s="32">
        <v>16324682</v>
      </c>
      <c r="H766" t="s">
        <v>314</v>
      </c>
    </row>
    <row r="767" spans="1:8" hidden="1" x14ac:dyDescent="0.3">
      <c r="A767" s="28">
        <v>15975</v>
      </c>
      <c r="B767" s="49">
        <v>45328.703472222223</v>
      </c>
      <c r="C767" s="18">
        <v>45328</v>
      </c>
      <c r="D767" t="s">
        <v>103</v>
      </c>
      <c r="E767" s="32">
        <v>1439900</v>
      </c>
      <c r="F767" s="32">
        <v>0</v>
      </c>
      <c r="G767" s="32">
        <v>56271182</v>
      </c>
      <c r="H767" t="s">
        <v>394</v>
      </c>
    </row>
    <row r="768" spans="1:8" hidden="1" x14ac:dyDescent="0.3">
      <c r="A768" s="28">
        <v>15974</v>
      </c>
      <c r="B768" s="49">
        <v>45328.702777777777</v>
      </c>
      <c r="C768" s="18">
        <v>45328</v>
      </c>
      <c r="D768" t="s">
        <v>103</v>
      </c>
      <c r="E768" s="32">
        <v>133981</v>
      </c>
      <c r="F768" s="32">
        <v>0</v>
      </c>
      <c r="G768" s="32">
        <v>54831282</v>
      </c>
      <c r="H768" t="s">
        <v>395</v>
      </c>
    </row>
    <row r="769" spans="1:8" hidden="1" x14ac:dyDescent="0.3">
      <c r="A769" s="28">
        <v>15973</v>
      </c>
      <c r="B769" s="49">
        <v>45328.669444444444</v>
      </c>
      <c r="C769" s="18">
        <v>45328</v>
      </c>
      <c r="D769" t="s">
        <v>103</v>
      </c>
      <c r="E769" s="32">
        <v>749100</v>
      </c>
      <c r="F769" s="32">
        <v>0</v>
      </c>
      <c r="G769" s="32">
        <v>54697301</v>
      </c>
      <c r="H769" t="s">
        <v>303</v>
      </c>
    </row>
    <row r="770" spans="1:8" hidden="1" x14ac:dyDescent="0.3">
      <c r="A770" s="28">
        <v>15972</v>
      </c>
      <c r="B770" s="49">
        <v>45328.631944444445</v>
      </c>
      <c r="C770" s="18">
        <v>45328</v>
      </c>
      <c r="D770" t="s">
        <v>103</v>
      </c>
      <c r="E770" s="32">
        <v>497200</v>
      </c>
      <c r="F770" s="32">
        <v>0</v>
      </c>
      <c r="G770" s="32">
        <v>53948201</v>
      </c>
      <c r="H770" t="s">
        <v>302</v>
      </c>
    </row>
    <row r="771" spans="1:8" hidden="1" x14ac:dyDescent="0.3">
      <c r="A771" s="28">
        <v>15971</v>
      </c>
      <c r="B771" s="49">
        <v>45328.594444444447</v>
      </c>
      <c r="C771" s="18">
        <v>45328</v>
      </c>
      <c r="D771" t="s">
        <v>104</v>
      </c>
      <c r="E771" s="32">
        <v>0</v>
      </c>
      <c r="F771" s="32">
        <v>2937000</v>
      </c>
      <c r="G771" s="32">
        <v>53451001</v>
      </c>
      <c r="H771" t="s">
        <v>396</v>
      </c>
    </row>
    <row r="772" spans="1:8" hidden="1" x14ac:dyDescent="0.3">
      <c r="A772" s="28">
        <v>15970</v>
      </c>
      <c r="B772" s="49">
        <v>45328.586111111108</v>
      </c>
      <c r="C772" s="18">
        <v>45328</v>
      </c>
      <c r="D772" t="s">
        <v>104</v>
      </c>
      <c r="E772" s="32">
        <v>0</v>
      </c>
      <c r="F772" s="32">
        <v>99000</v>
      </c>
      <c r="G772" s="32">
        <v>56388001</v>
      </c>
      <c r="H772" t="s">
        <v>397</v>
      </c>
    </row>
    <row r="773" spans="1:8" hidden="1" x14ac:dyDescent="0.3">
      <c r="A773" s="28">
        <v>15969</v>
      </c>
      <c r="B773" s="49">
        <v>45328.569444444445</v>
      </c>
      <c r="C773" s="18">
        <v>45328</v>
      </c>
      <c r="D773" t="s">
        <v>103</v>
      </c>
      <c r="E773" s="32">
        <v>442200</v>
      </c>
      <c r="F773" s="32">
        <v>0</v>
      </c>
      <c r="G773" s="32">
        <v>56487001</v>
      </c>
      <c r="H773" t="s">
        <v>398</v>
      </c>
    </row>
    <row r="774" spans="1:8" hidden="1" x14ac:dyDescent="0.3">
      <c r="A774" s="28">
        <v>15968</v>
      </c>
      <c r="B774" s="49">
        <v>45328.481944444444</v>
      </c>
      <c r="C774" s="18">
        <v>45328</v>
      </c>
      <c r="D774" t="s">
        <v>104</v>
      </c>
      <c r="E774" s="32">
        <v>0</v>
      </c>
      <c r="F774" s="32">
        <v>106180</v>
      </c>
      <c r="G774" s="32">
        <v>56044801</v>
      </c>
      <c r="H774" t="s">
        <v>293</v>
      </c>
    </row>
    <row r="775" spans="1:8" hidden="1" x14ac:dyDescent="0.3">
      <c r="A775" s="28">
        <v>15966</v>
      </c>
      <c r="B775" s="49">
        <v>45328.470833333333</v>
      </c>
      <c r="C775" s="18">
        <v>45328</v>
      </c>
      <c r="D775" t="s">
        <v>103</v>
      </c>
      <c r="E775" s="32">
        <v>434500</v>
      </c>
      <c r="F775" s="32">
        <v>0</v>
      </c>
      <c r="G775" s="32">
        <v>56150981</v>
      </c>
      <c r="H775" t="s">
        <v>399</v>
      </c>
    </row>
    <row r="776" spans="1:8" hidden="1" x14ac:dyDescent="0.3">
      <c r="A776" s="28">
        <v>15965</v>
      </c>
      <c r="B776" s="49">
        <v>45328.438194444447</v>
      </c>
      <c r="C776" s="18">
        <v>45328</v>
      </c>
      <c r="D776" t="s">
        <v>103</v>
      </c>
      <c r="E776" s="32">
        <v>638000</v>
      </c>
      <c r="F776" s="32">
        <v>0</v>
      </c>
      <c r="G776" s="32">
        <v>55716481</v>
      </c>
      <c r="H776" t="s">
        <v>364</v>
      </c>
    </row>
    <row r="777" spans="1:8" hidden="1" x14ac:dyDescent="0.3">
      <c r="A777" s="28">
        <v>15963</v>
      </c>
      <c r="B777" s="49">
        <v>45327.835416666669</v>
      </c>
      <c r="C777" s="18">
        <v>45327</v>
      </c>
      <c r="D777" t="s">
        <v>104</v>
      </c>
      <c r="E777" s="32">
        <v>0</v>
      </c>
      <c r="F777" s="32">
        <v>626472</v>
      </c>
      <c r="G777" s="32">
        <v>55078481</v>
      </c>
      <c r="H777" t="s">
        <v>400</v>
      </c>
    </row>
    <row r="778" spans="1:8" hidden="1" x14ac:dyDescent="0.3">
      <c r="A778" s="28">
        <v>15962</v>
      </c>
      <c r="B778" s="49">
        <v>45327.813194444447</v>
      </c>
      <c r="C778" s="18">
        <v>45327</v>
      </c>
      <c r="D778" t="s">
        <v>104</v>
      </c>
      <c r="E778" s="32">
        <v>0</v>
      </c>
      <c r="F778" s="32">
        <v>711920</v>
      </c>
      <c r="G778" s="32">
        <v>55704953</v>
      </c>
      <c r="H778" t="s">
        <v>311</v>
      </c>
    </row>
    <row r="779" spans="1:8" hidden="1" x14ac:dyDescent="0.3">
      <c r="A779" s="28">
        <v>15960</v>
      </c>
      <c r="B779" s="49">
        <v>45327.664583333331</v>
      </c>
      <c r="C779" s="18">
        <v>45327</v>
      </c>
      <c r="D779" t="s">
        <v>103</v>
      </c>
      <c r="E779" s="32">
        <v>1178100</v>
      </c>
      <c r="F779" s="32">
        <v>0</v>
      </c>
      <c r="G779" s="32">
        <v>56416873</v>
      </c>
      <c r="H779" t="s">
        <v>401</v>
      </c>
    </row>
    <row r="780" spans="1:8" hidden="1" x14ac:dyDescent="0.3">
      <c r="A780" s="28">
        <v>15956</v>
      </c>
      <c r="B780" s="49">
        <v>45327.435416666667</v>
      </c>
      <c r="C780" s="18">
        <v>45327</v>
      </c>
      <c r="D780" t="s">
        <v>104</v>
      </c>
      <c r="E780" s="32">
        <v>0</v>
      </c>
      <c r="F780" s="32">
        <v>938200</v>
      </c>
      <c r="G780" s="32">
        <v>55238773</v>
      </c>
      <c r="H780" t="s">
        <v>402</v>
      </c>
    </row>
    <row r="781" spans="1:8" hidden="1" x14ac:dyDescent="0.3">
      <c r="A781" s="28">
        <v>15955</v>
      </c>
      <c r="B781" s="49">
        <v>45324.681944444441</v>
      </c>
      <c r="C781" s="18">
        <v>45324</v>
      </c>
      <c r="D781" t="s">
        <v>103</v>
      </c>
      <c r="E781" s="32">
        <v>182600</v>
      </c>
      <c r="F781" s="32">
        <v>0</v>
      </c>
      <c r="G781" s="32">
        <v>56176973</v>
      </c>
      <c r="H781" t="s">
        <v>403</v>
      </c>
    </row>
    <row r="782" spans="1:8" hidden="1" x14ac:dyDescent="0.3">
      <c r="A782" s="28">
        <v>15954</v>
      </c>
      <c r="B782" s="49">
        <v>45324.680555555555</v>
      </c>
      <c r="C782" s="18">
        <v>45324</v>
      </c>
      <c r="D782" t="s">
        <v>103</v>
      </c>
      <c r="E782" s="32">
        <v>536800</v>
      </c>
      <c r="F782" s="32">
        <v>0</v>
      </c>
      <c r="G782" s="32">
        <v>55994373</v>
      </c>
      <c r="H782" t="s">
        <v>404</v>
      </c>
    </row>
    <row r="783" spans="1:8" hidden="1" x14ac:dyDescent="0.3">
      <c r="A783" s="28">
        <v>15950</v>
      </c>
      <c r="B783" s="49">
        <v>45324.60833333333</v>
      </c>
      <c r="C783" s="18">
        <v>45324</v>
      </c>
      <c r="D783" t="s">
        <v>104</v>
      </c>
      <c r="E783" s="32">
        <v>0</v>
      </c>
      <c r="F783" s="32">
        <v>26466000</v>
      </c>
      <c r="G783" s="32">
        <v>55457573</v>
      </c>
      <c r="H783" t="s">
        <v>405</v>
      </c>
    </row>
    <row r="784" spans="1:8" hidden="1" x14ac:dyDescent="0.3">
      <c r="A784" s="28">
        <v>15949</v>
      </c>
      <c r="B784" s="49">
        <v>45324.50277777778</v>
      </c>
      <c r="C784" s="18">
        <v>45324</v>
      </c>
      <c r="D784" t="s">
        <v>103</v>
      </c>
      <c r="E784" s="32">
        <v>1379400</v>
      </c>
      <c r="F784" s="32">
        <v>0</v>
      </c>
      <c r="G784" s="32">
        <v>81923573</v>
      </c>
      <c r="H784" t="s">
        <v>406</v>
      </c>
    </row>
    <row r="785" spans="1:8" hidden="1" x14ac:dyDescent="0.3">
      <c r="A785" s="28">
        <v>15948</v>
      </c>
      <c r="B785" s="49">
        <v>45324.501388888886</v>
      </c>
      <c r="C785" s="18">
        <v>45324</v>
      </c>
      <c r="D785" t="s">
        <v>103</v>
      </c>
      <c r="E785" s="32">
        <v>1212000</v>
      </c>
      <c r="F785" s="32">
        <v>0</v>
      </c>
      <c r="G785" s="32">
        <v>80544173</v>
      </c>
      <c r="H785" t="s">
        <v>407</v>
      </c>
    </row>
    <row r="786" spans="1:8" hidden="1" x14ac:dyDescent="0.3">
      <c r="A786" s="28">
        <v>15947</v>
      </c>
      <c r="B786" s="49">
        <v>45324.500694444447</v>
      </c>
      <c r="C786" s="18">
        <v>45324</v>
      </c>
      <c r="D786" t="s">
        <v>103</v>
      </c>
      <c r="E786" s="32">
        <v>121200</v>
      </c>
      <c r="F786" s="32">
        <v>0</v>
      </c>
      <c r="G786" s="32">
        <v>79332173</v>
      </c>
      <c r="H786" t="s">
        <v>408</v>
      </c>
    </row>
    <row r="787" spans="1:8" hidden="1" x14ac:dyDescent="0.3">
      <c r="A787" s="28">
        <v>15946</v>
      </c>
      <c r="B787" s="49">
        <v>45324.493055555555</v>
      </c>
      <c r="C787" s="18">
        <v>45324</v>
      </c>
      <c r="D787" t="s">
        <v>104</v>
      </c>
      <c r="E787" s="32">
        <v>0</v>
      </c>
      <c r="F787" s="32">
        <v>437360</v>
      </c>
      <c r="G787" s="32">
        <v>79210973</v>
      </c>
      <c r="H787" t="s">
        <v>352</v>
      </c>
    </row>
    <row r="788" spans="1:8" hidden="1" x14ac:dyDescent="0.3">
      <c r="A788" s="28">
        <v>15945</v>
      </c>
      <c r="B788" s="49">
        <v>45324.489583333336</v>
      </c>
      <c r="C788" s="18">
        <v>45324</v>
      </c>
      <c r="D788" t="s">
        <v>104</v>
      </c>
      <c r="E788" s="32">
        <v>0</v>
      </c>
      <c r="F788" s="32">
        <v>50490</v>
      </c>
      <c r="G788" s="32">
        <v>79648333</v>
      </c>
      <c r="H788" t="s">
        <v>352</v>
      </c>
    </row>
    <row r="789" spans="1:8" hidden="1" x14ac:dyDescent="0.3">
      <c r="A789" s="28">
        <v>15944</v>
      </c>
      <c r="B789" s="49">
        <v>45324.488194444442</v>
      </c>
      <c r="C789" s="18">
        <v>45324</v>
      </c>
      <c r="D789" t="s">
        <v>104</v>
      </c>
      <c r="E789" s="32">
        <v>0</v>
      </c>
      <c r="F789" s="32">
        <v>75364</v>
      </c>
      <c r="G789" s="32">
        <v>79698823</v>
      </c>
      <c r="H789" t="s">
        <v>293</v>
      </c>
    </row>
    <row r="790" spans="1:8" hidden="1" x14ac:dyDescent="0.3">
      <c r="A790" s="28">
        <v>15941</v>
      </c>
      <c r="B790" s="49">
        <v>45324.423611111109</v>
      </c>
      <c r="C790" s="18">
        <v>45324</v>
      </c>
      <c r="D790" t="s">
        <v>104</v>
      </c>
      <c r="E790" s="32">
        <v>0</v>
      </c>
      <c r="F790" s="32">
        <v>195400</v>
      </c>
      <c r="G790" s="32">
        <v>79774187</v>
      </c>
      <c r="H790" t="s">
        <v>409</v>
      </c>
    </row>
    <row r="791" spans="1:8" hidden="1" x14ac:dyDescent="0.3">
      <c r="A791" s="28">
        <v>15939</v>
      </c>
      <c r="B791" s="49">
        <v>45323.581944444442</v>
      </c>
      <c r="C791" s="18">
        <v>45323</v>
      </c>
      <c r="D791" t="s">
        <v>103</v>
      </c>
      <c r="E791" s="32">
        <v>108900</v>
      </c>
      <c r="F791" s="32">
        <v>0</v>
      </c>
      <c r="G791" s="32">
        <v>79969587</v>
      </c>
      <c r="H791" t="s">
        <v>410</v>
      </c>
    </row>
    <row r="792" spans="1:8" hidden="1" x14ac:dyDescent="0.3">
      <c r="A792" s="28">
        <v>15938</v>
      </c>
      <c r="B792" s="49">
        <v>45323.546527777777</v>
      </c>
      <c r="C792" s="18">
        <v>45323</v>
      </c>
      <c r="D792" t="s">
        <v>103</v>
      </c>
      <c r="E792" s="32">
        <v>2032800</v>
      </c>
      <c r="F792" s="32">
        <v>0</v>
      </c>
      <c r="G792" s="32">
        <v>79860687</v>
      </c>
      <c r="H792" t="s">
        <v>292</v>
      </c>
    </row>
    <row r="793" spans="1:8" hidden="1" x14ac:dyDescent="0.3">
      <c r="A793" s="28">
        <v>15936</v>
      </c>
      <c r="B793" s="49">
        <v>45323.48541666667</v>
      </c>
      <c r="C793" s="18">
        <v>45323</v>
      </c>
      <c r="D793" t="s">
        <v>104</v>
      </c>
      <c r="E793" s="32">
        <v>0</v>
      </c>
      <c r="F793" s="32">
        <v>41680</v>
      </c>
      <c r="G793" s="32">
        <v>77827887</v>
      </c>
      <c r="H793" t="s">
        <v>411</v>
      </c>
    </row>
    <row r="794" spans="1:8" hidden="1" x14ac:dyDescent="0.3">
      <c r="A794" s="28">
        <v>15935</v>
      </c>
      <c r="B794" s="49">
        <v>45323.425000000003</v>
      </c>
      <c r="C794" s="18">
        <v>45323</v>
      </c>
      <c r="D794" t="s">
        <v>103</v>
      </c>
      <c r="E794" s="32">
        <v>50000000</v>
      </c>
      <c r="F794" s="32">
        <v>0</v>
      </c>
      <c r="G794" s="32">
        <v>77869567</v>
      </c>
      <c r="H794" t="s">
        <v>331</v>
      </c>
    </row>
    <row r="795" spans="1:8" hidden="1" x14ac:dyDescent="0.3">
      <c r="A795" s="28">
        <v>15933</v>
      </c>
      <c r="B795" s="49">
        <v>45323.364583333336</v>
      </c>
      <c r="C795" s="18">
        <v>45323</v>
      </c>
      <c r="D795" t="s">
        <v>103</v>
      </c>
      <c r="E795" s="32">
        <v>1741300</v>
      </c>
      <c r="F795" s="32">
        <v>0</v>
      </c>
      <c r="G795" s="32">
        <v>27869567</v>
      </c>
      <c r="H795" t="s">
        <v>412</v>
      </c>
    </row>
    <row r="796" spans="1:8" hidden="1" x14ac:dyDescent="0.3">
      <c r="A796" s="28">
        <v>15932</v>
      </c>
      <c r="B796" s="49">
        <v>45322.840277777781</v>
      </c>
      <c r="C796" s="18">
        <v>45322</v>
      </c>
      <c r="D796" t="s">
        <v>103</v>
      </c>
      <c r="E796" s="32">
        <v>487300</v>
      </c>
      <c r="F796" s="32">
        <v>0</v>
      </c>
      <c r="G796" s="32">
        <v>26128267</v>
      </c>
      <c r="H796" t="s">
        <v>317</v>
      </c>
    </row>
    <row r="797" spans="1:8" hidden="1" x14ac:dyDescent="0.3">
      <c r="A797" s="28">
        <v>15931</v>
      </c>
      <c r="B797" s="49">
        <v>45322.79791666667</v>
      </c>
      <c r="C797" s="18">
        <v>45322</v>
      </c>
      <c r="D797" t="s">
        <v>104</v>
      </c>
      <c r="E797" s="32">
        <v>0</v>
      </c>
      <c r="F797" s="32">
        <v>400510</v>
      </c>
      <c r="G797" s="32">
        <v>25640967</v>
      </c>
      <c r="H797" t="s">
        <v>311</v>
      </c>
    </row>
    <row r="798" spans="1:8" hidden="1" x14ac:dyDescent="0.3">
      <c r="A798" s="28">
        <v>15930</v>
      </c>
      <c r="B798" s="49">
        <v>45322.739583333336</v>
      </c>
      <c r="C798" s="18">
        <v>45322</v>
      </c>
      <c r="D798" t="s">
        <v>104</v>
      </c>
      <c r="E798" s="32">
        <v>0</v>
      </c>
      <c r="F798" s="32">
        <v>4000000</v>
      </c>
      <c r="G798" s="32">
        <v>26041477</v>
      </c>
      <c r="H798" t="s">
        <v>413</v>
      </c>
    </row>
    <row r="799" spans="1:8" hidden="1" x14ac:dyDescent="0.3">
      <c r="A799" s="28">
        <v>15925</v>
      </c>
      <c r="B799" s="49">
        <v>45322.718055555553</v>
      </c>
      <c r="C799" s="18">
        <v>45322</v>
      </c>
      <c r="D799" t="s">
        <v>103</v>
      </c>
      <c r="E799" s="32">
        <v>655600</v>
      </c>
      <c r="F799" s="32">
        <v>0</v>
      </c>
      <c r="G799" s="32">
        <v>30041477</v>
      </c>
      <c r="H799" t="s">
        <v>320</v>
      </c>
    </row>
    <row r="800" spans="1:8" hidden="1" x14ac:dyDescent="0.3">
      <c r="A800" s="28">
        <v>15924</v>
      </c>
      <c r="B800" s="49">
        <v>45322.634027777778</v>
      </c>
      <c r="C800" s="18">
        <v>45322</v>
      </c>
      <c r="D800" t="s">
        <v>104</v>
      </c>
      <c r="E800" s="32">
        <v>0</v>
      </c>
      <c r="F800" s="32">
        <v>1990000</v>
      </c>
      <c r="G800" s="32">
        <v>29385877</v>
      </c>
      <c r="H800" t="s">
        <v>414</v>
      </c>
    </row>
    <row r="801" spans="1:8" hidden="1" x14ac:dyDescent="0.3">
      <c r="A801" s="28">
        <v>15923</v>
      </c>
      <c r="B801" s="49">
        <v>45322.632638888892</v>
      </c>
      <c r="C801" s="18">
        <v>45322</v>
      </c>
      <c r="D801" t="s">
        <v>103</v>
      </c>
      <c r="E801" s="32">
        <v>1359600</v>
      </c>
      <c r="F801" s="32">
        <v>0</v>
      </c>
      <c r="G801" s="32">
        <v>31375877</v>
      </c>
      <c r="H801" t="s">
        <v>300</v>
      </c>
    </row>
    <row r="802" spans="1:8" hidden="1" x14ac:dyDescent="0.3">
      <c r="A802" s="28">
        <v>15922</v>
      </c>
      <c r="B802" s="49">
        <v>45322.632638888892</v>
      </c>
      <c r="C802" s="18">
        <v>45322</v>
      </c>
      <c r="D802" t="s">
        <v>103</v>
      </c>
      <c r="E802" s="32">
        <v>135300</v>
      </c>
      <c r="F802" s="32">
        <v>0</v>
      </c>
      <c r="G802" s="32">
        <v>30016277</v>
      </c>
      <c r="H802" t="s">
        <v>300</v>
      </c>
    </row>
    <row r="803" spans="1:8" hidden="1" x14ac:dyDescent="0.3">
      <c r="A803" s="28">
        <v>15921</v>
      </c>
      <c r="B803" s="49">
        <v>45322.615277777775</v>
      </c>
      <c r="C803" s="18">
        <v>45322</v>
      </c>
      <c r="D803" t="s">
        <v>103</v>
      </c>
      <c r="E803" s="32">
        <v>280500</v>
      </c>
      <c r="F803" s="32">
        <v>0</v>
      </c>
      <c r="G803" s="32">
        <v>29880977</v>
      </c>
      <c r="H803" t="s">
        <v>323</v>
      </c>
    </row>
    <row r="804" spans="1:8" hidden="1" x14ac:dyDescent="0.3">
      <c r="A804" s="28">
        <v>15920</v>
      </c>
      <c r="B804" s="49">
        <v>45322.606249999997</v>
      </c>
      <c r="C804" s="18">
        <v>45322</v>
      </c>
      <c r="D804" t="s">
        <v>104</v>
      </c>
      <c r="E804" s="32">
        <v>0</v>
      </c>
      <c r="F804" s="32">
        <v>3657500</v>
      </c>
      <c r="G804" s="32">
        <v>29600477</v>
      </c>
      <c r="H804" t="s">
        <v>415</v>
      </c>
    </row>
    <row r="805" spans="1:8" hidden="1" x14ac:dyDescent="0.3">
      <c r="A805" s="28">
        <v>15919</v>
      </c>
      <c r="B805" s="49">
        <v>45322.569444444445</v>
      </c>
      <c r="C805" s="18">
        <v>45322</v>
      </c>
      <c r="D805" t="s">
        <v>103</v>
      </c>
      <c r="E805" s="32">
        <v>11226600</v>
      </c>
      <c r="F805" s="32">
        <v>0</v>
      </c>
      <c r="G805" s="32">
        <v>33257977</v>
      </c>
      <c r="H805" t="s">
        <v>416</v>
      </c>
    </row>
    <row r="806" spans="1:8" hidden="1" x14ac:dyDescent="0.3">
      <c r="A806" s="28">
        <v>15917</v>
      </c>
      <c r="B806" s="49">
        <v>45322.481249999997</v>
      </c>
      <c r="C806" s="18">
        <v>45322</v>
      </c>
      <c r="D806" t="s">
        <v>103</v>
      </c>
      <c r="E806" s="32">
        <v>7715400</v>
      </c>
      <c r="F806" s="32">
        <v>0</v>
      </c>
      <c r="G806" s="32">
        <v>22031377</v>
      </c>
      <c r="H806" t="s">
        <v>327</v>
      </c>
    </row>
    <row r="807" spans="1:8" hidden="1" x14ac:dyDescent="0.3">
      <c r="A807" s="28">
        <v>15916</v>
      </c>
      <c r="B807" s="49">
        <v>45322.458333333336</v>
      </c>
      <c r="C807" s="18">
        <v>45322</v>
      </c>
      <c r="D807" t="s">
        <v>103</v>
      </c>
      <c r="E807" s="32">
        <v>600600</v>
      </c>
      <c r="F807" s="32">
        <v>0</v>
      </c>
      <c r="G807" s="32">
        <v>14315977</v>
      </c>
      <c r="H807" t="s">
        <v>417</v>
      </c>
    </row>
    <row r="808" spans="1:8" hidden="1" x14ac:dyDescent="0.3">
      <c r="A808" s="28">
        <v>15915</v>
      </c>
      <c r="B808" s="49">
        <v>45322.457638888889</v>
      </c>
      <c r="C808" s="18">
        <v>45322</v>
      </c>
      <c r="D808" t="s">
        <v>103</v>
      </c>
      <c r="E808" s="32">
        <v>370700</v>
      </c>
      <c r="F808" s="32">
        <v>0</v>
      </c>
      <c r="G808" s="32">
        <v>13715377</v>
      </c>
      <c r="H808" t="s">
        <v>324</v>
      </c>
    </row>
    <row r="809" spans="1:8" hidden="1" x14ac:dyDescent="0.3">
      <c r="A809" s="28">
        <v>15914</v>
      </c>
      <c r="B809" s="49">
        <v>45322.431944444441</v>
      </c>
      <c r="C809" s="18">
        <v>45322</v>
      </c>
      <c r="D809" t="s">
        <v>103</v>
      </c>
      <c r="E809" s="32">
        <v>399300</v>
      </c>
      <c r="F809" s="32">
        <v>0</v>
      </c>
      <c r="G809" s="32">
        <v>13344677</v>
      </c>
      <c r="H809" t="s">
        <v>326</v>
      </c>
    </row>
    <row r="810" spans="1:8" hidden="1" x14ac:dyDescent="0.3">
      <c r="A810" s="28">
        <v>15913</v>
      </c>
      <c r="B810" s="49">
        <v>45322.431944444441</v>
      </c>
      <c r="C810" s="18">
        <v>45322</v>
      </c>
      <c r="D810" t="s">
        <v>103</v>
      </c>
      <c r="E810" s="32">
        <v>632500</v>
      </c>
      <c r="F810" s="32">
        <v>0</v>
      </c>
      <c r="G810" s="32">
        <v>12945377</v>
      </c>
      <c r="H810" t="s">
        <v>326</v>
      </c>
    </row>
    <row r="811" spans="1:8" hidden="1" x14ac:dyDescent="0.3">
      <c r="A811" s="28">
        <v>15912</v>
      </c>
      <c r="B811" s="49">
        <v>45322.352083333331</v>
      </c>
      <c r="C811" s="18">
        <v>45322</v>
      </c>
      <c r="D811" t="s">
        <v>104</v>
      </c>
      <c r="E811" s="32">
        <v>0</v>
      </c>
      <c r="F811" s="32">
        <v>198000</v>
      </c>
      <c r="G811" s="32">
        <v>12312877</v>
      </c>
      <c r="H811" t="s">
        <v>418</v>
      </c>
    </row>
    <row r="812" spans="1:8" hidden="1" x14ac:dyDescent="0.3">
      <c r="A812" s="28">
        <v>15911</v>
      </c>
      <c r="B812" s="49">
        <v>45322.313194444447</v>
      </c>
      <c r="C812" s="18">
        <v>45322</v>
      </c>
      <c r="D812" t="s">
        <v>103</v>
      </c>
      <c r="E812" s="32">
        <v>557700</v>
      </c>
      <c r="F812" s="32">
        <v>0</v>
      </c>
      <c r="G812" s="32">
        <v>12510877</v>
      </c>
      <c r="H812" t="s">
        <v>384</v>
      </c>
    </row>
    <row r="813" spans="1:8" hidden="1" x14ac:dyDescent="0.3">
      <c r="A813" s="28">
        <v>15910</v>
      </c>
      <c r="B813" s="49">
        <v>45321.664583333331</v>
      </c>
      <c r="C813" s="18">
        <v>45321</v>
      </c>
      <c r="D813" t="s">
        <v>103</v>
      </c>
      <c r="E813" s="32">
        <v>216700</v>
      </c>
      <c r="F813" s="32">
        <v>0</v>
      </c>
      <c r="G813" s="32">
        <v>11953177</v>
      </c>
      <c r="H813" t="s">
        <v>419</v>
      </c>
    </row>
    <row r="814" spans="1:8" hidden="1" x14ac:dyDescent="0.3">
      <c r="A814" s="28">
        <v>15909</v>
      </c>
      <c r="B814" s="49">
        <v>45321.644444444442</v>
      </c>
      <c r="C814" s="18">
        <v>45321</v>
      </c>
      <c r="D814" t="s">
        <v>104</v>
      </c>
      <c r="E814" s="32">
        <v>0</v>
      </c>
      <c r="F814" s="32">
        <v>2640000</v>
      </c>
      <c r="G814" s="32">
        <v>11736477</v>
      </c>
      <c r="H814" t="s">
        <v>333</v>
      </c>
    </row>
    <row r="815" spans="1:8" hidden="1" x14ac:dyDescent="0.3">
      <c r="A815" s="28">
        <v>15908</v>
      </c>
      <c r="B815" s="49">
        <v>45321.62222222222</v>
      </c>
      <c r="C815" s="18">
        <v>45321</v>
      </c>
      <c r="D815" t="s">
        <v>103</v>
      </c>
      <c r="E815" s="32">
        <v>122200</v>
      </c>
      <c r="F815" s="32">
        <v>0</v>
      </c>
      <c r="G815" s="32">
        <v>14376477</v>
      </c>
      <c r="H815" t="s">
        <v>420</v>
      </c>
    </row>
    <row r="816" spans="1:8" hidden="1" x14ac:dyDescent="0.3">
      <c r="A816" s="28">
        <v>15907</v>
      </c>
      <c r="B816" s="49">
        <v>45321.620833333334</v>
      </c>
      <c r="C816" s="18">
        <v>45321</v>
      </c>
      <c r="D816" t="s">
        <v>103</v>
      </c>
      <c r="E816" s="32">
        <v>1222000</v>
      </c>
      <c r="F816" s="32">
        <v>0</v>
      </c>
      <c r="G816" s="32">
        <v>14254277</v>
      </c>
      <c r="H816" t="s">
        <v>421</v>
      </c>
    </row>
    <row r="817" spans="1:8" hidden="1" x14ac:dyDescent="0.3">
      <c r="A817" s="28">
        <v>15905</v>
      </c>
      <c r="B817" s="49">
        <v>45321.473611111112</v>
      </c>
      <c r="C817" s="18">
        <v>45321</v>
      </c>
      <c r="D817" t="s">
        <v>104</v>
      </c>
      <c r="E817" s="32">
        <v>0</v>
      </c>
      <c r="F817" s="32">
        <v>6600000</v>
      </c>
      <c r="G817" s="32">
        <v>13032277</v>
      </c>
      <c r="H817" t="s">
        <v>422</v>
      </c>
    </row>
    <row r="818" spans="1:8" hidden="1" x14ac:dyDescent="0.3">
      <c r="A818" s="28">
        <v>15903</v>
      </c>
      <c r="B818" s="49">
        <v>45321.361111111109</v>
      </c>
      <c r="C818" s="18">
        <v>45321</v>
      </c>
      <c r="D818" t="s">
        <v>103</v>
      </c>
      <c r="E818" s="32">
        <v>2743400</v>
      </c>
      <c r="F818" s="32">
        <v>0</v>
      </c>
      <c r="G818" s="32">
        <v>19632277</v>
      </c>
      <c r="H818" t="s">
        <v>292</v>
      </c>
    </row>
    <row r="819" spans="1:8" hidden="1" x14ac:dyDescent="0.3">
      <c r="A819" s="28">
        <v>15901</v>
      </c>
      <c r="B819" s="49">
        <v>45320.686805555553</v>
      </c>
      <c r="C819" s="18">
        <v>45320</v>
      </c>
      <c r="D819" t="s">
        <v>103</v>
      </c>
      <c r="E819" s="32">
        <v>1100000</v>
      </c>
      <c r="F819" s="32">
        <v>0</v>
      </c>
      <c r="G819" s="32">
        <v>16888877</v>
      </c>
      <c r="H819" t="s">
        <v>423</v>
      </c>
    </row>
    <row r="820" spans="1:8" hidden="1" x14ac:dyDescent="0.3">
      <c r="A820" s="28">
        <v>15900</v>
      </c>
      <c r="B820" s="49">
        <v>45320.677083333336</v>
      </c>
      <c r="C820" s="18">
        <v>45320</v>
      </c>
      <c r="D820" t="s">
        <v>103</v>
      </c>
      <c r="E820" s="32">
        <v>660000</v>
      </c>
      <c r="F820" s="32">
        <v>0</v>
      </c>
      <c r="G820" s="32">
        <v>15788877</v>
      </c>
      <c r="H820" t="s">
        <v>346</v>
      </c>
    </row>
    <row r="821" spans="1:8" hidden="1" x14ac:dyDescent="0.3">
      <c r="A821" s="28">
        <v>15899</v>
      </c>
      <c r="B821" s="49">
        <v>45320.677083333336</v>
      </c>
      <c r="C821" s="18">
        <v>45320</v>
      </c>
      <c r="D821" t="s">
        <v>103</v>
      </c>
      <c r="E821" s="32">
        <v>974600</v>
      </c>
      <c r="F821" s="32">
        <v>0</v>
      </c>
      <c r="G821" s="32">
        <v>15128877</v>
      </c>
      <c r="H821" t="s">
        <v>346</v>
      </c>
    </row>
    <row r="822" spans="1:8" hidden="1" x14ac:dyDescent="0.3">
      <c r="A822" s="28">
        <v>15898</v>
      </c>
      <c r="B822" s="49">
        <v>45320.664583333331</v>
      </c>
      <c r="C822" s="18">
        <v>45320</v>
      </c>
      <c r="D822" t="s">
        <v>103</v>
      </c>
      <c r="E822" s="32">
        <v>480700</v>
      </c>
      <c r="F822" s="32">
        <v>0</v>
      </c>
      <c r="G822" s="32">
        <v>14154277</v>
      </c>
      <c r="H822" t="s">
        <v>336</v>
      </c>
    </row>
    <row r="823" spans="1:8" hidden="1" x14ac:dyDescent="0.3">
      <c r="A823" s="28">
        <v>15896</v>
      </c>
      <c r="B823" s="49">
        <v>45320.57708333333</v>
      </c>
      <c r="C823" s="18">
        <v>45320</v>
      </c>
      <c r="D823" t="s">
        <v>103</v>
      </c>
      <c r="E823" s="32">
        <v>3705900</v>
      </c>
      <c r="F823" s="32">
        <v>0</v>
      </c>
      <c r="G823" s="32">
        <v>13673577</v>
      </c>
      <c r="H823" t="s">
        <v>335</v>
      </c>
    </row>
    <row r="824" spans="1:8" hidden="1" x14ac:dyDescent="0.3">
      <c r="A824" s="28">
        <v>15895</v>
      </c>
      <c r="B824" s="49">
        <v>45320.543055555558</v>
      </c>
      <c r="C824" s="18">
        <v>45320</v>
      </c>
      <c r="D824" t="s">
        <v>104</v>
      </c>
      <c r="E824" s="32">
        <v>0</v>
      </c>
      <c r="F824" s="32">
        <v>136660</v>
      </c>
      <c r="G824" s="32">
        <v>9967677</v>
      </c>
      <c r="H824" t="s">
        <v>293</v>
      </c>
    </row>
    <row r="825" spans="1:8" hidden="1" x14ac:dyDescent="0.3">
      <c r="A825" s="28">
        <v>15894</v>
      </c>
      <c r="B825" s="49">
        <v>45320.499305555553</v>
      </c>
      <c r="C825" s="18">
        <v>45320</v>
      </c>
      <c r="D825" t="s">
        <v>103</v>
      </c>
      <c r="E825" s="32">
        <v>94600</v>
      </c>
      <c r="F825" s="32">
        <v>0</v>
      </c>
      <c r="G825" s="32">
        <v>10104337</v>
      </c>
      <c r="H825" t="s">
        <v>403</v>
      </c>
    </row>
    <row r="826" spans="1:8" hidden="1" x14ac:dyDescent="0.3">
      <c r="A826" s="28">
        <v>15890</v>
      </c>
      <c r="B826" s="49">
        <v>45317.770138888889</v>
      </c>
      <c r="C826" s="18">
        <v>45317</v>
      </c>
      <c r="D826" t="s">
        <v>103</v>
      </c>
      <c r="E826" s="32">
        <v>998000</v>
      </c>
      <c r="F826" s="32">
        <v>0</v>
      </c>
      <c r="G826" s="32">
        <v>10009737</v>
      </c>
      <c r="H826" t="s">
        <v>318</v>
      </c>
    </row>
    <row r="827" spans="1:8" hidden="1" x14ac:dyDescent="0.3">
      <c r="A827" s="28">
        <v>15889</v>
      </c>
      <c r="B827" s="49">
        <v>45317.743055555555</v>
      </c>
      <c r="C827" s="18">
        <v>45317</v>
      </c>
      <c r="D827" t="s">
        <v>103</v>
      </c>
      <c r="E827" s="32">
        <v>99800</v>
      </c>
      <c r="F827" s="32">
        <v>0</v>
      </c>
      <c r="G827" s="32">
        <v>9011737</v>
      </c>
      <c r="H827" t="s">
        <v>319</v>
      </c>
    </row>
    <row r="828" spans="1:8" hidden="1" x14ac:dyDescent="0.3">
      <c r="A828" s="28">
        <v>15888</v>
      </c>
      <c r="B828" s="49">
        <v>45317.693749999999</v>
      </c>
      <c r="C828" s="18">
        <v>45317</v>
      </c>
      <c r="D828" t="s">
        <v>103</v>
      </c>
      <c r="E828" s="32">
        <v>375100</v>
      </c>
      <c r="F828" s="32">
        <v>0</v>
      </c>
      <c r="G828" s="32">
        <v>8911937</v>
      </c>
      <c r="H828" t="s">
        <v>424</v>
      </c>
    </row>
    <row r="829" spans="1:8" hidden="1" x14ac:dyDescent="0.3">
      <c r="A829" s="28">
        <v>15887</v>
      </c>
      <c r="B829" s="49">
        <v>45317.674305555556</v>
      </c>
      <c r="C829" s="18">
        <v>45317</v>
      </c>
      <c r="D829" t="s">
        <v>104</v>
      </c>
      <c r="E829" s="32">
        <v>0</v>
      </c>
      <c r="F829" s="32">
        <v>3384500</v>
      </c>
      <c r="G829" s="32">
        <v>8536837</v>
      </c>
      <c r="H829" t="s">
        <v>425</v>
      </c>
    </row>
    <row r="830" spans="1:8" hidden="1" x14ac:dyDescent="0.3">
      <c r="A830" s="28">
        <v>15886</v>
      </c>
      <c r="B830" s="49">
        <v>45317.550694444442</v>
      </c>
      <c r="C830" s="18">
        <v>45317</v>
      </c>
      <c r="D830" t="s">
        <v>104</v>
      </c>
      <c r="E830" s="32">
        <v>0</v>
      </c>
      <c r="F830" s="32">
        <v>1606275</v>
      </c>
      <c r="G830" s="32">
        <v>11921337</v>
      </c>
      <c r="H830" t="s">
        <v>365</v>
      </c>
    </row>
    <row r="831" spans="1:8" hidden="1" x14ac:dyDescent="0.3">
      <c r="A831" s="28">
        <v>15885</v>
      </c>
      <c r="B831" s="49">
        <v>45317.376388888886</v>
      </c>
      <c r="C831" s="18">
        <v>45317</v>
      </c>
      <c r="D831" t="s">
        <v>104</v>
      </c>
      <c r="E831" s="32">
        <v>0</v>
      </c>
      <c r="F831" s="32">
        <v>1100000</v>
      </c>
      <c r="G831" s="32">
        <v>13527612</v>
      </c>
      <c r="H831" t="s">
        <v>333</v>
      </c>
    </row>
    <row r="832" spans="1:8" hidden="1" x14ac:dyDescent="0.3">
      <c r="A832" s="28">
        <v>15882</v>
      </c>
      <c r="B832" s="49">
        <v>45316.835416666669</v>
      </c>
      <c r="C832" s="18">
        <v>45316</v>
      </c>
      <c r="D832" t="s">
        <v>104</v>
      </c>
      <c r="E832" s="32">
        <v>0</v>
      </c>
      <c r="F832" s="32">
        <v>440000</v>
      </c>
      <c r="G832" s="32">
        <v>14627612</v>
      </c>
      <c r="H832" t="s">
        <v>343</v>
      </c>
    </row>
    <row r="833" spans="1:8" hidden="1" x14ac:dyDescent="0.3">
      <c r="A833" s="28">
        <v>15879</v>
      </c>
      <c r="B833" s="49">
        <v>45316.508333333331</v>
      </c>
      <c r="C833" s="18">
        <v>45316</v>
      </c>
      <c r="D833" t="s">
        <v>103</v>
      </c>
      <c r="E833" s="32">
        <v>654500</v>
      </c>
      <c r="F833" s="32">
        <v>0</v>
      </c>
      <c r="G833" s="32">
        <v>15067612</v>
      </c>
      <c r="H833" t="s">
        <v>305</v>
      </c>
    </row>
    <row r="834" spans="1:8" hidden="1" x14ac:dyDescent="0.3">
      <c r="A834" s="28">
        <v>15878</v>
      </c>
      <c r="B834" s="49">
        <v>45316.480555555558</v>
      </c>
      <c r="C834" s="18">
        <v>45316</v>
      </c>
      <c r="D834" t="s">
        <v>103</v>
      </c>
      <c r="E834" s="32">
        <v>699600</v>
      </c>
      <c r="F834" s="32">
        <v>0</v>
      </c>
      <c r="G834" s="32">
        <v>14413112</v>
      </c>
      <c r="H834" t="s">
        <v>426</v>
      </c>
    </row>
    <row r="835" spans="1:8" hidden="1" x14ac:dyDescent="0.3">
      <c r="A835" s="28">
        <v>15875</v>
      </c>
      <c r="B835" s="49">
        <v>45316.386805555558</v>
      </c>
      <c r="C835" s="18">
        <v>45316</v>
      </c>
      <c r="D835" t="s">
        <v>104</v>
      </c>
      <c r="E835" s="32">
        <v>0</v>
      </c>
      <c r="F835" s="32">
        <v>450000</v>
      </c>
      <c r="G835" s="32">
        <v>13713512</v>
      </c>
      <c r="H835" t="s">
        <v>354</v>
      </c>
    </row>
    <row r="836" spans="1:8" hidden="1" x14ac:dyDescent="0.3">
      <c r="A836" s="28">
        <v>15874</v>
      </c>
      <c r="B836" s="49">
        <v>45316.386111111111</v>
      </c>
      <c r="C836" s="18">
        <v>45316</v>
      </c>
      <c r="D836" t="s">
        <v>104</v>
      </c>
      <c r="E836" s="32">
        <v>0</v>
      </c>
      <c r="F836" s="32">
        <v>495000</v>
      </c>
      <c r="G836" s="32">
        <v>14163512</v>
      </c>
      <c r="H836" t="s">
        <v>427</v>
      </c>
    </row>
    <row r="837" spans="1:8" hidden="1" x14ac:dyDescent="0.3">
      <c r="A837" s="28">
        <v>15873</v>
      </c>
      <c r="B837" s="49">
        <v>45316.340277777781</v>
      </c>
      <c r="C837" s="18">
        <v>45316</v>
      </c>
      <c r="D837" t="s">
        <v>104</v>
      </c>
      <c r="E837" s="32">
        <v>0</v>
      </c>
      <c r="F837" s="32">
        <v>213140</v>
      </c>
      <c r="G837" s="32">
        <v>14658512</v>
      </c>
      <c r="H837" t="s">
        <v>293</v>
      </c>
    </row>
    <row r="838" spans="1:8" hidden="1" x14ac:dyDescent="0.3">
      <c r="A838" s="28">
        <v>15871</v>
      </c>
      <c r="B838" s="49">
        <v>45315.729861111111</v>
      </c>
      <c r="C838" s="18">
        <v>45315</v>
      </c>
      <c r="D838" t="s">
        <v>104</v>
      </c>
      <c r="E838" s="32">
        <v>0</v>
      </c>
      <c r="F838" s="32">
        <v>42210560</v>
      </c>
      <c r="G838" s="32">
        <v>14871652</v>
      </c>
      <c r="H838" t="s">
        <v>428</v>
      </c>
    </row>
    <row r="839" spans="1:8" hidden="1" x14ac:dyDescent="0.3">
      <c r="A839" s="28">
        <v>15869</v>
      </c>
      <c r="B839" s="49">
        <v>45315.482638888891</v>
      </c>
      <c r="C839" s="18">
        <v>45315</v>
      </c>
      <c r="D839" t="s">
        <v>103</v>
      </c>
      <c r="E839" s="32">
        <v>350900</v>
      </c>
      <c r="F839" s="32">
        <v>0</v>
      </c>
      <c r="G839" s="32">
        <v>57082212</v>
      </c>
      <c r="H839" t="s">
        <v>429</v>
      </c>
    </row>
    <row r="840" spans="1:8" hidden="1" x14ac:dyDescent="0.3">
      <c r="A840" s="28">
        <v>15867</v>
      </c>
      <c r="B840" s="49">
        <v>45315.354861111111</v>
      </c>
      <c r="C840" s="18">
        <v>45315</v>
      </c>
      <c r="D840" t="s">
        <v>104</v>
      </c>
      <c r="E840" s="32">
        <v>0</v>
      </c>
      <c r="F840" s="32">
        <v>130000</v>
      </c>
      <c r="G840" s="32">
        <v>56731312</v>
      </c>
      <c r="H840" t="s">
        <v>430</v>
      </c>
    </row>
    <row r="841" spans="1:8" hidden="1" x14ac:dyDescent="0.3">
      <c r="A841" s="28">
        <v>15866</v>
      </c>
      <c r="B841" s="49">
        <v>45315.354166666664</v>
      </c>
      <c r="C841" s="18">
        <v>45315</v>
      </c>
      <c r="D841" t="s">
        <v>104</v>
      </c>
      <c r="E841" s="32">
        <v>0</v>
      </c>
      <c r="F841" s="32">
        <v>60000</v>
      </c>
      <c r="G841" s="32">
        <v>56861312</v>
      </c>
      <c r="H841" t="s">
        <v>431</v>
      </c>
    </row>
    <row r="842" spans="1:8" hidden="1" x14ac:dyDescent="0.3">
      <c r="A842" s="28">
        <v>15865</v>
      </c>
      <c r="B842" s="49">
        <v>45315.353472222225</v>
      </c>
      <c r="C842" s="18">
        <v>45315</v>
      </c>
      <c r="D842" t="s">
        <v>104</v>
      </c>
      <c r="E842" s="32">
        <v>0</v>
      </c>
      <c r="F842" s="32">
        <v>2710290</v>
      </c>
      <c r="G842" s="32">
        <v>56921312</v>
      </c>
      <c r="H842" t="s">
        <v>432</v>
      </c>
    </row>
    <row r="843" spans="1:8" hidden="1" x14ac:dyDescent="0.3">
      <c r="A843" s="28">
        <v>15863</v>
      </c>
      <c r="B843" s="49">
        <v>45314.604166666664</v>
      </c>
      <c r="C843" s="18">
        <v>45314</v>
      </c>
      <c r="D843" t="s">
        <v>103</v>
      </c>
      <c r="E843" s="32">
        <v>1912900</v>
      </c>
      <c r="F843" s="32">
        <v>0</v>
      </c>
      <c r="G843" s="32">
        <v>59631602</v>
      </c>
      <c r="H843" t="s">
        <v>292</v>
      </c>
    </row>
    <row r="844" spans="1:8" hidden="1" x14ac:dyDescent="0.3">
      <c r="A844" s="28">
        <v>15862</v>
      </c>
      <c r="B844" s="49">
        <v>45314.586111111108</v>
      </c>
      <c r="C844" s="18">
        <v>45314</v>
      </c>
      <c r="D844" t="s">
        <v>104</v>
      </c>
      <c r="E844" s="32">
        <v>0</v>
      </c>
      <c r="F844" s="32">
        <v>106403</v>
      </c>
      <c r="G844" s="32">
        <v>57718702</v>
      </c>
      <c r="H844" t="s">
        <v>293</v>
      </c>
    </row>
    <row r="845" spans="1:8" hidden="1" x14ac:dyDescent="0.3">
      <c r="A845" s="28">
        <v>15861</v>
      </c>
      <c r="B845" s="49">
        <v>45314.568055555559</v>
      </c>
      <c r="C845" s="18">
        <v>45314</v>
      </c>
      <c r="D845" t="s">
        <v>104</v>
      </c>
      <c r="E845" s="32">
        <v>0</v>
      </c>
      <c r="F845" s="32">
        <v>125607</v>
      </c>
      <c r="G845" s="32">
        <v>57825105</v>
      </c>
      <c r="H845" t="s">
        <v>293</v>
      </c>
    </row>
    <row r="846" spans="1:8" hidden="1" x14ac:dyDescent="0.3">
      <c r="A846" s="28">
        <v>15859</v>
      </c>
      <c r="B846" s="49">
        <v>45313.87777777778</v>
      </c>
      <c r="C846" s="18">
        <v>45313</v>
      </c>
      <c r="D846" t="s">
        <v>104</v>
      </c>
      <c r="E846" s="32">
        <v>0</v>
      </c>
      <c r="F846" s="32">
        <v>600530</v>
      </c>
      <c r="G846" s="32">
        <v>57950712</v>
      </c>
      <c r="H846" t="s">
        <v>357</v>
      </c>
    </row>
    <row r="847" spans="1:8" hidden="1" x14ac:dyDescent="0.3">
      <c r="A847" s="28">
        <v>15858</v>
      </c>
      <c r="B847" s="49">
        <v>45313.822222222225</v>
      </c>
      <c r="C847" s="18">
        <v>45313</v>
      </c>
      <c r="D847" t="s">
        <v>104</v>
      </c>
      <c r="E847" s="32">
        <v>0</v>
      </c>
      <c r="F847" s="32">
        <v>77429</v>
      </c>
      <c r="G847" s="32">
        <v>58551242</v>
      </c>
      <c r="H847" t="s">
        <v>433</v>
      </c>
    </row>
    <row r="848" spans="1:8" hidden="1" x14ac:dyDescent="0.3">
      <c r="A848" s="28">
        <v>15857</v>
      </c>
      <c r="B848" s="49">
        <v>45313.820138888892</v>
      </c>
      <c r="C848" s="18">
        <v>45313</v>
      </c>
      <c r="D848" t="s">
        <v>104</v>
      </c>
      <c r="E848" s="32">
        <v>0</v>
      </c>
      <c r="F848" s="32">
        <v>1000000</v>
      </c>
      <c r="G848" s="32">
        <v>58628671</v>
      </c>
      <c r="H848" t="s">
        <v>434</v>
      </c>
    </row>
    <row r="849" spans="1:8" hidden="1" x14ac:dyDescent="0.3">
      <c r="A849" s="28">
        <v>15855</v>
      </c>
      <c r="B849" s="49">
        <v>45313.628472222219</v>
      </c>
      <c r="C849" s="18">
        <v>45313</v>
      </c>
      <c r="D849" t="s">
        <v>104</v>
      </c>
      <c r="E849" s="32">
        <v>0</v>
      </c>
      <c r="F849" s="32">
        <v>119912</v>
      </c>
      <c r="G849" s="32">
        <v>59628671</v>
      </c>
      <c r="H849" t="s">
        <v>293</v>
      </c>
    </row>
    <row r="850" spans="1:8" hidden="1" x14ac:dyDescent="0.3">
      <c r="A850" s="28">
        <v>15854</v>
      </c>
      <c r="B850" s="49">
        <v>45313.497916666667</v>
      </c>
      <c r="C850" s="18">
        <v>45313</v>
      </c>
      <c r="D850" t="s">
        <v>103</v>
      </c>
      <c r="E850" s="32">
        <v>70400</v>
      </c>
      <c r="F850" s="32">
        <v>0</v>
      </c>
      <c r="G850" s="32">
        <v>59748583</v>
      </c>
      <c r="H850" t="s">
        <v>403</v>
      </c>
    </row>
    <row r="851" spans="1:8" hidden="1" x14ac:dyDescent="0.3">
      <c r="A851" s="28">
        <v>15852</v>
      </c>
      <c r="B851" s="49">
        <v>45313.491666666669</v>
      </c>
      <c r="C851" s="18">
        <v>45313</v>
      </c>
      <c r="D851" t="s">
        <v>103</v>
      </c>
      <c r="E851" s="32">
        <v>30000000</v>
      </c>
      <c r="F851" s="32">
        <v>0</v>
      </c>
      <c r="G851" s="32">
        <v>59678183</v>
      </c>
      <c r="H851" t="s">
        <v>331</v>
      </c>
    </row>
    <row r="852" spans="1:8" hidden="1" x14ac:dyDescent="0.3">
      <c r="A852" s="28">
        <v>15848</v>
      </c>
      <c r="B852" s="49">
        <v>45313.472222222219</v>
      </c>
      <c r="C852" s="18">
        <v>45313</v>
      </c>
      <c r="D852" t="s">
        <v>103</v>
      </c>
      <c r="E852" s="32">
        <v>947100</v>
      </c>
      <c r="F852" s="32">
        <v>0</v>
      </c>
      <c r="G852" s="32">
        <v>29678183</v>
      </c>
      <c r="H852" t="s">
        <v>435</v>
      </c>
    </row>
    <row r="853" spans="1:8" hidden="1" x14ac:dyDescent="0.3">
      <c r="A853" s="28">
        <v>15847</v>
      </c>
      <c r="B853" s="49">
        <v>45313.472222222219</v>
      </c>
      <c r="C853" s="18">
        <v>45313</v>
      </c>
      <c r="D853" t="s">
        <v>103</v>
      </c>
      <c r="E853" s="32">
        <v>548900</v>
      </c>
      <c r="F853" s="32">
        <v>0</v>
      </c>
      <c r="G853" s="32">
        <v>28731083</v>
      </c>
      <c r="H853" t="s">
        <v>435</v>
      </c>
    </row>
    <row r="854" spans="1:8" hidden="1" x14ac:dyDescent="0.3">
      <c r="A854" s="28">
        <v>15846</v>
      </c>
      <c r="B854" s="49">
        <v>45313.465277777781</v>
      </c>
      <c r="C854" s="18">
        <v>45313</v>
      </c>
      <c r="D854" t="s">
        <v>104</v>
      </c>
      <c r="E854" s="32">
        <v>0</v>
      </c>
      <c r="F854" s="32">
        <v>26952040</v>
      </c>
      <c r="G854" s="32">
        <v>28182183</v>
      </c>
      <c r="H854" t="s">
        <v>330</v>
      </c>
    </row>
    <row r="855" spans="1:8" hidden="1" x14ac:dyDescent="0.3">
      <c r="A855" s="28">
        <v>15845</v>
      </c>
      <c r="B855" s="49">
        <v>45313.464583333334</v>
      </c>
      <c r="C855" s="18">
        <v>45313</v>
      </c>
      <c r="D855" t="s">
        <v>104</v>
      </c>
      <c r="E855" s="32">
        <v>0</v>
      </c>
      <c r="F855" s="32">
        <v>6861490</v>
      </c>
      <c r="G855" s="32">
        <v>55134223</v>
      </c>
      <c r="H855" t="s">
        <v>330</v>
      </c>
    </row>
    <row r="856" spans="1:8" hidden="1" x14ac:dyDescent="0.3">
      <c r="A856" s="28">
        <v>15844</v>
      </c>
      <c r="B856" s="49">
        <v>45313.45416666667</v>
      </c>
      <c r="C856" s="18">
        <v>45313</v>
      </c>
      <c r="D856" t="s">
        <v>104</v>
      </c>
      <c r="E856" s="32">
        <v>0</v>
      </c>
      <c r="F856" s="32">
        <v>99000</v>
      </c>
      <c r="G856" s="32">
        <v>61995713</v>
      </c>
      <c r="H856" t="s">
        <v>436</v>
      </c>
    </row>
    <row r="857" spans="1:8" hidden="1" x14ac:dyDescent="0.3">
      <c r="A857" s="28">
        <v>15843</v>
      </c>
      <c r="B857" s="49">
        <v>45313.435416666667</v>
      </c>
      <c r="C857" s="18">
        <v>45313</v>
      </c>
      <c r="D857" t="s">
        <v>104</v>
      </c>
      <c r="E857" s="32">
        <v>0</v>
      </c>
      <c r="F857" s="32">
        <v>786100</v>
      </c>
      <c r="G857" s="32">
        <v>62094713</v>
      </c>
      <c r="H857" t="s">
        <v>366</v>
      </c>
    </row>
    <row r="858" spans="1:8" hidden="1" x14ac:dyDescent="0.3">
      <c r="A858" s="28">
        <v>15842</v>
      </c>
      <c r="B858" s="49">
        <v>45313.423611111109</v>
      </c>
      <c r="C858" s="18">
        <v>45313</v>
      </c>
      <c r="D858" t="s">
        <v>104</v>
      </c>
      <c r="E858" s="32">
        <v>0</v>
      </c>
      <c r="F858" s="32">
        <v>990338</v>
      </c>
      <c r="G858" s="32">
        <v>62880813</v>
      </c>
      <c r="H858" t="s">
        <v>363</v>
      </c>
    </row>
    <row r="859" spans="1:8" hidden="1" x14ac:dyDescent="0.3">
      <c r="A859" s="28">
        <v>15840</v>
      </c>
      <c r="B859" s="49">
        <v>45310.800694444442</v>
      </c>
      <c r="C859" s="18">
        <v>45310</v>
      </c>
      <c r="D859" t="s">
        <v>104</v>
      </c>
      <c r="E859" s="32">
        <v>0</v>
      </c>
      <c r="F859" s="32">
        <v>281782</v>
      </c>
      <c r="G859" s="32">
        <v>63871151</v>
      </c>
      <c r="H859" t="s">
        <v>358</v>
      </c>
    </row>
    <row r="860" spans="1:8" hidden="1" x14ac:dyDescent="0.3">
      <c r="A860" s="28">
        <v>15839</v>
      </c>
      <c r="B860" s="49">
        <v>45310.620138888888</v>
      </c>
      <c r="C860" s="18">
        <v>45310</v>
      </c>
      <c r="D860" t="s">
        <v>103</v>
      </c>
      <c r="E860" s="32">
        <v>696300</v>
      </c>
      <c r="F860" s="32">
        <v>0</v>
      </c>
      <c r="G860" s="32">
        <v>64152933</v>
      </c>
      <c r="H860" t="s">
        <v>388</v>
      </c>
    </row>
    <row r="861" spans="1:8" hidden="1" x14ac:dyDescent="0.3">
      <c r="A861" s="28">
        <v>15838</v>
      </c>
      <c r="B861" s="49">
        <v>45310.615277777775</v>
      </c>
      <c r="C861" s="18">
        <v>45310</v>
      </c>
      <c r="D861" t="s">
        <v>103</v>
      </c>
      <c r="E861" s="32">
        <v>2131800</v>
      </c>
      <c r="F861" s="32">
        <v>0</v>
      </c>
      <c r="G861" s="32">
        <v>63456633</v>
      </c>
      <c r="H861" t="s">
        <v>437</v>
      </c>
    </row>
    <row r="862" spans="1:8" hidden="1" x14ac:dyDescent="0.3">
      <c r="A862" s="28">
        <v>15837</v>
      </c>
      <c r="B862" s="49">
        <v>45310.482638888891</v>
      </c>
      <c r="C862" s="18">
        <v>45310</v>
      </c>
      <c r="D862" t="s">
        <v>103</v>
      </c>
      <c r="E862" s="32">
        <v>126500</v>
      </c>
      <c r="F862" s="32">
        <v>0</v>
      </c>
      <c r="G862" s="32">
        <v>61324833</v>
      </c>
      <c r="H862" t="s">
        <v>381</v>
      </c>
    </row>
    <row r="863" spans="1:8" hidden="1" x14ac:dyDescent="0.3">
      <c r="A863" s="28">
        <v>15836</v>
      </c>
      <c r="B863" s="49">
        <v>45310.45</v>
      </c>
      <c r="C863" s="18">
        <v>45310</v>
      </c>
      <c r="D863" t="s">
        <v>104</v>
      </c>
      <c r="E863" s="32">
        <v>0</v>
      </c>
      <c r="F863" s="32">
        <v>62700</v>
      </c>
      <c r="G863" s="32">
        <v>61198333</v>
      </c>
      <c r="H863" t="s">
        <v>352</v>
      </c>
    </row>
    <row r="864" spans="1:8" hidden="1" x14ac:dyDescent="0.3">
      <c r="A864" s="28">
        <v>15835</v>
      </c>
      <c r="B864" s="49">
        <v>45310.426388888889</v>
      </c>
      <c r="C864" s="18">
        <v>45310</v>
      </c>
      <c r="D864" t="s">
        <v>104</v>
      </c>
      <c r="E864" s="32">
        <v>0</v>
      </c>
      <c r="F864" s="32">
        <v>7464010</v>
      </c>
      <c r="G864" s="32">
        <v>61261033</v>
      </c>
      <c r="H864" t="s">
        <v>361</v>
      </c>
    </row>
    <row r="865" spans="1:8" hidden="1" x14ac:dyDescent="0.3">
      <c r="A865" s="28">
        <v>15834</v>
      </c>
      <c r="B865" s="49">
        <v>45310.354861111111</v>
      </c>
      <c r="C865" s="18">
        <v>45310</v>
      </c>
      <c r="D865" t="s">
        <v>104</v>
      </c>
      <c r="E865" s="32">
        <v>0</v>
      </c>
      <c r="F865" s="32">
        <v>43990</v>
      </c>
      <c r="G865" s="32">
        <v>68725043</v>
      </c>
      <c r="H865" t="s">
        <v>293</v>
      </c>
    </row>
    <row r="866" spans="1:8" hidden="1" x14ac:dyDescent="0.3">
      <c r="A866" s="28">
        <v>15832</v>
      </c>
      <c r="B866" s="49">
        <v>45309.466666666667</v>
      </c>
      <c r="C866" s="18">
        <v>45309</v>
      </c>
      <c r="D866" t="s">
        <v>104</v>
      </c>
      <c r="E866" s="32">
        <v>0</v>
      </c>
      <c r="F866" s="32">
        <v>124300</v>
      </c>
      <c r="G866" s="32">
        <v>68769033</v>
      </c>
      <c r="H866" t="s">
        <v>438</v>
      </c>
    </row>
    <row r="867" spans="1:8" hidden="1" x14ac:dyDescent="0.3">
      <c r="A867" s="28">
        <v>15831</v>
      </c>
      <c r="B867" s="49">
        <v>45309.395833333336</v>
      </c>
      <c r="C867" s="18">
        <v>45309</v>
      </c>
      <c r="D867" t="s">
        <v>103</v>
      </c>
      <c r="E867" s="32">
        <v>561000</v>
      </c>
      <c r="F867" s="32">
        <v>0</v>
      </c>
      <c r="G867" s="32">
        <v>68893333</v>
      </c>
      <c r="H867" t="s">
        <v>439</v>
      </c>
    </row>
    <row r="868" spans="1:8" hidden="1" x14ac:dyDescent="0.3">
      <c r="A868" s="28">
        <v>15830</v>
      </c>
      <c r="B868" s="49">
        <v>45308.569444444445</v>
      </c>
      <c r="C868" s="18">
        <v>45308</v>
      </c>
      <c r="D868" t="s">
        <v>103</v>
      </c>
      <c r="E868" s="32">
        <v>743600</v>
      </c>
      <c r="F868" s="32">
        <v>0</v>
      </c>
      <c r="G868" s="32">
        <v>68332333</v>
      </c>
      <c r="H868" t="s">
        <v>94</v>
      </c>
    </row>
    <row r="869" spans="1:8" hidden="1" x14ac:dyDescent="0.3">
      <c r="A869" s="28">
        <v>15828</v>
      </c>
      <c r="B869" s="49">
        <v>45308.484027777777</v>
      </c>
      <c r="C869" s="18">
        <v>45308</v>
      </c>
      <c r="D869" t="s">
        <v>103</v>
      </c>
      <c r="E869" s="32">
        <v>232100</v>
      </c>
      <c r="F869" s="32">
        <v>0</v>
      </c>
      <c r="G869" s="32">
        <v>67588733</v>
      </c>
      <c r="H869" t="s">
        <v>381</v>
      </c>
    </row>
    <row r="870" spans="1:8" hidden="1" x14ac:dyDescent="0.3">
      <c r="A870" s="28">
        <v>15827</v>
      </c>
      <c r="B870" s="49">
        <v>45308.472916666666</v>
      </c>
      <c r="C870" s="18">
        <v>45308</v>
      </c>
      <c r="D870" t="s">
        <v>104</v>
      </c>
      <c r="E870" s="32">
        <v>0</v>
      </c>
      <c r="F870" s="32">
        <v>20000</v>
      </c>
      <c r="G870" s="32">
        <v>67356633</v>
      </c>
      <c r="H870" t="s">
        <v>367</v>
      </c>
    </row>
    <row r="871" spans="1:8" hidden="1" x14ac:dyDescent="0.3">
      <c r="A871" s="28">
        <v>15826</v>
      </c>
      <c r="B871" s="49">
        <v>45308.470833333333</v>
      </c>
      <c r="C871" s="18">
        <v>45308</v>
      </c>
      <c r="D871" t="s">
        <v>104</v>
      </c>
      <c r="E871" s="32">
        <v>0</v>
      </c>
      <c r="F871" s="32">
        <v>4000</v>
      </c>
      <c r="G871" s="32">
        <v>67376633</v>
      </c>
      <c r="H871" t="s">
        <v>440</v>
      </c>
    </row>
    <row r="872" spans="1:8" hidden="1" x14ac:dyDescent="0.3">
      <c r="A872" s="28">
        <v>15825</v>
      </c>
      <c r="B872" s="49">
        <v>45308.427777777775</v>
      </c>
      <c r="C872" s="18">
        <v>45308</v>
      </c>
      <c r="D872" t="s">
        <v>104</v>
      </c>
      <c r="E872" s="32">
        <v>0</v>
      </c>
      <c r="F872" s="32">
        <v>87120</v>
      </c>
      <c r="G872" s="32">
        <v>67380633</v>
      </c>
      <c r="H872" t="s">
        <v>352</v>
      </c>
    </row>
    <row r="873" spans="1:8" hidden="1" x14ac:dyDescent="0.3">
      <c r="A873" s="28">
        <v>15824</v>
      </c>
      <c r="B873" s="49">
        <v>45308.38958333333</v>
      </c>
      <c r="C873" s="18">
        <v>45308</v>
      </c>
      <c r="D873" t="s">
        <v>104</v>
      </c>
      <c r="E873" s="32">
        <v>0</v>
      </c>
      <c r="F873" s="32">
        <v>50490</v>
      </c>
      <c r="G873" s="32">
        <v>67467753</v>
      </c>
      <c r="H873" t="s">
        <v>365</v>
      </c>
    </row>
    <row r="874" spans="1:8" hidden="1" x14ac:dyDescent="0.3">
      <c r="A874" s="28">
        <v>15822</v>
      </c>
      <c r="B874" s="49">
        <v>45308.304861111108</v>
      </c>
      <c r="C874" s="18">
        <v>45308</v>
      </c>
      <c r="D874" t="s">
        <v>103</v>
      </c>
      <c r="E874" s="32">
        <v>645700</v>
      </c>
      <c r="F874" s="32">
        <v>0</v>
      </c>
      <c r="G874" s="32">
        <v>67518243</v>
      </c>
      <c r="H874" t="s">
        <v>384</v>
      </c>
    </row>
    <row r="875" spans="1:8" hidden="1" x14ac:dyDescent="0.3">
      <c r="A875" s="28">
        <v>15821</v>
      </c>
      <c r="B875" s="49">
        <v>45307.805555555555</v>
      </c>
      <c r="C875" s="18">
        <v>45307</v>
      </c>
      <c r="D875" t="s">
        <v>104</v>
      </c>
      <c r="E875" s="32">
        <v>0</v>
      </c>
      <c r="F875" s="32">
        <v>167337</v>
      </c>
      <c r="G875" s="32">
        <v>66872543</v>
      </c>
      <c r="H875" t="s">
        <v>374</v>
      </c>
    </row>
    <row r="876" spans="1:8" hidden="1" x14ac:dyDescent="0.3">
      <c r="A876" s="28">
        <v>15820</v>
      </c>
      <c r="B876" s="49">
        <v>45307.792361111111</v>
      </c>
      <c r="C876" s="18">
        <v>45307</v>
      </c>
      <c r="D876" t="s">
        <v>104</v>
      </c>
      <c r="E876" s="32">
        <v>0</v>
      </c>
      <c r="F876" s="32">
        <v>629880</v>
      </c>
      <c r="G876" s="32">
        <v>67039880</v>
      </c>
      <c r="H876" t="s">
        <v>368</v>
      </c>
    </row>
    <row r="877" spans="1:8" hidden="1" x14ac:dyDescent="0.3">
      <c r="A877" s="28">
        <v>15819</v>
      </c>
      <c r="B877" s="49">
        <v>45307.792361111111</v>
      </c>
      <c r="C877" s="18">
        <v>45307</v>
      </c>
      <c r="D877" t="s">
        <v>104</v>
      </c>
      <c r="E877" s="32">
        <v>0</v>
      </c>
      <c r="F877" s="32">
        <v>165320</v>
      </c>
      <c r="G877" s="32">
        <v>67669760</v>
      </c>
      <c r="H877" t="s">
        <v>368</v>
      </c>
    </row>
    <row r="878" spans="1:8" hidden="1" x14ac:dyDescent="0.3">
      <c r="A878" s="28">
        <v>15818</v>
      </c>
      <c r="B878" s="49">
        <v>45307.792361111111</v>
      </c>
      <c r="C878" s="18">
        <v>45307</v>
      </c>
      <c r="D878" t="s">
        <v>104</v>
      </c>
      <c r="E878" s="32">
        <v>0</v>
      </c>
      <c r="F878" s="32">
        <v>1000000</v>
      </c>
      <c r="G878" s="32">
        <v>67835080</v>
      </c>
      <c r="H878" t="s">
        <v>368</v>
      </c>
    </row>
    <row r="879" spans="1:8" hidden="1" x14ac:dyDescent="0.3">
      <c r="A879" s="28">
        <v>15817</v>
      </c>
      <c r="B879" s="49">
        <v>45307.792361111111</v>
      </c>
      <c r="C879" s="18">
        <v>45307</v>
      </c>
      <c r="D879" t="s">
        <v>104</v>
      </c>
      <c r="E879" s="32">
        <v>0</v>
      </c>
      <c r="F879" s="32">
        <v>944940</v>
      </c>
      <c r="G879" s="32">
        <v>68835080</v>
      </c>
      <c r="H879" t="s">
        <v>368</v>
      </c>
    </row>
    <row r="880" spans="1:8" hidden="1" x14ac:dyDescent="0.3">
      <c r="A880" s="28">
        <v>15816</v>
      </c>
      <c r="B880" s="49">
        <v>45307.578472222223</v>
      </c>
      <c r="C880" s="18">
        <v>45307</v>
      </c>
      <c r="D880" t="s">
        <v>104</v>
      </c>
      <c r="E880" s="32">
        <v>0</v>
      </c>
      <c r="F880" s="32">
        <v>478500</v>
      </c>
      <c r="G880" s="32">
        <v>69780020</v>
      </c>
      <c r="H880" t="s">
        <v>441</v>
      </c>
    </row>
    <row r="881" spans="1:8" hidden="1" x14ac:dyDescent="0.3">
      <c r="A881" s="28">
        <v>15815</v>
      </c>
      <c r="B881" s="49">
        <v>45306.861111111109</v>
      </c>
      <c r="C881" s="18">
        <v>45306</v>
      </c>
      <c r="D881" t="s">
        <v>104</v>
      </c>
      <c r="E881" s="32">
        <v>0</v>
      </c>
      <c r="F881" s="32">
        <v>290400</v>
      </c>
      <c r="G881" s="32">
        <v>70258520</v>
      </c>
      <c r="H881" t="s">
        <v>372</v>
      </c>
    </row>
    <row r="882" spans="1:8" hidden="1" x14ac:dyDescent="0.3">
      <c r="A882" s="28">
        <v>15814</v>
      </c>
      <c r="B882" s="49">
        <v>45306.80972222222</v>
      </c>
      <c r="C882" s="18">
        <v>45306</v>
      </c>
      <c r="D882" t="s">
        <v>104</v>
      </c>
      <c r="E882" s="32">
        <v>0</v>
      </c>
      <c r="F882" s="32">
        <v>99000</v>
      </c>
      <c r="G882" s="32">
        <v>70548920</v>
      </c>
      <c r="H882" t="s">
        <v>373</v>
      </c>
    </row>
    <row r="883" spans="1:8" hidden="1" x14ac:dyDescent="0.3">
      <c r="A883" s="28">
        <v>15813</v>
      </c>
      <c r="B883" s="49">
        <v>45306.801388888889</v>
      </c>
      <c r="C883" s="18">
        <v>45306</v>
      </c>
      <c r="D883" t="s">
        <v>104</v>
      </c>
      <c r="E883" s="32">
        <v>0</v>
      </c>
      <c r="F883" s="32">
        <v>684420</v>
      </c>
      <c r="G883" s="32">
        <v>70647920</v>
      </c>
      <c r="H883" t="s">
        <v>311</v>
      </c>
    </row>
    <row r="884" spans="1:8" hidden="1" x14ac:dyDescent="0.3">
      <c r="A884" s="28">
        <v>15811</v>
      </c>
      <c r="B884" s="49">
        <v>45306.775694444441</v>
      </c>
      <c r="C884" s="18">
        <v>45306</v>
      </c>
      <c r="D884" t="s">
        <v>104</v>
      </c>
      <c r="E884" s="32">
        <v>0</v>
      </c>
      <c r="F884" s="32">
        <v>24336044</v>
      </c>
      <c r="G884" s="32">
        <v>71332340</v>
      </c>
      <c r="H884" t="s">
        <v>375</v>
      </c>
    </row>
    <row r="885" spans="1:8" hidden="1" x14ac:dyDescent="0.3">
      <c r="A885" s="28">
        <v>15808</v>
      </c>
      <c r="B885" s="49">
        <v>45306.70208333333</v>
      </c>
      <c r="C885" s="18">
        <v>45306</v>
      </c>
      <c r="D885" t="s">
        <v>103</v>
      </c>
      <c r="E885" s="32">
        <v>3195998</v>
      </c>
      <c r="F885" s="32">
        <v>0</v>
      </c>
      <c r="G885" s="32">
        <v>95668384</v>
      </c>
      <c r="H885" t="s">
        <v>442</v>
      </c>
    </row>
    <row r="886" spans="1:8" hidden="1" x14ac:dyDescent="0.3">
      <c r="A886" s="28">
        <v>15807</v>
      </c>
      <c r="B886" s="49">
        <v>45306.70208333333</v>
      </c>
      <c r="C886" s="18">
        <v>45306</v>
      </c>
      <c r="D886" t="s">
        <v>103</v>
      </c>
      <c r="E886" s="32">
        <v>3128861</v>
      </c>
      <c r="F886" s="32">
        <v>0</v>
      </c>
      <c r="G886" s="32">
        <v>92472386</v>
      </c>
      <c r="H886" t="s">
        <v>442</v>
      </c>
    </row>
    <row r="887" spans="1:8" hidden="1" x14ac:dyDescent="0.3">
      <c r="A887" s="28">
        <v>15806</v>
      </c>
      <c r="B887" s="49">
        <v>45306.668055555558</v>
      </c>
      <c r="C887" s="18">
        <v>45306</v>
      </c>
      <c r="D887" t="s">
        <v>103</v>
      </c>
      <c r="E887" s="32">
        <v>1226500</v>
      </c>
      <c r="F887" s="32">
        <v>0</v>
      </c>
      <c r="G887" s="32">
        <v>89343525</v>
      </c>
      <c r="H887" t="s">
        <v>324</v>
      </c>
    </row>
    <row r="888" spans="1:8" hidden="1" x14ac:dyDescent="0.3">
      <c r="A888" s="28">
        <v>15805</v>
      </c>
      <c r="B888" s="49">
        <v>45306.668055555558</v>
      </c>
      <c r="C888" s="18">
        <v>45306</v>
      </c>
      <c r="D888" t="s">
        <v>103</v>
      </c>
      <c r="E888" s="32">
        <v>1157200</v>
      </c>
      <c r="F888" s="32">
        <v>0</v>
      </c>
      <c r="G888" s="32">
        <v>88117025</v>
      </c>
      <c r="H888" t="s">
        <v>324</v>
      </c>
    </row>
    <row r="889" spans="1:8" hidden="1" x14ac:dyDescent="0.3">
      <c r="A889" s="28">
        <v>15804</v>
      </c>
      <c r="B889" s="49">
        <v>45306.668055555558</v>
      </c>
      <c r="C889" s="18">
        <v>45306</v>
      </c>
      <c r="D889" t="s">
        <v>103</v>
      </c>
      <c r="E889" s="32">
        <v>247500</v>
      </c>
      <c r="F889" s="32">
        <v>0</v>
      </c>
      <c r="G889" s="32">
        <v>86959825</v>
      </c>
      <c r="H889" t="s">
        <v>324</v>
      </c>
    </row>
    <row r="890" spans="1:8" hidden="1" x14ac:dyDescent="0.3">
      <c r="A890" s="28">
        <v>15803</v>
      </c>
      <c r="B890" s="49">
        <v>45306.668055555558</v>
      </c>
      <c r="C890" s="18">
        <v>45306</v>
      </c>
      <c r="D890" t="s">
        <v>103</v>
      </c>
      <c r="E890" s="32">
        <v>564300</v>
      </c>
      <c r="F890" s="32">
        <v>0</v>
      </c>
      <c r="G890" s="32">
        <v>86712325</v>
      </c>
      <c r="H890" t="s">
        <v>295</v>
      </c>
    </row>
    <row r="891" spans="1:8" hidden="1" x14ac:dyDescent="0.3">
      <c r="A891" s="28">
        <v>15802</v>
      </c>
      <c r="B891" s="49">
        <v>45306.668055555558</v>
      </c>
      <c r="C891" s="18">
        <v>45306</v>
      </c>
      <c r="D891" t="s">
        <v>103</v>
      </c>
      <c r="E891" s="32">
        <v>2387000</v>
      </c>
      <c r="F891" s="32">
        <v>0</v>
      </c>
      <c r="G891" s="32">
        <v>86148025</v>
      </c>
      <c r="H891" t="s">
        <v>295</v>
      </c>
    </row>
    <row r="892" spans="1:8" hidden="1" x14ac:dyDescent="0.3">
      <c r="A892" s="28">
        <v>15794</v>
      </c>
      <c r="B892" s="49">
        <v>45306.61041666667</v>
      </c>
      <c r="C892" s="18">
        <v>45306</v>
      </c>
      <c r="D892" t="s">
        <v>104</v>
      </c>
      <c r="E892" s="32">
        <v>0</v>
      </c>
      <c r="F892" s="32">
        <v>73150</v>
      </c>
      <c r="G892" s="32">
        <v>83761025</v>
      </c>
      <c r="H892" t="s">
        <v>352</v>
      </c>
    </row>
    <row r="893" spans="1:8" hidden="1" x14ac:dyDescent="0.3">
      <c r="A893" s="28">
        <v>15792</v>
      </c>
      <c r="B893" s="49">
        <v>45306.583333333336</v>
      </c>
      <c r="C893" s="18">
        <v>45306</v>
      </c>
      <c r="D893" t="s">
        <v>103</v>
      </c>
      <c r="E893" s="32">
        <v>144100</v>
      </c>
      <c r="F893" s="32">
        <v>0</v>
      </c>
      <c r="G893" s="32">
        <v>83834175</v>
      </c>
      <c r="H893" t="s">
        <v>437</v>
      </c>
    </row>
    <row r="894" spans="1:8" hidden="1" x14ac:dyDescent="0.3">
      <c r="A894" s="28">
        <v>15791</v>
      </c>
      <c r="B894" s="49">
        <v>45306.535416666666</v>
      </c>
      <c r="C894" s="18">
        <v>45306</v>
      </c>
      <c r="D894" t="s">
        <v>103</v>
      </c>
      <c r="E894" s="32">
        <v>642400</v>
      </c>
      <c r="F894" s="32">
        <v>0</v>
      </c>
      <c r="G894" s="32">
        <v>83690075</v>
      </c>
      <c r="H894" t="s">
        <v>417</v>
      </c>
    </row>
    <row r="895" spans="1:8" hidden="1" x14ac:dyDescent="0.3">
      <c r="A895" s="28">
        <v>15790</v>
      </c>
      <c r="B895" s="49">
        <v>45306.51666666667</v>
      </c>
      <c r="C895" s="18">
        <v>45306</v>
      </c>
      <c r="D895" t="s">
        <v>103</v>
      </c>
      <c r="E895" s="32">
        <v>1195000</v>
      </c>
      <c r="F895" s="32">
        <v>0</v>
      </c>
      <c r="G895" s="32">
        <v>83047675</v>
      </c>
      <c r="H895" t="s">
        <v>443</v>
      </c>
    </row>
    <row r="896" spans="1:8" hidden="1" x14ac:dyDescent="0.3">
      <c r="A896" s="28">
        <v>15789</v>
      </c>
      <c r="B896" s="49">
        <v>45306.490972222222</v>
      </c>
      <c r="C896" s="18">
        <v>45306</v>
      </c>
      <c r="D896" t="s">
        <v>103</v>
      </c>
      <c r="E896" s="32">
        <v>3423200</v>
      </c>
      <c r="F896" s="32">
        <v>0</v>
      </c>
      <c r="G896" s="32">
        <v>81852675</v>
      </c>
      <c r="H896" t="s">
        <v>444</v>
      </c>
    </row>
    <row r="897" spans="1:8" hidden="1" x14ac:dyDescent="0.3">
      <c r="A897" s="28">
        <v>15788</v>
      </c>
      <c r="B897" s="49">
        <v>45306.489583333336</v>
      </c>
      <c r="C897" s="18">
        <v>45306</v>
      </c>
      <c r="D897" t="s">
        <v>103</v>
      </c>
      <c r="E897" s="32">
        <v>135300</v>
      </c>
      <c r="F897" s="32">
        <v>0</v>
      </c>
      <c r="G897" s="32">
        <v>78429475</v>
      </c>
      <c r="H897" t="s">
        <v>445</v>
      </c>
    </row>
    <row r="898" spans="1:8" hidden="1" x14ac:dyDescent="0.3">
      <c r="A898" s="28">
        <v>15787</v>
      </c>
      <c r="B898" s="49">
        <v>45306.482638888891</v>
      </c>
      <c r="C898" s="18">
        <v>45306</v>
      </c>
      <c r="D898" t="s">
        <v>103</v>
      </c>
      <c r="E898" s="32">
        <v>214500</v>
      </c>
      <c r="F898" s="32">
        <v>0</v>
      </c>
      <c r="G898" s="32">
        <v>78294175</v>
      </c>
      <c r="H898" t="s">
        <v>292</v>
      </c>
    </row>
    <row r="899" spans="1:8" hidden="1" x14ac:dyDescent="0.3">
      <c r="A899" s="28">
        <v>15786</v>
      </c>
      <c r="B899" s="49">
        <v>45306.482638888891</v>
      </c>
      <c r="C899" s="18">
        <v>45306</v>
      </c>
      <c r="D899" t="s">
        <v>103</v>
      </c>
      <c r="E899" s="32">
        <v>193600</v>
      </c>
      <c r="F899" s="32">
        <v>0</v>
      </c>
      <c r="G899" s="32">
        <v>78079675</v>
      </c>
      <c r="H899" t="s">
        <v>292</v>
      </c>
    </row>
    <row r="900" spans="1:8" hidden="1" x14ac:dyDescent="0.3">
      <c r="A900" s="28">
        <v>15784</v>
      </c>
      <c r="B900" s="49">
        <v>45306.474999999999</v>
      </c>
      <c r="C900" s="18">
        <v>45306</v>
      </c>
      <c r="D900" t="s">
        <v>103</v>
      </c>
      <c r="E900" s="32">
        <v>12129700</v>
      </c>
      <c r="F900" s="32">
        <v>0</v>
      </c>
      <c r="G900" s="32">
        <v>77886075</v>
      </c>
      <c r="H900" t="s">
        <v>378</v>
      </c>
    </row>
    <row r="901" spans="1:8" hidden="1" x14ac:dyDescent="0.3">
      <c r="A901" s="28">
        <v>15783</v>
      </c>
      <c r="B901" s="49">
        <v>45306.409722222219</v>
      </c>
      <c r="C901" s="18">
        <v>45306</v>
      </c>
      <c r="D901" t="s">
        <v>104</v>
      </c>
      <c r="E901" s="32">
        <v>0</v>
      </c>
      <c r="F901" s="32">
        <v>160380</v>
      </c>
      <c r="G901" s="32">
        <v>65756375</v>
      </c>
      <c r="H901" t="s">
        <v>352</v>
      </c>
    </row>
    <row r="902" spans="1:8" hidden="1" x14ac:dyDescent="0.3">
      <c r="A902" s="28">
        <v>15782</v>
      </c>
      <c r="B902" s="49">
        <v>45306.371527777781</v>
      </c>
      <c r="C902" s="18">
        <v>45306</v>
      </c>
      <c r="D902" t="s">
        <v>103</v>
      </c>
      <c r="E902" s="32">
        <v>2634500</v>
      </c>
      <c r="F902" s="32">
        <v>0</v>
      </c>
      <c r="G902" s="32">
        <v>65916755</v>
      </c>
      <c r="H902" t="s">
        <v>446</v>
      </c>
    </row>
    <row r="903" spans="1:8" hidden="1" x14ac:dyDescent="0.3">
      <c r="A903" s="28">
        <v>15781</v>
      </c>
      <c r="B903" s="49">
        <v>45306.355555555558</v>
      </c>
      <c r="C903" s="18">
        <v>45306</v>
      </c>
      <c r="D903" t="s">
        <v>103</v>
      </c>
      <c r="E903" s="32">
        <v>119500</v>
      </c>
      <c r="F903" s="32">
        <v>0</v>
      </c>
      <c r="G903" s="32">
        <v>63282255</v>
      </c>
      <c r="H903" t="s">
        <v>443</v>
      </c>
    </row>
    <row r="904" spans="1:8" hidden="1" x14ac:dyDescent="0.3">
      <c r="A904" s="28">
        <v>15780</v>
      </c>
      <c r="B904" s="49">
        <v>45306.354861111111</v>
      </c>
      <c r="C904" s="18">
        <v>45306</v>
      </c>
      <c r="D904" t="s">
        <v>103</v>
      </c>
      <c r="E904" s="32">
        <v>541200</v>
      </c>
      <c r="F904" s="32">
        <v>0</v>
      </c>
      <c r="G904" s="32">
        <v>63162755</v>
      </c>
      <c r="H904" t="s">
        <v>443</v>
      </c>
    </row>
    <row r="905" spans="1:8" hidden="1" x14ac:dyDescent="0.3">
      <c r="A905" s="28">
        <v>15779</v>
      </c>
      <c r="B905" s="49">
        <v>45306.354861111111</v>
      </c>
      <c r="C905" s="18">
        <v>45306</v>
      </c>
      <c r="D905" t="s">
        <v>103</v>
      </c>
      <c r="E905" s="32">
        <v>205700</v>
      </c>
      <c r="F905" s="32">
        <v>0</v>
      </c>
      <c r="G905" s="32">
        <v>62621555</v>
      </c>
      <c r="H905" t="s">
        <v>443</v>
      </c>
    </row>
    <row r="906" spans="1:8" hidden="1" x14ac:dyDescent="0.3">
      <c r="A906" s="28">
        <v>15778</v>
      </c>
      <c r="B906" s="49">
        <v>45306.354861111111</v>
      </c>
      <c r="C906" s="18">
        <v>45306</v>
      </c>
      <c r="D906" t="s">
        <v>103</v>
      </c>
      <c r="E906" s="32">
        <v>925100</v>
      </c>
      <c r="F906" s="32">
        <v>0</v>
      </c>
      <c r="G906" s="32">
        <v>62415855</v>
      </c>
      <c r="H906" t="s">
        <v>443</v>
      </c>
    </row>
    <row r="907" spans="1:8" hidden="1" x14ac:dyDescent="0.3">
      <c r="A907" s="28">
        <v>15777</v>
      </c>
      <c r="B907" s="49">
        <v>45303.54791666667</v>
      </c>
      <c r="C907" s="18">
        <v>45303</v>
      </c>
      <c r="D907" t="s">
        <v>103</v>
      </c>
      <c r="E907" s="32">
        <v>316800</v>
      </c>
      <c r="F907" s="32">
        <v>0</v>
      </c>
      <c r="G907" s="32">
        <v>61490755</v>
      </c>
      <c r="H907" t="s">
        <v>447</v>
      </c>
    </row>
    <row r="908" spans="1:8" hidden="1" x14ac:dyDescent="0.3">
      <c r="A908" s="28">
        <v>15774</v>
      </c>
      <c r="B908" s="49">
        <v>45302.811111111114</v>
      </c>
      <c r="C908" s="18">
        <v>45302</v>
      </c>
      <c r="D908" t="s">
        <v>104</v>
      </c>
      <c r="E908" s="32">
        <v>0</v>
      </c>
      <c r="F908" s="32">
        <v>57500</v>
      </c>
      <c r="G908" s="32">
        <v>61173955</v>
      </c>
      <c r="H908" t="s">
        <v>294</v>
      </c>
    </row>
    <row r="909" spans="1:8" hidden="1" x14ac:dyDescent="0.3">
      <c r="A909" s="28">
        <v>15773</v>
      </c>
      <c r="B909" s="49">
        <v>45302.593055555553</v>
      </c>
      <c r="C909" s="18">
        <v>45302</v>
      </c>
      <c r="D909" t="s">
        <v>103</v>
      </c>
      <c r="E909" s="32">
        <v>1178100</v>
      </c>
      <c r="F909" s="32">
        <v>0</v>
      </c>
      <c r="G909" s="32">
        <v>61231455</v>
      </c>
      <c r="H909" t="s">
        <v>448</v>
      </c>
    </row>
    <row r="910" spans="1:8" hidden="1" x14ac:dyDescent="0.3">
      <c r="A910" s="28">
        <v>15772</v>
      </c>
      <c r="B910" s="49">
        <v>45302.546527777777</v>
      </c>
      <c r="C910" s="18">
        <v>45302</v>
      </c>
      <c r="D910" t="s">
        <v>103</v>
      </c>
      <c r="E910" s="32">
        <v>930600</v>
      </c>
      <c r="F910" s="32">
        <v>0</v>
      </c>
      <c r="G910" s="32">
        <v>60053355</v>
      </c>
      <c r="H910" t="s">
        <v>426</v>
      </c>
    </row>
    <row r="911" spans="1:8" hidden="1" x14ac:dyDescent="0.3">
      <c r="A911" s="28">
        <v>15771</v>
      </c>
      <c r="B911" s="49">
        <v>45302.517361111109</v>
      </c>
      <c r="C911" s="18">
        <v>45302</v>
      </c>
      <c r="D911" t="s">
        <v>103</v>
      </c>
      <c r="E911" s="32">
        <v>4254800</v>
      </c>
      <c r="F911" s="32">
        <v>0</v>
      </c>
      <c r="G911" s="32">
        <v>59122755</v>
      </c>
      <c r="H911" t="s">
        <v>446</v>
      </c>
    </row>
    <row r="912" spans="1:8" hidden="1" x14ac:dyDescent="0.3">
      <c r="A912" s="28">
        <v>15770</v>
      </c>
      <c r="B912" s="49">
        <v>45302.481249999997</v>
      </c>
      <c r="C912" s="18">
        <v>45302</v>
      </c>
      <c r="D912" t="s">
        <v>104</v>
      </c>
      <c r="E912" s="32">
        <v>0</v>
      </c>
      <c r="F912" s="32">
        <v>608828</v>
      </c>
      <c r="G912" s="32">
        <v>54867955</v>
      </c>
      <c r="H912" t="s">
        <v>293</v>
      </c>
    </row>
    <row r="913" spans="1:8" hidden="1" x14ac:dyDescent="0.3">
      <c r="A913" s="28">
        <v>15769</v>
      </c>
      <c r="B913" s="49">
        <v>45302.42083333333</v>
      </c>
      <c r="C913" s="18">
        <v>45302</v>
      </c>
      <c r="D913" t="s">
        <v>104</v>
      </c>
      <c r="E913" s="32">
        <v>0</v>
      </c>
      <c r="F913" s="32">
        <v>507441</v>
      </c>
      <c r="G913" s="32">
        <v>55476783</v>
      </c>
      <c r="H913" t="s">
        <v>298</v>
      </c>
    </row>
    <row r="914" spans="1:8" hidden="1" x14ac:dyDescent="0.3">
      <c r="A914" s="28">
        <v>15768</v>
      </c>
      <c r="B914" s="49">
        <v>45302.388888888891</v>
      </c>
      <c r="C914" s="18">
        <v>45302</v>
      </c>
      <c r="D914" t="s">
        <v>104</v>
      </c>
      <c r="E914" s="32">
        <v>0</v>
      </c>
      <c r="F914" s="32">
        <v>8000</v>
      </c>
      <c r="G914" s="32">
        <v>55984224</v>
      </c>
      <c r="H914" t="s">
        <v>313</v>
      </c>
    </row>
    <row r="915" spans="1:8" hidden="1" x14ac:dyDescent="0.3">
      <c r="A915" s="28">
        <v>15767</v>
      </c>
      <c r="B915" s="49">
        <v>45302.375694444447</v>
      </c>
      <c r="C915" s="18">
        <v>45302</v>
      </c>
      <c r="D915" t="s">
        <v>104</v>
      </c>
      <c r="E915" s="32">
        <v>0</v>
      </c>
      <c r="F915" s="32">
        <v>17157400</v>
      </c>
      <c r="G915" s="32">
        <v>55992224</v>
      </c>
      <c r="H915" t="s">
        <v>449</v>
      </c>
    </row>
    <row r="916" spans="1:8" hidden="1" x14ac:dyDescent="0.3">
      <c r="A916" s="28">
        <v>15766</v>
      </c>
      <c r="B916" s="49">
        <v>45301.806250000001</v>
      </c>
      <c r="C916" s="18">
        <v>45301</v>
      </c>
      <c r="D916" t="s">
        <v>104</v>
      </c>
      <c r="E916" s="32">
        <v>0</v>
      </c>
      <c r="F916" s="32">
        <v>8845</v>
      </c>
      <c r="G916" s="32">
        <v>73149624</v>
      </c>
      <c r="H916" t="s">
        <v>374</v>
      </c>
    </row>
    <row r="917" spans="1:8" hidden="1" x14ac:dyDescent="0.3">
      <c r="A917" s="28">
        <v>15759</v>
      </c>
      <c r="B917" s="49">
        <v>45301.671527777777</v>
      </c>
      <c r="C917" s="18">
        <v>45301</v>
      </c>
      <c r="D917" t="s">
        <v>103</v>
      </c>
      <c r="E917" s="32">
        <v>1390400</v>
      </c>
      <c r="F917" s="32">
        <v>0</v>
      </c>
      <c r="G917" s="32">
        <v>73158469</v>
      </c>
      <c r="H917" t="s">
        <v>369</v>
      </c>
    </row>
    <row r="918" spans="1:8" hidden="1" x14ac:dyDescent="0.3">
      <c r="A918" s="28">
        <v>15758</v>
      </c>
      <c r="B918" s="49">
        <v>45301.652777777781</v>
      </c>
      <c r="C918" s="18">
        <v>45301</v>
      </c>
      <c r="D918" t="s">
        <v>103</v>
      </c>
      <c r="E918" s="32">
        <v>284900</v>
      </c>
      <c r="F918" s="32">
        <v>0</v>
      </c>
      <c r="G918" s="32">
        <v>71768069</v>
      </c>
      <c r="H918" t="s">
        <v>388</v>
      </c>
    </row>
    <row r="919" spans="1:8" hidden="1" x14ac:dyDescent="0.3">
      <c r="A919" s="28">
        <v>15757</v>
      </c>
      <c r="B919" s="49">
        <v>45301.62222222222</v>
      </c>
      <c r="C919" s="18">
        <v>45301</v>
      </c>
      <c r="D919" t="s">
        <v>103</v>
      </c>
      <c r="E919" s="32">
        <v>270600</v>
      </c>
      <c r="F919" s="32">
        <v>0</v>
      </c>
      <c r="G919" s="32">
        <v>71483169</v>
      </c>
      <c r="H919" t="s">
        <v>450</v>
      </c>
    </row>
    <row r="920" spans="1:8" hidden="1" x14ac:dyDescent="0.3">
      <c r="A920" s="28">
        <v>15755</v>
      </c>
      <c r="B920" s="49">
        <v>45301.448611111111</v>
      </c>
      <c r="C920" s="18">
        <v>45301</v>
      </c>
      <c r="D920" t="s">
        <v>103</v>
      </c>
      <c r="E920" s="32">
        <v>62800000</v>
      </c>
      <c r="F920" s="32">
        <v>0</v>
      </c>
      <c r="G920" s="32">
        <v>71212569</v>
      </c>
      <c r="H920" t="s">
        <v>451</v>
      </c>
    </row>
    <row r="921" spans="1:8" hidden="1" x14ac:dyDescent="0.3">
      <c r="A921" s="28">
        <v>15752</v>
      </c>
      <c r="B921" s="49">
        <v>45301.445138888892</v>
      </c>
      <c r="C921" s="18">
        <v>45301</v>
      </c>
      <c r="D921" t="s">
        <v>104</v>
      </c>
      <c r="E921" s="32">
        <v>0</v>
      </c>
      <c r="F921" s="32">
        <v>4180000</v>
      </c>
      <c r="G921" s="32">
        <v>8412569</v>
      </c>
      <c r="H921" t="s">
        <v>452</v>
      </c>
    </row>
    <row r="922" spans="1:8" hidden="1" x14ac:dyDescent="0.3">
      <c r="A922" s="28">
        <v>15750</v>
      </c>
      <c r="B922" s="49">
        <v>45301.419444444444</v>
      </c>
      <c r="C922" s="18">
        <v>45301</v>
      </c>
      <c r="D922" t="s">
        <v>104</v>
      </c>
      <c r="E922" s="32">
        <v>0</v>
      </c>
      <c r="F922" s="32">
        <v>51810400</v>
      </c>
      <c r="G922" s="32">
        <v>12592569</v>
      </c>
      <c r="H922" t="s">
        <v>453</v>
      </c>
    </row>
    <row r="923" spans="1:8" hidden="1" x14ac:dyDescent="0.3">
      <c r="A923" s="28">
        <v>15749</v>
      </c>
      <c r="B923" s="49">
        <v>45301.405555555553</v>
      </c>
      <c r="C923" s="18">
        <v>45301</v>
      </c>
      <c r="D923" t="s">
        <v>103</v>
      </c>
      <c r="E923" s="32">
        <v>129800</v>
      </c>
      <c r="F923" s="32">
        <v>0</v>
      </c>
      <c r="G923" s="32">
        <v>64402969</v>
      </c>
      <c r="H923" t="s">
        <v>454</v>
      </c>
    </row>
    <row r="924" spans="1:8" hidden="1" x14ac:dyDescent="0.3">
      <c r="A924" s="28">
        <v>15748</v>
      </c>
      <c r="B924" s="49">
        <v>45301.40347222222</v>
      </c>
      <c r="C924" s="18">
        <v>45301</v>
      </c>
      <c r="D924" t="s">
        <v>103</v>
      </c>
      <c r="E924" s="32">
        <v>167000</v>
      </c>
      <c r="F924" s="32">
        <v>0</v>
      </c>
      <c r="G924" s="32">
        <v>64273169</v>
      </c>
      <c r="H924" t="s">
        <v>455</v>
      </c>
    </row>
    <row r="925" spans="1:8" hidden="1" x14ac:dyDescent="0.3">
      <c r="A925" s="28">
        <v>15747</v>
      </c>
      <c r="B925" s="49">
        <v>45301.402777777781</v>
      </c>
      <c r="C925" s="18">
        <v>45301</v>
      </c>
      <c r="D925" t="s">
        <v>103</v>
      </c>
      <c r="E925" s="32">
        <v>16700</v>
      </c>
      <c r="F925" s="32">
        <v>0</v>
      </c>
      <c r="G925" s="32">
        <v>64106169</v>
      </c>
      <c r="H925" t="s">
        <v>456</v>
      </c>
    </row>
    <row r="926" spans="1:8" hidden="1" x14ac:dyDescent="0.3">
      <c r="A926" s="28">
        <v>15746</v>
      </c>
      <c r="B926" s="49">
        <v>45301.359027777777</v>
      </c>
      <c r="C926" s="18">
        <v>45301</v>
      </c>
      <c r="D926" t="s">
        <v>104</v>
      </c>
      <c r="E926" s="32">
        <v>0</v>
      </c>
      <c r="F926" s="32">
        <v>40500</v>
      </c>
      <c r="G926" s="32">
        <v>64089469</v>
      </c>
      <c r="H926" t="s">
        <v>457</v>
      </c>
    </row>
    <row r="927" spans="1:8" hidden="1" x14ac:dyDescent="0.3">
      <c r="A927" s="28">
        <v>15745</v>
      </c>
      <c r="B927" s="49">
        <v>45301.35833333333</v>
      </c>
      <c r="C927" s="18">
        <v>45301</v>
      </c>
      <c r="D927" t="s">
        <v>104</v>
      </c>
      <c r="E927" s="32">
        <v>0</v>
      </c>
      <c r="F927" s="32">
        <v>348940</v>
      </c>
      <c r="G927" s="32">
        <v>64129969</v>
      </c>
      <c r="H927" t="s">
        <v>391</v>
      </c>
    </row>
    <row r="928" spans="1:8" hidden="1" x14ac:dyDescent="0.3">
      <c r="A928" s="28">
        <v>15744</v>
      </c>
      <c r="B928" s="49">
        <v>45301.356944444444</v>
      </c>
      <c r="C928" s="18">
        <v>45301</v>
      </c>
      <c r="D928" t="s">
        <v>104</v>
      </c>
      <c r="E928" s="32">
        <v>0</v>
      </c>
      <c r="F928" s="32">
        <v>3480750</v>
      </c>
      <c r="G928" s="32">
        <v>64478909</v>
      </c>
      <c r="H928" t="s">
        <v>392</v>
      </c>
    </row>
    <row r="929" spans="1:8" hidden="1" x14ac:dyDescent="0.3">
      <c r="A929" s="28">
        <v>15743</v>
      </c>
      <c r="B929" s="49">
        <v>45301.356249999997</v>
      </c>
      <c r="C929" s="18">
        <v>45301</v>
      </c>
      <c r="D929" t="s">
        <v>104</v>
      </c>
      <c r="E929" s="32">
        <v>0</v>
      </c>
      <c r="F929" s="32">
        <v>9300</v>
      </c>
      <c r="G929" s="32">
        <v>67959659</v>
      </c>
      <c r="H929" t="s">
        <v>393</v>
      </c>
    </row>
    <row r="930" spans="1:8" hidden="1" x14ac:dyDescent="0.3">
      <c r="A930" s="28">
        <v>15742</v>
      </c>
      <c r="B930" s="49">
        <v>45300.758333333331</v>
      </c>
      <c r="C930" s="18">
        <v>45300</v>
      </c>
      <c r="D930" t="s">
        <v>103</v>
      </c>
      <c r="E930" s="32">
        <v>1301300</v>
      </c>
      <c r="F930" s="32">
        <v>0</v>
      </c>
      <c r="G930" s="32">
        <v>67968959</v>
      </c>
      <c r="H930" t="s">
        <v>458</v>
      </c>
    </row>
    <row r="931" spans="1:8" hidden="1" x14ac:dyDescent="0.3">
      <c r="A931" s="28">
        <v>15741</v>
      </c>
      <c r="B931" s="49">
        <v>45300.706250000003</v>
      </c>
      <c r="C931" s="18">
        <v>45300</v>
      </c>
      <c r="D931" t="s">
        <v>103</v>
      </c>
      <c r="E931" s="32">
        <v>894300</v>
      </c>
      <c r="F931" s="32">
        <v>0</v>
      </c>
      <c r="G931" s="32">
        <v>66667659</v>
      </c>
      <c r="H931" t="s">
        <v>459</v>
      </c>
    </row>
    <row r="932" spans="1:8" hidden="1" x14ac:dyDescent="0.3">
      <c r="A932" s="28">
        <v>15740</v>
      </c>
      <c r="B932" s="49">
        <v>45300.696527777778</v>
      </c>
      <c r="C932" s="18">
        <v>45300</v>
      </c>
      <c r="D932" t="s">
        <v>104</v>
      </c>
      <c r="E932" s="32">
        <v>0</v>
      </c>
      <c r="F932" s="32">
        <v>344960</v>
      </c>
      <c r="G932" s="32">
        <v>65773359</v>
      </c>
      <c r="H932" t="s">
        <v>352</v>
      </c>
    </row>
    <row r="933" spans="1:8" hidden="1" x14ac:dyDescent="0.3">
      <c r="A933" s="28">
        <v>15739</v>
      </c>
      <c r="B933" s="49">
        <v>45300.59652777778</v>
      </c>
      <c r="C933" s="18">
        <v>45300</v>
      </c>
      <c r="D933" t="s">
        <v>103</v>
      </c>
      <c r="E933" s="32">
        <v>1280400</v>
      </c>
      <c r="F933" s="32">
        <v>0</v>
      </c>
      <c r="G933" s="32">
        <v>66118319</v>
      </c>
      <c r="H933" t="s">
        <v>460</v>
      </c>
    </row>
    <row r="934" spans="1:8" hidden="1" x14ac:dyDescent="0.3">
      <c r="A934" s="28">
        <v>15738</v>
      </c>
      <c r="B934" s="49">
        <v>45300.572222222225</v>
      </c>
      <c r="C934" s="18">
        <v>45300</v>
      </c>
      <c r="D934" t="s">
        <v>103</v>
      </c>
      <c r="E934" s="32">
        <v>495000</v>
      </c>
      <c r="F934" s="32">
        <v>0</v>
      </c>
      <c r="G934" s="32">
        <v>64837919</v>
      </c>
      <c r="H934" t="s">
        <v>461</v>
      </c>
    </row>
    <row r="935" spans="1:8" hidden="1" x14ac:dyDescent="0.3">
      <c r="A935" s="28">
        <v>15737</v>
      </c>
      <c r="B935" s="49">
        <v>45299.726388888892</v>
      </c>
      <c r="C935" s="18">
        <v>45299</v>
      </c>
      <c r="D935" t="s">
        <v>103</v>
      </c>
      <c r="E935" s="32">
        <v>1965050</v>
      </c>
      <c r="F935" s="32">
        <v>0</v>
      </c>
      <c r="G935" s="32">
        <v>64342919</v>
      </c>
      <c r="H935" t="s">
        <v>394</v>
      </c>
    </row>
    <row r="936" spans="1:8" hidden="1" x14ac:dyDescent="0.3">
      <c r="A936" s="28">
        <v>15736</v>
      </c>
      <c r="B936" s="49">
        <v>45299.556250000001</v>
      </c>
      <c r="C936" s="18">
        <v>45299</v>
      </c>
      <c r="D936" t="s">
        <v>103</v>
      </c>
      <c r="E936" s="32">
        <v>68000</v>
      </c>
      <c r="F936" s="32">
        <v>0</v>
      </c>
      <c r="G936" s="32">
        <v>62377869</v>
      </c>
      <c r="H936" t="s">
        <v>462</v>
      </c>
    </row>
    <row r="937" spans="1:8" hidden="1" x14ac:dyDescent="0.3">
      <c r="A937" s="28">
        <v>15735</v>
      </c>
      <c r="B937" s="49">
        <v>45299.554861111108</v>
      </c>
      <c r="C937" s="18">
        <v>45299</v>
      </c>
      <c r="D937" t="s">
        <v>103</v>
      </c>
      <c r="E937" s="32">
        <v>6800</v>
      </c>
      <c r="F937" s="32">
        <v>0</v>
      </c>
      <c r="G937" s="32">
        <v>62309869</v>
      </c>
      <c r="H937" t="s">
        <v>463</v>
      </c>
    </row>
    <row r="938" spans="1:8" hidden="1" x14ac:dyDescent="0.3">
      <c r="A938" s="28">
        <v>15733</v>
      </c>
      <c r="B938" s="49">
        <v>45299.44027777778</v>
      </c>
      <c r="C938" s="18">
        <v>45299</v>
      </c>
      <c r="D938" t="s">
        <v>103</v>
      </c>
      <c r="E938" s="32">
        <v>1351900</v>
      </c>
      <c r="F938" s="32">
        <v>0</v>
      </c>
      <c r="G938" s="32">
        <v>62303069</v>
      </c>
      <c r="H938" t="s">
        <v>464</v>
      </c>
    </row>
    <row r="939" spans="1:8" hidden="1" x14ac:dyDescent="0.3">
      <c r="A939" s="28">
        <v>15732</v>
      </c>
      <c r="B939" s="49">
        <v>45296.831944444442</v>
      </c>
      <c r="C939" s="18">
        <v>45296</v>
      </c>
      <c r="D939" t="s">
        <v>104</v>
      </c>
      <c r="E939" s="32">
        <v>0</v>
      </c>
      <c r="F939" s="32">
        <v>626472</v>
      </c>
      <c r="G939" s="32">
        <v>60951169</v>
      </c>
      <c r="H939" t="s">
        <v>465</v>
      </c>
    </row>
    <row r="940" spans="1:8" hidden="1" x14ac:dyDescent="0.3">
      <c r="A940" s="28">
        <v>15731</v>
      </c>
      <c r="B940" s="49">
        <v>45296.79791666667</v>
      </c>
      <c r="C940" s="18">
        <v>45296</v>
      </c>
      <c r="D940" t="s">
        <v>104</v>
      </c>
      <c r="E940" s="32">
        <v>0</v>
      </c>
      <c r="F940" s="32">
        <v>711920</v>
      </c>
      <c r="G940" s="32">
        <v>61577641</v>
      </c>
      <c r="H940" t="s">
        <v>311</v>
      </c>
    </row>
    <row r="941" spans="1:8" hidden="1" x14ac:dyDescent="0.3">
      <c r="A941" s="28">
        <v>15729</v>
      </c>
      <c r="B941" s="49">
        <v>45296.604166666664</v>
      </c>
      <c r="C941" s="18">
        <v>45296</v>
      </c>
      <c r="D941" t="s">
        <v>103</v>
      </c>
      <c r="E941" s="32">
        <v>1837000</v>
      </c>
      <c r="F941" s="32">
        <v>0</v>
      </c>
      <c r="G941" s="32">
        <v>62289561</v>
      </c>
      <c r="H941" t="s">
        <v>466</v>
      </c>
    </row>
    <row r="942" spans="1:8" hidden="1" x14ac:dyDescent="0.3">
      <c r="A942" s="28">
        <v>15728</v>
      </c>
      <c r="B942" s="49">
        <v>45296.588888888888</v>
      </c>
      <c r="C942" s="18">
        <v>45296</v>
      </c>
      <c r="D942" t="s">
        <v>103</v>
      </c>
      <c r="E942" s="32">
        <v>927300</v>
      </c>
      <c r="F942" s="32">
        <v>0</v>
      </c>
      <c r="G942" s="32">
        <v>60452561</v>
      </c>
      <c r="H942" t="s">
        <v>467</v>
      </c>
    </row>
    <row r="943" spans="1:8" hidden="1" x14ac:dyDescent="0.3">
      <c r="A943" s="28">
        <v>15727</v>
      </c>
      <c r="B943" s="49">
        <v>45296.55972222222</v>
      </c>
      <c r="C943" s="18">
        <v>45296</v>
      </c>
      <c r="D943" t="s">
        <v>104</v>
      </c>
      <c r="E943" s="32">
        <v>0</v>
      </c>
      <c r="F943" s="32">
        <v>362416</v>
      </c>
      <c r="G943" s="32">
        <v>59525261</v>
      </c>
      <c r="H943" t="s">
        <v>293</v>
      </c>
    </row>
    <row r="944" spans="1:8" hidden="1" x14ac:dyDescent="0.3">
      <c r="A944" s="28">
        <v>15725</v>
      </c>
      <c r="B944" s="49">
        <v>45296.504166666666</v>
      </c>
      <c r="C944" s="18">
        <v>45296</v>
      </c>
      <c r="D944" t="s">
        <v>103</v>
      </c>
      <c r="E944" s="32">
        <v>2096600</v>
      </c>
      <c r="F944" s="32">
        <v>0</v>
      </c>
      <c r="G944" s="32">
        <v>59887677</v>
      </c>
      <c r="H944" t="s">
        <v>468</v>
      </c>
    </row>
    <row r="945" spans="1:8" hidden="1" x14ac:dyDescent="0.3">
      <c r="A945" s="28">
        <v>15724</v>
      </c>
      <c r="B945" s="49">
        <v>45296.430555555555</v>
      </c>
      <c r="C945" s="18">
        <v>45296</v>
      </c>
      <c r="D945" t="s">
        <v>104</v>
      </c>
      <c r="E945" s="32">
        <v>0</v>
      </c>
      <c r="F945" s="32">
        <v>936700</v>
      </c>
      <c r="G945" s="32">
        <v>57791077</v>
      </c>
      <c r="H945" t="s">
        <v>402</v>
      </c>
    </row>
    <row r="946" spans="1:8" hidden="1" x14ac:dyDescent="0.3">
      <c r="A946" s="28">
        <v>15723</v>
      </c>
      <c r="B946" s="49">
        <v>45295.678472222222</v>
      </c>
      <c r="C946" s="18">
        <v>45295</v>
      </c>
      <c r="D946" t="s">
        <v>104</v>
      </c>
      <c r="E946" s="32">
        <v>0</v>
      </c>
      <c r="F946" s="32">
        <v>32950</v>
      </c>
      <c r="G946" s="32">
        <v>58727777</v>
      </c>
      <c r="H946" t="s">
        <v>469</v>
      </c>
    </row>
    <row r="947" spans="1:8" hidden="1" x14ac:dyDescent="0.3">
      <c r="A947" s="28">
        <v>15722</v>
      </c>
      <c r="B947" s="49">
        <v>45295.593055555553</v>
      </c>
      <c r="C947" s="18">
        <v>45295</v>
      </c>
      <c r="D947" t="s">
        <v>104</v>
      </c>
      <c r="E947" s="32">
        <v>0</v>
      </c>
      <c r="F947" s="32">
        <v>329500</v>
      </c>
      <c r="G947" s="32">
        <v>58760727</v>
      </c>
      <c r="H947" t="s">
        <v>469</v>
      </c>
    </row>
    <row r="948" spans="1:8" hidden="1" x14ac:dyDescent="0.3">
      <c r="A948" s="28">
        <v>15721</v>
      </c>
      <c r="B948" s="49">
        <v>45295.563888888886</v>
      </c>
      <c r="C948" s="18">
        <v>45295</v>
      </c>
      <c r="D948" t="s">
        <v>103</v>
      </c>
      <c r="E948" s="32">
        <v>810700</v>
      </c>
      <c r="F948" s="32">
        <v>0</v>
      </c>
      <c r="G948" s="32">
        <v>59090227</v>
      </c>
      <c r="H948" t="s">
        <v>390</v>
      </c>
    </row>
    <row r="949" spans="1:8" hidden="1" x14ac:dyDescent="0.3">
      <c r="A949" s="28">
        <v>15720</v>
      </c>
      <c r="B949" s="49">
        <v>45295.491666666669</v>
      </c>
      <c r="C949" s="18">
        <v>45295</v>
      </c>
      <c r="D949" t="s">
        <v>103</v>
      </c>
      <c r="E949" s="32">
        <v>172700</v>
      </c>
      <c r="F949" s="32">
        <v>0</v>
      </c>
      <c r="G949" s="32">
        <v>58279527</v>
      </c>
      <c r="H949" t="s">
        <v>401</v>
      </c>
    </row>
    <row r="950" spans="1:8" hidden="1" x14ac:dyDescent="0.3">
      <c r="A950" s="28">
        <v>15719</v>
      </c>
      <c r="B950" s="49">
        <v>45295.491666666669</v>
      </c>
      <c r="C950" s="18">
        <v>45295</v>
      </c>
      <c r="D950" t="s">
        <v>103</v>
      </c>
      <c r="E950" s="32">
        <v>236500</v>
      </c>
      <c r="F950" s="32">
        <v>0</v>
      </c>
      <c r="G950" s="32">
        <v>58106827</v>
      </c>
      <c r="H950" t="s">
        <v>401</v>
      </c>
    </row>
    <row r="951" spans="1:8" hidden="1" x14ac:dyDescent="0.3">
      <c r="A951" s="28">
        <v>15715</v>
      </c>
      <c r="B951" s="49">
        <v>45294.470833333333</v>
      </c>
      <c r="C951" s="18">
        <v>45294</v>
      </c>
      <c r="D951" t="s">
        <v>104</v>
      </c>
      <c r="E951" s="32">
        <v>0</v>
      </c>
      <c r="F951" s="32">
        <v>330150</v>
      </c>
      <c r="G951" s="32">
        <v>57870327</v>
      </c>
      <c r="H951" t="s">
        <v>293</v>
      </c>
    </row>
    <row r="952" spans="1:8" hidden="1" x14ac:dyDescent="0.3">
      <c r="A952" s="28">
        <v>15714</v>
      </c>
      <c r="B952" s="49">
        <v>45293.79791666667</v>
      </c>
      <c r="C952" s="18">
        <v>45293</v>
      </c>
      <c r="D952" t="s">
        <v>104</v>
      </c>
      <c r="E952" s="32">
        <v>0</v>
      </c>
      <c r="F952" s="32">
        <v>400510</v>
      </c>
      <c r="G952" s="32">
        <v>58200477</v>
      </c>
      <c r="H952" t="s">
        <v>311</v>
      </c>
    </row>
    <row r="953" spans="1:8" hidden="1" x14ac:dyDescent="0.3">
      <c r="A953" s="28">
        <v>15713</v>
      </c>
      <c r="B953" s="49">
        <v>45293.663888888892</v>
      </c>
      <c r="C953" s="18">
        <v>45293</v>
      </c>
      <c r="D953" t="s">
        <v>103</v>
      </c>
      <c r="E953" s="32">
        <v>352000</v>
      </c>
      <c r="F953" s="32">
        <v>0</v>
      </c>
      <c r="G953" s="32">
        <v>58600987</v>
      </c>
      <c r="H953" t="s">
        <v>384</v>
      </c>
    </row>
    <row r="954" spans="1:8" hidden="1" x14ac:dyDescent="0.3">
      <c r="A954" s="28">
        <v>15712</v>
      </c>
      <c r="B954" s="49">
        <v>45293.638888888891</v>
      </c>
      <c r="C954" s="18">
        <v>45293</v>
      </c>
      <c r="D954" t="s">
        <v>103</v>
      </c>
      <c r="E954" s="32">
        <v>5597900</v>
      </c>
      <c r="F954" s="32">
        <v>0</v>
      </c>
      <c r="G954" s="32">
        <v>58248987</v>
      </c>
      <c r="H954" t="s">
        <v>470</v>
      </c>
    </row>
    <row r="955" spans="1:8" hidden="1" x14ac:dyDescent="0.3">
      <c r="A955" s="28">
        <v>15711</v>
      </c>
      <c r="B955" s="49">
        <v>45293.601388888892</v>
      </c>
      <c r="C955" s="18">
        <v>45293</v>
      </c>
      <c r="D955" t="s">
        <v>104</v>
      </c>
      <c r="E955" s="32">
        <v>0</v>
      </c>
      <c r="F955" s="32">
        <v>673200</v>
      </c>
      <c r="G955" s="32">
        <v>52651087</v>
      </c>
      <c r="H955" t="s">
        <v>471</v>
      </c>
    </row>
    <row r="956" spans="1:8" hidden="1" x14ac:dyDescent="0.3">
      <c r="A956" s="28">
        <v>15710</v>
      </c>
      <c r="B956" s="49">
        <v>45293.595833333333</v>
      </c>
      <c r="C956" s="18">
        <v>45293</v>
      </c>
      <c r="D956" t="s">
        <v>104</v>
      </c>
      <c r="E956" s="32">
        <v>0</v>
      </c>
      <c r="F956" s="32">
        <v>1994800</v>
      </c>
      <c r="G956" s="32">
        <v>53324287</v>
      </c>
      <c r="H956" t="s">
        <v>472</v>
      </c>
    </row>
    <row r="957" spans="1:8" hidden="1" x14ac:dyDescent="0.3">
      <c r="A957" s="28">
        <v>15707</v>
      </c>
      <c r="B957" s="49">
        <v>45293.572222222225</v>
      </c>
      <c r="C957" s="18">
        <v>45293</v>
      </c>
      <c r="D957" t="s">
        <v>104</v>
      </c>
      <c r="E957" s="32">
        <v>0</v>
      </c>
      <c r="F957" s="32">
        <v>70000000</v>
      </c>
      <c r="G957" s="32">
        <v>55319087</v>
      </c>
      <c r="H957" t="s">
        <v>342</v>
      </c>
    </row>
    <row r="958" spans="1:8" hidden="1" x14ac:dyDescent="0.3">
      <c r="A958" s="28">
        <v>15703</v>
      </c>
      <c r="B958" s="49">
        <v>45292.816666666666</v>
      </c>
      <c r="C958" s="18">
        <v>45292</v>
      </c>
      <c r="D958" t="s">
        <v>103</v>
      </c>
      <c r="E958" s="32">
        <v>143000</v>
      </c>
      <c r="F958" s="32">
        <v>0</v>
      </c>
      <c r="G958" s="32">
        <v>125319087</v>
      </c>
      <c r="H958" t="s">
        <v>332</v>
      </c>
    </row>
    <row r="959" spans="1:8" hidden="1" x14ac:dyDescent="0.3">
      <c r="A959" s="28">
        <v>15702</v>
      </c>
      <c r="B959" s="49">
        <v>45289.902083333334</v>
      </c>
      <c r="C959" s="18">
        <v>45289</v>
      </c>
      <c r="D959" t="s">
        <v>103</v>
      </c>
      <c r="E959" s="32">
        <v>432300</v>
      </c>
      <c r="F959" s="32">
        <v>0</v>
      </c>
      <c r="G959" s="32">
        <v>125176087</v>
      </c>
      <c r="H959" t="s">
        <v>473</v>
      </c>
    </row>
    <row r="960" spans="1:8" hidden="1" x14ac:dyDescent="0.3">
      <c r="A960" s="28">
        <v>15696</v>
      </c>
      <c r="B960" s="49">
        <v>45289.710416666669</v>
      </c>
      <c r="C960" s="18">
        <v>45289</v>
      </c>
      <c r="D960" t="s">
        <v>103</v>
      </c>
      <c r="E960" s="32">
        <v>248150</v>
      </c>
      <c r="F960" s="32">
        <v>0</v>
      </c>
      <c r="G960" s="32">
        <v>124743787</v>
      </c>
      <c r="H960" t="s">
        <v>394</v>
      </c>
    </row>
    <row r="961" spans="1:8" hidden="1" x14ac:dyDescent="0.3">
      <c r="A961" s="28">
        <v>15695</v>
      </c>
      <c r="B961" s="49">
        <v>45289.678472222222</v>
      </c>
      <c r="C961" s="18">
        <v>45289</v>
      </c>
      <c r="D961" t="s">
        <v>103</v>
      </c>
      <c r="E961" s="32">
        <v>260700</v>
      </c>
      <c r="F961" s="32">
        <v>0</v>
      </c>
      <c r="G961" s="32">
        <v>124495637</v>
      </c>
      <c r="H961" t="s">
        <v>317</v>
      </c>
    </row>
    <row r="962" spans="1:8" hidden="1" x14ac:dyDescent="0.3">
      <c r="A962" s="28">
        <v>15694</v>
      </c>
      <c r="B962" s="49">
        <v>45289.624305555553</v>
      </c>
      <c r="C962" s="18">
        <v>45289</v>
      </c>
      <c r="D962" t="s">
        <v>103</v>
      </c>
      <c r="E962" s="32">
        <v>1364000</v>
      </c>
      <c r="F962" s="32">
        <v>0</v>
      </c>
      <c r="G962" s="32">
        <v>124234937</v>
      </c>
      <c r="H962" t="s">
        <v>474</v>
      </c>
    </row>
    <row r="963" spans="1:8" hidden="1" x14ac:dyDescent="0.3">
      <c r="A963" s="28">
        <v>15693</v>
      </c>
      <c r="B963" s="49">
        <v>45289.594444444447</v>
      </c>
      <c r="C963" s="18">
        <v>45289</v>
      </c>
      <c r="D963" t="s">
        <v>103</v>
      </c>
      <c r="E963" s="32">
        <v>1278200</v>
      </c>
      <c r="F963" s="32">
        <v>0</v>
      </c>
      <c r="G963" s="32">
        <v>122870937</v>
      </c>
      <c r="H963" t="s">
        <v>447</v>
      </c>
    </row>
    <row r="964" spans="1:8" hidden="1" x14ac:dyDescent="0.3">
      <c r="A964" s="28">
        <v>15692</v>
      </c>
      <c r="B964" s="49">
        <v>45289.586805555555</v>
      </c>
      <c r="C964" s="18">
        <v>45289</v>
      </c>
      <c r="D964" t="s">
        <v>103</v>
      </c>
      <c r="E964" s="32">
        <v>40600</v>
      </c>
      <c r="F964" s="32">
        <v>0</v>
      </c>
      <c r="G964" s="32">
        <v>121592737</v>
      </c>
      <c r="H964" t="s">
        <v>385</v>
      </c>
    </row>
    <row r="965" spans="1:8" hidden="1" x14ac:dyDescent="0.3">
      <c r="A965" s="28">
        <v>15691</v>
      </c>
      <c r="B965" s="49">
        <v>45289.584027777775</v>
      </c>
      <c r="C965" s="18">
        <v>45289</v>
      </c>
      <c r="D965" t="s">
        <v>103</v>
      </c>
      <c r="E965" s="32">
        <v>3404500</v>
      </c>
      <c r="F965" s="32">
        <v>0</v>
      </c>
      <c r="G965" s="32">
        <v>121552137</v>
      </c>
      <c r="H965" t="s">
        <v>320</v>
      </c>
    </row>
    <row r="966" spans="1:8" hidden="1" x14ac:dyDescent="0.3">
      <c r="A966" s="28">
        <v>15690</v>
      </c>
      <c r="B966" s="49">
        <v>45289.582638888889</v>
      </c>
      <c r="C966" s="18">
        <v>45289</v>
      </c>
      <c r="D966" t="s">
        <v>103</v>
      </c>
      <c r="E966" s="32">
        <v>364100</v>
      </c>
      <c r="F966" s="32">
        <v>0</v>
      </c>
      <c r="G966" s="32">
        <v>118147637</v>
      </c>
      <c r="H966" t="s">
        <v>475</v>
      </c>
    </row>
    <row r="967" spans="1:8" hidden="1" x14ac:dyDescent="0.3">
      <c r="A967" s="28">
        <v>15689</v>
      </c>
      <c r="B967" s="49">
        <v>45289.570833333331</v>
      </c>
      <c r="C967" s="18">
        <v>45289</v>
      </c>
      <c r="D967" t="s">
        <v>103</v>
      </c>
      <c r="E967" s="32">
        <v>419100</v>
      </c>
      <c r="F967" s="32">
        <v>0</v>
      </c>
      <c r="G967" s="32">
        <v>117783537</v>
      </c>
      <c r="H967" t="s">
        <v>476</v>
      </c>
    </row>
    <row r="968" spans="1:8" hidden="1" x14ac:dyDescent="0.3">
      <c r="A968" s="28">
        <v>15688</v>
      </c>
      <c r="B968" s="49">
        <v>45289.5625</v>
      </c>
      <c r="C968" s="18">
        <v>45289</v>
      </c>
      <c r="D968" t="s">
        <v>103</v>
      </c>
      <c r="E968" s="32">
        <v>135300</v>
      </c>
      <c r="F968" s="32">
        <v>0</v>
      </c>
      <c r="G968" s="32">
        <v>117364437</v>
      </c>
      <c r="H968" t="s">
        <v>477</v>
      </c>
    </row>
    <row r="969" spans="1:8" hidden="1" x14ac:dyDescent="0.3">
      <c r="A969" s="28">
        <v>15687</v>
      </c>
      <c r="B969" s="49">
        <v>45289.536805555559</v>
      </c>
      <c r="C969" s="18">
        <v>45289</v>
      </c>
      <c r="D969" t="s">
        <v>103</v>
      </c>
      <c r="E969" s="32">
        <v>388300</v>
      </c>
      <c r="F969" s="32">
        <v>0</v>
      </c>
      <c r="G969" s="32">
        <v>117229137</v>
      </c>
      <c r="H969" t="s">
        <v>336</v>
      </c>
    </row>
    <row r="970" spans="1:8" hidden="1" x14ac:dyDescent="0.3">
      <c r="A970" s="28">
        <v>15686</v>
      </c>
      <c r="B970" s="49">
        <v>45289.527777777781</v>
      </c>
      <c r="C970" s="18">
        <v>45289</v>
      </c>
      <c r="D970" t="s">
        <v>103</v>
      </c>
      <c r="E970" s="32">
        <v>406000</v>
      </c>
      <c r="F970" s="32">
        <v>0</v>
      </c>
      <c r="G970" s="32">
        <v>116840837</v>
      </c>
      <c r="H970" t="s">
        <v>386</v>
      </c>
    </row>
    <row r="971" spans="1:8" hidden="1" x14ac:dyDescent="0.3">
      <c r="A971" s="28">
        <v>15685</v>
      </c>
      <c r="B971" s="49">
        <v>45289.518750000003</v>
      </c>
      <c r="C971" s="18">
        <v>45289</v>
      </c>
      <c r="D971" t="s">
        <v>103</v>
      </c>
      <c r="E971" s="32">
        <v>18700</v>
      </c>
      <c r="F971" s="32">
        <v>0</v>
      </c>
      <c r="G971" s="32">
        <v>116434837</v>
      </c>
      <c r="H971" t="s">
        <v>385</v>
      </c>
    </row>
    <row r="972" spans="1:8" hidden="1" x14ac:dyDescent="0.3">
      <c r="A972" s="28">
        <v>15684</v>
      </c>
      <c r="B972" s="49">
        <v>45289.518055555556</v>
      </c>
      <c r="C972" s="18">
        <v>45289</v>
      </c>
      <c r="D972" t="s">
        <v>103</v>
      </c>
      <c r="E972" s="32">
        <v>187000</v>
      </c>
      <c r="F972" s="32">
        <v>0</v>
      </c>
      <c r="G972" s="32">
        <v>116416137</v>
      </c>
      <c r="H972" t="s">
        <v>386</v>
      </c>
    </row>
    <row r="973" spans="1:8" hidden="1" x14ac:dyDescent="0.3">
      <c r="A973" s="28">
        <v>15681</v>
      </c>
      <c r="B973" s="49">
        <v>45289.472222222219</v>
      </c>
      <c r="C973" s="18">
        <v>45289</v>
      </c>
      <c r="D973" t="s">
        <v>103</v>
      </c>
      <c r="E973" s="32">
        <v>5071000</v>
      </c>
      <c r="F973" s="32">
        <v>0</v>
      </c>
      <c r="G973" s="32">
        <v>116229137</v>
      </c>
      <c r="H973" t="s">
        <v>327</v>
      </c>
    </row>
    <row r="974" spans="1:8" hidden="1" x14ac:dyDescent="0.3">
      <c r="A974" s="28">
        <v>15680</v>
      </c>
      <c r="B974" s="49">
        <v>45289.466666666667</v>
      </c>
      <c r="C974" s="18">
        <v>45289</v>
      </c>
      <c r="D974" t="s">
        <v>103</v>
      </c>
      <c r="E974" s="32">
        <v>1059300</v>
      </c>
      <c r="F974" s="32">
        <v>0</v>
      </c>
      <c r="G974" s="32">
        <v>111158137</v>
      </c>
      <c r="H974" t="s">
        <v>478</v>
      </c>
    </row>
    <row r="975" spans="1:8" hidden="1" x14ac:dyDescent="0.3">
      <c r="A975" s="28">
        <v>15679</v>
      </c>
      <c r="B975" s="49">
        <v>45289.466666666667</v>
      </c>
      <c r="C975" s="18">
        <v>45289</v>
      </c>
      <c r="D975" t="s">
        <v>103</v>
      </c>
      <c r="E975" s="32">
        <v>80300</v>
      </c>
      <c r="F975" s="32">
        <v>0</v>
      </c>
      <c r="G975" s="32">
        <v>110098837</v>
      </c>
      <c r="H975" t="s">
        <v>478</v>
      </c>
    </row>
    <row r="976" spans="1:8" hidden="1" x14ac:dyDescent="0.3">
      <c r="A976" s="28">
        <v>15678</v>
      </c>
      <c r="B976" s="49">
        <v>45289.466666666667</v>
      </c>
      <c r="C976" s="18">
        <v>45289</v>
      </c>
      <c r="D976" t="s">
        <v>103</v>
      </c>
      <c r="E976" s="32">
        <v>739200</v>
      </c>
      <c r="F976" s="32">
        <v>0</v>
      </c>
      <c r="G976" s="32">
        <v>110018537</v>
      </c>
      <c r="H976" t="s">
        <v>478</v>
      </c>
    </row>
    <row r="977" spans="1:8" hidden="1" x14ac:dyDescent="0.3">
      <c r="A977" s="28">
        <v>15677</v>
      </c>
      <c r="B977" s="49">
        <v>45289.466666666667</v>
      </c>
      <c r="C977" s="18">
        <v>45289</v>
      </c>
      <c r="D977" t="s">
        <v>103</v>
      </c>
      <c r="E977" s="32">
        <v>1062600</v>
      </c>
      <c r="F977" s="32">
        <v>0</v>
      </c>
      <c r="G977" s="32">
        <v>109279337</v>
      </c>
      <c r="H977" t="s">
        <v>478</v>
      </c>
    </row>
    <row r="978" spans="1:8" hidden="1" x14ac:dyDescent="0.3">
      <c r="A978" s="28">
        <v>15676</v>
      </c>
      <c r="B978" s="49">
        <v>45289.465277777781</v>
      </c>
      <c r="C978" s="18">
        <v>45289</v>
      </c>
      <c r="D978" t="s">
        <v>103</v>
      </c>
      <c r="E978" s="32">
        <v>706200</v>
      </c>
      <c r="F978" s="32">
        <v>0</v>
      </c>
      <c r="G978" s="32">
        <v>108216737</v>
      </c>
      <c r="H978" t="s">
        <v>300</v>
      </c>
    </row>
    <row r="979" spans="1:8" hidden="1" x14ac:dyDescent="0.3">
      <c r="A979" s="28">
        <v>15675</v>
      </c>
      <c r="B979" s="49">
        <v>45289.459027777775</v>
      </c>
      <c r="C979" s="18">
        <v>45289</v>
      </c>
      <c r="D979" t="s">
        <v>103</v>
      </c>
      <c r="E979" s="32">
        <v>673200</v>
      </c>
      <c r="F979" s="32">
        <v>0</v>
      </c>
      <c r="G979" s="32">
        <v>107510537</v>
      </c>
      <c r="H979" t="s">
        <v>324</v>
      </c>
    </row>
    <row r="980" spans="1:8" hidden="1" x14ac:dyDescent="0.3">
      <c r="A980" s="28">
        <v>15674</v>
      </c>
      <c r="B980" s="49">
        <v>45289.459027777775</v>
      </c>
      <c r="C980" s="18">
        <v>45289</v>
      </c>
      <c r="D980" t="s">
        <v>103</v>
      </c>
      <c r="E980" s="32">
        <v>183700</v>
      </c>
      <c r="F980" s="32">
        <v>0</v>
      </c>
      <c r="G980" s="32">
        <v>106837337</v>
      </c>
      <c r="H980" t="s">
        <v>324</v>
      </c>
    </row>
    <row r="981" spans="1:8" hidden="1" x14ac:dyDescent="0.3">
      <c r="A981" s="28">
        <v>15673</v>
      </c>
      <c r="B981" s="49">
        <v>45289.416666666664</v>
      </c>
      <c r="C981" s="18">
        <v>45289</v>
      </c>
      <c r="D981" t="s">
        <v>103</v>
      </c>
      <c r="E981" s="32">
        <v>317900</v>
      </c>
      <c r="F981" s="32">
        <v>0</v>
      </c>
      <c r="G981" s="32">
        <v>106653637</v>
      </c>
      <c r="H981" t="s">
        <v>322</v>
      </c>
    </row>
    <row r="982" spans="1:8" hidden="1" x14ac:dyDescent="0.3">
      <c r="A982" s="28">
        <v>15672</v>
      </c>
      <c r="B982" s="49">
        <v>45289.345138888886</v>
      </c>
      <c r="C982" s="18">
        <v>45289</v>
      </c>
      <c r="D982" t="s">
        <v>104</v>
      </c>
      <c r="E982" s="32">
        <v>0</v>
      </c>
      <c r="F982" s="32">
        <v>198000</v>
      </c>
      <c r="G982" s="32">
        <v>106335737</v>
      </c>
      <c r="H982" t="s">
        <v>479</v>
      </c>
    </row>
    <row r="983" spans="1:8" hidden="1" x14ac:dyDescent="0.3">
      <c r="A983" s="28">
        <v>15671</v>
      </c>
      <c r="B983" s="49">
        <v>45288.584722222222</v>
      </c>
      <c r="C983" s="18">
        <v>45288</v>
      </c>
      <c r="D983" t="s">
        <v>103</v>
      </c>
      <c r="E983" s="32">
        <v>24338600</v>
      </c>
      <c r="F983" s="32">
        <v>0</v>
      </c>
      <c r="G983" s="32">
        <v>106533737</v>
      </c>
      <c r="H983" t="s">
        <v>480</v>
      </c>
    </row>
    <row r="984" spans="1:8" hidden="1" x14ac:dyDescent="0.3">
      <c r="A984" s="28">
        <v>15670</v>
      </c>
      <c r="B984" s="49">
        <v>45288.572916666664</v>
      </c>
      <c r="C984" s="18">
        <v>45288</v>
      </c>
      <c r="D984" t="s">
        <v>103</v>
      </c>
      <c r="E984" s="32">
        <v>349800</v>
      </c>
      <c r="F984" s="32">
        <v>0</v>
      </c>
      <c r="G984" s="32">
        <v>82195137</v>
      </c>
      <c r="H984" t="s">
        <v>292</v>
      </c>
    </row>
    <row r="985" spans="1:8" hidden="1" x14ac:dyDescent="0.3">
      <c r="A985" s="28">
        <v>15669</v>
      </c>
      <c r="B985" s="49">
        <v>45288.572916666664</v>
      </c>
      <c r="C985" s="18">
        <v>45288</v>
      </c>
      <c r="D985" t="s">
        <v>103</v>
      </c>
      <c r="E985" s="32">
        <v>291500</v>
      </c>
      <c r="F985" s="32">
        <v>0</v>
      </c>
      <c r="G985" s="32">
        <v>81845337</v>
      </c>
      <c r="H985" t="s">
        <v>292</v>
      </c>
    </row>
    <row r="986" spans="1:8" hidden="1" x14ac:dyDescent="0.3">
      <c r="A986" s="28">
        <v>15668</v>
      </c>
      <c r="B986" s="49">
        <v>45288.56527777778</v>
      </c>
      <c r="C986" s="18">
        <v>45288</v>
      </c>
      <c r="D986" t="s">
        <v>103</v>
      </c>
      <c r="E986" s="32">
        <v>438900</v>
      </c>
      <c r="F986" s="32">
        <v>0</v>
      </c>
      <c r="G986" s="32">
        <v>81553837</v>
      </c>
      <c r="H986" t="s">
        <v>295</v>
      </c>
    </row>
    <row r="987" spans="1:8" hidden="1" x14ac:dyDescent="0.3">
      <c r="A987" s="28">
        <v>15667</v>
      </c>
      <c r="B987" s="49">
        <v>45288.52847222222</v>
      </c>
      <c r="C987" s="18">
        <v>45288</v>
      </c>
      <c r="D987" t="s">
        <v>103</v>
      </c>
      <c r="E987" s="32">
        <v>1469600</v>
      </c>
      <c r="F987" s="32">
        <v>0</v>
      </c>
      <c r="G987" s="32">
        <v>81114937</v>
      </c>
      <c r="H987" t="s">
        <v>401</v>
      </c>
    </row>
    <row r="988" spans="1:8" hidden="1" x14ac:dyDescent="0.3">
      <c r="A988" s="28">
        <v>15666</v>
      </c>
      <c r="B988" s="49">
        <v>45288.500694444447</v>
      </c>
      <c r="C988" s="18">
        <v>45288</v>
      </c>
      <c r="D988" t="s">
        <v>103</v>
      </c>
      <c r="E988" s="32">
        <v>3179840</v>
      </c>
      <c r="F988" s="32">
        <v>0</v>
      </c>
      <c r="G988" s="32">
        <v>79645337</v>
      </c>
      <c r="H988" t="s">
        <v>442</v>
      </c>
    </row>
    <row r="989" spans="1:8" hidden="1" x14ac:dyDescent="0.3">
      <c r="A989" s="28">
        <v>15664</v>
      </c>
      <c r="B989" s="49">
        <v>45288.470833333333</v>
      </c>
      <c r="C989" s="18">
        <v>45288</v>
      </c>
      <c r="D989" t="s">
        <v>103</v>
      </c>
      <c r="E989" s="32">
        <v>71500</v>
      </c>
      <c r="F989" s="32">
        <v>0</v>
      </c>
      <c r="G989" s="32">
        <v>76465497</v>
      </c>
      <c r="H989" t="s">
        <v>481</v>
      </c>
    </row>
    <row r="990" spans="1:8" hidden="1" x14ac:dyDescent="0.3">
      <c r="A990" s="28">
        <v>15663</v>
      </c>
      <c r="B990" s="49">
        <v>45288.443055555559</v>
      </c>
      <c r="C990" s="18">
        <v>45288</v>
      </c>
      <c r="D990" t="s">
        <v>103</v>
      </c>
      <c r="E990" s="32">
        <v>475200</v>
      </c>
      <c r="F990" s="32">
        <v>0</v>
      </c>
      <c r="G990" s="32">
        <v>76393997</v>
      </c>
      <c r="H990" t="s">
        <v>326</v>
      </c>
    </row>
    <row r="991" spans="1:8" hidden="1" x14ac:dyDescent="0.3">
      <c r="A991" s="28">
        <v>15662</v>
      </c>
      <c r="B991" s="49">
        <v>45288.443055555559</v>
      </c>
      <c r="C991" s="18">
        <v>45288</v>
      </c>
      <c r="D991" t="s">
        <v>103</v>
      </c>
      <c r="E991" s="32">
        <v>803000</v>
      </c>
      <c r="F991" s="32">
        <v>0</v>
      </c>
      <c r="G991" s="32">
        <v>75918797</v>
      </c>
      <c r="H991" t="s">
        <v>326</v>
      </c>
    </row>
    <row r="992" spans="1:8" hidden="1" x14ac:dyDescent="0.3">
      <c r="A992" s="28">
        <v>15660</v>
      </c>
      <c r="B992" s="49">
        <v>45288.380555555559</v>
      </c>
      <c r="C992" s="18">
        <v>45288</v>
      </c>
      <c r="D992" t="s">
        <v>103</v>
      </c>
      <c r="E992" s="32">
        <v>310200</v>
      </c>
      <c r="F992" s="32">
        <v>0</v>
      </c>
      <c r="G992" s="32">
        <v>75115797</v>
      </c>
      <c r="H992" t="s">
        <v>467</v>
      </c>
    </row>
    <row r="993" spans="1:8" hidden="1" x14ac:dyDescent="0.3">
      <c r="A993" s="28">
        <v>15658</v>
      </c>
      <c r="B993" s="49">
        <v>45287.746527777781</v>
      </c>
      <c r="C993" s="18">
        <v>45287</v>
      </c>
      <c r="D993" t="s">
        <v>103</v>
      </c>
      <c r="E993" s="32">
        <v>1988000</v>
      </c>
      <c r="F993" s="32">
        <v>0</v>
      </c>
      <c r="G993" s="32">
        <v>74805597</v>
      </c>
      <c r="H993" t="s">
        <v>482</v>
      </c>
    </row>
    <row r="994" spans="1:8" hidden="1" x14ac:dyDescent="0.3">
      <c r="A994" s="28">
        <v>15657</v>
      </c>
      <c r="B994" s="49">
        <v>45287.704861111109</v>
      </c>
      <c r="C994" s="18">
        <v>45287</v>
      </c>
      <c r="D994" t="s">
        <v>103</v>
      </c>
      <c r="E994" s="32">
        <v>198800</v>
      </c>
      <c r="F994" s="32">
        <v>0</v>
      </c>
      <c r="G994" s="32">
        <v>72817597</v>
      </c>
      <c r="H994" t="s">
        <v>483</v>
      </c>
    </row>
    <row r="995" spans="1:8" hidden="1" x14ac:dyDescent="0.3">
      <c r="A995" s="28">
        <v>15656</v>
      </c>
      <c r="B995" s="49">
        <v>45287.557638888888</v>
      </c>
      <c r="C995" s="18">
        <v>45287</v>
      </c>
      <c r="D995" t="s">
        <v>104</v>
      </c>
      <c r="E995" s="32">
        <v>0</v>
      </c>
      <c r="F995" s="32">
        <v>148718</v>
      </c>
      <c r="G995" s="32">
        <v>72618797</v>
      </c>
      <c r="H995" t="s">
        <v>293</v>
      </c>
    </row>
    <row r="996" spans="1:8" hidden="1" x14ac:dyDescent="0.3">
      <c r="A996" s="28">
        <v>15653</v>
      </c>
      <c r="B996" s="49">
        <v>45287.42083333333</v>
      </c>
      <c r="C996" s="18">
        <v>45287</v>
      </c>
      <c r="D996" t="s">
        <v>103</v>
      </c>
      <c r="E996" s="32">
        <v>2637800</v>
      </c>
      <c r="F996" s="32">
        <v>0</v>
      </c>
      <c r="G996" s="32">
        <v>72767515</v>
      </c>
      <c r="H996" t="s">
        <v>364</v>
      </c>
    </row>
    <row r="997" spans="1:8" hidden="1" x14ac:dyDescent="0.3">
      <c r="A997" s="28">
        <v>15652</v>
      </c>
      <c r="B997" s="49">
        <v>45287.404166666667</v>
      </c>
      <c r="C997" s="18">
        <v>45287</v>
      </c>
      <c r="D997" t="s">
        <v>103</v>
      </c>
      <c r="E997" s="32">
        <v>400400</v>
      </c>
      <c r="F997" s="32">
        <v>0</v>
      </c>
      <c r="G997" s="32">
        <v>70129715</v>
      </c>
      <c r="H997" t="s">
        <v>484</v>
      </c>
    </row>
    <row r="998" spans="1:8" hidden="1" x14ac:dyDescent="0.3">
      <c r="A998" s="28">
        <v>15650</v>
      </c>
      <c r="B998" s="49">
        <v>45287.386805555558</v>
      </c>
      <c r="C998" s="18">
        <v>45287</v>
      </c>
      <c r="D998" t="s">
        <v>103</v>
      </c>
      <c r="E998" s="32">
        <v>2861100</v>
      </c>
      <c r="F998" s="32">
        <v>0</v>
      </c>
      <c r="G998" s="32">
        <v>69729315</v>
      </c>
      <c r="H998" t="s">
        <v>399</v>
      </c>
    </row>
    <row r="999" spans="1:8" hidden="1" x14ac:dyDescent="0.3">
      <c r="A999" s="28">
        <v>15649</v>
      </c>
      <c r="B999" s="49">
        <v>45286.842361111114</v>
      </c>
      <c r="C999" s="18">
        <v>45286</v>
      </c>
      <c r="D999" t="s">
        <v>104</v>
      </c>
      <c r="E999" s="32">
        <v>0</v>
      </c>
      <c r="F999" s="32">
        <v>440000</v>
      </c>
      <c r="G999" s="32">
        <v>66868215</v>
      </c>
      <c r="H999" t="s">
        <v>485</v>
      </c>
    </row>
    <row r="1000" spans="1:8" hidden="1" x14ac:dyDescent="0.3">
      <c r="A1000" s="28">
        <v>15645</v>
      </c>
      <c r="B1000" s="49">
        <v>45286.750694444447</v>
      </c>
      <c r="C1000" s="18">
        <v>45286</v>
      </c>
      <c r="D1000" t="s">
        <v>104</v>
      </c>
      <c r="E1000" s="32">
        <v>0</v>
      </c>
      <c r="F1000" s="32">
        <v>50000000</v>
      </c>
      <c r="G1000" s="32">
        <v>67308215</v>
      </c>
      <c r="H1000" t="s">
        <v>342</v>
      </c>
    </row>
    <row r="1001" spans="1:8" hidden="1" x14ac:dyDescent="0.3">
      <c r="A1001" s="28">
        <v>15644</v>
      </c>
      <c r="B1001" s="49">
        <v>45286.637499999997</v>
      </c>
      <c r="C1001" s="18">
        <v>45286</v>
      </c>
      <c r="D1001" t="s">
        <v>103</v>
      </c>
      <c r="E1001" s="32">
        <v>3802700</v>
      </c>
      <c r="F1001" s="32">
        <v>0</v>
      </c>
      <c r="G1001" s="32">
        <v>117308215</v>
      </c>
      <c r="H1001" t="s">
        <v>486</v>
      </c>
    </row>
    <row r="1002" spans="1:8" hidden="1" x14ac:dyDescent="0.3">
      <c r="A1002" s="28">
        <v>15642</v>
      </c>
      <c r="B1002" s="49">
        <v>45286.489583333336</v>
      </c>
      <c r="C1002" s="18">
        <v>45286</v>
      </c>
      <c r="D1002" t="s">
        <v>103</v>
      </c>
      <c r="E1002" s="32">
        <v>210100</v>
      </c>
      <c r="F1002" s="32">
        <v>0</v>
      </c>
      <c r="G1002" s="32">
        <v>113505515</v>
      </c>
      <c r="H1002" t="s">
        <v>487</v>
      </c>
    </row>
    <row r="1003" spans="1:8" hidden="1" x14ac:dyDescent="0.3">
      <c r="A1003" s="28">
        <v>15641</v>
      </c>
      <c r="B1003" s="49">
        <v>45286.484027777777</v>
      </c>
      <c r="C1003" s="18">
        <v>45286</v>
      </c>
      <c r="D1003" t="s">
        <v>104</v>
      </c>
      <c r="E1003" s="32">
        <v>0</v>
      </c>
      <c r="F1003" s="32">
        <v>6600000</v>
      </c>
      <c r="G1003" s="32">
        <v>113295415</v>
      </c>
      <c r="H1003" t="s">
        <v>488</v>
      </c>
    </row>
    <row r="1004" spans="1:8" hidden="1" x14ac:dyDescent="0.3">
      <c r="A1004" s="28">
        <v>15640</v>
      </c>
      <c r="B1004" s="49">
        <v>45286.431944444441</v>
      </c>
      <c r="C1004" s="18">
        <v>45286</v>
      </c>
      <c r="D1004" t="s">
        <v>103</v>
      </c>
      <c r="E1004" s="32">
        <v>6162200</v>
      </c>
      <c r="F1004" s="32">
        <v>0</v>
      </c>
      <c r="G1004" s="32">
        <v>119895415</v>
      </c>
      <c r="H1004" t="s">
        <v>489</v>
      </c>
    </row>
    <row r="1005" spans="1:8" hidden="1" x14ac:dyDescent="0.3">
      <c r="A1005" s="28">
        <v>15639</v>
      </c>
      <c r="B1005" s="49">
        <v>45286.396527777775</v>
      </c>
      <c r="C1005" s="18">
        <v>45286</v>
      </c>
      <c r="D1005" t="s">
        <v>104</v>
      </c>
      <c r="E1005" s="32">
        <v>0</v>
      </c>
      <c r="F1005" s="32">
        <v>34870</v>
      </c>
      <c r="G1005" s="32">
        <v>113733215</v>
      </c>
      <c r="H1005" t="s">
        <v>352</v>
      </c>
    </row>
    <row r="1006" spans="1:8" hidden="1" x14ac:dyDescent="0.3">
      <c r="A1006" s="28">
        <v>15636</v>
      </c>
      <c r="B1006" s="49">
        <v>45282.712500000001</v>
      </c>
      <c r="C1006" s="18">
        <v>45282</v>
      </c>
      <c r="D1006" t="s">
        <v>104</v>
      </c>
      <c r="E1006" s="32">
        <v>0</v>
      </c>
      <c r="F1006" s="32">
        <v>406853</v>
      </c>
      <c r="G1006" s="32">
        <v>113768085</v>
      </c>
      <c r="H1006" t="s">
        <v>293</v>
      </c>
    </row>
    <row r="1007" spans="1:8" hidden="1" x14ac:dyDescent="0.3">
      <c r="A1007" s="28">
        <v>15635</v>
      </c>
      <c r="B1007" s="49">
        <v>45282.711111111108</v>
      </c>
      <c r="C1007" s="18">
        <v>45282</v>
      </c>
      <c r="D1007" t="s">
        <v>103</v>
      </c>
      <c r="E1007" s="32">
        <v>738100</v>
      </c>
      <c r="F1007" s="32">
        <v>0</v>
      </c>
      <c r="G1007" s="32">
        <v>114174938</v>
      </c>
      <c r="H1007" t="s">
        <v>319</v>
      </c>
    </row>
    <row r="1008" spans="1:8" hidden="1" x14ac:dyDescent="0.3">
      <c r="A1008" s="28">
        <v>15634</v>
      </c>
      <c r="B1008" s="49">
        <v>45282.665277777778</v>
      </c>
      <c r="C1008" s="18">
        <v>45282</v>
      </c>
      <c r="D1008" t="s">
        <v>103</v>
      </c>
      <c r="E1008" s="32">
        <v>2418900</v>
      </c>
      <c r="F1008" s="32">
        <v>0</v>
      </c>
      <c r="G1008" s="32">
        <v>113436838</v>
      </c>
      <c r="H1008" t="s">
        <v>321</v>
      </c>
    </row>
    <row r="1009" spans="1:8" hidden="1" x14ac:dyDescent="0.3">
      <c r="A1009" s="28">
        <v>15633</v>
      </c>
      <c r="B1009" s="49">
        <v>45282.665277777778</v>
      </c>
      <c r="C1009" s="18">
        <v>45282</v>
      </c>
      <c r="D1009" t="s">
        <v>103</v>
      </c>
      <c r="E1009" s="32">
        <v>97900</v>
      </c>
      <c r="F1009" s="32">
        <v>0</v>
      </c>
      <c r="G1009" s="32">
        <v>111017938</v>
      </c>
      <c r="H1009" t="s">
        <v>321</v>
      </c>
    </row>
    <row r="1010" spans="1:8" hidden="1" x14ac:dyDescent="0.3">
      <c r="A1010" s="28">
        <v>15632</v>
      </c>
      <c r="B1010" s="49">
        <v>45282.640972222223</v>
      </c>
      <c r="C1010" s="18">
        <v>45282</v>
      </c>
      <c r="D1010" t="s">
        <v>103</v>
      </c>
      <c r="E1010" s="32">
        <v>62340</v>
      </c>
      <c r="F1010" s="32">
        <v>0</v>
      </c>
      <c r="G1010" s="32">
        <v>110920038</v>
      </c>
      <c r="H1010" t="s">
        <v>490</v>
      </c>
    </row>
    <row r="1011" spans="1:8" hidden="1" x14ac:dyDescent="0.3">
      <c r="A1011" s="28">
        <v>15631</v>
      </c>
      <c r="B1011" s="49">
        <v>45282.640972222223</v>
      </c>
      <c r="C1011" s="18">
        <v>45282</v>
      </c>
      <c r="D1011" t="s">
        <v>103</v>
      </c>
      <c r="E1011" s="32">
        <v>55460</v>
      </c>
      <c r="F1011" s="32">
        <v>0</v>
      </c>
      <c r="G1011" s="32">
        <v>110857698</v>
      </c>
      <c r="H1011" t="s">
        <v>490</v>
      </c>
    </row>
    <row r="1012" spans="1:8" hidden="1" x14ac:dyDescent="0.3">
      <c r="A1012" s="28">
        <v>15629</v>
      </c>
      <c r="B1012" s="49">
        <v>45282.377083333333</v>
      </c>
      <c r="C1012" s="18">
        <v>45282</v>
      </c>
      <c r="D1012" t="s">
        <v>103</v>
      </c>
      <c r="E1012" s="32">
        <v>446600</v>
      </c>
      <c r="F1012" s="32">
        <v>0</v>
      </c>
      <c r="G1012" s="32">
        <v>110802238</v>
      </c>
      <c r="H1012" t="s">
        <v>443</v>
      </c>
    </row>
    <row r="1013" spans="1:8" hidden="1" x14ac:dyDescent="0.3">
      <c r="A1013" s="28">
        <v>15628</v>
      </c>
      <c r="B1013" s="49">
        <v>45282.347222222219</v>
      </c>
      <c r="C1013" s="18">
        <v>45282</v>
      </c>
      <c r="D1013" t="s">
        <v>104</v>
      </c>
      <c r="E1013" s="32">
        <v>0</v>
      </c>
      <c r="F1013" s="32">
        <v>130000</v>
      </c>
      <c r="G1013" s="32">
        <v>110355638</v>
      </c>
      <c r="H1013" t="s">
        <v>491</v>
      </c>
    </row>
    <row r="1014" spans="1:8" hidden="1" x14ac:dyDescent="0.3">
      <c r="A1014" s="28">
        <v>15627</v>
      </c>
      <c r="B1014" s="49">
        <v>45282.34652777778</v>
      </c>
      <c r="C1014" s="18">
        <v>45282</v>
      </c>
      <c r="D1014" t="s">
        <v>104</v>
      </c>
      <c r="E1014" s="32">
        <v>0</v>
      </c>
      <c r="F1014" s="32">
        <v>2493752</v>
      </c>
      <c r="G1014" s="32">
        <v>110485638</v>
      </c>
      <c r="H1014" t="s">
        <v>492</v>
      </c>
    </row>
    <row r="1015" spans="1:8" hidden="1" x14ac:dyDescent="0.3">
      <c r="A1015" s="28">
        <v>15626</v>
      </c>
      <c r="B1015" s="49">
        <v>45282.345138888886</v>
      </c>
      <c r="C1015" s="18">
        <v>45282</v>
      </c>
      <c r="D1015" t="s">
        <v>104</v>
      </c>
      <c r="E1015" s="32">
        <v>0</v>
      </c>
      <c r="F1015" s="32">
        <v>450000</v>
      </c>
      <c r="G1015" s="32">
        <v>112979390</v>
      </c>
      <c r="H1015" t="s">
        <v>354</v>
      </c>
    </row>
    <row r="1016" spans="1:8" hidden="1" x14ac:dyDescent="0.3">
      <c r="A1016" s="28">
        <v>15623</v>
      </c>
      <c r="B1016" s="49">
        <v>45281.738194444442</v>
      </c>
      <c r="C1016" s="18">
        <v>45281</v>
      </c>
      <c r="D1016" t="s">
        <v>103</v>
      </c>
      <c r="E1016" s="32">
        <v>22871200</v>
      </c>
      <c r="F1016" s="32">
        <v>0</v>
      </c>
      <c r="G1016" s="32">
        <v>113429390</v>
      </c>
      <c r="H1016" t="s">
        <v>480</v>
      </c>
    </row>
    <row r="1017" spans="1:8" hidden="1" x14ac:dyDescent="0.3">
      <c r="A1017" s="28">
        <v>15622</v>
      </c>
      <c r="B1017" s="49">
        <v>45281.636805555558</v>
      </c>
      <c r="C1017" s="18">
        <v>45281</v>
      </c>
      <c r="D1017" t="s">
        <v>103</v>
      </c>
      <c r="E1017" s="32">
        <v>1456400</v>
      </c>
      <c r="F1017" s="32">
        <v>0</v>
      </c>
      <c r="G1017" s="32">
        <v>90558190</v>
      </c>
      <c r="H1017" t="s">
        <v>493</v>
      </c>
    </row>
    <row r="1018" spans="1:8" hidden="1" x14ac:dyDescent="0.3">
      <c r="A1018" s="28">
        <v>15621</v>
      </c>
      <c r="B1018" s="49">
        <v>45281.598611111112</v>
      </c>
      <c r="C1018" s="18">
        <v>45281</v>
      </c>
      <c r="D1018" t="s">
        <v>103</v>
      </c>
      <c r="E1018" s="32">
        <v>1719300</v>
      </c>
      <c r="F1018" s="32">
        <v>0</v>
      </c>
      <c r="G1018" s="32">
        <v>89101790</v>
      </c>
      <c r="H1018" t="s">
        <v>448</v>
      </c>
    </row>
    <row r="1019" spans="1:8" hidden="1" x14ac:dyDescent="0.3">
      <c r="A1019" s="28">
        <v>15616</v>
      </c>
      <c r="B1019" s="49">
        <v>45280.852083333331</v>
      </c>
      <c r="C1019" s="18">
        <v>45280</v>
      </c>
      <c r="D1019" t="s">
        <v>104</v>
      </c>
      <c r="E1019" s="32">
        <v>0</v>
      </c>
      <c r="F1019" s="32">
        <v>598530</v>
      </c>
      <c r="G1019" s="32">
        <v>87382490</v>
      </c>
      <c r="H1019" t="s">
        <v>494</v>
      </c>
    </row>
    <row r="1020" spans="1:8" hidden="1" x14ac:dyDescent="0.3">
      <c r="A1020" s="28">
        <v>15615</v>
      </c>
      <c r="B1020" s="49">
        <v>45280.829861111109</v>
      </c>
      <c r="C1020" s="18">
        <v>45280</v>
      </c>
      <c r="D1020" t="s">
        <v>104</v>
      </c>
      <c r="E1020" s="32">
        <v>0</v>
      </c>
      <c r="F1020" s="32">
        <v>283498</v>
      </c>
      <c r="G1020" s="32">
        <v>87981020</v>
      </c>
      <c r="H1020" t="s">
        <v>495</v>
      </c>
    </row>
    <row r="1021" spans="1:8" hidden="1" x14ac:dyDescent="0.3">
      <c r="A1021" s="28">
        <v>15614</v>
      </c>
      <c r="B1021" s="49">
        <v>45280.819444444445</v>
      </c>
      <c r="C1021" s="18">
        <v>45280</v>
      </c>
      <c r="D1021" t="s">
        <v>104</v>
      </c>
      <c r="E1021" s="32">
        <v>0</v>
      </c>
      <c r="F1021" s="32">
        <v>77429</v>
      </c>
      <c r="G1021" s="32">
        <v>88264518</v>
      </c>
      <c r="H1021" t="s">
        <v>496</v>
      </c>
    </row>
    <row r="1022" spans="1:8" hidden="1" x14ac:dyDescent="0.3">
      <c r="A1022" s="28">
        <v>15613</v>
      </c>
      <c r="B1022" s="49">
        <v>45280.818055555559</v>
      </c>
      <c r="C1022" s="18">
        <v>45280</v>
      </c>
      <c r="D1022" t="s">
        <v>104</v>
      </c>
      <c r="E1022" s="32">
        <v>0</v>
      </c>
      <c r="F1022" s="32">
        <v>1000000</v>
      </c>
      <c r="G1022" s="32">
        <v>88341947</v>
      </c>
      <c r="H1022" t="s">
        <v>497</v>
      </c>
    </row>
    <row r="1023" spans="1:8" hidden="1" x14ac:dyDescent="0.3">
      <c r="A1023" s="28">
        <v>15612</v>
      </c>
      <c r="B1023" s="49">
        <v>45280.672222222223</v>
      </c>
      <c r="C1023" s="18">
        <v>45280</v>
      </c>
      <c r="D1023" t="s">
        <v>103</v>
      </c>
      <c r="E1023" s="32">
        <v>339900</v>
      </c>
      <c r="F1023" s="32">
        <v>0</v>
      </c>
      <c r="G1023" s="32">
        <v>89341947</v>
      </c>
      <c r="H1023" t="s">
        <v>498</v>
      </c>
    </row>
    <row r="1024" spans="1:8" hidden="1" x14ac:dyDescent="0.3">
      <c r="A1024" s="28">
        <v>15611</v>
      </c>
      <c r="B1024" s="49">
        <v>45280.627083333333</v>
      </c>
      <c r="C1024" s="18">
        <v>45280</v>
      </c>
      <c r="D1024" t="s">
        <v>103</v>
      </c>
      <c r="E1024" s="32">
        <v>81400</v>
      </c>
      <c r="F1024" s="32">
        <v>0</v>
      </c>
      <c r="G1024" s="32">
        <v>89002047</v>
      </c>
      <c r="H1024" t="s">
        <v>388</v>
      </c>
    </row>
    <row r="1025" spans="1:8" hidden="1" x14ac:dyDescent="0.3">
      <c r="A1025" s="28">
        <v>15610</v>
      </c>
      <c r="B1025" s="49">
        <v>45280.567361111112</v>
      </c>
      <c r="C1025" s="18">
        <v>45280</v>
      </c>
      <c r="D1025" t="s">
        <v>103</v>
      </c>
      <c r="E1025" s="32">
        <v>278300</v>
      </c>
      <c r="F1025" s="32">
        <v>0</v>
      </c>
      <c r="G1025" s="32">
        <v>88920647</v>
      </c>
      <c r="H1025" t="s">
        <v>499</v>
      </c>
    </row>
    <row r="1026" spans="1:8" hidden="1" x14ac:dyDescent="0.3">
      <c r="A1026" s="28">
        <v>15609</v>
      </c>
      <c r="B1026" s="49">
        <v>45280.494444444441</v>
      </c>
      <c r="C1026" s="18">
        <v>45280</v>
      </c>
      <c r="D1026" t="s">
        <v>103</v>
      </c>
      <c r="E1026" s="32">
        <v>277200</v>
      </c>
      <c r="F1026" s="32">
        <v>0</v>
      </c>
      <c r="G1026" s="32">
        <v>88642347</v>
      </c>
      <c r="H1026" t="s">
        <v>296</v>
      </c>
    </row>
    <row r="1027" spans="1:8" hidden="1" x14ac:dyDescent="0.3">
      <c r="A1027" s="28">
        <v>15607</v>
      </c>
      <c r="B1027" s="49">
        <v>45280.467361111114</v>
      </c>
      <c r="C1027" s="18">
        <v>45280</v>
      </c>
      <c r="D1027" t="s">
        <v>103</v>
      </c>
      <c r="E1027" s="32">
        <v>433400</v>
      </c>
      <c r="F1027" s="32">
        <v>0</v>
      </c>
      <c r="G1027" s="32">
        <v>88365147</v>
      </c>
      <c r="H1027" t="s">
        <v>435</v>
      </c>
    </row>
    <row r="1028" spans="1:8" hidden="1" x14ac:dyDescent="0.3">
      <c r="A1028" s="28">
        <v>15606</v>
      </c>
      <c r="B1028" s="49">
        <v>45280.425694444442</v>
      </c>
      <c r="C1028" s="18">
        <v>45280</v>
      </c>
      <c r="D1028" t="s">
        <v>104</v>
      </c>
      <c r="E1028" s="32">
        <v>0</v>
      </c>
      <c r="F1028" s="32">
        <v>960000</v>
      </c>
      <c r="G1028" s="32">
        <v>87931747</v>
      </c>
      <c r="H1028" t="s">
        <v>363</v>
      </c>
    </row>
    <row r="1029" spans="1:8" hidden="1" x14ac:dyDescent="0.3">
      <c r="A1029" s="28">
        <v>15605</v>
      </c>
      <c r="B1029" s="49">
        <v>45280.382638888892</v>
      </c>
      <c r="C1029" s="18">
        <v>45280</v>
      </c>
      <c r="D1029" t="s">
        <v>103</v>
      </c>
      <c r="E1029" s="32">
        <v>292600</v>
      </c>
      <c r="F1029" s="32">
        <v>0</v>
      </c>
      <c r="G1029" s="32">
        <v>88891747</v>
      </c>
      <c r="H1029" t="s">
        <v>292</v>
      </c>
    </row>
    <row r="1030" spans="1:8" hidden="1" x14ac:dyDescent="0.3">
      <c r="A1030" s="28">
        <v>15604</v>
      </c>
      <c r="B1030" s="49">
        <v>45280.359027777777</v>
      </c>
      <c r="C1030" s="18">
        <v>45280</v>
      </c>
      <c r="D1030" t="s">
        <v>103</v>
      </c>
      <c r="E1030" s="32">
        <v>638000</v>
      </c>
      <c r="F1030" s="32">
        <v>0</v>
      </c>
      <c r="G1030" s="32">
        <v>88599147</v>
      </c>
      <c r="H1030" t="s">
        <v>500</v>
      </c>
    </row>
    <row r="1031" spans="1:8" hidden="1" x14ac:dyDescent="0.3">
      <c r="A1031" s="28">
        <v>15603</v>
      </c>
      <c r="B1031" s="49">
        <v>45279.652083333334</v>
      </c>
      <c r="C1031" s="18">
        <v>45279</v>
      </c>
      <c r="D1031" t="s">
        <v>103</v>
      </c>
      <c r="E1031" s="32">
        <v>345400</v>
      </c>
      <c r="F1031" s="32">
        <v>0</v>
      </c>
      <c r="G1031" s="32">
        <v>87961147</v>
      </c>
      <c r="H1031" t="s">
        <v>501</v>
      </c>
    </row>
    <row r="1032" spans="1:8" hidden="1" x14ac:dyDescent="0.3">
      <c r="A1032" s="28">
        <v>15602</v>
      </c>
      <c r="B1032" s="49">
        <v>45279.581250000003</v>
      </c>
      <c r="C1032" s="18">
        <v>45279</v>
      </c>
      <c r="D1032" t="s">
        <v>103</v>
      </c>
      <c r="E1032" s="32">
        <v>1534500</v>
      </c>
      <c r="F1032" s="32">
        <v>0</v>
      </c>
      <c r="G1032" s="32">
        <v>87615747</v>
      </c>
      <c r="H1032" t="s">
        <v>323</v>
      </c>
    </row>
    <row r="1033" spans="1:8" hidden="1" x14ac:dyDescent="0.3">
      <c r="A1033" s="28">
        <v>15601</v>
      </c>
      <c r="B1033" s="49">
        <v>45279.572222222225</v>
      </c>
      <c r="C1033" s="18">
        <v>45279</v>
      </c>
      <c r="D1033" t="s">
        <v>104</v>
      </c>
      <c r="E1033" s="32">
        <v>0</v>
      </c>
      <c r="F1033" s="32">
        <v>20000</v>
      </c>
      <c r="G1033" s="32">
        <v>86081247</v>
      </c>
      <c r="H1033" t="s">
        <v>367</v>
      </c>
    </row>
    <row r="1034" spans="1:8" hidden="1" x14ac:dyDescent="0.3">
      <c r="A1034" s="28">
        <v>15600</v>
      </c>
      <c r="B1034" s="49">
        <v>45279.570138888892</v>
      </c>
      <c r="C1034" s="18">
        <v>45279</v>
      </c>
      <c r="D1034" t="s">
        <v>104</v>
      </c>
      <c r="E1034" s="32">
        <v>0</v>
      </c>
      <c r="F1034" s="32">
        <v>99000</v>
      </c>
      <c r="G1034" s="32">
        <v>86101247</v>
      </c>
      <c r="H1034" t="s">
        <v>502</v>
      </c>
    </row>
    <row r="1035" spans="1:8" hidden="1" x14ac:dyDescent="0.3">
      <c r="A1035" s="28">
        <v>15599</v>
      </c>
      <c r="B1035" s="49">
        <v>45279.556250000001</v>
      </c>
      <c r="C1035" s="18">
        <v>45279</v>
      </c>
      <c r="D1035" t="s">
        <v>103</v>
      </c>
      <c r="E1035" s="32">
        <v>1434400</v>
      </c>
      <c r="F1035" s="32">
        <v>0</v>
      </c>
      <c r="G1035" s="32">
        <v>86200247</v>
      </c>
      <c r="H1035" t="s">
        <v>503</v>
      </c>
    </row>
    <row r="1036" spans="1:8" hidden="1" x14ac:dyDescent="0.3">
      <c r="A1036" s="28">
        <v>15594</v>
      </c>
      <c r="B1036" s="49">
        <v>45279.425694444442</v>
      </c>
      <c r="C1036" s="18">
        <v>45279</v>
      </c>
      <c r="D1036" t="s">
        <v>104</v>
      </c>
      <c r="E1036" s="32">
        <v>0</v>
      </c>
      <c r="F1036" s="32">
        <v>1222690</v>
      </c>
      <c r="G1036" s="32">
        <v>84765847</v>
      </c>
      <c r="H1036" t="s">
        <v>366</v>
      </c>
    </row>
    <row r="1037" spans="1:8" hidden="1" x14ac:dyDescent="0.3">
      <c r="A1037" s="28">
        <v>15593</v>
      </c>
      <c r="B1037" s="49">
        <v>45278.793749999997</v>
      </c>
      <c r="C1037" s="18">
        <v>45278</v>
      </c>
      <c r="D1037" t="s">
        <v>104</v>
      </c>
      <c r="E1037" s="32">
        <v>0</v>
      </c>
      <c r="F1037" s="32">
        <v>593622</v>
      </c>
      <c r="G1037" s="32">
        <v>85988537</v>
      </c>
      <c r="H1037" t="s">
        <v>504</v>
      </c>
    </row>
    <row r="1038" spans="1:8" hidden="1" x14ac:dyDescent="0.3">
      <c r="A1038" s="28">
        <v>15592</v>
      </c>
      <c r="B1038" s="49">
        <v>45278.793749999997</v>
      </c>
      <c r="C1038" s="18">
        <v>45278</v>
      </c>
      <c r="D1038" t="s">
        <v>104</v>
      </c>
      <c r="E1038" s="32">
        <v>0</v>
      </c>
      <c r="F1038" s="32">
        <v>369820</v>
      </c>
      <c r="G1038" s="32">
        <v>86582159</v>
      </c>
      <c r="H1038" t="s">
        <v>504</v>
      </c>
    </row>
    <row r="1039" spans="1:8" hidden="1" x14ac:dyDescent="0.3">
      <c r="A1039" s="28">
        <v>15591</v>
      </c>
      <c r="B1039" s="49">
        <v>45278.793749999997</v>
      </c>
      <c r="C1039" s="18">
        <v>45278</v>
      </c>
      <c r="D1039" t="s">
        <v>104</v>
      </c>
      <c r="E1039" s="32">
        <v>0</v>
      </c>
      <c r="F1039" s="32">
        <v>1000000</v>
      </c>
      <c r="G1039" s="32">
        <v>86951979</v>
      </c>
      <c r="H1039" t="s">
        <v>504</v>
      </c>
    </row>
    <row r="1040" spans="1:8" hidden="1" x14ac:dyDescent="0.3">
      <c r="A1040" s="28">
        <v>15590</v>
      </c>
      <c r="B1040" s="49">
        <v>45278.793749999997</v>
      </c>
      <c r="C1040" s="18">
        <v>45278</v>
      </c>
      <c r="D1040" t="s">
        <v>104</v>
      </c>
      <c r="E1040" s="32">
        <v>0</v>
      </c>
      <c r="F1040" s="32">
        <v>1018726</v>
      </c>
      <c r="G1040" s="32">
        <v>87951979</v>
      </c>
      <c r="H1040" t="s">
        <v>504</v>
      </c>
    </row>
    <row r="1041" spans="1:8" hidden="1" x14ac:dyDescent="0.3">
      <c r="A1041" s="28">
        <v>15589</v>
      </c>
      <c r="B1041" s="49">
        <v>45278.715277777781</v>
      </c>
      <c r="C1041" s="18">
        <v>45278</v>
      </c>
      <c r="D1041" t="s">
        <v>103</v>
      </c>
      <c r="E1041" s="32">
        <v>1408000</v>
      </c>
      <c r="F1041" s="32">
        <v>0</v>
      </c>
      <c r="G1041" s="32">
        <v>88970705</v>
      </c>
      <c r="H1041" t="s">
        <v>295</v>
      </c>
    </row>
    <row r="1042" spans="1:8" hidden="1" x14ac:dyDescent="0.3">
      <c r="A1042" s="28">
        <v>15588</v>
      </c>
      <c r="B1042" s="49">
        <v>45278.625</v>
      </c>
      <c r="C1042" s="18">
        <v>45278</v>
      </c>
      <c r="D1042" t="s">
        <v>104</v>
      </c>
      <c r="E1042" s="32">
        <v>0</v>
      </c>
      <c r="F1042" s="32">
        <v>234160</v>
      </c>
      <c r="G1042" s="32">
        <v>87562705</v>
      </c>
      <c r="H1042" t="s">
        <v>361</v>
      </c>
    </row>
    <row r="1043" spans="1:8" hidden="1" x14ac:dyDescent="0.3">
      <c r="A1043" s="28">
        <v>15587</v>
      </c>
      <c r="B1043" s="49">
        <v>45278.623611111114</v>
      </c>
      <c r="C1043" s="18">
        <v>45278</v>
      </c>
      <c r="D1043" t="s">
        <v>104</v>
      </c>
      <c r="E1043" s="32">
        <v>0</v>
      </c>
      <c r="F1043" s="32">
        <v>8281290</v>
      </c>
      <c r="G1043" s="32">
        <v>87796865</v>
      </c>
      <c r="H1043" t="s">
        <v>361</v>
      </c>
    </row>
    <row r="1044" spans="1:8" hidden="1" x14ac:dyDescent="0.3">
      <c r="A1044" s="28">
        <v>15586</v>
      </c>
      <c r="B1044" s="49">
        <v>45278.590277777781</v>
      </c>
      <c r="C1044" s="18">
        <v>45278</v>
      </c>
      <c r="D1044" t="s">
        <v>103</v>
      </c>
      <c r="E1044" s="32">
        <v>1042800</v>
      </c>
      <c r="F1044" s="32">
        <v>0</v>
      </c>
      <c r="G1044" s="32">
        <v>96078155</v>
      </c>
      <c r="H1044" t="s">
        <v>437</v>
      </c>
    </row>
    <row r="1045" spans="1:8" hidden="1" x14ac:dyDescent="0.3">
      <c r="A1045" s="28">
        <v>15585</v>
      </c>
      <c r="B1045" s="49">
        <v>45278.573611111111</v>
      </c>
      <c r="C1045" s="18">
        <v>45278</v>
      </c>
      <c r="D1045" t="s">
        <v>103</v>
      </c>
      <c r="E1045" s="32">
        <v>255200</v>
      </c>
      <c r="F1045" s="32">
        <v>0</v>
      </c>
      <c r="G1045" s="32">
        <v>95035355</v>
      </c>
      <c r="H1045" t="s">
        <v>292</v>
      </c>
    </row>
    <row r="1046" spans="1:8" hidden="1" x14ac:dyDescent="0.3">
      <c r="A1046" s="28">
        <v>15582</v>
      </c>
      <c r="B1046" s="49">
        <v>45278.385416666664</v>
      </c>
      <c r="C1046" s="18">
        <v>45278</v>
      </c>
      <c r="D1046" t="s">
        <v>104</v>
      </c>
      <c r="E1046" s="32">
        <v>0</v>
      </c>
      <c r="F1046" s="32">
        <v>35580170</v>
      </c>
      <c r="G1046" s="32">
        <v>94780155</v>
      </c>
      <c r="H1046" t="s">
        <v>330</v>
      </c>
    </row>
    <row r="1047" spans="1:8" hidden="1" x14ac:dyDescent="0.3">
      <c r="A1047" s="28">
        <v>15581</v>
      </c>
      <c r="B1047" s="49">
        <v>45278.384722222225</v>
      </c>
      <c r="C1047" s="18">
        <v>45278</v>
      </c>
      <c r="D1047" t="s">
        <v>104</v>
      </c>
      <c r="E1047" s="32">
        <v>0</v>
      </c>
      <c r="F1047" s="32">
        <v>9386940</v>
      </c>
      <c r="G1047" s="32">
        <v>130360325</v>
      </c>
      <c r="H1047" t="s">
        <v>330</v>
      </c>
    </row>
    <row r="1048" spans="1:8" hidden="1" x14ac:dyDescent="0.3">
      <c r="A1048" s="28">
        <v>15577</v>
      </c>
      <c r="B1048" s="49">
        <v>45275.834722222222</v>
      </c>
      <c r="C1048" s="18">
        <v>45275</v>
      </c>
      <c r="D1048" t="s">
        <v>104</v>
      </c>
      <c r="E1048" s="32">
        <v>0</v>
      </c>
      <c r="F1048" s="32">
        <v>407150</v>
      </c>
      <c r="G1048" s="32">
        <v>139747265</v>
      </c>
      <c r="H1048" t="s">
        <v>505</v>
      </c>
    </row>
    <row r="1049" spans="1:8" hidden="1" x14ac:dyDescent="0.3">
      <c r="A1049" s="28">
        <v>15576</v>
      </c>
      <c r="B1049" s="49">
        <v>45275.808333333334</v>
      </c>
      <c r="C1049" s="18">
        <v>45275</v>
      </c>
      <c r="D1049" t="s">
        <v>104</v>
      </c>
      <c r="E1049" s="32">
        <v>0</v>
      </c>
      <c r="F1049" s="32">
        <v>99000</v>
      </c>
      <c r="G1049" s="32">
        <v>140154415</v>
      </c>
      <c r="H1049" t="s">
        <v>373</v>
      </c>
    </row>
    <row r="1050" spans="1:8" hidden="1" x14ac:dyDescent="0.3">
      <c r="A1050" s="28">
        <v>15575</v>
      </c>
      <c r="B1050" s="49">
        <v>45275.805555555555</v>
      </c>
      <c r="C1050" s="18">
        <v>45275</v>
      </c>
      <c r="D1050" t="s">
        <v>104</v>
      </c>
      <c r="E1050" s="32">
        <v>0</v>
      </c>
      <c r="F1050" s="32">
        <v>435701</v>
      </c>
      <c r="G1050" s="32">
        <v>140253415</v>
      </c>
      <c r="H1050" t="s">
        <v>506</v>
      </c>
    </row>
    <row r="1051" spans="1:8" hidden="1" x14ac:dyDescent="0.3">
      <c r="A1051" s="28">
        <v>15574</v>
      </c>
      <c r="B1051" s="49">
        <v>45275.800694444442</v>
      </c>
      <c r="C1051" s="18">
        <v>45275</v>
      </c>
      <c r="D1051" t="s">
        <v>104</v>
      </c>
      <c r="E1051" s="32">
        <v>0</v>
      </c>
      <c r="F1051" s="32">
        <v>684420</v>
      </c>
      <c r="G1051" s="32">
        <v>140689116</v>
      </c>
      <c r="H1051" t="s">
        <v>507</v>
      </c>
    </row>
    <row r="1052" spans="1:8" hidden="1" x14ac:dyDescent="0.3">
      <c r="A1052" s="28">
        <v>15572</v>
      </c>
      <c r="B1052" s="49">
        <v>45275.759722222225</v>
      </c>
      <c r="C1052" s="18">
        <v>45275</v>
      </c>
      <c r="D1052" t="s">
        <v>104</v>
      </c>
      <c r="E1052" s="32">
        <v>0</v>
      </c>
      <c r="F1052" s="32">
        <v>14606690</v>
      </c>
      <c r="G1052" s="32">
        <v>141373536</v>
      </c>
      <c r="H1052" t="s">
        <v>375</v>
      </c>
    </row>
    <row r="1053" spans="1:8" hidden="1" x14ac:dyDescent="0.3">
      <c r="A1053" s="28">
        <v>15566</v>
      </c>
      <c r="B1053" s="49">
        <v>45275.734722222223</v>
      </c>
      <c r="C1053" s="18">
        <v>45275</v>
      </c>
      <c r="D1053" t="s">
        <v>103</v>
      </c>
      <c r="E1053" s="32">
        <v>3085500</v>
      </c>
      <c r="F1053" s="32">
        <v>0</v>
      </c>
      <c r="G1053" s="32">
        <v>155980226</v>
      </c>
      <c r="H1053" t="s">
        <v>508</v>
      </c>
    </row>
    <row r="1054" spans="1:8" hidden="1" x14ac:dyDescent="0.3">
      <c r="A1054" s="28">
        <v>15565</v>
      </c>
      <c r="B1054" s="49">
        <v>45275.573611111111</v>
      </c>
      <c r="C1054" s="18">
        <v>45275</v>
      </c>
      <c r="D1054" t="s">
        <v>104</v>
      </c>
      <c r="E1054" s="32">
        <v>0</v>
      </c>
      <c r="F1054" s="32">
        <v>115160</v>
      </c>
      <c r="G1054" s="32">
        <v>152894726</v>
      </c>
      <c r="H1054" t="s">
        <v>509</v>
      </c>
    </row>
    <row r="1055" spans="1:8" hidden="1" x14ac:dyDescent="0.3">
      <c r="A1055" s="28">
        <v>15564</v>
      </c>
      <c r="B1055" s="49">
        <v>45275.495138888888</v>
      </c>
      <c r="C1055" s="18">
        <v>45275</v>
      </c>
      <c r="D1055" t="s">
        <v>103</v>
      </c>
      <c r="E1055" s="32">
        <v>625900</v>
      </c>
      <c r="F1055" s="32">
        <v>0</v>
      </c>
      <c r="G1055" s="32">
        <v>153009886</v>
      </c>
      <c r="H1055" t="s">
        <v>426</v>
      </c>
    </row>
    <row r="1056" spans="1:8" hidden="1" x14ac:dyDescent="0.3">
      <c r="A1056" s="28">
        <v>15563</v>
      </c>
      <c r="B1056" s="49">
        <v>45275.480555555558</v>
      </c>
      <c r="C1056" s="18">
        <v>45275</v>
      </c>
      <c r="D1056" t="s">
        <v>103</v>
      </c>
      <c r="E1056" s="32">
        <v>600600</v>
      </c>
      <c r="F1056" s="32">
        <v>0</v>
      </c>
      <c r="G1056" s="32">
        <v>152383986</v>
      </c>
      <c r="H1056" t="s">
        <v>510</v>
      </c>
    </row>
    <row r="1057" spans="1:8" hidden="1" x14ac:dyDescent="0.3">
      <c r="A1057" s="28">
        <v>15561</v>
      </c>
      <c r="B1057" s="49">
        <v>45275.434027777781</v>
      </c>
      <c r="C1057" s="18">
        <v>45275</v>
      </c>
      <c r="D1057" t="s">
        <v>103</v>
      </c>
      <c r="E1057" s="32">
        <v>1043900</v>
      </c>
      <c r="F1057" s="32">
        <v>0</v>
      </c>
      <c r="G1057" s="32">
        <v>151783386</v>
      </c>
      <c r="H1057" t="s">
        <v>324</v>
      </c>
    </row>
    <row r="1058" spans="1:8" hidden="1" x14ac:dyDescent="0.3">
      <c r="A1058" s="28">
        <v>15560</v>
      </c>
      <c r="B1058" s="49">
        <v>45275.434027777781</v>
      </c>
      <c r="C1058" s="18">
        <v>45275</v>
      </c>
      <c r="D1058" t="s">
        <v>103</v>
      </c>
      <c r="E1058" s="32">
        <v>673200</v>
      </c>
      <c r="F1058" s="32">
        <v>0</v>
      </c>
      <c r="G1058" s="32">
        <v>150739486</v>
      </c>
      <c r="H1058" t="s">
        <v>324</v>
      </c>
    </row>
    <row r="1059" spans="1:8" hidden="1" x14ac:dyDescent="0.3">
      <c r="A1059" s="28">
        <v>15559</v>
      </c>
      <c r="B1059" s="49">
        <v>45275.418055555558</v>
      </c>
      <c r="C1059" s="18">
        <v>45275</v>
      </c>
      <c r="D1059" t="s">
        <v>103</v>
      </c>
      <c r="E1059" s="32">
        <v>11491700</v>
      </c>
      <c r="F1059" s="32">
        <v>0</v>
      </c>
      <c r="G1059" s="32">
        <v>150066286</v>
      </c>
      <c r="H1059" t="s">
        <v>378</v>
      </c>
    </row>
    <row r="1060" spans="1:8" hidden="1" x14ac:dyDescent="0.3">
      <c r="A1060" s="28">
        <v>15558</v>
      </c>
      <c r="B1060" s="49">
        <v>45275.383333333331</v>
      </c>
      <c r="C1060" s="18">
        <v>45275</v>
      </c>
      <c r="D1060" t="s">
        <v>104</v>
      </c>
      <c r="E1060" s="32">
        <v>0</v>
      </c>
      <c r="F1060" s="32">
        <v>8000</v>
      </c>
      <c r="G1060" s="32">
        <v>138574586</v>
      </c>
      <c r="H1060" t="s">
        <v>313</v>
      </c>
    </row>
    <row r="1061" spans="1:8" hidden="1" x14ac:dyDescent="0.3">
      <c r="A1061" s="28">
        <v>15557</v>
      </c>
      <c r="B1061" s="49">
        <v>45275.383333333331</v>
      </c>
      <c r="C1061" s="18">
        <v>45275</v>
      </c>
      <c r="D1061" t="s">
        <v>104</v>
      </c>
      <c r="E1061" s="32">
        <v>0</v>
      </c>
      <c r="F1061" s="32">
        <v>198849</v>
      </c>
      <c r="G1061" s="32">
        <v>138582586</v>
      </c>
      <c r="H1061" t="s">
        <v>293</v>
      </c>
    </row>
    <row r="1062" spans="1:8" hidden="1" x14ac:dyDescent="0.3">
      <c r="A1062" s="28">
        <v>15556</v>
      </c>
      <c r="B1062" s="49">
        <v>45274.710416666669</v>
      </c>
      <c r="C1062" s="18">
        <v>45274</v>
      </c>
      <c r="D1062" t="s">
        <v>103</v>
      </c>
      <c r="E1062" s="32">
        <v>2334200</v>
      </c>
      <c r="F1062" s="32">
        <v>0</v>
      </c>
      <c r="G1062" s="32">
        <v>138781435</v>
      </c>
      <c r="H1062" t="s">
        <v>307</v>
      </c>
    </row>
    <row r="1063" spans="1:8" hidden="1" x14ac:dyDescent="0.3">
      <c r="A1063" s="28">
        <v>15554</v>
      </c>
      <c r="B1063" s="49">
        <v>45274.599305555559</v>
      </c>
      <c r="C1063" s="18">
        <v>45274</v>
      </c>
      <c r="D1063" t="s">
        <v>104</v>
      </c>
      <c r="E1063" s="32">
        <v>0</v>
      </c>
      <c r="F1063" s="32">
        <v>77220</v>
      </c>
      <c r="G1063" s="32">
        <v>136447235</v>
      </c>
      <c r="H1063" t="s">
        <v>365</v>
      </c>
    </row>
    <row r="1064" spans="1:8" hidden="1" x14ac:dyDescent="0.3">
      <c r="A1064" s="28">
        <v>15553</v>
      </c>
      <c r="B1064" s="49">
        <v>45274.47152777778</v>
      </c>
      <c r="C1064" s="18">
        <v>45274</v>
      </c>
      <c r="D1064" t="s">
        <v>103</v>
      </c>
      <c r="E1064" s="32">
        <v>1114300</v>
      </c>
      <c r="F1064" s="32">
        <v>0</v>
      </c>
      <c r="G1064" s="32">
        <v>136524455</v>
      </c>
      <c r="H1064" t="s">
        <v>476</v>
      </c>
    </row>
    <row r="1065" spans="1:8" hidden="1" x14ac:dyDescent="0.3">
      <c r="A1065" s="28">
        <v>15552</v>
      </c>
      <c r="B1065" s="49">
        <v>45274.37777777778</v>
      </c>
      <c r="C1065" s="18">
        <v>45274</v>
      </c>
      <c r="D1065" t="s">
        <v>104</v>
      </c>
      <c r="E1065" s="32">
        <v>0</v>
      </c>
      <c r="F1065" s="32">
        <v>90811000</v>
      </c>
      <c r="G1065" s="32">
        <v>135410155</v>
      </c>
      <c r="H1065" t="s">
        <v>511</v>
      </c>
    </row>
    <row r="1066" spans="1:8" hidden="1" x14ac:dyDescent="0.3">
      <c r="A1066" s="28">
        <v>15548</v>
      </c>
      <c r="B1066" s="49">
        <v>45274.357638888891</v>
      </c>
      <c r="C1066" s="18">
        <v>45274</v>
      </c>
      <c r="D1066" t="s">
        <v>103</v>
      </c>
      <c r="E1066" s="32">
        <v>200000000</v>
      </c>
      <c r="F1066" s="32">
        <v>0</v>
      </c>
      <c r="G1066" s="32">
        <v>226221155</v>
      </c>
      <c r="H1066" t="s">
        <v>331</v>
      </c>
    </row>
    <row r="1067" spans="1:8" hidden="1" x14ac:dyDescent="0.3">
      <c r="A1067" s="28">
        <v>15540</v>
      </c>
      <c r="B1067" s="49">
        <v>45273.551388888889</v>
      </c>
      <c r="C1067" s="18">
        <v>45273</v>
      </c>
      <c r="D1067" t="s">
        <v>103</v>
      </c>
      <c r="E1067" s="32">
        <v>511500</v>
      </c>
      <c r="F1067" s="32">
        <v>0</v>
      </c>
      <c r="G1067" s="32">
        <v>26221155</v>
      </c>
      <c r="H1067" t="s">
        <v>477</v>
      </c>
    </row>
    <row r="1068" spans="1:8" hidden="1" x14ac:dyDescent="0.3">
      <c r="A1068" s="28">
        <v>15539</v>
      </c>
      <c r="B1068" s="49">
        <v>45273.477083333331</v>
      </c>
      <c r="C1068" s="18">
        <v>45273</v>
      </c>
      <c r="D1068" t="s">
        <v>104</v>
      </c>
      <c r="E1068" s="32">
        <v>0</v>
      </c>
      <c r="F1068" s="32">
        <v>100000000</v>
      </c>
      <c r="G1068" s="32">
        <v>25709655</v>
      </c>
      <c r="H1068" t="s">
        <v>512</v>
      </c>
    </row>
    <row r="1069" spans="1:8" hidden="1" x14ac:dyDescent="0.3">
      <c r="A1069" s="28">
        <v>15538</v>
      </c>
      <c r="B1069" s="49">
        <v>45273.473611111112</v>
      </c>
      <c r="C1069" s="18">
        <v>45273</v>
      </c>
      <c r="D1069" t="s">
        <v>104</v>
      </c>
      <c r="E1069" s="32">
        <v>0</v>
      </c>
      <c r="F1069" s="32">
        <v>100000000</v>
      </c>
      <c r="G1069" s="32">
        <v>125709655</v>
      </c>
      <c r="H1069" t="s">
        <v>512</v>
      </c>
    </row>
    <row r="1070" spans="1:8" hidden="1" x14ac:dyDescent="0.3">
      <c r="A1070" s="28">
        <v>15536</v>
      </c>
      <c r="B1070" s="49">
        <v>45272.72152777778</v>
      </c>
      <c r="C1070" s="18">
        <v>45272</v>
      </c>
      <c r="D1070" t="s">
        <v>103</v>
      </c>
      <c r="E1070" s="32">
        <v>3248300</v>
      </c>
      <c r="F1070" s="32">
        <v>0</v>
      </c>
      <c r="G1070" s="32">
        <v>225709655</v>
      </c>
      <c r="H1070" t="s">
        <v>369</v>
      </c>
    </row>
    <row r="1071" spans="1:8" hidden="1" x14ac:dyDescent="0.3">
      <c r="A1071" s="28">
        <v>15535</v>
      </c>
      <c r="B1071" s="49">
        <v>45272.693749999999</v>
      </c>
      <c r="C1071" s="18">
        <v>45272</v>
      </c>
      <c r="D1071" t="s">
        <v>104</v>
      </c>
      <c r="E1071" s="32">
        <v>0</v>
      </c>
      <c r="F1071" s="32">
        <v>758550</v>
      </c>
      <c r="G1071" s="32">
        <v>222461355</v>
      </c>
      <c r="H1071" t="s">
        <v>293</v>
      </c>
    </row>
    <row r="1072" spans="1:8" hidden="1" x14ac:dyDescent="0.3">
      <c r="A1072" s="28">
        <v>15534</v>
      </c>
      <c r="B1072" s="49">
        <v>45272.569444444445</v>
      </c>
      <c r="C1072" s="18">
        <v>45272</v>
      </c>
      <c r="D1072" t="s">
        <v>104</v>
      </c>
      <c r="E1072" s="32">
        <v>0</v>
      </c>
      <c r="F1072" s="32">
        <v>99000</v>
      </c>
      <c r="G1072" s="32">
        <v>223219905</v>
      </c>
      <c r="H1072" t="s">
        <v>513</v>
      </c>
    </row>
    <row r="1073" spans="1:8" hidden="1" x14ac:dyDescent="0.3">
      <c r="A1073" s="28">
        <v>15531</v>
      </c>
      <c r="B1073" s="49">
        <v>45272.436805555553</v>
      </c>
      <c r="C1073" s="18">
        <v>45272</v>
      </c>
      <c r="D1073" t="s">
        <v>103</v>
      </c>
      <c r="E1073" s="32">
        <v>636900</v>
      </c>
      <c r="F1073" s="32">
        <v>0</v>
      </c>
      <c r="G1073" s="32">
        <v>223318905</v>
      </c>
      <c r="H1073" t="s">
        <v>514</v>
      </c>
    </row>
    <row r="1074" spans="1:8" hidden="1" x14ac:dyDescent="0.3">
      <c r="A1074" s="28">
        <v>15530</v>
      </c>
      <c r="B1074" s="49">
        <v>45272.436805555553</v>
      </c>
      <c r="C1074" s="18">
        <v>45272</v>
      </c>
      <c r="D1074" t="s">
        <v>103</v>
      </c>
      <c r="E1074" s="32">
        <v>1409100</v>
      </c>
      <c r="F1074" s="32">
        <v>0</v>
      </c>
      <c r="G1074" s="32">
        <v>222682005</v>
      </c>
      <c r="H1074" t="s">
        <v>514</v>
      </c>
    </row>
    <row r="1075" spans="1:8" hidden="1" x14ac:dyDescent="0.3">
      <c r="A1075" s="28">
        <v>15527</v>
      </c>
      <c r="B1075" s="49">
        <v>45271.836805555555</v>
      </c>
      <c r="C1075" s="18">
        <v>45271</v>
      </c>
      <c r="D1075" t="s">
        <v>104</v>
      </c>
      <c r="E1075" s="32">
        <v>0</v>
      </c>
      <c r="F1075" s="32">
        <v>57500</v>
      </c>
      <c r="G1075" s="32">
        <v>221272905</v>
      </c>
      <c r="H1075" t="s">
        <v>515</v>
      </c>
    </row>
    <row r="1076" spans="1:8" hidden="1" x14ac:dyDescent="0.3">
      <c r="A1076" s="28">
        <v>15522</v>
      </c>
      <c r="B1076" s="49">
        <v>45271.714583333334</v>
      </c>
      <c r="C1076" s="18">
        <v>45271</v>
      </c>
      <c r="D1076" t="s">
        <v>103</v>
      </c>
      <c r="E1076" s="32">
        <v>535700</v>
      </c>
      <c r="F1076" s="32">
        <v>0</v>
      </c>
      <c r="G1076" s="32">
        <v>221330405</v>
      </c>
      <c r="H1076" t="s">
        <v>295</v>
      </c>
    </row>
    <row r="1077" spans="1:8" hidden="1" x14ac:dyDescent="0.3">
      <c r="A1077" s="28">
        <v>15521</v>
      </c>
      <c r="B1077" s="49">
        <v>45271.681944444441</v>
      </c>
      <c r="C1077" s="18">
        <v>45271</v>
      </c>
      <c r="D1077" t="s">
        <v>103</v>
      </c>
      <c r="E1077" s="32">
        <v>2470600</v>
      </c>
      <c r="F1077" s="32">
        <v>0</v>
      </c>
      <c r="G1077" s="32">
        <v>220794705</v>
      </c>
      <c r="H1077" t="s">
        <v>454</v>
      </c>
    </row>
    <row r="1078" spans="1:8" hidden="1" x14ac:dyDescent="0.3">
      <c r="A1078" s="28">
        <v>15520</v>
      </c>
      <c r="B1078" s="49">
        <v>45271.659722222219</v>
      </c>
      <c r="C1078" s="18">
        <v>45271</v>
      </c>
      <c r="D1078" t="s">
        <v>104</v>
      </c>
      <c r="E1078" s="32">
        <v>0</v>
      </c>
      <c r="F1078" s="32">
        <v>12000000</v>
      </c>
      <c r="G1078" s="32">
        <v>218324105</v>
      </c>
      <c r="H1078" t="s">
        <v>516</v>
      </c>
    </row>
    <row r="1079" spans="1:8" hidden="1" x14ac:dyDescent="0.3">
      <c r="A1079" s="28">
        <v>15519</v>
      </c>
      <c r="B1079" s="49">
        <v>45271.631944444445</v>
      </c>
      <c r="C1079" s="18">
        <v>45271</v>
      </c>
      <c r="D1079" t="s">
        <v>104</v>
      </c>
      <c r="E1079" s="32">
        <v>0</v>
      </c>
      <c r="F1079" s="32">
        <v>182325</v>
      </c>
      <c r="G1079" s="32">
        <v>230324105</v>
      </c>
      <c r="H1079" t="s">
        <v>365</v>
      </c>
    </row>
    <row r="1080" spans="1:8" hidden="1" x14ac:dyDescent="0.3">
      <c r="A1080" s="28">
        <v>15518</v>
      </c>
      <c r="B1080" s="49">
        <v>45271.597916666666</v>
      </c>
      <c r="C1080" s="18">
        <v>45271</v>
      </c>
      <c r="D1080" t="s">
        <v>104</v>
      </c>
      <c r="E1080" s="32">
        <v>0</v>
      </c>
      <c r="F1080" s="32">
        <v>357169</v>
      </c>
      <c r="G1080" s="32">
        <v>230506430</v>
      </c>
      <c r="H1080" t="s">
        <v>293</v>
      </c>
    </row>
    <row r="1081" spans="1:8" hidden="1" x14ac:dyDescent="0.3">
      <c r="A1081" s="28">
        <v>15517</v>
      </c>
      <c r="B1081" s="49">
        <v>45271.581944444442</v>
      </c>
      <c r="C1081" s="18">
        <v>45271</v>
      </c>
      <c r="D1081" t="s">
        <v>103</v>
      </c>
      <c r="E1081" s="32">
        <v>352000</v>
      </c>
      <c r="F1081" s="32">
        <v>0</v>
      </c>
      <c r="G1081" s="32">
        <v>230863599</v>
      </c>
      <c r="H1081" t="s">
        <v>517</v>
      </c>
    </row>
    <row r="1082" spans="1:8" hidden="1" x14ac:dyDescent="0.3">
      <c r="A1082" s="28">
        <v>15516</v>
      </c>
      <c r="B1082" s="49">
        <v>45271.495138888888</v>
      </c>
      <c r="C1082" s="18">
        <v>45271</v>
      </c>
      <c r="D1082" t="s">
        <v>103</v>
      </c>
      <c r="E1082" s="32">
        <v>249700</v>
      </c>
      <c r="F1082" s="32">
        <v>0</v>
      </c>
      <c r="G1082" s="32">
        <v>230511599</v>
      </c>
      <c r="H1082" t="s">
        <v>437</v>
      </c>
    </row>
    <row r="1083" spans="1:8" hidden="1" x14ac:dyDescent="0.3">
      <c r="A1083" s="28">
        <v>15515</v>
      </c>
      <c r="B1083" s="49">
        <v>45271.493750000001</v>
      </c>
      <c r="C1083" s="18">
        <v>45271</v>
      </c>
      <c r="D1083" t="s">
        <v>103</v>
      </c>
      <c r="E1083" s="32">
        <v>190300</v>
      </c>
      <c r="F1083" s="32">
        <v>0</v>
      </c>
      <c r="G1083" s="32">
        <v>230261899</v>
      </c>
      <c r="H1083" t="s">
        <v>364</v>
      </c>
    </row>
    <row r="1084" spans="1:8" hidden="1" x14ac:dyDescent="0.3">
      <c r="A1084" s="28">
        <v>15514</v>
      </c>
      <c r="B1084" s="49">
        <v>45271.460416666669</v>
      </c>
      <c r="C1084" s="18">
        <v>45271</v>
      </c>
      <c r="D1084" t="s">
        <v>103</v>
      </c>
      <c r="E1084" s="32">
        <v>1042800</v>
      </c>
      <c r="F1084" s="32">
        <v>0</v>
      </c>
      <c r="G1084" s="32">
        <v>230071599</v>
      </c>
      <c r="H1084" t="s">
        <v>429</v>
      </c>
    </row>
    <row r="1085" spans="1:8" hidden="1" x14ac:dyDescent="0.3">
      <c r="A1085" s="28">
        <v>15513</v>
      </c>
      <c r="B1085" s="49">
        <v>45271.43472222222</v>
      </c>
      <c r="C1085" s="18">
        <v>45271</v>
      </c>
      <c r="D1085" t="s">
        <v>104</v>
      </c>
      <c r="E1085" s="32">
        <v>0</v>
      </c>
      <c r="F1085" s="32">
        <v>491506</v>
      </c>
      <c r="G1085" s="32">
        <v>229028799</v>
      </c>
      <c r="H1085" t="s">
        <v>298</v>
      </c>
    </row>
    <row r="1086" spans="1:8" hidden="1" x14ac:dyDescent="0.3">
      <c r="A1086" s="28">
        <v>15512</v>
      </c>
      <c r="B1086" s="49">
        <v>45269.06527777778</v>
      </c>
      <c r="C1086" s="18">
        <v>45269</v>
      </c>
      <c r="D1086" t="s">
        <v>103</v>
      </c>
      <c r="E1086" s="32">
        <v>34957</v>
      </c>
      <c r="F1086" s="32">
        <v>0</v>
      </c>
      <c r="G1086" s="32">
        <v>229520305</v>
      </c>
      <c r="H1086" t="s">
        <v>518</v>
      </c>
    </row>
    <row r="1087" spans="1:8" hidden="1" x14ac:dyDescent="0.3">
      <c r="A1087" s="28">
        <v>15511</v>
      </c>
      <c r="B1087" s="49">
        <v>45268.638888888891</v>
      </c>
      <c r="C1087" s="18">
        <v>45268</v>
      </c>
      <c r="D1087" t="s">
        <v>103</v>
      </c>
      <c r="E1087" s="32">
        <v>2975500</v>
      </c>
      <c r="F1087" s="32">
        <v>0</v>
      </c>
      <c r="G1087" s="32">
        <v>229485348</v>
      </c>
      <c r="H1087" t="s">
        <v>388</v>
      </c>
    </row>
    <row r="1088" spans="1:8" hidden="1" x14ac:dyDescent="0.3">
      <c r="A1088" s="28">
        <v>15510</v>
      </c>
      <c r="B1088" s="49">
        <v>45268.570138888892</v>
      </c>
      <c r="C1088" s="18">
        <v>45268</v>
      </c>
      <c r="D1088" t="s">
        <v>103</v>
      </c>
      <c r="E1088" s="32">
        <v>809600</v>
      </c>
      <c r="F1088" s="32">
        <v>0</v>
      </c>
      <c r="G1088" s="32">
        <v>226509848</v>
      </c>
      <c r="H1088" t="s">
        <v>519</v>
      </c>
    </row>
    <row r="1089" spans="1:8" hidden="1" x14ac:dyDescent="0.3">
      <c r="A1089" s="28">
        <v>15509</v>
      </c>
      <c r="B1089" s="49">
        <v>45268.56527777778</v>
      </c>
      <c r="C1089" s="18">
        <v>45268</v>
      </c>
      <c r="D1089" t="s">
        <v>104</v>
      </c>
      <c r="E1089" s="32">
        <v>0</v>
      </c>
      <c r="F1089" s="32">
        <v>391893</v>
      </c>
      <c r="G1089" s="32">
        <v>225700248</v>
      </c>
      <c r="H1089" t="s">
        <v>293</v>
      </c>
    </row>
    <row r="1090" spans="1:8" hidden="1" x14ac:dyDescent="0.3">
      <c r="A1090" s="28">
        <v>15505</v>
      </c>
      <c r="B1090" s="49">
        <v>45267.686805555553</v>
      </c>
      <c r="C1090" s="18">
        <v>45267</v>
      </c>
      <c r="D1090" t="s">
        <v>103</v>
      </c>
      <c r="E1090" s="32">
        <v>1339800</v>
      </c>
      <c r="F1090" s="32">
        <v>0</v>
      </c>
      <c r="G1090" s="32">
        <v>226092141</v>
      </c>
      <c r="H1090" t="s">
        <v>394</v>
      </c>
    </row>
    <row r="1091" spans="1:8" hidden="1" x14ac:dyDescent="0.3">
      <c r="A1091" s="28">
        <v>15504</v>
      </c>
      <c r="B1091" s="49">
        <v>45267.586111111108</v>
      </c>
      <c r="C1091" s="18">
        <v>45267</v>
      </c>
      <c r="D1091" t="s">
        <v>103</v>
      </c>
      <c r="E1091" s="32">
        <v>3445200</v>
      </c>
      <c r="F1091" s="32">
        <v>0</v>
      </c>
      <c r="G1091" s="32">
        <v>224752341</v>
      </c>
      <c r="H1091" t="s">
        <v>486</v>
      </c>
    </row>
    <row r="1092" spans="1:8" hidden="1" x14ac:dyDescent="0.3">
      <c r="A1092" s="28">
        <v>15500</v>
      </c>
      <c r="B1092" s="49">
        <v>45266.636805555558</v>
      </c>
      <c r="C1092" s="18">
        <v>45266</v>
      </c>
      <c r="D1092" t="s">
        <v>103</v>
      </c>
      <c r="E1092" s="32">
        <v>933900</v>
      </c>
      <c r="F1092" s="32">
        <v>0</v>
      </c>
      <c r="G1092" s="32">
        <v>221307141</v>
      </c>
      <c r="H1092" t="s">
        <v>520</v>
      </c>
    </row>
    <row r="1093" spans="1:8" hidden="1" x14ac:dyDescent="0.3">
      <c r="A1093" s="28">
        <v>15499</v>
      </c>
      <c r="B1093" s="49">
        <v>45266.621527777781</v>
      </c>
      <c r="C1093" s="18">
        <v>45266</v>
      </c>
      <c r="D1093" t="s">
        <v>103</v>
      </c>
      <c r="E1093" s="32">
        <v>262900</v>
      </c>
      <c r="F1093" s="32">
        <v>0</v>
      </c>
      <c r="G1093" s="32">
        <v>220373241</v>
      </c>
      <c r="H1093" t="s">
        <v>510</v>
      </c>
    </row>
    <row r="1094" spans="1:8" hidden="1" x14ac:dyDescent="0.3">
      <c r="A1094" s="28">
        <v>15498</v>
      </c>
      <c r="B1094" s="49">
        <v>45266.587500000001</v>
      </c>
      <c r="C1094" s="18">
        <v>45266</v>
      </c>
      <c r="D1094" t="s">
        <v>104</v>
      </c>
      <c r="E1094" s="32">
        <v>0</v>
      </c>
      <c r="F1094" s="32">
        <v>347250</v>
      </c>
      <c r="G1094" s="32">
        <v>220110341</v>
      </c>
      <c r="H1094" t="s">
        <v>391</v>
      </c>
    </row>
    <row r="1095" spans="1:8" hidden="1" x14ac:dyDescent="0.3">
      <c r="A1095" s="28">
        <v>15497</v>
      </c>
      <c r="B1095" s="49">
        <v>45266.587500000001</v>
      </c>
      <c r="C1095" s="18">
        <v>45266</v>
      </c>
      <c r="D1095" t="s">
        <v>104</v>
      </c>
      <c r="E1095" s="32">
        <v>0</v>
      </c>
      <c r="F1095" s="32">
        <v>3463920</v>
      </c>
      <c r="G1095" s="32">
        <v>220457591</v>
      </c>
      <c r="H1095" t="s">
        <v>392</v>
      </c>
    </row>
    <row r="1096" spans="1:8" hidden="1" x14ac:dyDescent="0.3">
      <c r="A1096" s="28">
        <v>15496</v>
      </c>
      <c r="B1096" s="49">
        <v>45266.586805555555</v>
      </c>
      <c r="C1096" s="18">
        <v>45266</v>
      </c>
      <c r="D1096" t="s">
        <v>104</v>
      </c>
      <c r="E1096" s="32">
        <v>0</v>
      </c>
      <c r="F1096" s="32">
        <v>9300</v>
      </c>
      <c r="G1096" s="32">
        <v>223921511</v>
      </c>
      <c r="H1096" t="s">
        <v>393</v>
      </c>
    </row>
    <row r="1097" spans="1:8" hidden="1" x14ac:dyDescent="0.3">
      <c r="A1097" s="28">
        <v>15495</v>
      </c>
      <c r="B1097" s="49">
        <v>45266.57708333333</v>
      </c>
      <c r="C1097" s="18">
        <v>45266</v>
      </c>
      <c r="D1097" t="s">
        <v>103</v>
      </c>
      <c r="E1097" s="32">
        <v>167200</v>
      </c>
      <c r="F1097" s="32">
        <v>0</v>
      </c>
      <c r="G1097" s="32">
        <v>223930811</v>
      </c>
      <c r="H1097" t="s">
        <v>381</v>
      </c>
    </row>
    <row r="1098" spans="1:8" hidden="1" x14ac:dyDescent="0.3">
      <c r="A1098" s="28">
        <v>15493</v>
      </c>
      <c r="B1098" s="49">
        <v>45266.564583333333</v>
      </c>
      <c r="C1098" s="18">
        <v>45266</v>
      </c>
      <c r="D1098" t="s">
        <v>103</v>
      </c>
      <c r="E1098" s="32">
        <v>564300</v>
      </c>
      <c r="F1098" s="32">
        <v>0</v>
      </c>
      <c r="G1098" s="32">
        <v>223763611</v>
      </c>
      <c r="H1098" t="s">
        <v>292</v>
      </c>
    </row>
    <row r="1099" spans="1:8" hidden="1" x14ac:dyDescent="0.3">
      <c r="A1099" s="28">
        <v>15492</v>
      </c>
      <c r="B1099" s="49">
        <v>45266.493055555555</v>
      </c>
      <c r="C1099" s="18">
        <v>45266</v>
      </c>
      <c r="D1099" t="s">
        <v>104</v>
      </c>
      <c r="E1099" s="32">
        <v>0</v>
      </c>
      <c r="F1099" s="32">
        <v>78937</v>
      </c>
      <c r="G1099" s="32">
        <v>223199311</v>
      </c>
      <c r="H1099" t="s">
        <v>293</v>
      </c>
    </row>
    <row r="1100" spans="1:8" hidden="1" x14ac:dyDescent="0.3">
      <c r="A1100" s="28">
        <v>15491</v>
      </c>
      <c r="B1100" s="49">
        <v>45266.488194444442</v>
      </c>
      <c r="C1100" s="18">
        <v>45266</v>
      </c>
      <c r="D1100" t="s">
        <v>103</v>
      </c>
      <c r="E1100" s="32">
        <v>217800</v>
      </c>
      <c r="F1100" s="32">
        <v>0</v>
      </c>
      <c r="G1100" s="32">
        <v>223278248</v>
      </c>
      <c r="H1100" t="s">
        <v>384</v>
      </c>
    </row>
    <row r="1101" spans="1:8" hidden="1" x14ac:dyDescent="0.3">
      <c r="A1101" s="28">
        <v>15490</v>
      </c>
      <c r="B1101" s="49">
        <v>45266.482638888891</v>
      </c>
      <c r="C1101" s="18">
        <v>45266</v>
      </c>
      <c r="D1101" t="s">
        <v>103</v>
      </c>
      <c r="E1101" s="32">
        <v>237600</v>
      </c>
      <c r="F1101" s="32">
        <v>0</v>
      </c>
      <c r="G1101" s="32">
        <v>223060448</v>
      </c>
      <c r="H1101" t="s">
        <v>476</v>
      </c>
    </row>
    <row r="1102" spans="1:8" hidden="1" x14ac:dyDescent="0.3">
      <c r="A1102" s="28">
        <v>15486</v>
      </c>
      <c r="B1102" s="49">
        <v>45266.377083333333</v>
      </c>
      <c r="C1102" s="18">
        <v>45266</v>
      </c>
      <c r="D1102" t="s">
        <v>104</v>
      </c>
      <c r="E1102" s="32">
        <v>0</v>
      </c>
      <c r="F1102" s="32">
        <v>60180</v>
      </c>
      <c r="G1102" s="32">
        <v>222822848</v>
      </c>
      <c r="H1102" t="s">
        <v>293</v>
      </c>
    </row>
    <row r="1103" spans="1:8" hidden="1" x14ac:dyDescent="0.3">
      <c r="A1103" s="28">
        <v>15485</v>
      </c>
      <c r="B1103" s="49">
        <v>45265.831944444442</v>
      </c>
      <c r="C1103" s="18">
        <v>45265</v>
      </c>
      <c r="D1103" t="s">
        <v>104</v>
      </c>
      <c r="E1103" s="32">
        <v>0</v>
      </c>
      <c r="F1103" s="32">
        <v>626472</v>
      </c>
      <c r="G1103" s="32">
        <v>222883028</v>
      </c>
      <c r="H1103" t="s">
        <v>521</v>
      </c>
    </row>
    <row r="1104" spans="1:8" hidden="1" x14ac:dyDescent="0.3">
      <c r="A1104" s="28">
        <v>15484</v>
      </c>
      <c r="B1104" s="49">
        <v>45265.808333333334</v>
      </c>
      <c r="C1104" s="18">
        <v>45265</v>
      </c>
      <c r="D1104" t="s">
        <v>104</v>
      </c>
      <c r="E1104" s="32">
        <v>0</v>
      </c>
      <c r="F1104" s="32">
        <v>711920</v>
      </c>
      <c r="G1104" s="32">
        <v>223509500</v>
      </c>
      <c r="H1104" t="s">
        <v>507</v>
      </c>
    </row>
    <row r="1105" spans="1:8" hidden="1" x14ac:dyDescent="0.3">
      <c r="A1105" s="28">
        <v>15482</v>
      </c>
      <c r="B1105" s="49">
        <v>45265.706250000003</v>
      </c>
      <c r="C1105" s="18">
        <v>45265</v>
      </c>
      <c r="D1105" t="s">
        <v>103</v>
      </c>
      <c r="E1105" s="32">
        <v>1285900</v>
      </c>
      <c r="F1105" s="32">
        <v>0</v>
      </c>
      <c r="G1105" s="32">
        <v>224221420</v>
      </c>
      <c r="H1105" t="s">
        <v>522</v>
      </c>
    </row>
    <row r="1106" spans="1:8" hidden="1" x14ac:dyDescent="0.3">
      <c r="A1106" s="28">
        <v>15481</v>
      </c>
      <c r="B1106" s="49">
        <v>45265.668749999997</v>
      </c>
      <c r="C1106" s="18">
        <v>45265</v>
      </c>
      <c r="D1106" t="s">
        <v>103</v>
      </c>
      <c r="E1106" s="32">
        <v>146300</v>
      </c>
      <c r="F1106" s="32">
        <v>0</v>
      </c>
      <c r="G1106" s="32">
        <v>222935520</v>
      </c>
      <c r="H1106" t="s">
        <v>468</v>
      </c>
    </row>
    <row r="1107" spans="1:8" hidden="1" x14ac:dyDescent="0.3">
      <c r="A1107" s="28">
        <v>15480</v>
      </c>
      <c r="B1107" s="49">
        <v>45265.636111111111</v>
      </c>
      <c r="C1107" s="18">
        <v>45265</v>
      </c>
      <c r="D1107" t="s">
        <v>104</v>
      </c>
      <c r="E1107" s="32">
        <v>0</v>
      </c>
      <c r="F1107" s="32">
        <v>5000</v>
      </c>
      <c r="G1107" s="32">
        <v>222789220</v>
      </c>
      <c r="H1107" t="s">
        <v>440</v>
      </c>
    </row>
    <row r="1108" spans="1:8" hidden="1" x14ac:dyDescent="0.3">
      <c r="A1108" s="28">
        <v>15476</v>
      </c>
      <c r="B1108" s="49">
        <v>45265.478472222225</v>
      </c>
      <c r="C1108" s="18">
        <v>45265</v>
      </c>
      <c r="D1108" t="s">
        <v>103</v>
      </c>
      <c r="E1108" s="32">
        <v>105600</v>
      </c>
      <c r="F1108" s="32">
        <v>0</v>
      </c>
      <c r="G1108" s="32">
        <v>222794220</v>
      </c>
      <c r="H1108" t="s">
        <v>295</v>
      </c>
    </row>
    <row r="1109" spans="1:8" hidden="1" x14ac:dyDescent="0.3">
      <c r="A1109" s="28">
        <v>15475</v>
      </c>
      <c r="B1109" s="49">
        <v>45265.463888888888</v>
      </c>
      <c r="C1109" s="18">
        <v>45265</v>
      </c>
      <c r="D1109" t="s">
        <v>103</v>
      </c>
      <c r="E1109" s="32">
        <v>1051600</v>
      </c>
      <c r="F1109" s="32">
        <v>0</v>
      </c>
      <c r="G1109" s="32">
        <v>222688620</v>
      </c>
      <c r="H1109" t="s">
        <v>401</v>
      </c>
    </row>
    <row r="1110" spans="1:8" hidden="1" x14ac:dyDescent="0.3">
      <c r="A1110" s="28">
        <v>15473</v>
      </c>
      <c r="B1110" s="49">
        <v>45265.382638888892</v>
      </c>
      <c r="C1110" s="18">
        <v>45265</v>
      </c>
      <c r="D1110" t="s">
        <v>104</v>
      </c>
      <c r="E1110" s="32">
        <v>0</v>
      </c>
      <c r="F1110" s="32">
        <v>1179100</v>
      </c>
      <c r="G1110" s="32">
        <v>221637020</v>
      </c>
      <c r="H1110" t="s">
        <v>523</v>
      </c>
    </row>
    <row r="1111" spans="1:8" hidden="1" x14ac:dyDescent="0.3">
      <c r="A1111" s="28">
        <v>15472</v>
      </c>
      <c r="B1111" s="49">
        <v>45264.70416666667</v>
      </c>
      <c r="C1111" s="18">
        <v>45264</v>
      </c>
      <c r="D1111" t="s">
        <v>103</v>
      </c>
      <c r="E1111" s="32">
        <v>898000</v>
      </c>
      <c r="F1111" s="32">
        <v>0</v>
      </c>
      <c r="G1111" s="32">
        <v>222816120</v>
      </c>
      <c r="H1111" t="s">
        <v>467</v>
      </c>
    </row>
    <row r="1112" spans="1:8" hidden="1" x14ac:dyDescent="0.3">
      <c r="A1112" s="28">
        <v>15471</v>
      </c>
      <c r="B1112" s="49">
        <v>45264.70416666667</v>
      </c>
      <c r="C1112" s="18">
        <v>45264</v>
      </c>
      <c r="D1112" t="s">
        <v>103</v>
      </c>
      <c r="E1112" s="32">
        <v>89800</v>
      </c>
      <c r="F1112" s="32">
        <v>0</v>
      </c>
      <c r="G1112" s="32">
        <v>221918120</v>
      </c>
      <c r="H1112" t="s">
        <v>467</v>
      </c>
    </row>
    <row r="1113" spans="1:8" hidden="1" x14ac:dyDescent="0.3">
      <c r="A1113" s="28">
        <v>15470</v>
      </c>
      <c r="B1113" s="49">
        <v>45264.681250000001</v>
      </c>
      <c r="C1113" s="18">
        <v>45264</v>
      </c>
      <c r="D1113" t="s">
        <v>104</v>
      </c>
      <c r="E1113" s="32">
        <v>0</v>
      </c>
      <c r="F1113" s="32">
        <v>110000</v>
      </c>
      <c r="G1113" s="32">
        <v>221828320</v>
      </c>
      <c r="H1113" t="s">
        <v>524</v>
      </c>
    </row>
    <row r="1114" spans="1:8" hidden="1" x14ac:dyDescent="0.3">
      <c r="A1114" s="28">
        <v>15469</v>
      </c>
      <c r="B1114" s="49">
        <v>45264.647916666669</v>
      </c>
      <c r="C1114" s="18">
        <v>45264</v>
      </c>
      <c r="D1114" t="s">
        <v>103</v>
      </c>
      <c r="E1114" s="32">
        <v>1489400</v>
      </c>
      <c r="F1114" s="32">
        <v>0</v>
      </c>
      <c r="G1114" s="32">
        <v>221938320</v>
      </c>
      <c r="H1114" t="s">
        <v>525</v>
      </c>
    </row>
    <row r="1115" spans="1:8" hidden="1" x14ac:dyDescent="0.3">
      <c r="A1115" s="28">
        <v>15468</v>
      </c>
      <c r="B1115" s="49">
        <v>45264.647916666669</v>
      </c>
      <c r="C1115" s="18">
        <v>45264</v>
      </c>
      <c r="D1115" t="s">
        <v>103</v>
      </c>
      <c r="E1115" s="32">
        <v>2757700</v>
      </c>
      <c r="F1115" s="32">
        <v>0</v>
      </c>
      <c r="G1115" s="32">
        <v>220448920</v>
      </c>
      <c r="H1115" t="s">
        <v>525</v>
      </c>
    </row>
    <row r="1116" spans="1:8" hidden="1" x14ac:dyDescent="0.3">
      <c r="A1116" s="28">
        <v>15467</v>
      </c>
      <c r="B1116" s="49">
        <v>45264.615972222222</v>
      </c>
      <c r="C1116" s="18">
        <v>45264</v>
      </c>
      <c r="D1116" t="s">
        <v>103</v>
      </c>
      <c r="E1116" s="32">
        <v>1402500</v>
      </c>
      <c r="F1116" s="32">
        <v>0</v>
      </c>
      <c r="G1116" s="32">
        <v>217691220</v>
      </c>
      <c r="H1116" t="s">
        <v>466</v>
      </c>
    </row>
    <row r="1117" spans="1:8" hidden="1" x14ac:dyDescent="0.3">
      <c r="A1117" s="28">
        <v>15466</v>
      </c>
      <c r="B1117" s="49">
        <v>45264.565972222219</v>
      </c>
      <c r="C1117" s="18">
        <v>45264</v>
      </c>
      <c r="D1117" t="s">
        <v>103</v>
      </c>
      <c r="E1117" s="32">
        <v>183700</v>
      </c>
      <c r="F1117" s="32">
        <v>0</v>
      </c>
      <c r="G1117" s="32">
        <v>216288720</v>
      </c>
      <c r="H1117" t="s">
        <v>292</v>
      </c>
    </row>
    <row r="1118" spans="1:8" hidden="1" x14ac:dyDescent="0.3">
      <c r="A1118" s="28">
        <v>15465</v>
      </c>
      <c r="B1118" s="49">
        <v>45264.518055555556</v>
      </c>
      <c r="C1118" s="18">
        <v>45264</v>
      </c>
      <c r="D1118" t="s">
        <v>103</v>
      </c>
      <c r="E1118" s="32">
        <v>224400</v>
      </c>
      <c r="F1118" s="32">
        <v>0</v>
      </c>
      <c r="G1118" s="32">
        <v>216105020</v>
      </c>
      <c r="H1118" t="s">
        <v>526</v>
      </c>
    </row>
    <row r="1119" spans="1:8" hidden="1" x14ac:dyDescent="0.3">
      <c r="A1119" s="28">
        <v>15463</v>
      </c>
      <c r="B1119" s="49">
        <v>45264.383333333331</v>
      </c>
      <c r="C1119" s="18">
        <v>45264</v>
      </c>
      <c r="D1119" t="s">
        <v>104</v>
      </c>
      <c r="E1119" s="32">
        <v>0</v>
      </c>
      <c r="F1119" s="32">
        <v>120230</v>
      </c>
      <c r="G1119" s="32">
        <v>215880620</v>
      </c>
      <c r="H1119" t="s">
        <v>352</v>
      </c>
    </row>
    <row r="1120" spans="1:8" hidden="1" x14ac:dyDescent="0.3">
      <c r="A1120" s="28">
        <v>15462</v>
      </c>
      <c r="B1120" s="49">
        <v>45261.697222222225</v>
      </c>
      <c r="C1120" s="18">
        <v>45261</v>
      </c>
      <c r="D1120" t="s">
        <v>104</v>
      </c>
      <c r="E1120" s="32">
        <v>0</v>
      </c>
      <c r="F1120" s="32">
        <v>153743</v>
      </c>
      <c r="G1120" s="32">
        <v>216000850</v>
      </c>
      <c r="H1120" t="s">
        <v>293</v>
      </c>
    </row>
    <row r="1121" spans="1:8" hidden="1" x14ac:dyDescent="0.3">
      <c r="A1121" s="28">
        <v>15461</v>
      </c>
      <c r="B1121" s="49">
        <v>45261.388888888891</v>
      </c>
      <c r="C1121" s="18">
        <v>45261</v>
      </c>
      <c r="D1121" t="s">
        <v>103</v>
      </c>
      <c r="E1121" s="32">
        <v>781000</v>
      </c>
      <c r="F1121" s="32">
        <v>0</v>
      </c>
      <c r="G1121" s="32">
        <v>216154593</v>
      </c>
      <c r="H1121" t="s">
        <v>399</v>
      </c>
    </row>
    <row r="1122" spans="1:8" hidden="1" x14ac:dyDescent="0.3">
      <c r="A1122" s="28">
        <v>15460</v>
      </c>
      <c r="B1122" s="49">
        <v>45260.842361111114</v>
      </c>
      <c r="C1122" s="18">
        <v>45260</v>
      </c>
      <c r="D1122" t="s">
        <v>103</v>
      </c>
      <c r="E1122" s="32">
        <v>174900</v>
      </c>
      <c r="F1122" s="32">
        <v>0</v>
      </c>
      <c r="G1122" s="32">
        <v>215373593</v>
      </c>
      <c r="H1122" t="s">
        <v>527</v>
      </c>
    </row>
    <row r="1123" spans="1:8" hidden="1" x14ac:dyDescent="0.3">
      <c r="A1123" s="28">
        <v>15459</v>
      </c>
      <c r="B1123" s="49">
        <v>45260.797222222223</v>
      </c>
      <c r="C1123" s="18">
        <v>45260</v>
      </c>
      <c r="D1123" t="s">
        <v>104</v>
      </c>
      <c r="E1123" s="32">
        <v>0</v>
      </c>
      <c r="F1123" s="32">
        <v>400510</v>
      </c>
      <c r="G1123" s="32">
        <v>215198693</v>
      </c>
      <c r="H1123" t="s">
        <v>507</v>
      </c>
    </row>
    <row r="1124" spans="1:8" hidden="1" x14ac:dyDescent="0.3">
      <c r="A1124" s="28">
        <v>15455</v>
      </c>
      <c r="B1124" s="49">
        <v>45260.647222222222</v>
      </c>
      <c r="C1124" s="18">
        <v>45260</v>
      </c>
      <c r="D1124" t="s">
        <v>103</v>
      </c>
      <c r="E1124" s="32">
        <v>526900</v>
      </c>
      <c r="F1124" s="32">
        <v>0</v>
      </c>
      <c r="G1124" s="32">
        <v>215599203</v>
      </c>
      <c r="H1124" t="s">
        <v>528</v>
      </c>
    </row>
    <row r="1125" spans="1:8" hidden="1" x14ac:dyDescent="0.3">
      <c r="A1125" s="28">
        <v>15454</v>
      </c>
      <c r="B1125" s="49">
        <v>45260.640277777777</v>
      </c>
      <c r="C1125" s="18">
        <v>45260</v>
      </c>
      <c r="D1125" t="s">
        <v>104</v>
      </c>
      <c r="E1125" s="32">
        <v>0</v>
      </c>
      <c r="F1125" s="32">
        <v>6600000</v>
      </c>
      <c r="G1125" s="32">
        <v>215072303</v>
      </c>
      <c r="H1125" t="s">
        <v>529</v>
      </c>
    </row>
    <row r="1126" spans="1:8" hidden="1" x14ac:dyDescent="0.3">
      <c r="A1126" s="28">
        <v>15453</v>
      </c>
      <c r="B1126" s="49">
        <v>45260.625</v>
      </c>
      <c r="C1126" s="18">
        <v>45260</v>
      </c>
      <c r="D1126" t="s">
        <v>103</v>
      </c>
      <c r="E1126" s="32">
        <v>689700</v>
      </c>
      <c r="F1126" s="32">
        <v>0</v>
      </c>
      <c r="G1126" s="32">
        <v>221672303</v>
      </c>
      <c r="H1126" t="s">
        <v>336</v>
      </c>
    </row>
    <row r="1127" spans="1:8" hidden="1" x14ac:dyDescent="0.3">
      <c r="A1127" s="28">
        <v>15452</v>
      </c>
      <c r="B1127" s="49">
        <v>45260.621527777781</v>
      </c>
      <c r="C1127" s="18">
        <v>45260</v>
      </c>
      <c r="D1127" t="s">
        <v>103</v>
      </c>
      <c r="E1127" s="32">
        <v>271200</v>
      </c>
      <c r="F1127" s="32">
        <v>0</v>
      </c>
      <c r="G1127" s="32">
        <v>220982603</v>
      </c>
      <c r="H1127" t="s">
        <v>483</v>
      </c>
    </row>
    <row r="1128" spans="1:8" hidden="1" x14ac:dyDescent="0.3">
      <c r="A1128" s="28">
        <v>15451</v>
      </c>
      <c r="B1128" s="49">
        <v>45260.615972222222</v>
      </c>
      <c r="C1128" s="18">
        <v>45260</v>
      </c>
      <c r="D1128" t="s">
        <v>103</v>
      </c>
      <c r="E1128" s="32">
        <v>221100</v>
      </c>
      <c r="F1128" s="32">
        <v>0</v>
      </c>
      <c r="G1128" s="32">
        <v>220711403</v>
      </c>
      <c r="H1128" t="s">
        <v>388</v>
      </c>
    </row>
    <row r="1129" spans="1:8" hidden="1" x14ac:dyDescent="0.3">
      <c r="A1129" s="28">
        <v>15450</v>
      </c>
      <c r="B1129" s="49">
        <v>45260.576388888891</v>
      </c>
      <c r="C1129" s="18">
        <v>45260</v>
      </c>
      <c r="D1129" t="s">
        <v>103</v>
      </c>
      <c r="E1129" s="32">
        <v>42900</v>
      </c>
      <c r="F1129" s="32">
        <v>0</v>
      </c>
      <c r="G1129" s="32">
        <v>220490303</v>
      </c>
      <c r="H1129" t="s">
        <v>385</v>
      </c>
    </row>
    <row r="1130" spans="1:8" hidden="1" x14ac:dyDescent="0.3">
      <c r="A1130" s="28">
        <v>15449</v>
      </c>
      <c r="B1130" s="49">
        <v>45260.574999999997</v>
      </c>
      <c r="C1130" s="18">
        <v>45260</v>
      </c>
      <c r="D1130" t="s">
        <v>103</v>
      </c>
      <c r="E1130" s="32">
        <v>429000</v>
      </c>
      <c r="F1130" s="32">
        <v>0</v>
      </c>
      <c r="G1130" s="32">
        <v>220447403</v>
      </c>
      <c r="H1130" t="s">
        <v>386</v>
      </c>
    </row>
    <row r="1131" spans="1:8" hidden="1" x14ac:dyDescent="0.3">
      <c r="A1131" s="28">
        <v>15448</v>
      </c>
      <c r="B1131" s="49">
        <v>45260.574305555558</v>
      </c>
      <c r="C1131" s="18">
        <v>45260</v>
      </c>
      <c r="D1131" t="s">
        <v>103</v>
      </c>
      <c r="E1131" s="32">
        <v>60300</v>
      </c>
      <c r="F1131" s="32">
        <v>0</v>
      </c>
      <c r="G1131" s="32">
        <v>220018403</v>
      </c>
      <c r="H1131" t="s">
        <v>385</v>
      </c>
    </row>
    <row r="1132" spans="1:8" hidden="1" x14ac:dyDescent="0.3">
      <c r="A1132" s="28">
        <v>15447</v>
      </c>
      <c r="B1132" s="49">
        <v>45260.573611111111</v>
      </c>
      <c r="C1132" s="18">
        <v>45260</v>
      </c>
      <c r="D1132" t="s">
        <v>103</v>
      </c>
      <c r="E1132" s="32">
        <v>603000</v>
      </c>
      <c r="F1132" s="32">
        <v>0</v>
      </c>
      <c r="G1132" s="32">
        <v>219958103</v>
      </c>
      <c r="H1132" t="s">
        <v>386</v>
      </c>
    </row>
    <row r="1133" spans="1:8" hidden="1" x14ac:dyDescent="0.3">
      <c r="A1133" s="28">
        <v>15446</v>
      </c>
      <c r="B1133" s="49">
        <v>45260.572916666664</v>
      </c>
      <c r="C1133" s="18">
        <v>45260</v>
      </c>
      <c r="D1133" t="s">
        <v>103</v>
      </c>
      <c r="E1133" s="32">
        <v>221100</v>
      </c>
      <c r="F1133" s="32">
        <v>0</v>
      </c>
      <c r="G1133" s="32">
        <v>219355103</v>
      </c>
      <c r="H1133" t="s">
        <v>385</v>
      </c>
    </row>
    <row r="1134" spans="1:8" hidden="1" x14ac:dyDescent="0.3">
      <c r="A1134" s="28">
        <v>15445</v>
      </c>
      <c r="B1134" s="49">
        <v>45260.572916666664</v>
      </c>
      <c r="C1134" s="18">
        <v>45260</v>
      </c>
      <c r="D1134" t="s">
        <v>103</v>
      </c>
      <c r="E1134" s="32">
        <v>228800</v>
      </c>
      <c r="F1134" s="32">
        <v>0</v>
      </c>
      <c r="G1134" s="32">
        <v>219134003</v>
      </c>
      <c r="H1134" t="s">
        <v>385</v>
      </c>
    </row>
    <row r="1135" spans="1:8" hidden="1" x14ac:dyDescent="0.3">
      <c r="A1135" s="28">
        <v>15444</v>
      </c>
      <c r="B1135" s="49">
        <v>45260.557638888888</v>
      </c>
      <c r="C1135" s="18">
        <v>45260</v>
      </c>
      <c r="D1135" t="s">
        <v>103</v>
      </c>
      <c r="E1135" s="32">
        <v>90200</v>
      </c>
      <c r="F1135" s="32">
        <v>0</v>
      </c>
      <c r="G1135" s="32">
        <v>218905203</v>
      </c>
      <c r="H1135" t="s">
        <v>481</v>
      </c>
    </row>
    <row r="1136" spans="1:8" hidden="1" x14ac:dyDescent="0.3">
      <c r="A1136" s="28">
        <v>15442</v>
      </c>
      <c r="B1136" s="49">
        <v>45260.543055555558</v>
      </c>
      <c r="C1136" s="18">
        <v>45260</v>
      </c>
      <c r="D1136" t="s">
        <v>103</v>
      </c>
      <c r="E1136" s="32">
        <v>4098600</v>
      </c>
      <c r="F1136" s="32">
        <v>0</v>
      </c>
      <c r="G1136" s="32">
        <v>218815003</v>
      </c>
      <c r="H1136" t="s">
        <v>530</v>
      </c>
    </row>
    <row r="1137" spans="1:8" hidden="1" x14ac:dyDescent="0.3">
      <c r="A1137" s="28">
        <v>15439</v>
      </c>
      <c r="B1137" s="49">
        <v>45260.484027777777</v>
      </c>
      <c r="C1137" s="18">
        <v>45260</v>
      </c>
      <c r="D1137" t="s">
        <v>103</v>
      </c>
      <c r="E1137" s="32">
        <v>10365300</v>
      </c>
      <c r="F1137" s="32">
        <v>0</v>
      </c>
      <c r="G1137" s="32">
        <v>214716403</v>
      </c>
      <c r="H1137" t="s">
        <v>327</v>
      </c>
    </row>
    <row r="1138" spans="1:8" hidden="1" x14ac:dyDescent="0.3">
      <c r="A1138" s="28">
        <v>15438</v>
      </c>
      <c r="B1138" s="49">
        <v>45260.459027777775</v>
      </c>
      <c r="C1138" s="18">
        <v>45260</v>
      </c>
      <c r="D1138" t="s">
        <v>103</v>
      </c>
      <c r="E1138" s="32">
        <v>672100</v>
      </c>
      <c r="F1138" s="32">
        <v>0</v>
      </c>
      <c r="G1138" s="32">
        <v>204351103</v>
      </c>
      <c r="H1138" t="s">
        <v>324</v>
      </c>
    </row>
    <row r="1139" spans="1:8" hidden="1" x14ac:dyDescent="0.3">
      <c r="A1139" s="28">
        <v>15437</v>
      </c>
      <c r="B1139" s="49">
        <v>45260.459027777775</v>
      </c>
      <c r="C1139" s="18">
        <v>45260</v>
      </c>
      <c r="D1139" t="s">
        <v>103</v>
      </c>
      <c r="E1139" s="32">
        <v>2712000</v>
      </c>
      <c r="F1139" s="32">
        <v>0</v>
      </c>
      <c r="G1139" s="32">
        <v>203679003</v>
      </c>
      <c r="H1139" t="s">
        <v>482</v>
      </c>
    </row>
    <row r="1140" spans="1:8" hidden="1" x14ac:dyDescent="0.3">
      <c r="A1140" s="28">
        <v>15436</v>
      </c>
      <c r="B1140" s="49">
        <v>45260.440972222219</v>
      </c>
      <c r="C1140" s="18">
        <v>45260</v>
      </c>
      <c r="D1140" t="s">
        <v>103</v>
      </c>
      <c r="E1140" s="32">
        <v>356400</v>
      </c>
      <c r="F1140" s="32">
        <v>0</v>
      </c>
      <c r="G1140" s="32">
        <v>200967003</v>
      </c>
      <c r="H1140" t="s">
        <v>364</v>
      </c>
    </row>
    <row r="1141" spans="1:8" hidden="1" x14ac:dyDescent="0.3">
      <c r="A1141" s="28">
        <v>15435</v>
      </c>
      <c r="B1141" s="49">
        <v>45260.405555555553</v>
      </c>
      <c r="C1141" s="18">
        <v>45260</v>
      </c>
      <c r="D1141" t="s">
        <v>103</v>
      </c>
      <c r="E1141" s="32">
        <v>1113200</v>
      </c>
      <c r="F1141" s="32">
        <v>0</v>
      </c>
      <c r="G1141" s="32">
        <v>200610603</v>
      </c>
      <c r="H1141" t="s">
        <v>326</v>
      </c>
    </row>
    <row r="1142" spans="1:8" hidden="1" x14ac:dyDescent="0.3">
      <c r="A1142" s="28">
        <v>15434</v>
      </c>
      <c r="B1142" s="49">
        <v>45260.405555555553</v>
      </c>
      <c r="C1142" s="18">
        <v>45260</v>
      </c>
      <c r="D1142" t="s">
        <v>103</v>
      </c>
      <c r="E1142" s="32">
        <v>816200</v>
      </c>
      <c r="F1142" s="32">
        <v>0</v>
      </c>
      <c r="G1142" s="32">
        <v>199497403</v>
      </c>
      <c r="H1142" t="s">
        <v>326</v>
      </c>
    </row>
    <row r="1143" spans="1:8" hidden="1" x14ac:dyDescent="0.3">
      <c r="A1143" s="28">
        <v>15433</v>
      </c>
      <c r="B1143" s="49">
        <v>45260.405555555553</v>
      </c>
      <c r="C1143" s="18">
        <v>45260</v>
      </c>
      <c r="D1143" t="s">
        <v>103</v>
      </c>
      <c r="E1143" s="32">
        <v>512600</v>
      </c>
      <c r="F1143" s="32">
        <v>0</v>
      </c>
      <c r="G1143" s="32">
        <v>198681203</v>
      </c>
      <c r="H1143" t="s">
        <v>326</v>
      </c>
    </row>
    <row r="1144" spans="1:8" hidden="1" x14ac:dyDescent="0.3">
      <c r="A1144" s="28">
        <v>15432</v>
      </c>
      <c r="B1144" s="49">
        <v>45260.405555555553</v>
      </c>
      <c r="C1144" s="18">
        <v>45260</v>
      </c>
      <c r="D1144" t="s">
        <v>103</v>
      </c>
      <c r="E1144" s="32">
        <v>310200</v>
      </c>
      <c r="F1144" s="32">
        <v>0</v>
      </c>
      <c r="G1144" s="32">
        <v>198168603</v>
      </c>
      <c r="H1144" t="s">
        <v>326</v>
      </c>
    </row>
    <row r="1145" spans="1:8" hidden="1" x14ac:dyDescent="0.3">
      <c r="A1145" s="28">
        <v>15431</v>
      </c>
      <c r="B1145" s="49">
        <v>45260.405555555553</v>
      </c>
      <c r="C1145" s="18">
        <v>45260</v>
      </c>
      <c r="D1145" t="s">
        <v>103</v>
      </c>
      <c r="E1145" s="32">
        <v>403700</v>
      </c>
      <c r="F1145" s="32">
        <v>0</v>
      </c>
      <c r="G1145" s="32">
        <v>197858403</v>
      </c>
      <c r="H1145" t="s">
        <v>326</v>
      </c>
    </row>
    <row r="1146" spans="1:8" hidden="1" x14ac:dyDescent="0.3">
      <c r="A1146" s="28">
        <v>15430</v>
      </c>
      <c r="B1146" s="49">
        <v>45260.374305555553</v>
      </c>
      <c r="C1146" s="18">
        <v>45260</v>
      </c>
      <c r="D1146" t="s">
        <v>104</v>
      </c>
      <c r="E1146" s="32">
        <v>0</v>
      </c>
      <c r="F1146" s="32">
        <v>198000</v>
      </c>
      <c r="G1146" s="32">
        <v>197454703</v>
      </c>
      <c r="H1146" t="s">
        <v>531</v>
      </c>
    </row>
    <row r="1147" spans="1:8" hidden="1" x14ac:dyDescent="0.3">
      <c r="A1147" s="28">
        <v>15429</v>
      </c>
      <c r="B1147" s="49">
        <v>45260.359027777777</v>
      </c>
      <c r="C1147" s="18">
        <v>45260</v>
      </c>
      <c r="D1147" t="s">
        <v>104</v>
      </c>
      <c r="E1147" s="32">
        <v>0</v>
      </c>
      <c r="F1147" s="32">
        <v>600000</v>
      </c>
      <c r="G1147" s="32">
        <v>197652703</v>
      </c>
      <c r="H1147" t="s">
        <v>532</v>
      </c>
    </row>
    <row r="1148" spans="1:8" hidden="1" x14ac:dyDescent="0.3">
      <c r="A1148" s="28">
        <v>15428</v>
      </c>
      <c r="B1148" s="49">
        <v>45259.720833333333</v>
      </c>
      <c r="C1148" s="18">
        <v>45259</v>
      </c>
      <c r="D1148" t="s">
        <v>104</v>
      </c>
      <c r="E1148" s="32">
        <v>0</v>
      </c>
      <c r="F1148" s="32">
        <v>22000</v>
      </c>
      <c r="G1148" s="32">
        <v>198252703</v>
      </c>
      <c r="H1148" t="s">
        <v>533</v>
      </c>
    </row>
    <row r="1149" spans="1:8" hidden="1" x14ac:dyDescent="0.3">
      <c r="A1149" s="28">
        <v>15427</v>
      </c>
      <c r="B1149" s="49">
        <v>45259.701388888891</v>
      </c>
      <c r="C1149" s="18">
        <v>45259</v>
      </c>
      <c r="D1149" t="s">
        <v>103</v>
      </c>
      <c r="E1149" s="32">
        <v>180400</v>
      </c>
      <c r="F1149" s="32">
        <v>0</v>
      </c>
      <c r="G1149" s="32">
        <v>198274703</v>
      </c>
      <c r="H1149" t="s">
        <v>534</v>
      </c>
    </row>
    <row r="1150" spans="1:8" hidden="1" x14ac:dyDescent="0.3">
      <c r="A1150" s="28">
        <v>15425</v>
      </c>
      <c r="B1150" s="49">
        <v>45259.628472222219</v>
      </c>
      <c r="C1150" s="18">
        <v>45259</v>
      </c>
      <c r="D1150" t="s">
        <v>103</v>
      </c>
      <c r="E1150" s="32">
        <v>90200</v>
      </c>
      <c r="F1150" s="32">
        <v>0</v>
      </c>
      <c r="G1150" s="32">
        <v>198094303</v>
      </c>
      <c r="H1150" t="s">
        <v>307</v>
      </c>
    </row>
    <row r="1151" spans="1:8" hidden="1" x14ac:dyDescent="0.3">
      <c r="A1151" s="28">
        <v>15424</v>
      </c>
      <c r="B1151" s="49">
        <v>45259.604861111111</v>
      </c>
      <c r="C1151" s="18">
        <v>45259</v>
      </c>
      <c r="D1151" t="s">
        <v>103</v>
      </c>
      <c r="E1151" s="32">
        <v>1536700</v>
      </c>
      <c r="F1151" s="32">
        <v>0</v>
      </c>
      <c r="G1151" s="32">
        <v>198004103</v>
      </c>
      <c r="H1151" t="s">
        <v>335</v>
      </c>
    </row>
    <row r="1152" spans="1:8" hidden="1" x14ac:dyDescent="0.3">
      <c r="A1152" s="28">
        <v>15423</v>
      </c>
      <c r="B1152" s="49">
        <v>45259.588888888888</v>
      </c>
      <c r="C1152" s="18">
        <v>45259</v>
      </c>
      <c r="D1152" t="s">
        <v>103</v>
      </c>
      <c r="E1152" s="32">
        <v>664400</v>
      </c>
      <c r="F1152" s="32">
        <v>0</v>
      </c>
      <c r="G1152" s="32">
        <v>196467403</v>
      </c>
      <c r="H1152" t="s">
        <v>319</v>
      </c>
    </row>
    <row r="1153" spans="1:8" hidden="1" x14ac:dyDescent="0.3">
      <c r="A1153" s="28">
        <v>15420</v>
      </c>
      <c r="B1153" s="49">
        <v>45259.414583333331</v>
      </c>
      <c r="C1153" s="18">
        <v>45259</v>
      </c>
      <c r="D1153" t="s">
        <v>104</v>
      </c>
      <c r="E1153" s="32">
        <v>0</v>
      </c>
      <c r="F1153" s="32">
        <v>2937000</v>
      </c>
      <c r="G1153" s="32">
        <v>195803003</v>
      </c>
      <c r="H1153" t="s">
        <v>396</v>
      </c>
    </row>
    <row r="1154" spans="1:8" hidden="1" x14ac:dyDescent="0.3">
      <c r="A1154" s="28">
        <v>15414</v>
      </c>
      <c r="B1154" s="49">
        <v>45258.440972222219</v>
      </c>
      <c r="C1154" s="18">
        <v>45258</v>
      </c>
      <c r="D1154" t="s">
        <v>103</v>
      </c>
      <c r="E1154" s="32">
        <v>1420100</v>
      </c>
      <c r="F1154" s="32">
        <v>0</v>
      </c>
      <c r="G1154" s="32">
        <v>198740003</v>
      </c>
      <c r="H1154" t="s">
        <v>292</v>
      </c>
    </row>
    <row r="1155" spans="1:8" hidden="1" x14ac:dyDescent="0.3">
      <c r="A1155" s="28">
        <v>15412</v>
      </c>
      <c r="B1155" s="49">
        <v>45257.840277777781</v>
      </c>
      <c r="C1155" s="18">
        <v>45257</v>
      </c>
      <c r="D1155" t="s">
        <v>104</v>
      </c>
      <c r="E1155" s="32">
        <v>0</v>
      </c>
      <c r="F1155" s="32">
        <v>440000</v>
      </c>
      <c r="G1155" s="32">
        <v>197319903</v>
      </c>
      <c r="H1155" t="s">
        <v>485</v>
      </c>
    </row>
    <row r="1156" spans="1:8" hidden="1" x14ac:dyDescent="0.3">
      <c r="A1156" s="28">
        <v>15409</v>
      </c>
      <c r="B1156" s="49">
        <v>45257.627083333333</v>
      </c>
      <c r="C1156" s="18">
        <v>45257</v>
      </c>
      <c r="D1156" t="s">
        <v>104</v>
      </c>
      <c r="E1156" s="32">
        <v>0</v>
      </c>
      <c r="F1156" s="32">
        <v>543000</v>
      </c>
      <c r="G1156" s="32">
        <v>197759903</v>
      </c>
      <c r="H1156" t="s">
        <v>535</v>
      </c>
    </row>
    <row r="1157" spans="1:8" hidden="1" x14ac:dyDescent="0.3">
      <c r="A1157" s="28">
        <v>15408</v>
      </c>
      <c r="B1157" s="49">
        <v>45257.588888888888</v>
      </c>
      <c r="C1157" s="18">
        <v>45257</v>
      </c>
      <c r="D1157" t="s">
        <v>103</v>
      </c>
      <c r="E1157" s="32">
        <v>314600</v>
      </c>
      <c r="F1157" s="32">
        <v>0</v>
      </c>
      <c r="G1157" s="32">
        <v>198302903</v>
      </c>
      <c r="H1157" t="s">
        <v>292</v>
      </c>
    </row>
    <row r="1158" spans="1:8" hidden="1" x14ac:dyDescent="0.3">
      <c r="A1158" s="28">
        <v>15407</v>
      </c>
      <c r="B1158" s="49">
        <v>45257.586805555555</v>
      </c>
      <c r="C1158" s="18">
        <v>45257</v>
      </c>
      <c r="D1158" t="s">
        <v>103</v>
      </c>
      <c r="E1158" s="32">
        <v>403700</v>
      </c>
      <c r="F1158" s="32">
        <v>0</v>
      </c>
      <c r="G1158" s="32">
        <v>197988303</v>
      </c>
      <c r="H1158" t="s">
        <v>501</v>
      </c>
    </row>
    <row r="1159" spans="1:8" hidden="1" x14ac:dyDescent="0.3">
      <c r="A1159" s="28">
        <v>15406</v>
      </c>
      <c r="B1159" s="49">
        <v>45257.586805555555</v>
      </c>
      <c r="C1159" s="18">
        <v>45257</v>
      </c>
      <c r="D1159" t="s">
        <v>103</v>
      </c>
      <c r="E1159" s="32">
        <v>177100</v>
      </c>
      <c r="F1159" s="32">
        <v>0</v>
      </c>
      <c r="G1159" s="32">
        <v>197584603</v>
      </c>
      <c r="H1159" t="s">
        <v>501</v>
      </c>
    </row>
    <row r="1160" spans="1:8" hidden="1" x14ac:dyDescent="0.3">
      <c r="A1160" s="28">
        <v>15405</v>
      </c>
      <c r="B1160" s="49">
        <v>45257.406944444447</v>
      </c>
      <c r="C1160" s="18">
        <v>45257</v>
      </c>
      <c r="D1160" t="s">
        <v>104</v>
      </c>
      <c r="E1160" s="32">
        <v>0</v>
      </c>
      <c r="F1160" s="32">
        <v>40590</v>
      </c>
      <c r="G1160" s="32">
        <v>197407503</v>
      </c>
      <c r="H1160" t="s">
        <v>365</v>
      </c>
    </row>
    <row r="1161" spans="1:8" hidden="1" x14ac:dyDescent="0.3">
      <c r="A1161" s="28">
        <v>15402</v>
      </c>
      <c r="B1161" s="49">
        <v>45254.873611111114</v>
      </c>
      <c r="C1161" s="18">
        <v>45254</v>
      </c>
      <c r="D1161" t="s">
        <v>103</v>
      </c>
      <c r="E1161" s="32">
        <v>377300</v>
      </c>
      <c r="F1161" s="32">
        <v>0</v>
      </c>
      <c r="G1161" s="32">
        <v>197448093</v>
      </c>
      <c r="H1161" t="s">
        <v>384</v>
      </c>
    </row>
    <row r="1162" spans="1:8" hidden="1" x14ac:dyDescent="0.3">
      <c r="A1162" s="28">
        <v>15401</v>
      </c>
      <c r="B1162" s="49">
        <v>45254.703472222223</v>
      </c>
      <c r="C1162" s="18">
        <v>45254</v>
      </c>
      <c r="D1162" t="s">
        <v>104</v>
      </c>
      <c r="E1162" s="32">
        <v>0</v>
      </c>
      <c r="F1162" s="32">
        <v>330000</v>
      </c>
      <c r="G1162" s="32">
        <v>197070793</v>
      </c>
      <c r="H1162" t="s">
        <v>536</v>
      </c>
    </row>
    <row r="1163" spans="1:8" hidden="1" x14ac:dyDescent="0.3">
      <c r="A1163" s="28">
        <v>15400</v>
      </c>
      <c r="B1163" s="49">
        <v>45254.618055555555</v>
      </c>
      <c r="C1163" s="18">
        <v>45254</v>
      </c>
      <c r="D1163" t="s">
        <v>103</v>
      </c>
      <c r="E1163" s="32">
        <v>1288100</v>
      </c>
      <c r="F1163" s="32">
        <v>0</v>
      </c>
      <c r="G1163" s="32">
        <v>197400793</v>
      </c>
      <c r="H1163" t="s">
        <v>300</v>
      </c>
    </row>
    <row r="1164" spans="1:8" hidden="1" x14ac:dyDescent="0.3">
      <c r="A1164" s="28">
        <v>15399</v>
      </c>
      <c r="B1164" s="49">
        <v>45254.583333333336</v>
      </c>
      <c r="C1164" s="18">
        <v>45254</v>
      </c>
      <c r="D1164" t="s">
        <v>104</v>
      </c>
      <c r="E1164" s="32">
        <v>0</v>
      </c>
      <c r="F1164" s="32">
        <v>322557</v>
      </c>
      <c r="G1164" s="32">
        <v>196112693</v>
      </c>
      <c r="H1164" t="s">
        <v>293</v>
      </c>
    </row>
    <row r="1165" spans="1:8" hidden="1" x14ac:dyDescent="0.3">
      <c r="A1165" s="28">
        <v>15398</v>
      </c>
      <c r="B1165" s="49">
        <v>45254.572916666664</v>
      </c>
      <c r="C1165" s="18">
        <v>45254</v>
      </c>
      <c r="D1165" t="s">
        <v>103</v>
      </c>
      <c r="E1165" s="32">
        <v>601700</v>
      </c>
      <c r="F1165" s="32">
        <v>0</v>
      </c>
      <c r="G1165" s="32">
        <v>196435250</v>
      </c>
      <c r="H1165" t="s">
        <v>526</v>
      </c>
    </row>
    <row r="1166" spans="1:8" hidden="1" x14ac:dyDescent="0.3">
      <c r="A1166" s="28">
        <v>15397</v>
      </c>
      <c r="B1166" s="49">
        <v>45254.520138888889</v>
      </c>
      <c r="C1166" s="18">
        <v>45254</v>
      </c>
      <c r="D1166" t="s">
        <v>103</v>
      </c>
      <c r="E1166" s="32">
        <v>282700</v>
      </c>
      <c r="F1166" s="32">
        <v>0</v>
      </c>
      <c r="G1166" s="32">
        <v>195833550</v>
      </c>
      <c r="H1166" t="s">
        <v>475</v>
      </c>
    </row>
    <row r="1167" spans="1:8" hidden="1" x14ac:dyDescent="0.3">
      <c r="A1167" s="28">
        <v>15396</v>
      </c>
      <c r="B1167" s="49">
        <v>45254.494444444441</v>
      </c>
      <c r="C1167" s="18">
        <v>45254</v>
      </c>
      <c r="D1167" t="s">
        <v>103</v>
      </c>
      <c r="E1167" s="32">
        <v>3977600</v>
      </c>
      <c r="F1167" s="32">
        <v>0</v>
      </c>
      <c r="G1167" s="32">
        <v>195550850</v>
      </c>
      <c r="H1167" t="s">
        <v>321</v>
      </c>
    </row>
    <row r="1168" spans="1:8" hidden="1" x14ac:dyDescent="0.3">
      <c r="A1168" s="28">
        <v>15395</v>
      </c>
      <c r="B1168" s="49">
        <v>45254.486805555556</v>
      </c>
      <c r="C1168" s="18">
        <v>45254</v>
      </c>
      <c r="D1168" t="s">
        <v>103</v>
      </c>
      <c r="E1168" s="32">
        <v>418000</v>
      </c>
      <c r="F1168" s="32">
        <v>0</v>
      </c>
      <c r="G1168" s="32">
        <v>191573250</v>
      </c>
      <c r="H1168" t="s">
        <v>455</v>
      </c>
    </row>
    <row r="1169" spans="1:8" hidden="1" x14ac:dyDescent="0.3">
      <c r="A1169" s="28">
        <v>15394</v>
      </c>
      <c r="B1169" s="49">
        <v>45254.459722222222</v>
      </c>
      <c r="C1169" s="18">
        <v>45254</v>
      </c>
      <c r="D1169" t="s">
        <v>104</v>
      </c>
      <c r="E1169" s="32">
        <v>0</v>
      </c>
      <c r="F1169" s="32">
        <v>3058000</v>
      </c>
      <c r="G1169" s="32">
        <v>191155250</v>
      </c>
      <c r="H1169" t="s">
        <v>537</v>
      </c>
    </row>
    <row r="1170" spans="1:8" hidden="1" x14ac:dyDescent="0.3">
      <c r="A1170" s="28">
        <v>15393</v>
      </c>
      <c r="B1170" s="49">
        <v>45254.454861111109</v>
      </c>
      <c r="C1170" s="18">
        <v>45254</v>
      </c>
      <c r="D1170" t="s">
        <v>104</v>
      </c>
      <c r="E1170" s="32">
        <v>0</v>
      </c>
      <c r="F1170" s="32">
        <v>2837684</v>
      </c>
      <c r="G1170" s="32">
        <v>194213250</v>
      </c>
      <c r="H1170" t="s">
        <v>538</v>
      </c>
    </row>
    <row r="1171" spans="1:8" hidden="1" x14ac:dyDescent="0.3">
      <c r="A1171" s="28">
        <v>15392</v>
      </c>
      <c r="B1171" s="49">
        <v>45254.445833333331</v>
      </c>
      <c r="C1171" s="18">
        <v>45254</v>
      </c>
      <c r="D1171" t="s">
        <v>103</v>
      </c>
      <c r="E1171" s="32">
        <v>5489000</v>
      </c>
      <c r="F1171" s="32">
        <v>0</v>
      </c>
      <c r="G1171" s="32">
        <v>197050934</v>
      </c>
      <c r="H1171" t="s">
        <v>539</v>
      </c>
    </row>
    <row r="1172" spans="1:8" hidden="1" x14ac:dyDescent="0.3">
      <c r="A1172" s="28">
        <v>15391</v>
      </c>
      <c r="B1172" s="49">
        <v>45254.393055555556</v>
      </c>
      <c r="C1172" s="18">
        <v>45254</v>
      </c>
      <c r="D1172" t="s">
        <v>103</v>
      </c>
      <c r="E1172" s="32">
        <v>101513836</v>
      </c>
      <c r="F1172" s="32">
        <v>0</v>
      </c>
      <c r="G1172" s="32">
        <v>191561934</v>
      </c>
      <c r="H1172" t="s">
        <v>540</v>
      </c>
    </row>
    <row r="1173" spans="1:8" hidden="1" x14ac:dyDescent="0.3">
      <c r="A1173" s="28">
        <v>15390</v>
      </c>
      <c r="B1173" s="49">
        <v>45254.377083333333</v>
      </c>
      <c r="C1173" s="18">
        <v>45254</v>
      </c>
      <c r="D1173" t="s">
        <v>104</v>
      </c>
      <c r="E1173" s="32">
        <v>0</v>
      </c>
      <c r="F1173" s="32">
        <v>130000</v>
      </c>
      <c r="G1173" s="32">
        <v>90048098</v>
      </c>
      <c r="H1173" t="s">
        <v>541</v>
      </c>
    </row>
    <row r="1174" spans="1:8" hidden="1" x14ac:dyDescent="0.3">
      <c r="A1174" s="28">
        <v>15389</v>
      </c>
      <c r="B1174" s="49">
        <v>45254.377083333333</v>
      </c>
      <c r="C1174" s="18">
        <v>45254</v>
      </c>
      <c r="D1174" t="s">
        <v>104</v>
      </c>
      <c r="E1174" s="32">
        <v>0</v>
      </c>
      <c r="F1174" s="32">
        <v>450000</v>
      </c>
      <c r="G1174" s="32">
        <v>90178098</v>
      </c>
      <c r="H1174" t="s">
        <v>354</v>
      </c>
    </row>
    <row r="1175" spans="1:8" hidden="1" x14ac:dyDescent="0.3">
      <c r="A1175" s="28">
        <v>15388</v>
      </c>
      <c r="B1175" s="49">
        <v>45254.363194444442</v>
      </c>
      <c r="C1175" s="18">
        <v>45254</v>
      </c>
      <c r="D1175" t="s">
        <v>103</v>
      </c>
      <c r="E1175" s="32">
        <v>41800</v>
      </c>
      <c r="F1175" s="32">
        <v>0</v>
      </c>
      <c r="G1175" s="32">
        <v>90628098</v>
      </c>
      <c r="H1175" t="s">
        <v>456</v>
      </c>
    </row>
    <row r="1176" spans="1:8" hidden="1" x14ac:dyDescent="0.3">
      <c r="A1176" s="28">
        <v>15384</v>
      </c>
      <c r="B1176" s="49">
        <v>45253.564583333333</v>
      </c>
      <c r="C1176" s="18">
        <v>45253</v>
      </c>
      <c r="D1176" t="s">
        <v>103</v>
      </c>
      <c r="E1176" s="32">
        <v>1713800</v>
      </c>
      <c r="F1176" s="32">
        <v>0</v>
      </c>
      <c r="G1176" s="32">
        <v>90586298</v>
      </c>
      <c r="H1176" t="s">
        <v>542</v>
      </c>
    </row>
    <row r="1177" spans="1:8" hidden="1" x14ac:dyDescent="0.3">
      <c r="A1177" s="28">
        <v>15381</v>
      </c>
      <c r="B1177" s="49">
        <v>45253.427083333336</v>
      </c>
      <c r="C1177" s="18">
        <v>45253</v>
      </c>
      <c r="D1177" t="s">
        <v>104</v>
      </c>
      <c r="E1177" s="32">
        <v>0</v>
      </c>
      <c r="F1177" s="32">
        <v>99000</v>
      </c>
      <c r="G1177" s="32">
        <v>88872498</v>
      </c>
      <c r="H1177" t="s">
        <v>543</v>
      </c>
    </row>
    <row r="1178" spans="1:8" hidden="1" x14ac:dyDescent="0.3">
      <c r="A1178" s="28">
        <v>15380</v>
      </c>
      <c r="B1178" s="49">
        <v>45253.422222222223</v>
      </c>
      <c r="C1178" s="18">
        <v>45253</v>
      </c>
      <c r="D1178" t="s">
        <v>104</v>
      </c>
      <c r="E1178" s="32">
        <v>0</v>
      </c>
      <c r="F1178" s="32">
        <v>4400000</v>
      </c>
      <c r="G1178" s="32">
        <v>88971498</v>
      </c>
      <c r="H1178" t="s">
        <v>544</v>
      </c>
    </row>
    <row r="1179" spans="1:8" hidden="1" x14ac:dyDescent="0.3">
      <c r="A1179" s="28">
        <v>15378</v>
      </c>
      <c r="B1179" s="49">
        <v>45252.75277777778</v>
      </c>
      <c r="C1179" s="18">
        <v>45252</v>
      </c>
      <c r="D1179" t="s">
        <v>103</v>
      </c>
      <c r="E1179" s="32">
        <v>1166000</v>
      </c>
      <c r="F1179" s="32">
        <v>0</v>
      </c>
      <c r="G1179" s="32">
        <v>93371498</v>
      </c>
      <c r="H1179" t="s">
        <v>545</v>
      </c>
    </row>
    <row r="1180" spans="1:8" hidden="1" x14ac:dyDescent="0.3">
      <c r="A1180" s="28">
        <v>15377</v>
      </c>
      <c r="B1180" s="49">
        <v>45252.615972222222</v>
      </c>
      <c r="C1180" s="18">
        <v>45252</v>
      </c>
      <c r="D1180" t="s">
        <v>103</v>
      </c>
      <c r="E1180" s="32">
        <v>210100</v>
      </c>
      <c r="F1180" s="32">
        <v>0</v>
      </c>
      <c r="G1180" s="32">
        <v>92205498</v>
      </c>
      <c r="H1180" t="s">
        <v>546</v>
      </c>
    </row>
    <row r="1181" spans="1:8" hidden="1" x14ac:dyDescent="0.3">
      <c r="A1181" s="28">
        <v>15376</v>
      </c>
      <c r="B1181" s="49">
        <v>45252.561805555553</v>
      </c>
      <c r="C1181" s="18">
        <v>45252</v>
      </c>
      <c r="D1181" t="s">
        <v>104</v>
      </c>
      <c r="E1181" s="32">
        <v>0</v>
      </c>
      <c r="F1181" s="32">
        <v>182213</v>
      </c>
      <c r="G1181" s="32">
        <v>91995398</v>
      </c>
      <c r="H1181" t="s">
        <v>293</v>
      </c>
    </row>
    <row r="1182" spans="1:8" hidden="1" x14ac:dyDescent="0.3">
      <c r="A1182" s="28">
        <v>15374</v>
      </c>
      <c r="B1182" s="49">
        <v>45252.429166666669</v>
      </c>
      <c r="C1182" s="18">
        <v>45252</v>
      </c>
      <c r="D1182" t="s">
        <v>103</v>
      </c>
      <c r="E1182" s="32">
        <v>598400</v>
      </c>
      <c r="F1182" s="32">
        <v>0</v>
      </c>
      <c r="G1182" s="32">
        <v>92177611</v>
      </c>
      <c r="H1182" t="s">
        <v>547</v>
      </c>
    </row>
    <row r="1183" spans="1:8" hidden="1" x14ac:dyDescent="0.3">
      <c r="A1183" s="28">
        <v>15373</v>
      </c>
      <c r="B1183" s="49">
        <v>45252.408333333333</v>
      </c>
      <c r="C1183" s="18">
        <v>45252</v>
      </c>
      <c r="D1183" t="s">
        <v>103</v>
      </c>
      <c r="E1183" s="32">
        <v>405900</v>
      </c>
      <c r="F1183" s="32">
        <v>0</v>
      </c>
      <c r="G1183" s="32">
        <v>91579211</v>
      </c>
      <c r="H1183" t="s">
        <v>548</v>
      </c>
    </row>
    <row r="1184" spans="1:8" hidden="1" x14ac:dyDescent="0.3">
      <c r="A1184" s="28">
        <v>15372</v>
      </c>
      <c r="B1184" s="49">
        <v>45252.394444444442</v>
      </c>
      <c r="C1184" s="18">
        <v>45252</v>
      </c>
      <c r="D1184" t="s">
        <v>104</v>
      </c>
      <c r="E1184" s="32">
        <v>0</v>
      </c>
      <c r="F1184" s="32">
        <v>33507910</v>
      </c>
      <c r="G1184" s="32">
        <v>91173311</v>
      </c>
      <c r="H1184" t="s">
        <v>330</v>
      </c>
    </row>
    <row r="1185" spans="1:8" hidden="1" x14ac:dyDescent="0.3">
      <c r="A1185" s="28">
        <v>15371</v>
      </c>
      <c r="B1185" s="49">
        <v>45252.393750000003</v>
      </c>
      <c r="C1185" s="18">
        <v>45252</v>
      </c>
      <c r="D1185" t="s">
        <v>104</v>
      </c>
      <c r="E1185" s="32">
        <v>0</v>
      </c>
      <c r="F1185" s="32">
        <v>11181080</v>
      </c>
      <c r="G1185" s="32">
        <v>124681221</v>
      </c>
      <c r="H1185" t="s">
        <v>330</v>
      </c>
    </row>
    <row r="1186" spans="1:8" hidden="1" x14ac:dyDescent="0.3">
      <c r="A1186" s="28">
        <v>15370</v>
      </c>
      <c r="B1186" s="49">
        <v>45252.386111111111</v>
      </c>
      <c r="C1186" s="18">
        <v>45252</v>
      </c>
      <c r="D1186" t="s">
        <v>104</v>
      </c>
      <c r="E1186" s="32">
        <v>0</v>
      </c>
      <c r="F1186" s="32">
        <v>8000</v>
      </c>
      <c r="G1186" s="32">
        <v>135862301</v>
      </c>
      <c r="H1186" t="s">
        <v>313</v>
      </c>
    </row>
    <row r="1187" spans="1:8" hidden="1" x14ac:dyDescent="0.3">
      <c r="A1187" s="28">
        <v>15369</v>
      </c>
      <c r="B1187" s="49">
        <v>45252.361111111109</v>
      </c>
      <c r="C1187" s="18">
        <v>45252</v>
      </c>
      <c r="D1187" t="s">
        <v>103</v>
      </c>
      <c r="E1187" s="32">
        <v>104179240</v>
      </c>
      <c r="F1187" s="32">
        <v>0</v>
      </c>
      <c r="G1187" s="32">
        <v>135870301</v>
      </c>
      <c r="H1187" t="s">
        <v>549</v>
      </c>
    </row>
    <row r="1188" spans="1:8" hidden="1" x14ac:dyDescent="0.3">
      <c r="A1188" s="28">
        <v>15365</v>
      </c>
      <c r="B1188" s="49">
        <v>45251.690972222219</v>
      </c>
      <c r="C1188" s="18">
        <v>45251</v>
      </c>
      <c r="D1188" t="s">
        <v>103</v>
      </c>
      <c r="E1188" s="32">
        <v>61800</v>
      </c>
      <c r="F1188" s="32">
        <v>0</v>
      </c>
      <c r="G1188" s="32">
        <v>31691061</v>
      </c>
      <c r="H1188" t="s">
        <v>463</v>
      </c>
    </row>
    <row r="1189" spans="1:8" hidden="1" x14ac:dyDescent="0.3">
      <c r="A1189" s="28">
        <v>15364</v>
      </c>
      <c r="B1189" s="49">
        <v>45251.690972222219</v>
      </c>
      <c r="C1189" s="18">
        <v>45251</v>
      </c>
      <c r="D1189" t="s">
        <v>103</v>
      </c>
      <c r="E1189" s="32">
        <v>618000</v>
      </c>
      <c r="F1189" s="32">
        <v>0</v>
      </c>
      <c r="G1189" s="32">
        <v>31629261</v>
      </c>
      <c r="H1189" t="s">
        <v>463</v>
      </c>
    </row>
    <row r="1190" spans="1:8" hidden="1" x14ac:dyDescent="0.3">
      <c r="A1190" s="28">
        <v>15363</v>
      </c>
      <c r="B1190" s="49">
        <v>45251.690972222219</v>
      </c>
      <c r="C1190" s="18">
        <v>45251</v>
      </c>
      <c r="D1190" t="s">
        <v>103</v>
      </c>
      <c r="E1190" s="32">
        <v>29000</v>
      </c>
      <c r="F1190" s="32">
        <v>0</v>
      </c>
      <c r="G1190" s="32">
        <v>31011261</v>
      </c>
      <c r="H1190" t="s">
        <v>463</v>
      </c>
    </row>
    <row r="1191" spans="1:8" hidden="1" x14ac:dyDescent="0.3">
      <c r="A1191" s="28">
        <v>15362</v>
      </c>
      <c r="B1191" s="49">
        <v>45251.690972222219</v>
      </c>
      <c r="C1191" s="18">
        <v>45251</v>
      </c>
      <c r="D1191" t="s">
        <v>103</v>
      </c>
      <c r="E1191" s="32">
        <v>78500</v>
      </c>
      <c r="F1191" s="32">
        <v>0</v>
      </c>
      <c r="G1191" s="32">
        <v>30982261</v>
      </c>
      <c r="H1191" t="s">
        <v>463</v>
      </c>
    </row>
    <row r="1192" spans="1:8" hidden="1" x14ac:dyDescent="0.3">
      <c r="A1192" s="28">
        <v>15361</v>
      </c>
      <c r="B1192" s="49">
        <v>45251.685416666667</v>
      </c>
      <c r="C1192" s="18">
        <v>45251</v>
      </c>
      <c r="D1192" t="s">
        <v>103</v>
      </c>
      <c r="E1192" s="32">
        <v>290000</v>
      </c>
      <c r="F1192" s="32">
        <v>0</v>
      </c>
      <c r="G1192" s="32">
        <v>30903761</v>
      </c>
      <c r="H1192" t="s">
        <v>462</v>
      </c>
    </row>
    <row r="1193" spans="1:8" hidden="1" x14ac:dyDescent="0.3">
      <c r="A1193" s="28">
        <v>15360</v>
      </c>
      <c r="B1193" s="49">
        <v>45251.685416666667</v>
      </c>
      <c r="C1193" s="18">
        <v>45251</v>
      </c>
      <c r="D1193" t="s">
        <v>103</v>
      </c>
      <c r="E1193" s="32">
        <v>785000</v>
      </c>
      <c r="F1193" s="32">
        <v>0</v>
      </c>
      <c r="G1193" s="32">
        <v>30613761</v>
      </c>
      <c r="H1193" t="s">
        <v>462</v>
      </c>
    </row>
    <row r="1194" spans="1:8" hidden="1" x14ac:dyDescent="0.3">
      <c r="A1194" s="28">
        <v>15359</v>
      </c>
      <c r="B1194" s="49">
        <v>45251.669444444444</v>
      </c>
      <c r="C1194" s="18">
        <v>45251</v>
      </c>
      <c r="D1194" t="s">
        <v>103</v>
      </c>
      <c r="E1194" s="32">
        <v>2396900</v>
      </c>
      <c r="F1194" s="32">
        <v>0</v>
      </c>
      <c r="G1194" s="32">
        <v>29828761</v>
      </c>
      <c r="H1194" t="s">
        <v>447</v>
      </c>
    </row>
    <row r="1195" spans="1:8" hidden="1" x14ac:dyDescent="0.3">
      <c r="A1195" s="28">
        <v>15358</v>
      </c>
      <c r="B1195" s="49">
        <v>45251.648611111108</v>
      </c>
      <c r="C1195" s="18">
        <v>45251</v>
      </c>
      <c r="D1195" t="s">
        <v>103</v>
      </c>
      <c r="E1195" s="32">
        <v>1020800</v>
      </c>
      <c r="F1195" s="32">
        <v>0</v>
      </c>
      <c r="G1195" s="32">
        <v>27431861</v>
      </c>
      <c r="H1195" t="s">
        <v>448</v>
      </c>
    </row>
    <row r="1196" spans="1:8" hidden="1" x14ac:dyDescent="0.3">
      <c r="A1196" s="28">
        <v>15357</v>
      </c>
      <c r="B1196" s="49">
        <v>45251.638194444444</v>
      </c>
      <c r="C1196" s="18">
        <v>45251</v>
      </c>
      <c r="D1196" t="s">
        <v>103</v>
      </c>
      <c r="E1196" s="32">
        <v>1037300</v>
      </c>
      <c r="F1196" s="32">
        <v>0</v>
      </c>
      <c r="G1196" s="32">
        <v>26411061</v>
      </c>
      <c r="H1196" t="s">
        <v>526</v>
      </c>
    </row>
    <row r="1197" spans="1:8" hidden="1" x14ac:dyDescent="0.3">
      <c r="A1197" s="28">
        <v>15356</v>
      </c>
      <c r="B1197" s="49">
        <v>45251.489583333336</v>
      </c>
      <c r="C1197" s="18">
        <v>45251</v>
      </c>
      <c r="D1197" t="s">
        <v>104</v>
      </c>
      <c r="E1197" s="32">
        <v>0</v>
      </c>
      <c r="F1197" s="32">
        <v>1537440</v>
      </c>
      <c r="G1197" s="32">
        <v>25373761</v>
      </c>
      <c r="H1197" t="s">
        <v>366</v>
      </c>
    </row>
    <row r="1198" spans="1:8" hidden="1" x14ac:dyDescent="0.3">
      <c r="A1198" s="28">
        <v>15355</v>
      </c>
      <c r="B1198" s="49">
        <v>45251.486805555556</v>
      </c>
      <c r="C1198" s="18">
        <v>45251</v>
      </c>
      <c r="D1198" t="s">
        <v>104</v>
      </c>
      <c r="E1198" s="32">
        <v>0</v>
      </c>
      <c r="F1198" s="32">
        <v>20000</v>
      </c>
      <c r="G1198" s="32">
        <v>26911201</v>
      </c>
      <c r="H1198" t="s">
        <v>367</v>
      </c>
    </row>
    <row r="1199" spans="1:8" hidden="1" x14ac:dyDescent="0.3">
      <c r="A1199" s="28">
        <v>15354</v>
      </c>
      <c r="B1199" s="49">
        <v>45251.435416666667</v>
      </c>
      <c r="C1199" s="18">
        <v>45251</v>
      </c>
      <c r="D1199" t="s">
        <v>103</v>
      </c>
      <c r="E1199" s="32">
        <v>56278</v>
      </c>
      <c r="F1199" s="32">
        <v>0</v>
      </c>
      <c r="G1199" s="32">
        <v>26931201</v>
      </c>
      <c r="H1199" t="s">
        <v>550</v>
      </c>
    </row>
    <row r="1200" spans="1:8" hidden="1" x14ac:dyDescent="0.3">
      <c r="A1200" s="28">
        <v>15353</v>
      </c>
      <c r="B1200" s="49">
        <v>45251.386111111111</v>
      </c>
      <c r="C1200" s="18">
        <v>45251</v>
      </c>
      <c r="D1200" t="s">
        <v>103</v>
      </c>
      <c r="E1200" s="32">
        <v>10257</v>
      </c>
      <c r="F1200" s="32">
        <v>0</v>
      </c>
      <c r="G1200" s="32">
        <v>26874923</v>
      </c>
      <c r="H1200" t="s">
        <v>551</v>
      </c>
    </row>
    <row r="1201" spans="1:8" hidden="1" x14ac:dyDescent="0.3">
      <c r="A1201" s="28">
        <v>15348</v>
      </c>
      <c r="B1201" s="49">
        <v>45251.376388888886</v>
      </c>
      <c r="C1201" s="18">
        <v>45251</v>
      </c>
      <c r="D1201" t="s">
        <v>104</v>
      </c>
      <c r="E1201" s="32">
        <v>0</v>
      </c>
      <c r="F1201" s="32">
        <v>40341600</v>
      </c>
      <c r="G1201" s="32">
        <v>26864666</v>
      </c>
      <c r="H1201" t="s">
        <v>314</v>
      </c>
    </row>
    <row r="1202" spans="1:8" hidden="1" x14ac:dyDescent="0.3">
      <c r="A1202" s="28">
        <v>15347</v>
      </c>
      <c r="B1202" s="49">
        <v>45251.375694444447</v>
      </c>
      <c r="C1202" s="18">
        <v>45251</v>
      </c>
      <c r="D1202" t="s">
        <v>104</v>
      </c>
      <c r="E1202" s="32">
        <v>0</v>
      </c>
      <c r="F1202" s="32">
        <v>40017600</v>
      </c>
      <c r="G1202" s="32">
        <v>67206266</v>
      </c>
      <c r="H1202" t="s">
        <v>314</v>
      </c>
    </row>
    <row r="1203" spans="1:8" hidden="1" x14ac:dyDescent="0.3">
      <c r="A1203" s="28">
        <v>15346</v>
      </c>
      <c r="B1203" s="49">
        <v>45250.852777777778</v>
      </c>
      <c r="C1203" s="18">
        <v>45250</v>
      </c>
      <c r="D1203" t="s">
        <v>104</v>
      </c>
      <c r="E1203" s="32">
        <v>0</v>
      </c>
      <c r="F1203" s="32">
        <v>598530</v>
      </c>
      <c r="G1203" s="32">
        <v>107223866</v>
      </c>
      <c r="H1203" t="s">
        <v>494</v>
      </c>
    </row>
    <row r="1204" spans="1:8" hidden="1" x14ac:dyDescent="0.3">
      <c r="A1204" s="28">
        <v>15345</v>
      </c>
      <c r="B1204" s="49">
        <v>45250.833333333336</v>
      </c>
      <c r="C1204" s="18">
        <v>45250</v>
      </c>
      <c r="D1204" t="s">
        <v>104</v>
      </c>
      <c r="E1204" s="32">
        <v>0</v>
      </c>
      <c r="F1204" s="32">
        <v>292545</v>
      </c>
      <c r="G1204" s="32">
        <v>107822396</v>
      </c>
      <c r="H1204" t="s">
        <v>495</v>
      </c>
    </row>
    <row r="1205" spans="1:8" hidden="1" x14ac:dyDescent="0.3">
      <c r="A1205" s="28">
        <v>15344</v>
      </c>
      <c r="B1205" s="49">
        <v>45250.821527777778</v>
      </c>
      <c r="C1205" s="18">
        <v>45250</v>
      </c>
      <c r="D1205" t="s">
        <v>104</v>
      </c>
      <c r="E1205" s="32">
        <v>0</v>
      </c>
      <c r="F1205" s="32">
        <v>77429</v>
      </c>
      <c r="G1205" s="32">
        <v>108114941</v>
      </c>
      <c r="H1205" t="s">
        <v>552</v>
      </c>
    </row>
    <row r="1206" spans="1:8" hidden="1" x14ac:dyDescent="0.3">
      <c r="A1206" s="28">
        <v>15343</v>
      </c>
      <c r="B1206" s="49">
        <v>45250.816666666666</v>
      </c>
      <c r="C1206" s="18">
        <v>45250</v>
      </c>
      <c r="D1206" t="s">
        <v>104</v>
      </c>
      <c r="E1206" s="32">
        <v>0</v>
      </c>
      <c r="F1206" s="32">
        <v>1000000</v>
      </c>
      <c r="G1206" s="32">
        <v>108192370</v>
      </c>
      <c r="H1206" t="s">
        <v>553</v>
      </c>
    </row>
    <row r="1207" spans="1:8" hidden="1" x14ac:dyDescent="0.3">
      <c r="A1207" s="28">
        <v>15342</v>
      </c>
      <c r="B1207" s="49">
        <v>45250.65</v>
      </c>
      <c r="C1207" s="18">
        <v>45250</v>
      </c>
      <c r="D1207" t="s">
        <v>103</v>
      </c>
      <c r="E1207" s="32">
        <v>31500</v>
      </c>
      <c r="F1207" s="32">
        <v>0</v>
      </c>
      <c r="G1207" s="32">
        <v>109192370</v>
      </c>
      <c r="H1207" t="s">
        <v>388</v>
      </c>
    </row>
    <row r="1208" spans="1:8" hidden="1" x14ac:dyDescent="0.3">
      <c r="A1208" s="28">
        <v>15341</v>
      </c>
      <c r="B1208" s="49">
        <v>45250.65</v>
      </c>
      <c r="C1208" s="18">
        <v>45250</v>
      </c>
      <c r="D1208" t="s">
        <v>103</v>
      </c>
      <c r="E1208" s="32">
        <v>110000</v>
      </c>
      <c r="F1208" s="32">
        <v>0</v>
      </c>
      <c r="G1208" s="32">
        <v>109160870</v>
      </c>
      <c r="H1208" t="s">
        <v>388</v>
      </c>
    </row>
    <row r="1209" spans="1:8" hidden="1" x14ac:dyDescent="0.3">
      <c r="A1209" s="28">
        <v>15340</v>
      </c>
      <c r="B1209" s="49">
        <v>45250.607638888891</v>
      </c>
      <c r="C1209" s="18">
        <v>45250</v>
      </c>
      <c r="D1209" t="s">
        <v>103</v>
      </c>
      <c r="E1209" s="32">
        <v>623700</v>
      </c>
      <c r="F1209" s="32">
        <v>0</v>
      </c>
      <c r="G1209" s="32">
        <v>109050870</v>
      </c>
      <c r="H1209" t="s">
        <v>387</v>
      </c>
    </row>
    <row r="1210" spans="1:8" hidden="1" x14ac:dyDescent="0.3">
      <c r="A1210" s="28">
        <v>15339</v>
      </c>
      <c r="B1210" s="49">
        <v>45250.490972222222</v>
      </c>
      <c r="C1210" s="18">
        <v>45250</v>
      </c>
      <c r="D1210" t="s">
        <v>104</v>
      </c>
      <c r="E1210" s="32">
        <v>0</v>
      </c>
      <c r="F1210" s="32">
        <v>9029300</v>
      </c>
      <c r="G1210" s="32">
        <v>108427170</v>
      </c>
      <c r="H1210" t="s">
        <v>554</v>
      </c>
    </row>
    <row r="1211" spans="1:8" hidden="1" x14ac:dyDescent="0.3">
      <c r="A1211" s="28">
        <v>15336</v>
      </c>
      <c r="B1211" s="49">
        <v>45250.474305555559</v>
      </c>
      <c r="C1211" s="18">
        <v>45250</v>
      </c>
      <c r="D1211" t="s">
        <v>103</v>
      </c>
      <c r="E1211" s="32">
        <v>1073600</v>
      </c>
      <c r="F1211" s="32">
        <v>0</v>
      </c>
      <c r="G1211" s="32">
        <v>117456470</v>
      </c>
      <c r="H1211" t="s">
        <v>526</v>
      </c>
    </row>
    <row r="1212" spans="1:8" hidden="1" x14ac:dyDescent="0.3">
      <c r="A1212" s="28">
        <v>15335</v>
      </c>
      <c r="B1212" s="49">
        <v>45250.43472222222</v>
      </c>
      <c r="C1212" s="18">
        <v>45250</v>
      </c>
      <c r="D1212" t="s">
        <v>103</v>
      </c>
      <c r="E1212" s="32">
        <v>1146200</v>
      </c>
      <c r="F1212" s="32">
        <v>0</v>
      </c>
      <c r="G1212" s="32">
        <v>116382870</v>
      </c>
      <c r="H1212" t="s">
        <v>292</v>
      </c>
    </row>
    <row r="1213" spans="1:8" hidden="1" x14ac:dyDescent="0.3">
      <c r="A1213" s="28">
        <v>15334</v>
      </c>
      <c r="B1213" s="49">
        <v>45250.420138888891</v>
      </c>
      <c r="C1213" s="18">
        <v>45250</v>
      </c>
      <c r="D1213" t="s">
        <v>104</v>
      </c>
      <c r="E1213" s="32">
        <v>0</v>
      </c>
      <c r="F1213" s="32">
        <v>992000</v>
      </c>
      <c r="G1213" s="32">
        <v>115236670</v>
      </c>
      <c r="H1213" t="s">
        <v>363</v>
      </c>
    </row>
    <row r="1214" spans="1:8" hidden="1" x14ac:dyDescent="0.3">
      <c r="A1214" s="28">
        <v>15333</v>
      </c>
      <c r="B1214" s="49">
        <v>45250.396527777775</v>
      </c>
      <c r="C1214" s="18">
        <v>45250</v>
      </c>
      <c r="D1214" t="s">
        <v>104</v>
      </c>
      <c r="E1214" s="32">
        <v>0</v>
      </c>
      <c r="F1214" s="32">
        <v>286000</v>
      </c>
      <c r="G1214" s="32">
        <v>116228670</v>
      </c>
      <c r="H1214" t="s">
        <v>555</v>
      </c>
    </row>
    <row r="1215" spans="1:8" hidden="1" x14ac:dyDescent="0.3">
      <c r="A1215" s="28">
        <v>15332</v>
      </c>
      <c r="B1215" s="49">
        <v>45250.381249999999</v>
      </c>
      <c r="C1215" s="18">
        <v>45250</v>
      </c>
      <c r="D1215" t="s">
        <v>104</v>
      </c>
      <c r="E1215" s="32">
        <v>0</v>
      </c>
      <c r="F1215" s="32">
        <v>8164710</v>
      </c>
      <c r="G1215" s="32">
        <v>116514670</v>
      </c>
      <c r="H1215" t="s">
        <v>361</v>
      </c>
    </row>
    <row r="1216" spans="1:8" hidden="1" x14ac:dyDescent="0.3">
      <c r="A1216" s="28">
        <v>15331</v>
      </c>
      <c r="B1216" s="49">
        <v>45250.379861111112</v>
      </c>
      <c r="C1216" s="18">
        <v>45250</v>
      </c>
      <c r="D1216" t="s">
        <v>104</v>
      </c>
      <c r="E1216" s="32">
        <v>0</v>
      </c>
      <c r="F1216" s="32">
        <v>226315</v>
      </c>
      <c r="G1216" s="32">
        <v>124679380</v>
      </c>
      <c r="H1216" t="s">
        <v>293</v>
      </c>
    </row>
    <row r="1217" spans="1:8" hidden="1" x14ac:dyDescent="0.3">
      <c r="A1217" s="28">
        <v>15330</v>
      </c>
      <c r="B1217" s="49">
        <v>45250.375</v>
      </c>
      <c r="C1217" s="18">
        <v>45250</v>
      </c>
      <c r="D1217" t="s">
        <v>103</v>
      </c>
      <c r="E1217" s="32">
        <v>1619200</v>
      </c>
      <c r="F1217" s="32">
        <v>0</v>
      </c>
      <c r="G1217" s="32">
        <v>124905695</v>
      </c>
      <c r="H1217" t="s">
        <v>556</v>
      </c>
    </row>
    <row r="1218" spans="1:8" hidden="1" x14ac:dyDescent="0.3">
      <c r="A1218" s="28">
        <v>15328</v>
      </c>
      <c r="B1218" s="49">
        <v>45247.645138888889</v>
      </c>
      <c r="C1218" s="18">
        <v>45247</v>
      </c>
      <c r="D1218" t="s">
        <v>103</v>
      </c>
      <c r="E1218" s="32">
        <v>194440</v>
      </c>
      <c r="F1218" s="32">
        <v>0</v>
      </c>
      <c r="G1218" s="32">
        <v>123286495</v>
      </c>
      <c r="H1218" t="s">
        <v>557</v>
      </c>
    </row>
    <row r="1219" spans="1:8" hidden="1" x14ac:dyDescent="0.3">
      <c r="A1219" s="28">
        <v>15327</v>
      </c>
      <c r="B1219" s="49">
        <v>45247.643055555556</v>
      </c>
      <c r="C1219" s="18">
        <v>45247</v>
      </c>
      <c r="D1219" t="s">
        <v>103</v>
      </c>
      <c r="E1219" s="32">
        <v>18647</v>
      </c>
      <c r="F1219" s="32">
        <v>0</v>
      </c>
      <c r="G1219" s="32">
        <v>123092055</v>
      </c>
      <c r="H1219" t="s">
        <v>558</v>
      </c>
    </row>
    <row r="1220" spans="1:8" hidden="1" x14ac:dyDescent="0.3">
      <c r="A1220" s="28">
        <v>15326</v>
      </c>
      <c r="B1220" s="49">
        <v>45247.625694444447</v>
      </c>
      <c r="C1220" s="18">
        <v>45247</v>
      </c>
      <c r="D1220" t="s">
        <v>103</v>
      </c>
      <c r="E1220" s="32">
        <v>3272500</v>
      </c>
      <c r="F1220" s="32">
        <v>0</v>
      </c>
      <c r="G1220" s="32">
        <v>123073408</v>
      </c>
      <c r="H1220" t="s">
        <v>559</v>
      </c>
    </row>
    <row r="1221" spans="1:8" hidden="1" x14ac:dyDescent="0.3">
      <c r="A1221" s="28">
        <v>15325</v>
      </c>
      <c r="B1221" s="49">
        <v>45247.602083333331</v>
      </c>
      <c r="C1221" s="18">
        <v>45247</v>
      </c>
      <c r="D1221" t="s">
        <v>103</v>
      </c>
      <c r="E1221" s="32">
        <v>229900</v>
      </c>
      <c r="F1221" s="32">
        <v>0</v>
      </c>
      <c r="G1221" s="32">
        <v>119800908</v>
      </c>
      <c r="H1221" t="s">
        <v>526</v>
      </c>
    </row>
    <row r="1222" spans="1:8" hidden="1" x14ac:dyDescent="0.3">
      <c r="A1222" s="28">
        <v>15324</v>
      </c>
      <c r="B1222" s="49">
        <v>45247.594444444447</v>
      </c>
      <c r="C1222" s="18">
        <v>45247</v>
      </c>
      <c r="D1222" t="s">
        <v>103</v>
      </c>
      <c r="E1222" s="32">
        <v>287100</v>
      </c>
      <c r="F1222" s="32">
        <v>0</v>
      </c>
      <c r="G1222" s="32">
        <v>119571008</v>
      </c>
      <c r="H1222" t="s">
        <v>526</v>
      </c>
    </row>
    <row r="1223" spans="1:8" hidden="1" x14ac:dyDescent="0.3">
      <c r="A1223" s="28">
        <v>15323</v>
      </c>
      <c r="B1223" s="49">
        <v>45247.545138888891</v>
      </c>
      <c r="C1223" s="18">
        <v>45247</v>
      </c>
      <c r="D1223" t="s">
        <v>103</v>
      </c>
      <c r="E1223" s="32">
        <v>955900</v>
      </c>
      <c r="F1223" s="32">
        <v>0</v>
      </c>
      <c r="G1223" s="32">
        <v>119283908</v>
      </c>
      <c r="H1223" t="s">
        <v>460</v>
      </c>
    </row>
    <row r="1224" spans="1:8" hidden="1" x14ac:dyDescent="0.3">
      <c r="A1224" s="28">
        <v>15322</v>
      </c>
      <c r="B1224" s="49">
        <v>45247.481249999997</v>
      </c>
      <c r="C1224" s="18">
        <v>45247</v>
      </c>
      <c r="D1224" t="s">
        <v>103</v>
      </c>
      <c r="E1224" s="32">
        <v>1438800</v>
      </c>
      <c r="F1224" s="32">
        <v>0</v>
      </c>
      <c r="G1224" s="32">
        <v>118328008</v>
      </c>
      <c r="H1224" t="s">
        <v>476</v>
      </c>
    </row>
    <row r="1225" spans="1:8" hidden="1" x14ac:dyDescent="0.3">
      <c r="A1225" s="28">
        <v>15319</v>
      </c>
      <c r="B1225" s="49">
        <v>45246.792361111111</v>
      </c>
      <c r="C1225" s="18">
        <v>45246</v>
      </c>
      <c r="D1225" t="s">
        <v>104</v>
      </c>
      <c r="E1225" s="32">
        <v>0</v>
      </c>
      <c r="F1225" s="32">
        <v>997420</v>
      </c>
      <c r="G1225" s="32">
        <v>116889208</v>
      </c>
      <c r="H1225" t="s">
        <v>504</v>
      </c>
    </row>
    <row r="1226" spans="1:8" hidden="1" x14ac:dyDescent="0.3">
      <c r="A1226" s="28">
        <v>15318</v>
      </c>
      <c r="B1226" s="49">
        <v>45246.792361111111</v>
      </c>
      <c r="C1226" s="18">
        <v>45246</v>
      </c>
      <c r="D1226" t="s">
        <v>104</v>
      </c>
      <c r="E1226" s="32">
        <v>0</v>
      </c>
      <c r="F1226" s="32">
        <v>416320</v>
      </c>
      <c r="G1226" s="32">
        <v>117886628</v>
      </c>
      <c r="H1226" t="s">
        <v>504</v>
      </c>
    </row>
    <row r="1227" spans="1:8" hidden="1" x14ac:dyDescent="0.3">
      <c r="A1227" s="28">
        <v>15317</v>
      </c>
      <c r="B1227" s="49">
        <v>45246.792361111111</v>
      </c>
      <c r="C1227" s="18">
        <v>45246</v>
      </c>
      <c r="D1227" t="s">
        <v>104</v>
      </c>
      <c r="E1227" s="32">
        <v>0</v>
      </c>
      <c r="F1227" s="32">
        <v>985000</v>
      </c>
      <c r="G1227" s="32">
        <v>118302948</v>
      </c>
      <c r="H1227" t="s">
        <v>504</v>
      </c>
    </row>
    <row r="1228" spans="1:8" hidden="1" x14ac:dyDescent="0.3">
      <c r="A1228" s="28">
        <v>15316</v>
      </c>
      <c r="B1228" s="49">
        <v>45246.792361111111</v>
      </c>
      <c r="C1228" s="18">
        <v>45246</v>
      </c>
      <c r="D1228" t="s">
        <v>104</v>
      </c>
      <c r="E1228" s="32">
        <v>0</v>
      </c>
      <c r="F1228" s="32">
        <v>738510</v>
      </c>
      <c r="G1228" s="32">
        <v>119287948</v>
      </c>
      <c r="H1228" t="s">
        <v>504</v>
      </c>
    </row>
    <row r="1229" spans="1:8" hidden="1" x14ac:dyDescent="0.3">
      <c r="A1229" s="28">
        <v>15315</v>
      </c>
      <c r="B1229" s="49">
        <v>45246.765277777777</v>
      </c>
      <c r="C1229" s="18">
        <v>45246</v>
      </c>
      <c r="D1229" t="s">
        <v>103</v>
      </c>
      <c r="E1229" s="32">
        <v>762300</v>
      </c>
      <c r="F1229" s="32">
        <v>0</v>
      </c>
      <c r="G1229" s="32">
        <v>120026458</v>
      </c>
      <c r="H1229" t="s">
        <v>560</v>
      </c>
    </row>
    <row r="1230" spans="1:8" hidden="1" x14ac:dyDescent="0.3">
      <c r="A1230" s="28">
        <v>15314</v>
      </c>
      <c r="B1230" s="49">
        <v>45246.598611111112</v>
      </c>
      <c r="C1230" s="18">
        <v>45246</v>
      </c>
      <c r="D1230" t="s">
        <v>103</v>
      </c>
      <c r="E1230" s="32">
        <v>231000</v>
      </c>
      <c r="F1230" s="32">
        <v>0</v>
      </c>
      <c r="G1230" s="32">
        <v>119264158</v>
      </c>
      <c r="H1230" t="s">
        <v>561</v>
      </c>
    </row>
    <row r="1231" spans="1:8" hidden="1" x14ac:dyDescent="0.3">
      <c r="A1231" s="28">
        <v>15313</v>
      </c>
      <c r="B1231" s="49">
        <v>45246.496527777781</v>
      </c>
      <c r="C1231" s="18">
        <v>45246</v>
      </c>
      <c r="D1231" t="s">
        <v>104</v>
      </c>
      <c r="E1231" s="32">
        <v>0</v>
      </c>
      <c r="F1231" s="32">
        <v>4070000</v>
      </c>
      <c r="G1231" s="32">
        <v>119033158</v>
      </c>
      <c r="H1231" t="s">
        <v>562</v>
      </c>
    </row>
    <row r="1232" spans="1:8" hidden="1" x14ac:dyDescent="0.3">
      <c r="A1232" s="28">
        <v>15312</v>
      </c>
      <c r="B1232" s="49">
        <v>45245.834722222222</v>
      </c>
      <c r="C1232" s="18">
        <v>45245</v>
      </c>
      <c r="D1232" t="s">
        <v>104</v>
      </c>
      <c r="E1232" s="32">
        <v>0</v>
      </c>
      <c r="F1232" s="32">
        <v>492200</v>
      </c>
      <c r="G1232" s="32">
        <v>123103158</v>
      </c>
      <c r="H1232" t="s">
        <v>505</v>
      </c>
    </row>
    <row r="1233" spans="1:8" hidden="1" x14ac:dyDescent="0.3">
      <c r="A1233" s="28">
        <v>15311</v>
      </c>
      <c r="B1233" s="49">
        <v>45245.808333333334</v>
      </c>
      <c r="C1233" s="18">
        <v>45245</v>
      </c>
      <c r="D1233" t="s">
        <v>104</v>
      </c>
      <c r="E1233" s="32">
        <v>0</v>
      </c>
      <c r="F1233" s="32">
        <v>99000</v>
      </c>
      <c r="G1233" s="32">
        <v>123595358</v>
      </c>
      <c r="H1233" t="s">
        <v>373</v>
      </c>
    </row>
    <row r="1234" spans="1:8" hidden="1" x14ac:dyDescent="0.3">
      <c r="A1234" s="28">
        <v>15310</v>
      </c>
      <c r="B1234" s="49">
        <v>45245.806944444441</v>
      </c>
      <c r="C1234" s="18">
        <v>45245</v>
      </c>
      <c r="D1234" t="s">
        <v>104</v>
      </c>
      <c r="E1234" s="32">
        <v>0</v>
      </c>
      <c r="F1234" s="32">
        <v>72423</v>
      </c>
      <c r="G1234" s="32">
        <v>123694358</v>
      </c>
      <c r="H1234" t="s">
        <v>506</v>
      </c>
    </row>
    <row r="1235" spans="1:8" hidden="1" x14ac:dyDescent="0.3">
      <c r="A1235" s="28">
        <v>15309</v>
      </c>
      <c r="B1235" s="49">
        <v>45245.800694444442</v>
      </c>
      <c r="C1235" s="18">
        <v>45245</v>
      </c>
      <c r="D1235" t="s">
        <v>104</v>
      </c>
      <c r="E1235" s="32">
        <v>0</v>
      </c>
      <c r="F1235" s="32">
        <v>684420</v>
      </c>
      <c r="G1235" s="32">
        <v>123766781</v>
      </c>
      <c r="H1235" t="s">
        <v>507</v>
      </c>
    </row>
    <row r="1236" spans="1:8" hidden="1" x14ac:dyDescent="0.3">
      <c r="A1236" s="28">
        <v>15307</v>
      </c>
      <c r="B1236" s="49">
        <v>45245.761805555558</v>
      </c>
      <c r="C1236" s="18">
        <v>45245</v>
      </c>
      <c r="D1236" t="s">
        <v>104</v>
      </c>
      <c r="E1236" s="32">
        <v>0</v>
      </c>
      <c r="F1236" s="32">
        <v>14892513</v>
      </c>
      <c r="G1236" s="32">
        <v>124451201</v>
      </c>
      <c r="H1236" t="s">
        <v>375</v>
      </c>
    </row>
    <row r="1237" spans="1:8" hidden="1" x14ac:dyDescent="0.3">
      <c r="A1237" s="28">
        <v>15303</v>
      </c>
      <c r="B1237" s="49">
        <v>45245.618055555555</v>
      </c>
      <c r="C1237" s="18">
        <v>45245</v>
      </c>
      <c r="D1237" t="s">
        <v>104</v>
      </c>
      <c r="E1237" s="32">
        <v>0</v>
      </c>
      <c r="F1237" s="32">
        <v>924000</v>
      </c>
      <c r="G1237" s="32">
        <v>139343714</v>
      </c>
      <c r="H1237" t="s">
        <v>563</v>
      </c>
    </row>
    <row r="1238" spans="1:8" hidden="1" x14ac:dyDescent="0.3">
      <c r="A1238" s="28">
        <v>15302</v>
      </c>
      <c r="B1238" s="49">
        <v>45245.602777777778</v>
      </c>
      <c r="C1238" s="18">
        <v>45245</v>
      </c>
      <c r="D1238" t="s">
        <v>103</v>
      </c>
      <c r="E1238" s="32">
        <v>334455</v>
      </c>
      <c r="F1238" s="32">
        <v>0</v>
      </c>
      <c r="G1238" s="32">
        <v>140267714</v>
      </c>
      <c r="H1238" t="s">
        <v>564</v>
      </c>
    </row>
    <row r="1239" spans="1:8" hidden="1" x14ac:dyDescent="0.3">
      <c r="A1239" s="28">
        <v>15301</v>
      </c>
      <c r="B1239" s="49">
        <v>45245.568749999999</v>
      </c>
      <c r="C1239" s="18">
        <v>45245</v>
      </c>
      <c r="D1239" t="s">
        <v>104</v>
      </c>
      <c r="E1239" s="32">
        <v>0</v>
      </c>
      <c r="F1239" s="32">
        <v>249975</v>
      </c>
      <c r="G1239" s="32">
        <v>139933259</v>
      </c>
      <c r="H1239" t="s">
        <v>365</v>
      </c>
    </row>
    <row r="1240" spans="1:8" hidden="1" x14ac:dyDescent="0.3">
      <c r="A1240" s="28">
        <v>15299</v>
      </c>
      <c r="B1240" s="49">
        <v>45245.468055555553</v>
      </c>
      <c r="C1240" s="18">
        <v>45245</v>
      </c>
      <c r="D1240" t="s">
        <v>103</v>
      </c>
      <c r="E1240" s="32">
        <v>16769500</v>
      </c>
      <c r="F1240" s="32">
        <v>0</v>
      </c>
      <c r="G1240" s="32">
        <v>140183234</v>
      </c>
      <c r="H1240" t="s">
        <v>378</v>
      </c>
    </row>
    <row r="1241" spans="1:8" hidden="1" x14ac:dyDescent="0.3">
      <c r="A1241" s="28">
        <v>15298</v>
      </c>
      <c r="B1241" s="49">
        <v>45245.443749999999</v>
      </c>
      <c r="C1241" s="18">
        <v>45245</v>
      </c>
      <c r="D1241" t="s">
        <v>103</v>
      </c>
      <c r="E1241" s="32">
        <v>315700</v>
      </c>
      <c r="F1241" s="32">
        <v>0</v>
      </c>
      <c r="G1241" s="32">
        <v>123413734</v>
      </c>
      <c r="H1241" t="s">
        <v>312</v>
      </c>
    </row>
    <row r="1242" spans="1:8" hidden="1" x14ac:dyDescent="0.3">
      <c r="A1242" s="28">
        <v>15297</v>
      </c>
      <c r="B1242" s="49">
        <v>45245.40902777778</v>
      </c>
      <c r="C1242" s="18">
        <v>45245</v>
      </c>
      <c r="D1242" t="s">
        <v>104</v>
      </c>
      <c r="E1242" s="32">
        <v>0</v>
      </c>
      <c r="F1242" s="32">
        <v>13057000</v>
      </c>
      <c r="G1242" s="32">
        <v>123098034</v>
      </c>
      <c r="H1242" t="s">
        <v>565</v>
      </c>
    </row>
    <row r="1243" spans="1:8" hidden="1" x14ac:dyDescent="0.3">
      <c r="A1243" s="28">
        <v>15296</v>
      </c>
      <c r="B1243" s="49">
        <v>45244.62777777778</v>
      </c>
      <c r="C1243" s="18">
        <v>45244</v>
      </c>
      <c r="D1243" t="s">
        <v>103</v>
      </c>
      <c r="E1243" s="32">
        <v>444400</v>
      </c>
      <c r="F1243" s="32">
        <v>0</v>
      </c>
      <c r="G1243" s="32">
        <v>136155034</v>
      </c>
      <c r="H1243" t="s">
        <v>302</v>
      </c>
    </row>
    <row r="1244" spans="1:8" hidden="1" x14ac:dyDescent="0.3">
      <c r="A1244" s="28">
        <v>15295</v>
      </c>
      <c r="B1244" s="49">
        <v>45244.62777777778</v>
      </c>
      <c r="C1244" s="18">
        <v>45244</v>
      </c>
      <c r="D1244" t="s">
        <v>103</v>
      </c>
      <c r="E1244" s="32">
        <v>1794100</v>
      </c>
      <c r="F1244" s="32">
        <v>0</v>
      </c>
      <c r="G1244" s="32">
        <v>135710634</v>
      </c>
      <c r="H1244" t="s">
        <v>302</v>
      </c>
    </row>
    <row r="1245" spans="1:8" hidden="1" x14ac:dyDescent="0.3">
      <c r="A1245" s="28">
        <v>15294</v>
      </c>
      <c r="B1245" s="49">
        <v>45244.570138888892</v>
      </c>
      <c r="C1245" s="18">
        <v>45244</v>
      </c>
      <c r="D1245" t="s">
        <v>104</v>
      </c>
      <c r="E1245" s="32">
        <v>0</v>
      </c>
      <c r="F1245" s="32">
        <v>99000</v>
      </c>
      <c r="G1245" s="32">
        <v>133916534</v>
      </c>
      <c r="H1245" t="s">
        <v>566</v>
      </c>
    </row>
    <row r="1246" spans="1:8" hidden="1" x14ac:dyDescent="0.3">
      <c r="A1246" s="28">
        <v>15293</v>
      </c>
      <c r="B1246" s="49">
        <v>45244.487500000003</v>
      </c>
      <c r="C1246" s="18">
        <v>45244</v>
      </c>
      <c r="D1246" t="s">
        <v>103</v>
      </c>
      <c r="E1246" s="32">
        <v>452100</v>
      </c>
      <c r="F1246" s="32">
        <v>0</v>
      </c>
      <c r="G1246" s="32">
        <v>134015534</v>
      </c>
      <c r="H1246" t="s">
        <v>292</v>
      </c>
    </row>
    <row r="1247" spans="1:8" hidden="1" x14ac:dyDescent="0.3">
      <c r="A1247" s="28">
        <v>15292</v>
      </c>
      <c r="B1247" s="49">
        <v>45244.487500000003</v>
      </c>
      <c r="C1247" s="18">
        <v>45244</v>
      </c>
      <c r="D1247" t="s">
        <v>103</v>
      </c>
      <c r="E1247" s="32">
        <v>103400</v>
      </c>
      <c r="F1247" s="32">
        <v>0</v>
      </c>
      <c r="G1247" s="32">
        <v>133563434</v>
      </c>
      <c r="H1247" t="s">
        <v>292</v>
      </c>
    </row>
    <row r="1248" spans="1:8" hidden="1" x14ac:dyDescent="0.3">
      <c r="A1248" s="28">
        <v>15290</v>
      </c>
      <c r="B1248" s="49">
        <v>45244.397916666669</v>
      </c>
      <c r="C1248" s="18">
        <v>45244</v>
      </c>
      <c r="D1248" t="s">
        <v>104</v>
      </c>
      <c r="E1248" s="32">
        <v>0</v>
      </c>
      <c r="F1248" s="32">
        <v>32000</v>
      </c>
      <c r="G1248" s="32">
        <v>133460034</v>
      </c>
      <c r="H1248" t="s">
        <v>567</v>
      </c>
    </row>
    <row r="1249" spans="1:8" hidden="1" x14ac:dyDescent="0.3">
      <c r="A1249" s="28">
        <v>15288</v>
      </c>
      <c r="B1249" s="49">
        <v>45243.820833333331</v>
      </c>
      <c r="C1249" s="18">
        <v>45243</v>
      </c>
      <c r="D1249" t="s">
        <v>104</v>
      </c>
      <c r="E1249" s="32">
        <v>0</v>
      </c>
      <c r="F1249" s="32">
        <v>35500</v>
      </c>
      <c r="G1249" s="32">
        <v>133492034</v>
      </c>
      <c r="H1249" t="s">
        <v>568</v>
      </c>
    </row>
    <row r="1250" spans="1:8" hidden="1" x14ac:dyDescent="0.3">
      <c r="A1250" s="28">
        <v>15282</v>
      </c>
      <c r="B1250" s="49">
        <v>45243.7</v>
      </c>
      <c r="C1250" s="18">
        <v>45243</v>
      </c>
      <c r="D1250" t="s">
        <v>103</v>
      </c>
      <c r="E1250" s="32">
        <v>281600</v>
      </c>
      <c r="F1250" s="32">
        <v>0</v>
      </c>
      <c r="G1250" s="32">
        <v>133527534</v>
      </c>
      <c r="H1250" t="s">
        <v>526</v>
      </c>
    </row>
    <row r="1251" spans="1:8" hidden="1" x14ac:dyDescent="0.3">
      <c r="A1251" s="28">
        <v>15281</v>
      </c>
      <c r="B1251" s="49">
        <v>45243.657638888886</v>
      </c>
      <c r="C1251" s="18">
        <v>45243</v>
      </c>
      <c r="D1251" t="s">
        <v>104</v>
      </c>
      <c r="E1251" s="32">
        <v>0</v>
      </c>
      <c r="F1251" s="32">
        <v>99000</v>
      </c>
      <c r="G1251" s="32">
        <v>133245934</v>
      </c>
      <c r="H1251" t="s">
        <v>569</v>
      </c>
    </row>
    <row r="1252" spans="1:8" hidden="1" x14ac:dyDescent="0.3">
      <c r="A1252" s="28">
        <v>15280</v>
      </c>
      <c r="B1252" s="49">
        <v>45243.629861111112</v>
      </c>
      <c r="C1252" s="18">
        <v>45243</v>
      </c>
      <c r="D1252" t="s">
        <v>103</v>
      </c>
      <c r="E1252" s="32">
        <v>1709400</v>
      </c>
      <c r="F1252" s="32">
        <v>0</v>
      </c>
      <c r="G1252" s="32">
        <v>133344934</v>
      </c>
      <c r="H1252" t="s">
        <v>570</v>
      </c>
    </row>
    <row r="1253" spans="1:8" hidden="1" x14ac:dyDescent="0.3">
      <c r="A1253" s="28">
        <v>15279</v>
      </c>
      <c r="B1253" s="49">
        <v>45243.618055555555</v>
      </c>
      <c r="C1253" s="18">
        <v>45243</v>
      </c>
      <c r="D1253" t="s">
        <v>103</v>
      </c>
      <c r="E1253" s="32">
        <v>160600</v>
      </c>
      <c r="F1253" s="32">
        <v>0</v>
      </c>
      <c r="G1253" s="32">
        <v>131635534</v>
      </c>
      <c r="H1253" t="s">
        <v>571</v>
      </c>
    </row>
    <row r="1254" spans="1:8" hidden="1" x14ac:dyDescent="0.3">
      <c r="A1254" s="28">
        <v>15278</v>
      </c>
      <c r="B1254" s="49">
        <v>45243.611111111109</v>
      </c>
      <c r="C1254" s="18">
        <v>45243</v>
      </c>
      <c r="D1254" t="s">
        <v>103</v>
      </c>
      <c r="E1254" s="32">
        <v>5965300</v>
      </c>
      <c r="F1254" s="32">
        <v>0</v>
      </c>
      <c r="G1254" s="32">
        <v>131474934</v>
      </c>
      <c r="H1254" t="s">
        <v>448</v>
      </c>
    </row>
    <row r="1255" spans="1:8" hidden="1" x14ac:dyDescent="0.3">
      <c r="A1255" s="28">
        <v>15277</v>
      </c>
      <c r="B1255" s="49">
        <v>45243.601388888892</v>
      </c>
      <c r="C1255" s="18">
        <v>45243</v>
      </c>
      <c r="D1255" t="s">
        <v>103</v>
      </c>
      <c r="E1255" s="32">
        <v>4151400</v>
      </c>
      <c r="F1255" s="32">
        <v>0</v>
      </c>
      <c r="G1255" s="32">
        <v>125509634</v>
      </c>
      <c r="H1255" t="s">
        <v>572</v>
      </c>
    </row>
    <row r="1256" spans="1:8" hidden="1" x14ac:dyDescent="0.3">
      <c r="A1256" s="28">
        <v>15276</v>
      </c>
      <c r="B1256" s="49">
        <v>45243.597222222219</v>
      </c>
      <c r="C1256" s="18">
        <v>45243</v>
      </c>
      <c r="D1256" t="s">
        <v>103</v>
      </c>
      <c r="E1256" s="32">
        <v>105400</v>
      </c>
      <c r="F1256" s="32">
        <v>0</v>
      </c>
      <c r="G1256" s="32">
        <v>121358234</v>
      </c>
      <c r="H1256" t="s">
        <v>573</v>
      </c>
    </row>
    <row r="1257" spans="1:8" hidden="1" x14ac:dyDescent="0.3">
      <c r="A1257" s="28">
        <v>15275</v>
      </c>
      <c r="B1257" s="49">
        <v>45243.597222222219</v>
      </c>
      <c r="C1257" s="18">
        <v>45243</v>
      </c>
      <c r="D1257" t="s">
        <v>103</v>
      </c>
      <c r="E1257" s="32">
        <v>1054000</v>
      </c>
      <c r="F1257" s="32">
        <v>0</v>
      </c>
      <c r="G1257" s="32">
        <v>121252834</v>
      </c>
      <c r="H1257" t="s">
        <v>573</v>
      </c>
    </row>
    <row r="1258" spans="1:8" hidden="1" x14ac:dyDescent="0.3">
      <c r="A1258" s="28">
        <v>15274</v>
      </c>
      <c r="B1258" s="49">
        <v>45243.583333333336</v>
      </c>
      <c r="C1258" s="18">
        <v>45243</v>
      </c>
      <c r="D1258" t="s">
        <v>103</v>
      </c>
      <c r="E1258" s="32">
        <v>597300</v>
      </c>
      <c r="F1258" s="32">
        <v>0</v>
      </c>
      <c r="G1258" s="32">
        <v>120198834</v>
      </c>
      <c r="H1258" t="s">
        <v>461</v>
      </c>
    </row>
    <row r="1259" spans="1:8" hidden="1" x14ac:dyDescent="0.3">
      <c r="A1259" s="28">
        <v>15273</v>
      </c>
      <c r="B1259" s="49">
        <v>45243.555555555555</v>
      </c>
      <c r="C1259" s="18">
        <v>45243</v>
      </c>
      <c r="D1259" t="s">
        <v>103</v>
      </c>
      <c r="E1259" s="32">
        <v>976800</v>
      </c>
      <c r="F1259" s="32">
        <v>0</v>
      </c>
      <c r="G1259" s="32">
        <v>119601534</v>
      </c>
      <c r="H1259" t="s">
        <v>574</v>
      </c>
    </row>
    <row r="1260" spans="1:8" hidden="1" x14ac:dyDescent="0.3">
      <c r="A1260" s="28">
        <v>15271</v>
      </c>
      <c r="B1260" s="49">
        <v>45243.432638888888</v>
      </c>
      <c r="C1260" s="18">
        <v>45243</v>
      </c>
      <c r="D1260" t="s">
        <v>103</v>
      </c>
      <c r="E1260" s="32">
        <v>389400</v>
      </c>
      <c r="F1260" s="32">
        <v>0</v>
      </c>
      <c r="G1260" s="32">
        <v>118624734</v>
      </c>
      <c r="H1260" t="s">
        <v>575</v>
      </c>
    </row>
    <row r="1261" spans="1:8" hidden="1" x14ac:dyDescent="0.3">
      <c r="A1261" s="28">
        <v>15270</v>
      </c>
      <c r="B1261" s="49">
        <v>45243.419444444444</v>
      </c>
      <c r="C1261" s="18">
        <v>45243</v>
      </c>
      <c r="D1261" t="s">
        <v>104</v>
      </c>
      <c r="E1261" s="32">
        <v>0</v>
      </c>
      <c r="F1261" s="32">
        <v>507890</v>
      </c>
      <c r="G1261" s="32">
        <v>118235334</v>
      </c>
      <c r="H1261" t="s">
        <v>298</v>
      </c>
    </row>
    <row r="1262" spans="1:8" hidden="1" x14ac:dyDescent="0.3">
      <c r="A1262" s="28">
        <v>15269</v>
      </c>
      <c r="B1262" s="49">
        <v>45243.384722222225</v>
      </c>
      <c r="C1262" s="18">
        <v>45243</v>
      </c>
      <c r="D1262" t="s">
        <v>103</v>
      </c>
      <c r="E1262" s="32">
        <v>1832600</v>
      </c>
      <c r="F1262" s="32">
        <v>0</v>
      </c>
      <c r="G1262" s="32">
        <v>118743224</v>
      </c>
      <c r="H1262" t="s">
        <v>399</v>
      </c>
    </row>
    <row r="1263" spans="1:8" hidden="1" x14ac:dyDescent="0.3">
      <c r="A1263" s="28">
        <v>15262</v>
      </c>
      <c r="B1263" s="49">
        <v>45240.658333333333</v>
      </c>
      <c r="C1263" s="18">
        <v>45240</v>
      </c>
      <c r="D1263" t="s">
        <v>103</v>
      </c>
      <c r="E1263" s="32">
        <v>1188000</v>
      </c>
      <c r="F1263" s="32">
        <v>0</v>
      </c>
      <c r="G1263" s="32">
        <v>116910624</v>
      </c>
      <c r="H1263" t="s">
        <v>369</v>
      </c>
    </row>
    <row r="1264" spans="1:8" hidden="1" x14ac:dyDescent="0.3">
      <c r="A1264" s="28">
        <v>15261</v>
      </c>
      <c r="B1264" s="49">
        <v>45240.578472222223</v>
      </c>
      <c r="C1264" s="18">
        <v>45240</v>
      </c>
      <c r="D1264" t="s">
        <v>103</v>
      </c>
      <c r="E1264" s="32">
        <v>1888700</v>
      </c>
      <c r="F1264" s="32">
        <v>0</v>
      </c>
      <c r="G1264" s="32">
        <v>115722624</v>
      </c>
      <c r="H1264" t="s">
        <v>437</v>
      </c>
    </row>
    <row r="1265" spans="1:8" hidden="1" x14ac:dyDescent="0.3">
      <c r="A1265" s="28">
        <v>15260</v>
      </c>
      <c r="B1265" s="49">
        <v>45240.569444444445</v>
      </c>
      <c r="C1265" s="18">
        <v>45240</v>
      </c>
      <c r="D1265" t="s">
        <v>103</v>
      </c>
      <c r="E1265" s="32">
        <v>961400</v>
      </c>
      <c r="F1265" s="32">
        <v>0</v>
      </c>
      <c r="G1265" s="32">
        <v>113833924</v>
      </c>
      <c r="H1265" t="s">
        <v>454</v>
      </c>
    </row>
    <row r="1266" spans="1:8" hidden="1" x14ac:dyDescent="0.3">
      <c r="A1266" s="28">
        <v>15257</v>
      </c>
      <c r="B1266" s="49">
        <v>45240.458333333336</v>
      </c>
      <c r="C1266" s="18">
        <v>45240</v>
      </c>
      <c r="D1266" t="s">
        <v>103</v>
      </c>
      <c r="E1266" s="32">
        <v>22500</v>
      </c>
      <c r="F1266" s="32">
        <v>0</v>
      </c>
      <c r="G1266" s="32">
        <v>112872524</v>
      </c>
      <c r="H1266" t="s">
        <v>388</v>
      </c>
    </row>
    <row r="1267" spans="1:8" hidden="1" x14ac:dyDescent="0.3">
      <c r="A1267" s="28">
        <v>15256</v>
      </c>
      <c r="B1267" s="49">
        <v>45240.458333333336</v>
      </c>
      <c r="C1267" s="18">
        <v>45240</v>
      </c>
      <c r="D1267" t="s">
        <v>103</v>
      </c>
      <c r="E1267" s="32">
        <v>27900</v>
      </c>
      <c r="F1267" s="32">
        <v>0</v>
      </c>
      <c r="G1267" s="32">
        <v>112850024</v>
      </c>
      <c r="H1267" t="s">
        <v>388</v>
      </c>
    </row>
    <row r="1268" spans="1:8" hidden="1" x14ac:dyDescent="0.3">
      <c r="A1268" s="28">
        <v>15254</v>
      </c>
      <c r="B1268" s="49">
        <v>45240.436805555553</v>
      </c>
      <c r="C1268" s="18">
        <v>45240</v>
      </c>
      <c r="D1268" t="s">
        <v>103</v>
      </c>
      <c r="E1268" s="32">
        <v>529100</v>
      </c>
      <c r="F1268" s="32">
        <v>0</v>
      </c>
      <c r="G1268" s="32">
        <v>112822124</v>
      </c>
      <c r="H1268" t="s">
        <v>401</v>
      </c>
    </row>
    <row r="1269" spans="1:8" hidden="1" x14ac:dyDescent="0.3">
      <c r="A1269" s="28">
        <v>15253</v>
      </c>
      <c r="B1269" s="49">
        <v>45240.436111111114</v>
      </c>
      <c r="C1269" s="18">
        <v>45240</v>
      </c>
      <c r="D1269" t="s">
        <v>103</v>
      </c>
      <c r="E1269" s="32">
        <v>137500</v>
      </c>
      <c r="F1269" s="32">
        <v>0</v>
      </c>
      <c r="G1269" s="32">
        <v>112293024</v>
      </c>
      <c r="H1269" t="s">
        <v>401</v>
      </c>
    </row>
    <row r="1270" spans="1:8" hidden="1" x14ac:dyDescent="0.3">
      <c r="A1270" s="28">
        <v>15252</v>
      </c>
      <c r="B1270" s="49">
        <v>45240.37777777778</v>
      </c>
      <c r="C1270" s="18">
        <v>45240</v>
      </c>
      <c r="D1270" t="s">
        <v>104</v>
      </c>
      <c r="E1270" s="32">
        <v>0</v>
      </c>
      <c r="F1270" s="32">
        <v>55770</v>
      </c>
      <c r="G1270" s="32">
        <v>112155524</v>
      </c>
      <c r="H1270" t="s">
        <v>352</v>
      </c>
    </row>
    <row r="1271" spans="1:8" hidden="1" x14ac:dyDescent="0.3">
      <c r="A1271" s="28">
        <v>15251</v>
      </c>
      <c r="B1271" s="49">
        <v>45239.657638888886</v>
      </c>
      <c r="C1271" s="18">
        <v>45239</v>
      </c>
      <c r="D1271" t="s">
        <v>104</v>
      </c>
      <c r="E1271" s="32">
        <v>0</v>
      </c>
      <c r="F1271" s="32">
        <v>341990</v>
      </c>
      <c r="G1271" s="32">
        <v>112211294</v>
      </c>
      <c r="H1271" t="s">
        <v>391</v>
      </c>
    </row>
    <row r="1272" spans="1:8" hidden="1" x14ac:dyDescent="0.3">
      <c r="A1272" s="28">
        <v>15250</v>
      </c>
      <c r="B1272" s="49">
        <v>45239.656944444447</v>
      </c>
      <c r="C1272" s="18">
        <v>45239</v>
      </c>
      <c r="D1272" t="s">
        <v>104</v>
      </c>
      <c r="E1272" s="32">
        <v>0</v>
      </c>
      <c r="F1272" s="32">
        <v>9300</v>
      </c>
      <c r="G1272" s="32">
        <v>112553284</v>
      </c>
      <c r="H1272" t="s">
        <v>393</v>
      </c>
    </row>
    <row r="1273" spans="1:8" hidden="1" x14ac:dyDescent="0.3">
      <c r="A1273" s="28">
        <v>15249</v>
      </c>
      <c r="B1273" s="49">
        <v>45239.655555555553</v>
      </c>
      <c r="C1273" s="18">
        <v>45239</v>
      </c>
      <c r="D1273" t="s">
        <v>104</v>
      </c>
      <c r="E1273" s="32">
        <v>0</v>
      </c>
      <c r="F1273" s="32">
        <v>3411230</v>
      </c>
      <c r="G1273" s="32">
        <v>112562584</v>
      </c>
      <c r="H1273" t="s">
        <v>392</v>
      </c>
    </row>
    <row r="1274" spans="1:8" hidden="1" x14ac:dyDescent="0.3">
      <c r="A1274" s="28">
        <v>15247</v>
      </c>
      <c r="B1274" s="49">
        <v>45239.65347222222</v>
      </c>
      <c r="C1274" s="18">
        <v>45239</v>
      </c>
      <c r="D1274" t="s">
        <v>103</v>
      </c>
      <c r="E1274" s="32">
        <v>3291200</v>
      </c>
      <c r="F1274" s="32">
        <v>0</v>
      </c>
      <c r="G1274" s="32">
        <v>115973814</v>
      </c>
      <c r="H1274" t="s">
        <v>394</v>
      </c>
    </row>
    <row r="1275" spans="1:8" hidden="1" x14ac:dyDescent="0.3">
      <c r="A1275" s="28">
        <v>15246</v>
      </c>
      <c r="B1275" s="49">
        <v>45239.646527777775</v>
      </c>
      <c r="C1275" s="18">
        <v>45239</v>
      </c>
      <c r="D1275" t="s">
        <v>104</v>
      </c>
      <c r="E1275" s="32">
        <v>0</v>
      </c>
      <c r="F1275" s="32">
        <v>67883</v>
      </c>
      <c r="G1275" s="32">
        <v>112682614</v>
      </c>
      <c r="H1275" t="s">
        <v>293</v>
      </c>
    </row>
    <row r="1276" spans="1:8" hidden="1" x14ac:dyDescent="0.3">
      <c r="A1276" s="28">
        <v>15245</v>
      </c>
      <c r="B1276" s="49">
        <v>45239.64166666667</v>
      </c>
      <c r="C1276" s="18">
        <v>45239</v>
      </c>
      <c r="D1276" t="s">
        <v>103</v>
      </c>
      <c r="E1276" s="32">
        <v>1304600</v>
      </c>
      <c r="F1276" s="32">
        <v>0</v>
      </c>
      <c r="G1276" s="32">
        <v>112750497</v>
      </c>
      <c r="H1276" t="s">
        <v>306</v>
      </c>
    </row>
    <row r="1277" spans="1:8" hidden="1" x14ac:dyDescent="0.3">
      <c r="A1277" s="28">
        <v>15243</v>
      </c>
      <c r="B1277" s="49">
        <v>45238.753472222219</v>
      </c>
      <c r="C1277" s="18">
        <v>45238</v>
      </c>
      <c r="D1277" t="s">
        <v>103</v>
      </c>
      <c r="E1277" s="32">
        <v>737000</v>
      </c>
      <c r="F1277" s="32">
        <v>0</v>
      </c>
      <c r="G1277" s="32">
        <v>111445897</v>
      </c>
      <c r="H1277" t="s">
        <v>576</v>
      </c>
    </row>
    <row r="1278" spans="1:8" hidden="1" x14ac:dyDescent="0.3">
      <c r="A1278" s="28">
        <v>15241</v>
      </c>
      <c r="B1278" s="49">
        <v>45238.611111111109</v>
      </c>
      <c r="C1278" s="18">
        <v>45238</v>
      </c>
      <c r="D1278" t="s">
        <v>104</v>
      </c>
      <c r="E1278" s="32">
        <v>0</v>
      </c>
      <c r="F1278" s="32">
        <v>68107</v>
      </c>
      <c r="G1278" s="32">
        <v>110708897</v>
      </c>
      <c r="H1278" t="s">
        <v>293</v>
      </c>
    </row>
    <row r="1279" spans="1:8" hidden="1" x14ac:dyDescent="0.3">
      <c r="A1279" s="28">
        <v>15240</v>
      </c>
      <c r="B1279" s="49">
        <v>45238.489583333336</v>
      </c>
      <c r="C1279" s="18">
        <v>45238</v>
      </c>
      <c r="D1279" t="s">
        <v>104</v>
      </c>
      <c r="E1279" s="32">
        <v>0</v>
      </c>
      <c r="F1279" s="32">
        <v>99000</v>
      </c>
      <c r="G1279" s="32">
        <v>110777004</v>
      </c>
      <c r="H1279" t="s">
        <v>577</v>
      </c>
    </row>
    <row r="1280" spans="1:8" hidden="1" x14ac:dyDescent="0.3">
      <c r="A1280" s="28">
        <v>15239</v>
      </c>
      <c r="B1280" s="49">
        <v>45238.481944444444</v>
      </c>
      <c r="C1280" s="18">
        <v>45238</v>
      </c>
      <c r="D1280" t="s">
        <v>103</v>
      </c>
      <c r="E1280" s="32">
        <v>315000</v>
      </c>
      <c r="F1280" s="32">
        <v>0</v>
      </c>
      <c r="G1280" s="32">
        <v>110876004</v>
      </c>
      <c r="H1280" t="s">
        <v>578</v>
      </c>
    </row>
    <row r="1281" spans="1:8" hidden="1" x14ac:dyDescent="0.3">
      <c r="A1281" s="28">
        <v>15238</v>
      </c>
      <c r="B1281" s="49">
        <v>45238.479861111111</v>
      </c>
      <c r="C1281" s="18">
        <v>45238</v>
      </c>
      <c r="D1281" t="s">
        <v>103</v>
      </c>
      <c r="E1281" s="32">
        <v>86000</v>
      </c>
      <c r="F1281" s="32">
        <v>0</v>
      </c>
      <c r="G1281" s="32">
        <v>110561004</v>
      </c>
      <c r="H1281" t="s">
        <v>578</v>
      </c>
    </row>
    <row r="1282" spans="1:8" hidden="1" x14ac:dyDescent="0.3">
      <c r="A1282" s="28">
        <v>15237</v>
      </c>
      <c r="B1282" s="49">
        <v>45238.478472222225</v>
      </c>
      <c r="C1282" s="18">
        <v>45238</v>
      </c>
      <c r="D1282" t="s">
        <v>103</v>
      </c>
      <c r="E1282" s="32">
        <v>139000</v>
      </c>
      <c r="F1282" s="32">
        <v>0</v>
      </c>
      <c r="G1282" s="32">
        <v>110475004</v>
      </c>
      <c r="H1282" t="s">
        <v>578</v>
      </c>
    </row>
    <row r="1283" spans="1:8" hidden="1" x14ac:dyDescent="0.3">
      <c r="A1283" s="28">
        <v>15236</v>
      </c>
      <c r="B1283" s="49">
        <v>45238.477083333331</v>
      </c>
      <c r="C1283" s="18">
        <v>45238</v>
      </c>
      <c r="D1283" t="s">
        <v>103</v>
      </c>
      <c r="E1283" s="32">
        <v>279000</v>
      </c>
      <c r="F1283" s="32">
        <v>0</v>
      </c>
      <c r="G1283" s="32">
        <v>110336004</v>
      </c>
      <c r="H1283" t="s">
        <v>578</v>
      </c>
    </row>
    <row r="1284" spans="1:8" hidden="1" x14ac:dyDescent="0.3">
      <c r="A1284" s="28">
        <v>15233</v>
      </c>
      <c r="B1284" s="49">
        <v>45238.470833333333</v>
      </c>
      <c r="C1284" s="18">
        <v>45238</v>
      </c>
      <c r="D1284" t="s">
        <v>103</v>
      </c>
      <c r="E1284" s="32">
        <v>652300</v>
      </c>
      <c r="F1284" s="32">
        <v>0</v>
      </c>
      <c r="G1284" s="32">
        <v>110057004</v>
      </c>
      <c r="H1284" t="s">
        <v>364</v>
      </c>
    </row>
    <row r="1285" spans="1:8" hidden="1" x14ac:dyDescent="0.3">
      <c r="A1285" s="28">
        <v>15232</v>
      </c>
      <c r="B1285" s="49">
        <v>45238.461805555555</v>
      </c>
      <c r="C1285" s="18">
        <v>45238</v>
      </c>
      <c r="D1285" t="s">
        <v>104</v>
      </c>
      <c r="E1285" s="32">
        <v>0</v>
      </c>
      <c r="F1285" s="32">
        <v>547197</v>
      </c>
      <c r="G1285" s="32">
        <v>109404704</v>
      </c>
      <c r="H1285" t="s">
        <v>293</v>
      </c>
    </row>
    <row r="1286" spans="1:8" hidden="1" x14ac:dyDescent="0.3">
      <c r="A1286" s="28">
        <v>15230</v>
      </c>
      <c r="B1286" s="49">
        <v>45238.447222222225</v>
      </c>
      <c r="C1286" s="18">
        <v>45238</v>
      </c>
      <c r="D1286" t="s">
        <v>103</v>
      </c>
      <c r="E1286" s="32">
        <v>450400</v>
      </c>
      <c r="F1286" s="32">
        <v>0</v>
      </c>
      <c r="G1286" s="32">
        <v>109951901</v>
      </c>
      <c r="H1286" t="s">
        <v>579</v>
      </c>
    </row>
    <row r="1287" spans="1:8" hidden="1" x14ac:dyDescent="0.3">
      <c r="A1287" s="28">
        <v>15229</v>
      </c>
      <c r="B1287" s="49">
        <v>45238.445138888892</v>
      </c>
      <c r="C1287" s="18">
        <v>45238</v>
      </c>
      <c r="D1287" t="s">
        <v>103</v>
      </c>
      <c r="E1287" s="32">
        <v>4504000</v>
      </c>
      <c r="F1287" s="32">
        <v>0</v>
      </c>
      <c r="G1287" s="32">
        <v>109501501</v>
      </c>
      <c r="H1287" t="s">
        <v>580</v>
      </c>
    </row>
    <row r="1288" spans="1:8" hidden="1" x14ac:dyDescent="0.3">
      <c r="A1288" s="28">
        <v>15228</v>
      </c>
      <c r="B1288" s="49">
        <v>45238.376388888886</v>
      </c>
      <c r="C1288" s="18">
        <v>45238</v>
      </c>
      <c r="D1288" t="s">
        <v>104</v>
      </c>
      <c r="E1288" s="32">
        <v>0</v>
      </c>
      <c r="F1288" s="32">
        <v>84631</v>
      </c>
      <c r="G1288" s="32">
        <v>104997501</v>
      </c>
      <c r="H1288" t="s">
        <v>293</v>
      </c>
    </row>
    <row r="1289" spans="1:8" hidden="1" x14ac:dyDescent="0.3">
      <c r="A1289" s="28">
        <v>15227</v>
      </c>
      <c r="B1289" s="49">
        <v>45238.375694444447</v>
      </c>
      <c r="C1289" s="18">
        <v>45238</v>
      </c>
      <c r="D1289" t="s">
        <v>104</v>
      </c>
      <c r="E1289" s="32">
        <v>0</v>
      </c>
      <c r="F1289" s="32">
        <v>82500</v>
      </c>
      <c r="G1289" s="32">
        <v>105082132</v>
      </c>
      <c r="H1289" t="s">
        <v>365</v>
      </c>
    </row>
    <row r="1290" spans="1:8" hidden="1" x14ac:dyDescent="0.3">
      <c r="A1290" s="28">
        <v>15226</v>
      </c>
      <c r="B1290" s="49">
        <v>45237.695833333331</v>
      </c>
      <c r="C1290" s="18">
        <v>45237</v>
      </c>
      <c r="D1290" t="s">
        <v>103</v>
      </c>
      <c r="E1290" s="32">
        <v>3755400</v>
      </c>
      <c r="F1290" s="32">
        <v>0</v>
      </c>
      <c r="G1290" s="32">
        <v>105164632</v>
      </c>
      <c r="H1290" t="s">
        <v>581</v>
      </c>
    </row>
    <row r="1291" spans="1:8" hidden="1" x14ac:dyDescent="0.3">
      <c r="A1291" s="28">
        <v>15225</v>
      </c>
      <c r="B1291" s="49">
        <v>45237.615972222222</v>
      </c>
      <c r="C1291" s="18">
        <v>45237</v>
      </c>
      <c r="D1291" t="s">
        <v>104</v>
      </c>
      <c r="E1291" s="32">
        <v>0</v>
      </c>
      <c r="F1291" s="32">
        <v>6000</v>
      </c>
      <c r="G1291" s="32">
        <v>101409232</v>
      </c>
      <c r="H1291" t="s">
        <v>440</v>
      </c>
    </row>
    <row r="1292" spans="1:8" hidden="1" x14ac:dyDescent="0.3">
      <c r="A1292" s="28">
        <v>15224</v>
      </c>
      <c r="B1292" s="49">
        <v>45237.607638888891</v>
      </c>
      <c r="C1292" s="18">
        <v>45237</v>
      </c>
      <c r="D1292" t="s">
        <v>103</v>
      </c>
      <c r="E1292" s="32">
        <v>364100</v>
      </c>
      <c r="F1292" s="32">
        <v>0</v>
      </c>
      <c r="G1292" s="32">
        <v>101415232</v>
      </c>
      <c r="H1292" t="s">
        <v>526</v>
      </c>
    </row>
    <row r="1293" spans="1:8" hidden="1" x14ac:dyDescent="0.3">
      <c r="A1293" s="28">
        <v>15221</v>
      </c>
      <c r="B1293" s="49">
        <v>45237.396527777775</v>
      </c>
      <c r="C1293" s="18">
        <v>45237</v>
      </c>
      <c r="D1293" t="s">
        <v>103</v>
      </c>
      <c r="E1293" s="32">
        <v>190300</v>
      </c>
      <c r="F1293" s="32">
        <v>0</v>
      </c>
      <c r="G1293" s="32">
        <v>101051132</v>
      </c>
      <c r="H1293" t="s">
        <v>292</v>
      </c>
    </row>
    <row r="1294" spans="1:8" hidden="1" x14ac:dyDescent="0.3">
      <c r="A1294" s="28">
        <v>15220</v>
      </c>
      <c r="B1294" s="49">
        <v>45237.396527777775</v>
      </c>
      <c r="C1294" s="18">
        <v>45237</v>
      </c>
      <c r="D1294" t="s">
        <v>103</v>
      </c>
      <c r="E1294" s="32">
        <v>646800</v>
      </c>
      <c r="F1294" s="32">
        <v>0</v>
      </c>
      <c r="G1294" s="32">
        <v>100860832</v>
      </c>
      <c r="H1294" t="s">
        <v>292</v>
      </c>
    </row>
    <row r="1295" spans="1:8" hidden="1" x14ac:dyDescent="0.3">
      <c r="A1295" s="28">
        <v>15219</v>
      </c>
      <c r="B1295" s="49">
        <v>45237.390972222223</v>
      </c>
      <c r="C1295" s="18">
        <v>45237</v>
      </c>
      <c r="D1295" t="s">
        <v>103</v>
      </c>
      <c r="E1295" s="32">
        <v>1785300</v>
      </c>
      <c r="F1295" s="32">
        <v>0</v>
      </c>
      <c r="G1295" s="32">
        <v>100214032</v>
      </c>
      <c r="H1295" t="s">
        <v>399</v>
      </c>
    </row>
    <row r="1296" spans="1:8" hidden="1" x14ac:dyDescent="0.3">
      <c r="A1296" s="28">
        <v>15218</v>
      </c>
      <c r="B1296" s="49">
        <v>45236.830555555556</v>
      </c>
      <c r="C1296" s="18">
        <v>45236</v>
      </c>
      <c r="D1296" t="s">
        <v>104</v>
      </c>
      <c r="E1296" s="32">
        <v>0</v>
      </c>
      <c r="F1296" s="32">
        <v>626472</v>
      </c>
      <c r="G1296" s="32">
        <v>98428732</v>
      </c>
      <c r="H1296" t="s">
        <v>582</v>
      </c>
    </row>
    <row r="1297" spans="1:8" hidden="1" x14ac:dyDescent="0.3">
      <c r="A1297" s="28">
        <v>15217</v>
      </c>
      <c r="B1297" s="49">
        <v>45236.79791666667</v>
      </c>
      <c r="C1297" s="18">
        <v>45236</v>
      </c>
      <c r="D1297" t="s">
        <v>104</v>
      </c>
      <c r="E1297" s="32">
        <v>0</v>
      </c>
      <c r="F1297" s="32">
        <v>711920</v>
      </c>
      <c r="G1297" s="32">
        <v>99055204</v>
      </c>
      <c r="H1297" t="s">
        <v>507</v>
      </c>
    </row>
    <row r="1298" spans="1:8" hidden="1" x14ac:dyDescent="0.3">
      <c r="A1298" s="28">
        <v>15215</v>
      </c>
      <c r="B1298" s="49">
        <v>45236.654166666667</v>
      </c>
      <c r="C1298" s="18">
        <v>45236</v>
      </c>
      <c r="D1298" t="s">
        <v>104</v>
      </c>
      <c r="E1298" s="32">
        <v>0</v>
      </c>
      <c r="F1298" s="32">
        <v>99000</v>
      </c>
      <c r="G1298" s="32">
        <v>99767124</v>
      </c>
      <c r="H1298" t="s">
        <v>583</v>
      </c>
    </row>
    <row r="1299" spans="1:8" hidden="1" x14ac:dyDescent="0.3">
      <c r="A1299" s="28">
        <v>15214</v>
      </c>
      <c r="B1299" s="49">
        <v>45236.651388888888</v>
      </c>
      <c r="C1299" s="18">
        <v>45236</v>
      </c>
      <c r="D1299" t="s">
        <v>104</v>
      </c>
      <c r="E1299" s="32">
        <v>0</v>
      </c>
      <c r="F1299" s="32">
        <v>176407</v>
      </c>
      <c r="G1299" s="32">
        <v>99866124</v>
      </c>
      <c r="H1299" t="s">
        <v>293</v>
      </c>
    </row>
    <row r="1300" spans="1:8" hidden="1" x14ac:dyDescent="0.3">
      <c r="A1300" s="28">
        <v>15213</v>
      </c>
      <c r="B1300" s="49">
        <v>45236.640277777777</v>
      </c>
      <c r="C1300" s="18">
        <v>45236</v>
      </c>
      <c r="D1300" t="s">
        <v>103</v>
      </c>
      <c r="E1300" s="32">
        <v>2094400</v>
      </c>
      <c r="F1300" s="32">
        <v>0</v>
      </c>
      <c r="G1300" s="32">
        <v>100042531</v>
      </c>
      <c r="H1300" t="s">
        <v>584</v>
      </c>
    </row>
    <row r="1301" spans="1:8" hidden="1" x14ac:dyDescent="0.3">
      <c r="A1301" s="28">
        <v>15212</v>
      </c>
      <c r="B1301" s="49">
        <v>45236.606249999997</v>
      </c>
      <c r="C1301" s="18">
        <v>45236</v>
      </c>
      <c r="D1301" t="s">
        <v>103</v>
      </c>
      <c r="E1301" s="32">
        <v>4292200</v>
      </c>
      <c r="F1301" s="32">
        <v>0</v>
      </c>
      <c r="G1301" s="32">
        <v>97948131</v>
      </c>
      <c r="H1301" t="s">
        <v>486</v>
      </c>
    </row>
    <row r="1302" spans="1:8" hidden="1" x14ac:dyDescent="0.3">
      <c r="A1302" s="28">
        <v>15211</v>
      </c>
      <c r="B1302" s="49">
        <v>45236.577777777777</v>
      </c>
      <c r="C1302" s="18">
        <v>45236</v>
      </c>
      <c r="D1302" t="s">
        <v>103</v>
      </c>
      <c r="E1302" s="32">
        <v>646800</v>
      </c>
      <c r="F1302" s="32">
        <v>0</v>
      </c>
      <c r="G1302" s="32">
        <v>93655931</v>
      </c>
      <c r="H1302" t="s">
        <v>526</v>
      </c>
    </row>
    <row r="1303" spans="1:8" hidden="1" x14ac:dyDescent="0.3">
      <c r="A1303" s="28">
        <v>15209</v>
      </c>
      <c r="B1303" s="49">
        <v>45236.544444444444</v>
      </c>
      <c r="C1303" s="18">
        <v>45236</v>
      </c>
      <c r="D1303" t="s">
        <v>103</v>
      </c>
      <c r="E1303" s="32">
        <v>356400</v>
      </c>
      <c r="F1303" s="32">
        <v>0</v>
      </c>
      <c r="G1303" s="32">
        <v>93009131</v>
      </c>
      <c r="H1303" t="s">
        <v>468</v>
      </c>
    </row>
    <row r="1304" spans="1:8" hidden="1" x14ac:dyDescent="0.3">
      <c r="A1304" s="28">
        <v>15206</v>
      </c>
      <c r="B1304" s="49">
        <v>45236.399305555555</v>
      </c>
      <c r="C1304" s="18">
        <v>45236</v>
      </c>
      <c r="D1304" t="s">
        <v>104</v>
      </c>
      <c r="E1304" s="32">
        <v>0</v>
      </c>
      <c r="F1304" s="32">
        <v>1009600</v>
      </c>
      <c r="G1304" s="32">
        <v>92652731</v>
      </c>
      <c r="H1304" t="s">
        <v>585</v>
      </c>
    </row>
    <row r="1305" spans="1:8" hidden="1" x14ac:dyDescent="0.3">
      <c r="A1305" s="28">
        <v>15203</v>
      </c>
      <c r="B1305" s="49">
        <v>45233.569444444445</v>
      </c>
      <c r="C1305" s="18">
        <v>45233</v>
      </c>
      <c r="D1305" t="s">
        <v>103</v>
      </c>
      <c r="E1305" s="32">
        <v>399300</v>
      </c>
      <c r="F1305" s="32">
        <v>0</v>
      </c>
      <c r="G1305" s="32">
        <v>93662331</v>
      </c>
      <c r="H1305" t="s">
        <v>586</v>
      </c>
    </row>
    <row r="1306" spans="1:8" hidden="1" x14ac:dyDescent="0.3">
      <c r="A1306" s="28">
        <v>15200</v>
      </c>
      <c r="B1306" s="49">
        <v>45233.440972222219</v>
      </c>
      <c r="C1306" s="18">
        <v>45233</v>
      </c>
      <c r="D1306" t="s">
        <v>103</v>
      </c>
      <c r="E1306" s="32">
        <v>2970000</v>
      </c>
      <c r="F1306" s="32">
        <v>0</v>
      </c>
      <c r="G1306" s="32">
        <v>93263031</v>
      </c>
      <c r="H1306" t="s">
        <v>406</v>
      </c>
    </row>
    <row r="1307" spans="1:8" hidden="1" x14ac:dyDescent="0.3">
      <c r="A1307" s="28">
        <v>15195</v>
      </c>
      <c r="B1307" s="49">
        <v>45232.40902777778</v>
      </c>
      <c r="C1307" s="18">
        <v>45232</v>
      </c>
      <c r="D1307" t="s">
        <v>104</v>
      </c>
      <c r="E1307" s="32">
        <v>0</v>
      </c>
      <c r="F1307" s="32">
        <v>271422</v>
      </c>
      <c r="G1307" s="32">
        <v>90293031</v>
      </c>
      <c r="H1307" t="s">
        <v>293</v>
      </c>
    </row>
    <row r="1308" spans="1:8" hidden="1" x14ac:dyDescent="0.3">
      <c r="A1308" s="28">
        <v>15194</v>
      </c>
      <c r="B1308" s="49">
        <v>45231.695833333331</v>
      </c>
      <c r="C1308" s="18">
        <v>45231</v>
      </c>
      <c r="D1308" t="s">
        <v>104</v>
      </c>
      <c r="E1308" s="32">
        <v>0</v>
      </c>
      <c r="F1308" s="32">
        <v>115500</v>
      </c>
      <c r="G1308" s="32">
        <v>90564453</v>
      </c>
      <c r="H1308" t="s">
        <v>587</v>
      </c>
    </row>
    <row r="1309" spans="1:8" hidden="1" x14ac:dyDescent="0.3">
      <c r="A1309" s="28">
        <v>15191</v>
      </c>
      <c r="B1309" s="49">
        <v>45231.372916666667</v>
      </c>
      <c r="C1309" s="18">
        <v>45231</v>
      </c>
      <c r="D1309" t="s">
        <v>103</v>
      </c>
      <c r="E1309" s="32">
        <v>834900</v>
      </c>
      <c r="F1309" s="32">
        <v>0</v>
      </c>
      <c r="G1309" s="32">
        <v>90679953</v>
      </c>
      <c r="H1309" t="s">
        <v>588</v>
      </c>
    </row>
    <row r="1310" spans="1:8" hidden="1" x14ac:dyDescent="0.3">
      <c r="A1310" s="28">
        <v>15190</v>
      </c>
      <c r="B1310" s="49">
        <v>45230.797222222223</v>
      </c>
      <c r="C1310" s="18">
        <v>45230</v>
      </c>
      <c r="D1310" t="s">
        <v>104</v>
      </c>
      <c r="E1310" s="32">
        <v>0</v>
      </c>
      <c r="F1310" s="32">
        <v>400510</v>
      </c>
      <c r="G1310" s="32">
        <v>89845053</v>
      </c>
      <c r="H1310" t="s">
        <v>507</v>
      </c>
    </row>
    <row r="1311" spans="1:8" hidden="1" x14ac:dyDescent="0.3">
      <c r="A1311" s="28">
        <v>15184</v>
      </c>
      <c r="B1311" s="49">
        <v>45230.628472222219</v>
      </c>
      <c r="C1311" s="18">
        <v>45230</v>
      </c>
      <c r="D1311" t="s">
        <v>103</v>
      </c>
      <c r="E1311" s="32">
        <v>54300</v>
      </c>
      <c r="F1311" s="32">
        <v>0</v>
      </c>
      <c r="G1311" s="32">
        <v>90245563</v>
      </c>
      <c r="H1311" t="s">
        <v>589</v>
      </c>
    </row>
    <row r="1312" spans="1:8" hidden="1" x14ac:dyDescent="0.3">
      <c r="A1312" s="28">
        <v>15183</v>
      </c>
      <c r="B1312" s="49">
        <v>45230.628472222219</v>
      </c>
      <c r="C1312" s="18">
        <v>45230</v>
      </c>
      <c r="D1312" t="s">
        <v>103</v>
      </c>
      <c r="E1312" s="32">
        <v>543000</v>
      </c>
      <c r="F1312" s="32">
        <v>0</v>
      </c>
      <c r="G1312" s="32">
        <v>90191263</v>
      </c>
      <c r="H1312" t="s">
        <v>589</v>
      </c>
    </row>
    <row r="1313" spans="1:8" hidden="1" x14ac:dyDescent="0.3">
      <c r="A1313" s="28">
        <v>15182</v>
      </c>
      <c r="B1313" s="49">
        <v>45230.607638888891</v>
      </c>
      <c r="C1313" s="18">
        <v>45230</v>
      </c>
      <c r="D1313" t="s">
        <v>103</v>
      </c>
      <c r="E1313" s="32">
        <v>517307</v>
      </c>
      <c r="F1313" s="32">
        <v>0</v>
      </c>
      <c r="G1313" s="32">
        <v>89648263</v>
      </c>
      <c r="H1313" t="s">
        <v>564</v>
      </c>
    </row>
    <row r="1314" spans="1:8" hidden="1" x14ac:dyDescent="0.3">
      <c r="A1314" s="28">
        <v>15181</v>
      </c>
      <c r="B1314" s="49">
        <v>45230.605555555558</v>
      </c>
      <c r="C1314" s="18">
        <v>45230</v>
      </c>
      <c r="D1314" t="s">
        <v>103</v>
      </c>
      <c r="E1314" s="32">
        <v>135300</v>
      </c>
      <c r="F1314" s="32">
        <v>0</v>
      </c>
      <c r="G1314" s="32">
        <v>89130956</v>
      </c>
      <c r="H1314" t="s">
        <v>385</v>
      </c>
    </row>
    <row r="1315" spans="1:8" hidden="1" x14ac:dyDescent="0.3">
      <c r="A1315" s="28">
        <v>15180</v>
      </c>
      <c r="B1315" s="49">
        <v>45230.605555555558</v>
      </c>
      <c r="C1315" s="18">
        <v>45230</v>
      </c>
      <c r="D1315" t="s">
        <v>103</v>
      </c>
      <c r="E1315" s="32">
        <v>1433300</v>
      </c>
      <c r="F1315" s="32">
        <v>0</v>
      </c>
      <c r="G1315" s="32">
        <v>88995656</v>
      </c>
      <c r="H1315" t="s">
        <v>385</v>
      </c>
    </row>
    <row r="1316" spans="1:8" hidden="1" x14ac:dyDescent="0.3">
      <c r="A1316" s="28">
        <v>15179</v>
      </c>
      <c r="B1316" s="49">
        <v>45230.605555555558</v>
      </c>
      <c r="C1316" s="18">
        <v>45230</v>
      </c>
      <c r="D1316" t="s">
        <v>103</v>
      </c>
      <c r="E1316" s="32">
        <v>255200</v>
      </c>
      <c r="F1316" s="32">
        <v>0</v>
      </c>
      <c r="G1316" s="32">
        <v>87562356</v>
      </c>
      <c r="H1316" t="s">
        <v>385</v>
      </c>
    </row>
    <row r="1317" spans="1:8" hidden="1" x14ac:dyDescent="0.3">
      <c r="A1317" s="28">
        <v>15178</v>
      </c>
      <c r="B1317" s="49">
        <v>45230.605555555558</v>
      </c>
      <c r="C1317" s="18">
        <v>45230</v>
      </c>
      <c r="D1317" t="s">
        <v>103</v>
      </c>
      <c r="E1317" s="32">
        <v>366300</v>
      </c>
      <c r="F1317" s="32">
        <v>0</v>
      </c>
      <c r="G1317" s="32">
        <v>87307156</v>
      </c>
      <c r="H1317" t="s">
        <v>385</v>
      </c>
    </row>
    <row r="1318" spans="1:8" hidden="1" x14ac:dyDescent="0.3">
      <c r="A1318" s="28">
        <v>15177</v>
      </c>
      <c r="B1318" s="49">
        <v>45230.601388888892</v>
      </c>
      <c r="C1318" s="18">
        <v>45230</v>
      </c>
      <c r="D1318" t="s">
        <v>104</v>
      </c>
      <c r="E1318" s="32">
        <v>0</v>
      </c>
      <c r="F1318" s="32">
        <v>60000</v>
      </c>
      <c r="G1318" s="32">
        <v>86940856</v>
      </c>
      <c r="H1318" t="s">
        <v>431</v>
      </c>
    </row>
    <row r="1319" spans="1:8" hidden="1" x14ac:dyDescent="0.3">
      <c r="A1319" s="28">
        <v>15176</v>
      </c>
      <c r="B1319" s="49">
        <v>45230.585416666669</v>
      </c>
      <c r="C1319" s="18">
        <v>45230</v>
      </c>
      <c r="D1319" t="s">
        <v>103</v>
      </c>
      <c r="E1319" s="32">
        <v>152900</v>
      </c>
      <c r="F1319" s="32">
        <v>0</v>
      </c>
      <c r="G1319" s="32">
        <v>87000856</v>
      </c>
      <c r="H1319" t="s">
        <v>324</v>
      </c>
    </row>
    <row r="1320" spans="1:8" hidden="1" x14ac:dyDescent="0.3">
      <c r="A1320" s="28">
        <v>15175</v>
      </c>
      <c r="B1320" s="49">
        <v>45230.567361111112</v>
      </c>
      <c r="C1320" s="18">
        <v>45230</v>
      </c>
      <c r="D1320" t="s">
        <v>103</v>
      </c>
      <c r="E1320" s="32">
        <v>1994300</v>
      </c>
      <c r="F1320" s="32">
        <v>0</v>
      </c>
      <c r="G1320" s="32">
        <v>86847956</v>
      </c>
      <c r="H1320" t="s">
        <v>326</v>
      </c>
    </row>
    <row r="1321" spans="1:8" hidden="1" x14ac:dyDescent="0.3">
      <c r="A1321" s="28">
        <v>15174</v>
      </c>
      <c r="B1321" s="49">
        <v>45230.567361111112</v>
      </c>
      <c r="C1321" s="18">
        <v>45230</v>
      </c>
      <c r="D1321" t="s">
        <v>103</v>
      </c>
      <c r="E1321" s="32">
        <v>1327700</v>
      </c>
      <c r="F1321" s="32">
        <v>0</v>
      </c>
      <c r="G1321" s="32">
        <v>84853656</v>
      </c>
      <c r="H1321" t="s">
        <v>326</v>
      </c>
    </row>
    <row r="1322" spans="1:8" hidden="1" x14ac:dyDescent="0.3">
      <c r="A1322" s="28">
        <v>15173</v>
      </c>
      <c r="B1322" s="49">
        <v>45230.567361111112</v>
      </c>
      <c r="C1322" s="18">
        <v>45230</v>
      </c>
      <c r="D1322" t="s">
        <v>103</v>
      </c>
      <c r="E1322" s="32">
        <v>238700</v>
      </c>
      <c r="F1322" s="32">
        <v>0</v>
      </c>
      <c r="G1322" s="32">
        <v>83525956</v>
      </c>
      <c r="H1322" t="s">
        <v>326</v>
      </c>
    </row>
    <row r="1323" spans="1:8" hidden="1" x14ac:dyDescent="0.3">
      <c r="A1323" s="28">
        <v>15172</v>
      </c>
      <c r="B1323" s="49">
        <v>45230.567361111112</v>
      </c>
      <c r="C1323" s="18">
        <v>45230</v>
      </c>
      <c r="D1323" t="s">
        <v>103</v>
      </c>
      <c r="E1323" s="32">
        <v>1410200</v>
      </c>
      <c r="F1323" s="32">
        <v>0</v>
      </c>
      <c r="G1323" s="32">
        <v>83287256</v>
      </c>
      <c r="H1323" t="s">
        <v>326</v>
      </c>
    </row>
    <row r="1324" spans="1:8" hidden="1" x14ac:dyDescent="0.3">
      <c r="A1324" s="28">
        <v>15171</v>
      </c>
      <c r="B1324" s="49">
        <v>45230.567361111112</v>
      </c>
      <c r="C1324" s="18">
        <v>45230</v>
      </c>
      <c r="D1324" t="s">
        <v>103</v>
      </c>
      <c r="E1324" s="32">
        <v>809600</v>
      </c>
      <c r="F1324" s="32">
        <v>0</v>
      </c>
      <c r="G1324" s="32">
        <v>81877056</v>
      </c>
      <c r="H1324" t="s">
        <v>326</v>
      </c>
    </row>
    <row r="1325" spans="1:8" hidden="1" x14ac:dyDescent="0.3">
      <c r="A1325" s="28">
        <v>15170</v>
      </c>
      <c r="B1325" s="49">
        <v>45230.489583333336</v>
      </c>
      <c r="C1325" s="18">
        <v>45230</v>
      </c>
      <c r="D1325" t="s">
        <v>103</v>
      </c>
      <c r="E1325" s="32">
        <v>365200</v>
      </c>
      <c r="F1325" s="32">
        <v>0</v>
      </c>
      <c r="G1325" s="32">
        <v>81067456</v>
      </c>
      <c r="H1325" t="s">
        <v>320</v>
      </c>
    </row>
    <row r="1326" spans="1:8" hidden="1" x14ac:dyDescent="0.3">
      <c r="A1326" s="28">
        <v>15168</v>
      </c>
      <c r="B1326" s="49">
        <v>45230.477777777778</v>
      </c>
      <c r="C1326" s="18">
        <v>45230</v>
      </c>
      <c r="D1326" t="s">
        <v>103</v>
      </c>
      <c r="E1326" s="32">
        <v>447700</v>
      </c>
      <c r="F1326" s="32">
        <v>0</v>
      </c>
      <c r="G1326" s="32">
        <v>80702256</v>
      </c>
      <c r="H1326" t="s">
        <v>338</v>
      </c>
    </row>
    <row r="1327" spans="1:8" hidden="1" x14ac:dyDescent="0.3">
      <c r="A1327" s="28">
        <v>15166</v>
      </c>
      <c r="B1327" s="49">
        <v>45230.426388888889</v>
      </c>
      <c r="C1327" s="18">
        <v>45230</v>
      </c>
      <c r="D1327" t="s">
        <v>103</v>
      </c>
      <c r="E1327" s="32">
        <v>3377000</v>
      </c>
      <c r="F1327" s="32">
        <v>0</v>
      </c>
      <c r="G1327" s="32">
        <v>80254556</v>
      </c>
      <c r="H1327" t="s">
        <v>530</v>
      </c>
    </row>
    <row r="1328" spans="1:8" hidden="1" x14ac:dyDescent="0.3">
      <c r="A1328" s="28">
        <v>15165</v>
      </c>
      <c r="B1328" s="49">
        <v>45230.415972222225</v>
      </c>
      <c r="C1328" s="18">
        <v>45230</v>
      </c>
      <c r="D1328" t="s">
        <v>103</v>
      </c>
      <c r="E1328" s="32">
        <v>154000</v>
      </c>
      <c r="F1328" s="32">
        <v>0</v>
      </c>
      <c r="G1328" s="32">
        <v>76877556</v>
      </c>
      <c r="H1328" t="s">
        <v>292</v>
      </c>
    </row>
    <row r="1329" spans="1:8" hidden="1" x14ac:dyDescent="0.3">
      <c r="A1329" s="28">
        <v>15164</v>
      </c>
      <c r="B1329" s="49">
        <v>45229.783333333333</v>
      </c>
      <c r="C1329" s="18">
        <v>45229</v>
      </c>
      <c r="D1329" t="s">
        <v>104</v>
      </c>
      <c r="E1329" s="32">
        <v>0</v>
      </c>
      <c r="F1329" s="32">
        <v>31857600</v>
      </c>
      <c r="G1329" s="32">
        <v>76723556</v>
      </c>
      <c r="H1329" t="s">
        <v>330</v>
      </c>
    </row>
    <row r="1330" spans="1:8" hidden="1" x14ac:dyDescent="0.3">
      <c r="A1330" s="28">
        <v>15163</v>
      </c>
      <c r="B1330" s="49">
        <v>45229.78125</v>
      </c>
      <c r="C1330" s="18">
        <v>45229</v>
      </c>
      <c r="D1330" t="s">
        <v>104</v>
      </c>
      <c r="E1330" s="32">
        <v>0</v>
      </c>
      <c r="F1330" s="32">
        <v>14951410</v>
      </c>
      <c r="G1330" s="32">
        <v>108581156</v>
      </c>
      <c r="H1330" t="s">
        <v>590</v>
      </c>
    </row>
    <row r="1331" spans="1:8" hidden="1" x14ac:dyDescent="0.3">
      <c r="A1331" s="28">
        <v>15162</v>
      </c>
      <c r="B1331" s="49">
        <v>45229.780555555553</v>
      </c>
      <c r="C1331" s="18">
        <v>45229</v>
      </c>
      <c r="D1331" t="s">
        <v>103</v>
      </c>
      <c r="E1331" s="32">
        <v>100000000</v>
      </c>
      <c r="F1331" s="32">
        <v>0</v>
      </c>
      <c r="G1331" s="32">
        <v>123532566</v>
      </c>
      <c r="H1331" t="s">
        <v>331</v>
      </c>
    </row>
    <row r="1332" spans="1:8" hidden="1" x14ac:dyDescent="0.3">
      <c r="A1332" s="28">
        <v>15160</v>
      </c>
      <c r="B1332" s="49">
        <v>45229.779166666667</v>
      </c>
      <c r="C1332" s="18">
        <v>45229</v>
      </c>
      <c r="D1332" t="s">
        <v>104</v>
      </c>
      <c r="E1332" s="32">
        <v>0</v>
      </c>
      <c r="F1332" s="32">
        <v>198000</v>
      </c>
      <c r="G1332" s="32">
        <v>23532566</v>
      </c>
      <c r="H1332" t="s">
        <v>591</v>
      </c>
    </row>
    <row r="1333" spans="1:8" hidden="1" x14ac:dyDescent="0.3">
      <c r="A1333" s="28">
        <v>15159</v>
      </c>
      <c r="B1333" s="49">
        <v>45229.6875</v>
      </c>
      <c r="C1333" s="18">
        <v>45229</v>
      </c>
      <c r="D1333" t="s">
        <v>103</v>
      </c>
      <c r="E1333" s="32">
        <v>122100</v>
      </c>
      <c r="F1333" s="32">
        <v>0</v>
      </c>
      <c r="G1333" s="32">
        <v>23730566</v>
      </c>
      <c r="H1333" t="s">
        <v>588</v>
      </c>
    </row>
    <row r="1334" spans="1:8" hidden="1" x14ac:dyDescent="0.3">
      <c r="A1334" s="28">
        <v>15158</v>
      </c>
      <c r="B1334" s="49">
        <v>45229.676388888889</v>
      </c>
      <c r="C1334" s="18">
        <v>45229</v>
      </c>
      <c r="D1334" t="s">
        <v>103</v>
      </c>
      <c r="E1334" s="32">
        <v>1221000</v>
      </c>
      <c r="F1334" s="32">
        <v>0</v>
      </c>
      <c r="G1334" s="32">
        <v>23608466</v>
      </c>
      <c r="H1334" t="s">
        <v>592</v>
      </c>
    </row>
    <row r="1335" spans="1:8" hidden="1" x14ac:dyDescent="0.3">
      <c r="A1335" s="28">
        <v>15157</v>
      </c>
      <c r="B1335" s="49">
        <v>45229.67291666667</v>
      </c>
      <c r="C1335" s="18">
        <v>45229</v>
      </c>
      <c r="D1335" t="s">
        <v>103</v>
      </c>
      <c r="E1335" s="32">
        <v>2193400</v>
      </c>
      <c r="F1335" s="32">
        <v>0</v>
      </c>
      <c r="G1335" s="32">
        <v>22387466</v>
      </c>
      <c r="H1335" t="s">
        <v>319</v>
      </c>
    </row>
    <row r="1336" spans="1:8" hidden="1" x14ac:dyDescent="0.3">
      <c r="A1336" s="28">
        <v>15155</v>
      </c>
      <c r="B1336" s="49">
        <v>45229.634722222225</v>
      </c>
      <c r="C1336" s="18">
        <v>45229</v>
      </c>
      <c r="D1336" t="s">
        <v>103</v>
      </c>
      <c r="E1336" s="32">
        <v>866800</v>
      </c>
      <c r="F1336" s="32">
        <v>0</v>
      </c>
      <c r="G1336" s="32">
        <v>20194066</v>
      </c>
      <c r="H1336" t="s">
        <v>526</v>
      </c>
    </row>
    <row r="1337" spans="1:8" hidden="1" x14ac:dyDescent="0.3">
      <c r="A1337" s="28">
        <v>15154</v>
      </c>
      <c r="B1337" s="49">
        <v>45229.623611111114</v>
      </c>
      <c r="C1337" s="18">
        <v>45229</v>
      </c>
      <c r="D1337" t="s">
        <v>104</v>
      </c>
      <c r="E1337" s="32">
        <v>0</v>
      </c>
      <c r="F1337" s="32">
        <v>6600000</v>
      </c>
      <c r="G1337" s="32">
        <v>19327266</v>
      </c>
      <c r="H1337" t="s">
        <v>593</v>
      </c>
    </row>
    <row r="1338" spans="1:8" hidden="1" x14ac:dyDescent="0.3">
      <c r="A1338" s="28">
        <v>15153</v>
      </c>
      <c r="B1338" s="49">
        <v>45229.605555555558</v>
      </c>
      <c r="C1338" s="18">
        <v>45229</v>
      </c>
      <c r="D1338" t="s">
        <v>104</v>
      </c>
      <c r="E1338" s="32">
        <v>0</v>
      </c>
      <c r="F1338" s="32">
        <v>99000</v>
      </c>
      <c r="G1338" s="32">
        <v>25927266</v>
      </c>
      <c r="H1338" t="s">
        <v>594</v>
      </c>
    </row>
    <row r="1339" spans="1:8" hidden="1" x14ac:dyDescent="0.3">
      <c r="A1339" s="28">
        <v>15151</v>
      </c>
      <c r="B1339" s="49">
        <v>45229.5</v>
      </c>
      <c r="C1339" s="18">
        <v>45229</v>
      </c>
      <c r="D1339" t="s">
        <v>103</v>
      </c>
      <c r="E1339" s="32">
        <v>682000</v>
      </c>
      <c r="F1339" s="32">
        <v>0</v>
      </c>
      <c r="G1339" s="32">
        <v>26026266</v>
      </c>
      <c r="H1339" t="s">
        <v>595</v>
      </c>
    </row>
    <row r="1340" spans="1:8" hidden="1" x14ac:dyDescent="0.3">
      <c r="A1340" s="28">
        <v>15150</v>
      </c>
      <c r="B1340" s="49">
        <v>45229.494444444441</v>
      </c>
      <c r="C1340" s="18">
        <v>45229</v>
      </c>
      <c r="D1340" t="s">
        <v>103</v>
      </c>
      <c r="E1340" s="32">
        <v>2212100</v>
      </c>
      <c r="F1340" s="32">
        <v>0</v>
      </c>
      <c r="G1340" s="32">
        <v>25344266</v>
      </c>
      <c r="H1340" t="s">
        <v>595</v>
      </c>
    </row>
    <row r="1341" spans="1:8" hidden="1" x14ac:dyDescent="0.3">
      <c r="A1341" s="28">
        <v>15149</v>
      </c>
      <c r="B1341" s="49">
        <v>45229.489583333336</v>
      </c>
      <c r="C1341" s="18">
        <v>45229</v>
      </c>
      <c r="D1341" t="s">
        <v>103</v>
      </c>
      <c r="E1341" s="32">
        <v>665500</v>
      </c>
      <c r="F1341" s="32">
        <v>0</v>
      </c>
      <c r="G1341" s="32">
        <v>23132166</v>
      </c>
      <c r="H1341" t="s">
        <v>596</v>
      </c>
    </row>
    <row r="1342" spans="1:8" hidden="1" x14ac:dyDescent="0.3">
      <c r="A1342" s="28">
        <v>15146</v>
      </c>
      <c r="B1342" s="49">
        <v>45229.463888888888</v>
      </c>
      <c r="C1342" s="18">
        <v>45229</v>
      </c>
      <c r="D1342" t="s">
        <v>103</v>
      </c>
      <c r="E1342" s="32">
        <v>378400</v>
      </c>
      <c r="F1342" s="32">
        <v>0</v>
      </c>
      <c r="G1342" s="32">
        <v>22466666</v>
      </c>
      <c r="H1342" t="s">
        <v>526</v>
      </c>
    </row>
    <row r="1343" spans="1:8" hidden="1" x14ac:dyDescent="0.3">
      <c r="A1343" s="28">
        <v>15145</v>
      </c>
      <c r="B1343" s="49">
        <v>45229.463888888888</v>
      </c>
      <c r="C1343" s="18">
        <v>45229</v>
      </c>
      <c r="D1343" t="s">
        <v>103</v>
      </c>
      <c r="E1343" s="32">
        <v>1343100</v>
      </c>
      <c r="F1343" s="32">
        <v>0</v>
      </c>
      <c r="G1343" s="32">
        <v>22088266</v>
      </c>
      <c r="H1343" t="s">
        <v>526</v>
      </c>
    </row>
    <row r="1344" spans="1:8" hidden="1" x14ac:dyDescent="0.3">
      <c r="A1344" s="28">
        <v>15143</v>
      </c>
      <c r="B1344" s="49">
        <v>45229.43472222222</v>
      </c>
      <c r="C1344" s="18">
        <v>45229</v>
      </c>
      <c r="D1344" t="s">
        <v>103</v>
      </c>
      <c r="E1344" s="32">
        <v>381700</v>
      </c>
      <c r="F1344" s="32">
        <v>0</v>
      </c>
      <c r="G1344" s="32">
        <v>20745166</v>
      </c>
      <c r="H1344" t="s">
        <v>597</v>
      </c>
    </row>
    <row r="1345" spans="1:8" hidden="1" x14ac:dyDescent="0.3">
      <c r="A1345" s="28">
        <v>15142</v>
      </c>
      <c r="B1345" s="49">
        <v>45229.415277777778</v>
      </c>
      <c r="C1345" s="18">
        <v>45229</v>
      </c>
      <c r="D1345" t="s">
        <v>103</v>
      </c>
      <c r="E1345" s="32">
        <v>346500</v>
      </c>
      <c r="F1345" s="32">
        <v>0</v>
      </c>
      <c r="G1345" s="32">
        <v>20363466</v>
      </c>
      <c r="H1345" t="s">
        <v>437</v>
      </c>
    </row>
    <row r="1346" spans="1:8" hidden="1" x14ac:dyDescent="0.3">
      <c r="A1346" s="28">
        <v>15140</v>
      </c>
      <c r="B1346" s="49">
        <v>45226.626388888886</v>
      </c>
      <c r="C1346" s="18">
        <v>45226</v>
      </c>
      <c r="D1346" t="s">
        <v>103</v>
      </c>
      <c r="E1346" s="32">
        <v>489500</v>
      </c>
      <c r="F1346" s="32">
        <v>0</v>
      </c>
      <c r="G1346" s="32">
        <v>20016966</v>
      </c>
      <c r="H1346" t="s">
        <v>501</v>
      </c>
    </row>
    <row r="1347" spans="1:8" hidden="1" x14ac:dyDescent="0.3">
      <c r="A1347" s="28">
        <v>15139</v>
      </c>
      <c r="B1347" s="49">
        <v>45226.59652777778</v>
      </c>
      <c r="C1347" s="18">
        <v>45226</v>
      </c>
      <c r="D1347" t="s">
        <v>103</v>
      </c>
      <c r="E1347" s="32">
        <v>563200</v>
      </c>
      <c r="F1347" s="32">
        <v>0</v>
      </c>
      <c r="G1347" s="32">
        <v>19527466</v>
      </c>
      <c r="H1347" t="s">
        <v>598</v>
      </c>
    </row>
    <row r="1348" spans="1:8" hidden="1" x14ac:dyDescent="0.3">
      <c r="A1348" s="28">
        <v>15138</v>
      </c>
      <c r="B1348" s="49">
        <v>45226.575694444444</v>
      </c>
      <c r="C1348" s="18">
        <v>45226</v>
      </c>
      <c r="D1348" t="s">
        <v>103</v>
      </c>
      <c r="E1348" s="32">
        <v>1746800</v>
      </c>
      <c r="F1348" s="32">
        <v>0</v>
      </c>
      <c r="G1348" s="32">
        <v>18964266</v>
      </c>
      <c r="H1348" t="s">
        <v>300</v>
      </c>
    </row>
    <row r="1349" spans="1:8" hidden="1" x14ac:dyDescent="0.3">
      <c r="A1349" s="28">
        <v>15137</v>
      </c>
      <c r="B1349" s="49">
        <v>45226.575694444444</v>
      </c>
      <c r="C1349" s="18">
        <v>45226</v>
      </c>
      <c r="D1349" t="s">
        <v>103</v>
      </c>
      <c r="E1349" s="32">
        <v>600600</v>
      </c>
      <c r="F1349" s="32">
        <v>0</v>
      </c>
      <c r="G1349" s="32">
        <v>17217466</v>
      </c>
      <c r="H1349" t="s">
        <v>300</v>
      </c>
    </row>
    <row r="1350" spans="1:8" hidden="1" x14ac:dyDescent="0.3">
      <c r="A1350" s="28">
        <v>15136</v>
      </c>
      <c r="B1350" s="49">
        <v>45226.575694444444</v>
      </c>
      <c r="C1350" s="18">
        <v>45226</v>
      </c>
      <c r="D1350" t="s">
        <v>103</v>
      </c>
      <c r="E1350" s="32">
        <v>817300</v>
      </c>
      <c r="F1350" s="32">
        <v>0</v>
      </c>
      <c r="G1350" s="32">
        <v>16616866</v>
      </c>
      <c r="H1350" t="s">
        <v>300</v>
      </c>
    </row>
    <row r="1351" spans="1:8" hidden="1" x14ac:dyDescent="0.3">
      <c r="A1351" s="28">
        <v>15135</v>
      </c>
      <c r="B1351" s="49">
        <v>45226.564583333333</v>
      </c>
      <c r="C1351" s="18">
        <v>45226</v>
      </c>
      <c r="D1351" t="s">
        <v>103</v>
      </c>
      <c r="E1351" s="32">
        <v>1286600</v>
      </c>
      <c r="F1351" s="32">
        <v>0</v>
      </c>
      <c r="G1351" s="32">
        <v>15799566</v>
      </c>
      <c r="H1351" t="s">
        <v>335</v>
      </c>
    </row>
    <row r="1352" spans="1:8" hidden="1" x14ac:dyDescent="0.3">
      <c r="A1352" s="28">
        <v>15134</v>
      </c>
      <c r="B1352" s="49">
        <v>45226.541666666664</v>
      </c>
      <c r="C1352" s="18">
        <v>45226</v>
      </c>
      <c r="D1352" t="s">
        <v>103</v>
      </c>
      <c r="E1352" s="32">
        <v>1085000</v>
      </c>
      <c r="F1352" s="32">
        <v>0</v>
      </c>
      <c r="G1352" s="32">
        <v>14512966</v>
      </c>
      <c r="H1352" t="s">
        <v>335</v>
      </c>
    </row>
    <row r="1353" spans="1:8" hidden="1" x14ac:dyDescent="0.3">
      <c r="A1353" s="28">
        <v>15132</v>
      </c>
      <c r="B1353" s="49">
        <v>45226.402777777781</v>
      </c>
      <c r="C1353" s="18">
        <v>45226</v>
      </c>
      <c r="D1353" t="s">
        <v>103</v>
      </c>
      <c r="E1353" s="32">
        <v>2768700</v>
      </c>
      <c r="F1353" s="32">
        <v>0</v>
      </c>
      <c r="G1353" s="32">
        <v>13427966</v>
      </c>
      <c r="H1353" t="s">
        <v>599</v>
      </c>
    </row>
    <row r="1354" spans="1:8" hidden="1" x14ac:dyDescent="0.3">
      <c r="A1354" s="28">
        <v>15126</v>
      </c>
      <c r="B1354" s="49">
        <v>45225.408333333333</v>
      </c>
      <c r="C1354" s="18">
        <v>45225</v>
      </c>
      <c r="D1354" t="s">
        <v>104</v>
      </c>
      <c r="E1354" s="32">
        <v>0</v>
      </c>
      <c r="F1354" s="32">
        <v>8000</v>
      </c>
      <c r="G1354" s="32">
        <v>10659266</v>
      </c>
      <c r="H1354" t="s">
        <v>313</v>
      </c>
    </row>
    <row r="1355" spans="1:8" hidden="1" x14ac:dyDescent="0.3">
      <c r="A1355" s="28">
        <v>15125</v>
      </c>
      <c r="B1355" s="49">
        <v>45225.386805555558</v>
      </c>
      <c r="C1355" s="18">
        <v>45225</v>
      </c>
      <c r="D1355" t="s">
        <v>104</v>
      </c>
      <c r="E1355" s="32">
        <v>0</v>
      </c>
      <c r="F1355" s="32">
        <v>40383300</v>
      </c>
      <c r="G1355" s="32">
        <v>10667266</v>
      </c>
      <c r="H1355" t="s">
        <v>314</v>
      </c>
    </row>
    <row r="1356" spans="1:8" hidden="1" x14ac:dyDescent="0.3">
      <c r="A1356" s="28">
        <v>15124</v>
      </c>
      <c r="B1356" s="49">
        <v>45225.386111111111</v>
      </c>
      <c r="C1356" s="18">
        <v>45225</v>
      </c>
      <c r="D1356" t="s">
        <v>104</v>
      </c>
      <c r="E1356" s="32">
        <v>0</v>
      </c>
      <c r="F1356" s="32">
        <v>40225500</v>
      </c>
      <c r="G1356" s="32">
        <v>51050566</v>
      </c>
      <c r="H1356" t="s">
        <v>314</v>
      </c>
    </row>
    <row r="1357" spans="1:8" hidden="1" x14ac:dyDescent="0.3">
      <c r="A1357" s="28">
        <v>15123</v>
      </c>
      <c r="B1357" s="49">
        <v>45225.386111111111</v>
      </c>
      <c r="C1357" s="18">
        <v>45225</v>
      </c>
      <c r="D1357" t="s">
        <v>104</v>
      </c>
      <c r="E1357" s="32">
        <v>0</v>
      </c>
      <c r="F1357" s="32">
        <v>40495800</v>
      </c>
      <c r="G1357" s="32">
        <v>91276066</v>
      </c>
      <c r="H1357" t="s">
        <v>314</v>
      </c>
    </row>
    <row r="1358" spans="1:8" hidden="1" x14ac:dyDescent="0.3">
      <c r="A1358" s="28">
        <v>15122</v>
      </c>
      <c r="B1358" s="49">
        <v>45225.384722222225</v>
      </c>
      <c r="C1358" s="18">
        <v>45225</v>
      </c>
      <c r="D1358" t="s">
        <v>103</v>
      </c>
      <c r="E1358" s="32">
        <v>30000000</v>
      </c>
      <c r="F1358" s="32">
        <v>0</v>
      </c>
      <c r="G1358" s="32">
        <v>131771866</v>
      </c>
      <c r="H1358" t="s">
        <v>331</v>
      </c>
    </row>
    <row r="1359" spans="1:8" hidden="1" x14ac:dyDescent="0.3">
      <c r="A1359" s="28">
        <v>15118</v>
      </c>
      <c r="B1359" s="49">
        <v>45224.832638888889</v>
      </c>
      <c r="C1359" s="18">
        <v>45224</v>
      </c>
      <c r="D1359" t="s">
        <v>104</v>
      </c>
      <c r="E1359" s="32">
        <v>0</v>
      </c>
      <c r="F1359" s="32">
        <v>440000</v>
      </c>
      <c r="G1359" s="32">
        <v>101771866</v>
      </c>
      <c r="H1359" t="s">
        <v>485</v>
      </c>
    </row>
    <row r="1360" spans="1:8" hidden="1" x14ac:dyDescent="0.3">
      <c r="A1360" s="28">
        <v>15115</v>
      </c>
      <c r="B1360" s="49">
        <v>45224.632638888892</v>
      </c>
      <c r="C1360" s="18">
        <v>45224</v>
      </c>
      <c r="D1360" t="s">
        <v>103</v>
      </c>
      <c r="E1360" s="32">
        <v>147400</v>
      </c>
      <c r="F1360" s="32">
        <v>0</v>
      </c>
      <c r="G1360" s="32">
        <v>102211866</v>
      </c>
      <c r="H1360" t="s">
        <v>381</v>
      </c>
    </row>
    <row r="1361" spans="1:8" hidden="1" x14ac:dyDescent="0.3">
      <c r="A1361" s="28">
        <v>15114</v>
      </c>
      <c r="B1361" s="49">
        <v>45224.56527777778</v>
      </c>
      <c r="C1361" s="18">
        <v>45224</v>
      </c>
      <c r="D1361" t="s">
        <v>103</v>
      </c>
      <c r="E1361" s="32">
        <v>1951400</v>
      </c>
      <c r="F1361" s="32">
        <v>0</v>
      </c>
      <c r="G1361" s="32">
        <v>102064466</v>
      </c>
      <c r="H1361" t="s">
        <v>292</v>
      </c>
    </row>
    <row r="1362" spans="1:8" hidden="1" x14ac:dyDescent="0.3">
      <c r="A1362" s="28">
        <v>15113</v>
      </c>
      <c r="B1362" s="49">
        <v>45224.526388888888</v>
      </c>
      <c r="C1362" s="18">
        <v>45224</v>
      </c>
      <c r="D1362" t="s">
        <v>103</v>
      </c>
      <c r="E1362" s="32">
        <v>160600</v>
      </c>
      <c r="F1362" s="32">
        <v>0</v>
      </c>
      <c r="G1362" s="32">
        <v>100113066</v>
      </c>
      <c r="H1362" t="s">
        <v>600</v>
      </c>
    </row>
    <row r="1363" spans="1:8" hidden="1" x14ac:dyDescent="0.3">
      <c r="A1363" s="28">
        <v>15112</v>
      </c>
      <c r="B1363" s="49">
        <v>45224.472916666666</v>
      </c>
      <c r="C1363" s="18">
        <v>45224</v>
      </c>
      <c r="D1363" t="s">
        <v>104</v>
      </c>
      <c r="E1363" s="32">
        <v>0</v>
      </c>
      <c r="F1363" s="32">
        <v>843700</v>
      </c>
      <c r="G1363" s="32">
        <v>99952466</v>
      </c>
      <c r="H1363" t="s">
        <v>601</v>
      </c>
    </row>
    <row r="1364" spans="1:8" hidden="1" x14ac:dyDescent="0.3">
      <c r="A1364" s="28">
        <v>15111</v>
      </c>
      <c r="B1364" s="49">
        <v>45224.432638888888</v>
      </c>
      <c r="C1364" s="18">
        <v>45224</v>
      </c>
      <c r="D1364" t="s">
        <v>104</v>
      </c>
      <c r="E1364" s="32">
        <v>0</v>
      </c>
      <c r="F1364" s="32">
        <v>450000</v>
      </c>
      <c r="G1364" s="32">
        <v>100796166</v>
      </c>
      <c r="H1364" t="s">
        <v>354</v>
      </c>
    </row>
    <row r="1365" spans="1:8" hidden="1" x14ac:dyDescent="0.3">
      <c r="A1365" s="28">
        <v>15110</v>
      </c>
      <c r="B1365" s="49">
        <v>45224.390277777777</v>
      </c>
      <c r="C1365" s="18">
        <v>45224</v>
      </c>
      <c r="D1365" t="s">
        <v>104</v>
      </c>
      <c r="E1365" s="32">
        <v>0</v>
      </c>
      <c r="F1365" s="32">
        <v>136995</v>
      </c>
      <c r="G1365" s="32">
        <v>101246166</v>
      </c>
      <c r="H1365" t="s">
        <v>293</v>
      </c>
    </row>
    <row r="1366" spans="1:8" hidden="1" x14ac:dyDescent="0.3">
      <c r="A1366" s="28">
        <v>15109</v>
      </c>
      <c r="B1366" s="49">
        <v>45223.693055555559</v>
      </c>
      <c r="C1366" s="18">
        <v>45223</v>
      </c>
      <c r="D1366" t="s">
        <v>103</v>
      </c>
      <c r="E1366" s="32">
        <v>176000</v>
      </c>
      <c r="F1366" s="32">
        <v>0</v>
      </c>
      <c r="G1366" s="32">
        <v>101383161</v>
      </c>
      <c r="H1366" t="s">
        <v>476</v>
      </c>
    </row>
    <row r="1367" spans="1:8" hidden="1" x14ac:dyDescent="0.3">
      <c r="A1367" s="28">
        <v>15108</v>
      </c>
      <c r="B1367" s="49">
        <v>45223.57916666667</v>
      </c>
      <c r="C1367" s="18">
        <v>45223</v>
      </c>
      <c r="D1367" t="s">
        <v>103</v>
      </c>
      <c r="E1367" s="32">
        <v>775500</v>
      </c>
      <c r="F1367" s="32">
        <v>0</v>
      </c>
      <c r="G1367" s="32">
        <v>101207161</v>
      </c>
      <c r="H1367" t="s">
        <v>429</v>
      </c>
    </row>
    <row r="1368" spans="1:8" hidden="1" x14ac:dyDescent="0.3">
      <c r="A1368" s="28">
        <v>15107</v>
      </c>
      <c r="B1368" s="49">
        <v>45223.461111111108</v>
      </c>
      <c r="C1368" s="18">
        <v>45223</v>
      </c>
      <c r="D1368" t="s">
        <v>103</v>
      </c>
      <c r="E1368" s="32">
        <v>165000</v>
      </c>
      <c r="F1368" s="32">
        <v>0</v>
      </c>
      <c r="G1368" s="32">
        <v>100431661</v>
      </c>
      <c r="H1368" t="s">
        <v>292</v>
      </c>
    </row>
    <row r="1369" spans="1:8" hidden="1" x14ac:dyDescent="0.3">
      <c r="A1369" s="28">
        <v>15106</v>
      </c>
      <c r="B1369" s="49">
        <v>45223.425000000003</v>
      </c>
      <c r="C1369" s="18">
        <v>45223</v>
      </c>
      <c r="D1369" t="s">
        <v>104</v>
      </c>
      <c r="E1369" s="32">
        <v>0</v>
      </c>
      <c r="F1369" s="32">
        <v>99000</v>
      </c>
      <c r="G1369" s="32">
        <v>100266661</v>
      </c>
      <c r="H1369" t="s">
        <v>602</v>
      </c>
    </row>
    <row r="1370" spans="1:8" hidden="1" x14ac:dyDescent="0.3">
      <c r="A1370" s="28">
        <v>15105</v>
      </c>
      <c r="B1370" s="49">
        <v>45223.422222222223</v>
      </c>
      <c r="C1370" s="18">
        <v>45223</v>
      </c>
      <c r="D1370" t="s">
        <v>104</v>
      </c>
      <c r="E1370" s="32">
        <v>0</v>
      </c>
      <c r="F1370" s="32">
        <v>155100</v>
      </c>
      <c r="G1370" s="32">
        <v>100365661</v>
      </c>
      <c r="H1370" t="s">
        <v>352</v>
      </c>
    </row>
    <row r="1371" spans="1:8" hidden="1" x14ac:dyDescent="0.3">
      <c r="A1371" s="28">
        <v>15104</v>
      </c>
      <c r="B1371" s="49">
        <v>45223.415972222225</v>
      </c>
      <c r="C1371" s="18">
        <v>45223</v>
      </c>
      <c r="D1371" t="s">
        <v>104</v>
      </c>
      <c r="E1371" s="32">
        <v>0</v>
      </c>
      <c r="F1371" s="32">
        <v>130000</v>
      </c>
      <c r="G1371" s="32">
        <v>100520761</v>
      </c>
      <c r="H1371" t="s">
        <v>603</v>
      </c>
    </row>
    <row r="1372" spans="1:8" hidden="1" x14ac:dyDescent="0.3">
      <c r="A1372" s="28">
        <v>15103</v>
      </c>
      <c r="B1372" s="49">
        <v>45223.414583333331</v>
      </c>
      <c r="C1372" s="18">
        <v>45223</v>
      </c>
      <c r="D1372" t="s">
        <v>104</v>
      </c>
      <c r="E1372" s="32">
        <v>0</v>
      </c>
      <c r="F1372" s="32">
        <v>2703903</v>
      </c>
      <c r="G1372" s="32">
        <v>100650761</v>
      </c>
      <c r="H1372" t="s">
        <v>604</v>
      </c>
    </row>
    <row r="1373" spans="1:8" hidden="1" x14ac:dyDescent="0.3">
      <c r="A1373" s="28">
        <v>15097</v>
      </c>
      <c r="B1373" s="49">
        <v>45222.716666666667</v>
      </c>
      <c r="C1373" s="18">
        <v>45222</v>
      </c>
      <c r="D1373" t="s">
        <v>104</v>
      </c>
      <c r="E1373" s="32">
        <v>0</v>
      </c>
      <c r="F1373" s="32">
        <v>58470220</v>
      </c>
      <c r="G1373" s="32">
        <v>103354664</v>
      </c>
      <c r="H1373" t="s">
        <v>428</v>
      </c>
    </row>
    <row r="1374" spans="1:8" hidden="1" x14ac:dyDescent="0.3">
      <c r="A1374" s="28">
        <v>15096</v>
      </c>
      <c r="B1374" s="49">
        <v>45222.644444444442</v>
      </c>
      <c r="C1374" s="18">
        <v>45222</v>
      </c>
      <c r="D1374" t="s">
        <v>103</v>
      </c>
      <c r="E1374" s="32">
        <v>1314500</v>
      </c>
      <c r="F1374" s="32">
        <v>0</v>
      </c>
      <c r="G1374" s="32">
        <v>161824884</v>
      </c>
      <c r="H1374" t="s">
        <v>351</v>
      </c>
    </row>
    <row r="1375" spans="1:8" hidden="1" x14ac:dyDescent="0.3">
      <c r="A1375" s="28">
        <v>15095</v>
      </c>
      <c r="B1375" s="49">
        <v>45222.496527777781</v>
      </c>
      <c r="C1375" s="18">
        <v>45222</v>
      </c>
      <c r="D1375" t="s">
        <v>103</v>
      </c>
      <c r="E1375" s="32">
        <v>50000000</v>
      </c>
      <c r="F1375" s="32">
        <v>0</v>
      </c>
      <c r="G1375" s="32">
        <v>160510384</v>
      </c>
      <c r="H1375" t="s">
        <v>331</v>
      </c>
    </row>
    <row r="1376" spans="1:8" hidden="1" x14ac:dyDescent="0.3">
      <c r="A1376" s="28">
        <v>15092</v>
      </c>
      <c r="B1376" s="49">
        <v>45222.412499999999</v>
      </c>
      <c r="C1376" s="18">
        <v>45222</v>
      </c>
      <c r="D1376" t="s">
        <v>103</v>
      </c>
      <c r="E1376" s="32">
        <v>441100</v>
      </c>
      <c r="F1376" s="32">
        <v>0</v>
      </c>
      <c r="G1376" s="32">
        <v>110510384</v>
      </c>
      <c r="H1376" t="s">
        <v>437</v>
      </c>
    </row>
    <row r="1377" spans="1:8" hidden="1" x14ac:dyDescent="0.3">
      <c r="A1377" s="28">
        <v>15091</v>
      </c>
      <c r="B1377" s="49">
        <v>45222.410416666666</v>
      </c>
      <c r="C1377" s="18">
        <v>45222</v>
      </c>
      <c r="D1377" t="s">
        <v>103</v>
      </c>
      <c r="E1377" s="32">
        <v>26700000</v>
      </c>
      <c r="F1377" s="32">
        <v>0</v>
      </c>
      <c r="G1377" s="32">
        <v>110069284</v>
      </c>
      <c r="H1377" t="s">
        <v>605</v>
      </c>
    </row>
    <row r="1378" spans="1:8" hidden="1" x14ac:dyDescent="0.3">
      <c r="A1378" s="28">
        <v>15089</v>
      </c>
      <c r="B1378" s="49">
        <v>45222.408333333333</v>
      </c>
      <c r="C1378" s="18">
        <v>45222</v>
      </c>
      <c r="D1378" t="s">
        <v>103</v>
      </c>
      <c r="E1378" s="32">
        <v>28800000</v>
      </c>
      <c r="F1378" s="32">
        <v>0</v>
      </c>
      <c r="G1378" s="32">
        <v>83369284</v>
      </c>
      <c r="H1378" t="s">
        <v>606</v>
      </c>
    </row>
    <row r="1379" spans="1:8" hidden="1" x14ac:dyDescent="0.3">
      <c r="A1379" s="28">
        <v>15086</v>
      </c>
      <c r="B1379" s="49">
        <v>45219.847222222219</v>
      </c>
      <c r="C1379" s="18">
        <v>45219</v>
      </c>
      <c r="D1379" t="s">
        <v>104</v>
      </c>
      <c r="E1379" s="32">
        <v>0</v>
      </c>
      <c r="F1379" s="32">
        <v>598530</v>
      </c>
      <c r="G1379" s="32">
        <v>54569284</v>
      </c>
      <c r="H1379" t="s">
        <v>494</v>
      </c>
    </row>
    <row r="1380" spans="1:8" hidden="1" x14ac:dyDescent="0.3">
      <c r="A1380" s="28">
        <v>15085</v>
      </c>
      <c r="B1380" s="49">
        <v>45219.829861111109</v>
      </c>
      <c r="C1380" s="18">
        <v>45219</v>
      </c>
      <c r="D1380" t="s">
        <v>104</v>
      </c>
      <c r="E1380" s="32">
        <v>0</v>
      </c>
      <c r="F1380" s="32">
        <v>286736</v>
      </c>
      <c r="G1380" s="32">
        <v>55167814</v>
      </c>
      <c r="H1380" t="s">
        <v>495</v>
      </c>
    </row>
    <row r="1381" spans="1:8" hidden="1" x14ac:dyDescent="0.3">
      <c r="A1381" s="28">
        <v>15084</v>
      </c>
      <c r="B1381" s="49">
        <v>45219.820833333331</v>
      </c>
      <c r="C1381" s="18">
        <v>45219</v>
      </c>
      <c r="D1381" t="s">
        <v>104</v>
      </c>
      <c r="E1381" s="32">
        <v>0</v>
      </c>
      <c r="F1381" s="32">
        <v>77429</v>
      </c>
      <c r="G1381" s="32">
        <v>55454550</v>
      </c>
      <c r="H1381" t="s">
        <v>607</v>
      </c>
    </row>
    <row r="1382" spans="1:8" hidden="1" x14ac:dyDescent="0.3">
      <c r="A1382" s="28">
        <v>15083</v>
      </c>
      <c r="B1382" s="49">
        <v>45219.815972222219</v>
      </c>
      <c r="C1382" s="18">
        <v>45219</v>
      </c>
      <c r="D1382" t="s">
        <v>104</v>
      </c>
      <c r="E1382" s="32">
        <v>0</v>
      </c>
      <c r="F1382" s="32">
        <v>1000000</v>
      </c>
      <c r="G1382" s="32">
        <v>55531979</v>
      </c>
      <c r="H1382" t="s">
        <v>608</v>
      </c>
    </row>
    <row r="1383" spans="1:8" hidden="1" x14ac:dyDescent="0.3">
      <c r="A1383" s="28">
        <v>15082</v>
      </c>
      <c r="B1383" s="49">
        <v>45219.668055555558</v>
      </c>
      <c r="C1383" s="18">
        <v>45219</v>
      </c>
      <c r="D1383" t="s">
        <v>103</v>
      </c>
      <c r="E1383" s="32">
        <v>543000</v>
      </c>
      <c r="F1383" s="32">
        <v>0</v>
      </c>
      <c r="G1383" s="32">
        <v>56531979</v>
      </c>
      <c r="H1383" t="s">
        <v>609</v>
      </c>
    </row>
    <row r="1384" spans="1:8" hidden="1" x14ac:dyDescent="0.3">
      <c r="A1384" s="28">
        <v>15081</v>
      </c>
      <c r="B1384" s="49">
        <v>45219.642361111109</v>
      </c>
      <c r="C1384" s="18">
        <v>45219</v>
      </c>
      <c r="D1384" t="s">
        <v>104</v>
      </c>
      <c r="E1384" s="32">
        <v>0</v>
      </c>
      <c r="F1384" s="32">
        <v>811800</v>
      </c>
      <c r="G1384" s="32">
        <v>55988979</v>
      </c>
      <c r="H1384" t="s">
        <v>610</v>
      </c>
    </row>
    <row r="1385" spans="1:8" hidden="1" x14ac:dyDescent="0.3">
      <c r="A1385" s="28">
        <v>15080</v>
      </c>
      <c r="B1385" s="49">
        <v>45219.606944444444</v>
      </c>
      <c r="C1385" s="18">
        <v>45219</v>
      </c>
      <c r="D1385" t="s">
        <v>103</v>
      </c>
      <c r="E1385" s="32">
        <v>222200</v>
      </c>
      <c r="F1385" s="32">
        <v>0</v>
      </c>
      <c r="G1385" s="32">
        <v>56800779</v>
      </c>
      <c r="H1385" t="s">
        <v>526</v>
      </c>
    </row>
    <row r="1386" spans="1:8" hidden="1" x14ac:dyDescent="0.3">
      <c r="A1386" s="28">
        <v>15079</v>
      </c>
      <c r="B1386" s="49">
        <v>45219.532638888886</v>
      </c>
      <c r="C1386" s="18">
        <v>45219</v>
      </c>
      <c r="D1386" t="s">
        <v>103</v>
      </c>
      <c r="E1386" s="32">
        <v>71400</v>
      </c>
      <c r="F1386" s="32">
        <v>0</v>
      </c>
      <c r="G1386" s="32">
        <v>56578579</v>
      </c>
      <c r="H1386" t="s">
        <v>611</v>
      </c>
    </row>
    <row r="1387" spans="1:8" hidden="1" x14ac:dyDescent="0.3">
      <c r="A1387" s="28">
        <v>15078</v>
      </c>
      <c r="B1387" s="49">
        <v>45219.53125</v>
      </c>
      <c r="C1387" s="18">
        <v>45219</v>
      </c>
      <c r="D1387" t="s">
        <v>103</v>
      </c>
      <c r="E1387" s="32">
        <v>714000</v>
      </c>
      <c r="F1387" s="32">
        <v>0</v>
      </c>
      <c r="G1387" s="32">
        <v>56507179</v>
      </c>
      <c r="H1387" t="s">
        <v>611</v>
      </c>
    </row>
    <row r="1388" spans="1:8" hidden="1" x14ac:dyDescent="0.3">
      <c r="A1388" s="28">
        <v>15077</v>
      </c>
      <c r="B1388" s="49">
        <v>45219.427083333336</v>
      </c>
      <c r="C1388" s="18">
        <v>45219</v>
      </c>
      <c r="D1388" t="s">
        <v>104</v>
      </c>
      <c r="E1388" s="32">
        <v>0</v>
      </c>
      <c r="F1388" s="32">
        <v>2319910</v>
      </c>
      <c r="G1388" s="32">
        <v>55793179</v>
      </c>
      <c r="H1388" t="s">
        <v>366</v>
      </c>
    </row>
    <row r="1389" spans="1:8" hidden="1" x14ac:dyDescent="0.3">
      <c r="A1389" s="28">
        <v>15076</v>
      </c>
      <c r="B1389" s="49">
        <v>45219.425694444442</v>
      </c>
      <c r="C1389" s="18">
        <v>45219</v>
      </c>
      <c r="D1389" t="s">
        <v>104</v>
      </c>
      <c r="E1389" s="32">
        <v>0</v>
      </c>
      <c r="F1389" s="32">
        <v>1055342</v>
      </c>
      <c r="G1389" s="32">
        <v>58113089</v>
      </c>
      <c r="H1389" t="s">
        <v>363</v>
      </c>
    </row>
    <row r="1390" spans="1:8" hidden="1" x14ac:dyDescent="0.3">
      <c r="A1390" s="28">
        <v>15075</v>
      </c>
      <c r="B1390" s="49">
        <v>45219.425000000003</v>
      </c>
      <c r="C1390" s="18">
        <v>45219</v>
      </c>
      <c r="D1390" t="s">
        <v>104</v>
      </c>
      <c r="E1390" s="32">
        <v>0</v>
      </c>
      <c r="F1390" s="32">
        <v>381590</v>
      </c>
      <c r="G1390" s="32">
        <v>59168431</v>
      </c>
      <c r="H1390" t="s">
        <v>352</v>
      </c>
    </row>
    <row r="1391" spans="1:8" hidden="1" x14ac:dyDescent="0.3">
      <c r="A1391" s="28">
        <v>15074</v>
      </c>
      <c r="B1391" s="49">
        <v>45218.70416666667</v>
      </c>
      <c r="C1391" s="18">
        <v>45218</v>
      </c>
      <c r="D1391" t="s">
        <v>104</v>
      </c>
      <c r="E1391" s="32">
        <v>0</v>
      </c>
      <c r="F1391" s="32">
        <v>12494920</v>
      </c>
      <c r="G1391" s="32">
        <v>59550021</v>
      </c>
      <c r="H1391" t="s">
        <v>330</v>
      </c>
    </row>
    <row r="1392" spans="1:8" hidden="1" x14ac:dyDescent="0.3">
      <c r="A1392" s="28">
        <v>15073</v>
      </c>
      <c r="B1392" s="49">
        <v>45218.679166666669</v>
      </c>
      <c r="C1392" s="18">
        <v>45218</v>
      </c>
      <c r="D1392" t="s">
        <v>104</v>
      </c>
      <c r="E1392" s="32">
        <v>0</v>
      </c>
      <c r="F1392" s="32">
        <v>660000</v>
      </c>
      <c r="G1392" s="32">
        <v>72044941</v>
      </c>
      <c r="H1392" t="s">
        <v>612</v>
      </c>
    </row>
    <row r="1393" spans="1:8" hidden="1" x14ac:dyDescent="0.3">
      <c r="A1393" s="28">
        <v>15072</v>
      </c>
      <c r="B1393" s="49">
        <v>45218.637499999997</v>
      </c>
      <c r="C1393" s="18">
        <v>45218</v>
      </c>
      <c r="D1393" t="s">
        <v>104</v>
      </c>
      <c r="E1393" s="32">
        <v>0</v>
      </c>
      <c r="F1393" s="32">
        <v>8360130</v>
      </c>
      <c r="G1393" s="32">
        <v>72704941</v>
      </c>
      <c r="H1393" t="s">
        <v>361</v>
      </c>
    </row>
    <row r="1394" spans="1:8" hidden="1" x14ac:dyDescent="0.3">
      <c r="A1394" s="28">
        <v>15071</v>
      </c>
      <c r="B1394" s="49">
        <v>45218.609027777777</v>
      </c>
      <c r="C1394" s="18">
        <v>45218</v>
      </c>
      <c r="D1394" t="s">
        <v>104</v>
      </c>
      <c r="E1394" s="32">
        <v>0</v>
      </c>
      <c r="F1394" s="32">
        <v>160000</v>
      </c>
      <c r="G1394" s="32">
        <v>81065071</v>
      </c>
      <c r="H1394" t="s">
        <v>613</v>
      </c>
    </row>
    <row r="1395" spans="1:8" hidden="1" x14ac:dyDescent="0.3">
      <c r="A1395" s="28">
        <v>15070</v>
      </c>
      <c r="B1395" s="49">
        <v>45218.607638888891</v>
      </c>
      <c r="C1395" s="18">
        <v>45218</v>
      </c>
      <c r="D1395" t="s">
        <v>104</v>
      </c>
      <c r="E1395" s="32">
        <v>0</v>
      </c>
      <c r="F1395" s="32">
        <v>381590</v>
      </c>
      <c r="G1395" s="32">
        <v>81225071</v>
      </c>
      <c r="H1395" t="s">
        <v>352</v>
      </c>
    </row>
    <row r="1396" spans="1:8" hidden="1" x14ac:dyDescent="0.3">
      <c r="A1396" s="28">
        <v>15067</v>
      </c>
      <c r="B1396" s="49">
        <v>45218.474305555559</v>
      </c>
      <c r="C1396" s="18">
        <v>45218</v>
      </c>
      <c r="D1396" t="s">
        <v>103</v>
      </c>
      <c r="E1396" s="32">
        <v>66000</v>
      </c>
      <c r="F1396" s="32">
        <v>0</v>
      </c>
      <c r="G1396" s="32">
        <v>81606661</v>
      </c>
      <c r="H1396" t="s">
        <v>614</v>
      </c>
    </row>
    <row r="1397" spans="1:8" hidden="1" x14ac:dyDescent="0.3">
      <c r="A1397" s="28">
        <v>15066</v>
      </c>
      <c r="B1397" s="49">
        <v>45218.474305555559</v>
      </c>
      <c r="C1397" s="18">
        <v>45218</v>
      </c>
      <c r="D1397" t="s">
        <v>103</v>
      </c>
      <c r="E1397" s="32">
        <v>649000</v>
      </c>
      <c r="F1397" s="32">
        <v>0</v>
      </c>
      <c r="G1397" s="32">
        <v>81540661</v>
      </c>
      <c r="H1397" t="s">
        <v>614</v>
      </c>
    </row>
    <row r="1398" spans="1:8" hidden="1" x14ac:dyDescent="0.3">
      <c r="A1398" s="28">
        <v>15065</v>
      </c>
      <c r="B1398" s="49">
        <v>45218.469444444447</v>
      </c>
      <c r="C1398" s="18">
        <v>45218</v>
      </c>
      <c r="D1398" t="s">
        <v>103</v>
      </c>
      <c r="E1398" s="32">
        <v>1678600</v>
      </c>
      <c r="F1398" s="32">
        <v>0</v>
      </c>
      <c r="G1398" s="32">
        <v>80891661</v>
      </c>
      <c r="H1398" t="s">
        <v>615</v>
      </c>
    </row>
    <row r="1399" spans="1:8" hidden="1" x14ac:dyDescent="0.3">
      <c r="A1399" s="28">
        <v>15064</v>
      </c>
      <c r="B1399" s="49">
        <v>45218.447916666664</v>
      </c>
      <c r="C1399" s="18">
        <v>45218</v>
      </c>
      <c r="D1399" t="s">
        <v>103</v>
      </c>
      <c r="E1399" s="32">
        <v>410300</v>
      </c>
      <c r="F1399" s="32">
        <v>0</v>
      </c>
      <c r="G1399" s="32">
        <v>79213061</v>
      </c>
      <c r="H1399" t="s">
        <v>616</v>
      </c>
    </row>
    <row r="1400" spans="1:8" hidden="1" x14ac:dyDescent="0.3">
      <c r="A1400" s="28">
        <v>15062</v>
      </c>
      <c r="B1400" s="49">
        <v>45217.65902777778</v>
      </c>
      <c r="C1400" s="18">
        <v>45217</v>
      </c>
      <c r="D1400" t="s">
        <v>104</v>
      </c>
      <c r="E1400" s="32">
        <v>0</v>
      </c>
      <c r="F1400" s="32">
        <v>200000</v>
      </c>
      <c r="G1400" s="32">
        <v>78802761</v>
      </c>
      <c r="H1400" t="s">
        <v>617</v>
      </c>
    </row>
    <row r="1401" spans="1:8" hidden="1" x14ac:dyDescent="0.3">
      <c r="A1401" s="28">
        <v>15060</v>
      </c>
      <c r="B1401" s="49">
        <v>45217.570138888892</v>
      </c>
      <c r="C1401" s="18">
        <v>45217</v>
      </c>
      <c r="D1401" t="s">
        <v>104</v>
      </c>
      <c r="E1401" s="32">
        <v>0</v>
      </c>
      <c r="F1401" s="32">
        <v>60000</v>
      </c>
      <c r="G1401" s="32">
        <v>79002761</v>
      </c>
      <c r="H1401" t="s">
        <v>618</v>
      </c>
    </row>
    <row r="1402" spans="1:8" hidden="1" x14ac:dyDescent="0.3">
      <c r="A1402" s="28">
        <v>15057</v>
      </c>
      <c r="B1402" s="49">
        <v>45217.295138888891</v>
      </c>
      <c r="C1402" s="18">
        <v>45217</v>
      </c>
      <c r="D1402" t="s">
        <v>103</v>
      </c>
      <c r="E1402" s="32">
        <v>429000</v>
      </c>
      <c r="F1402" s="32">
        <v>0</v>
      </c>
      <c r="G1402" s="32">
        <v>79062761</v>
      </c>
      <c r="H1402" t="s">
        <v>548</v>
      </c>
    </row>
    <row r="1403" spans="1:8" hidden="1" x14ac:dyDescent="0.3">
      <c r="A1403" s="28">
        <v>15056</v>
      </c>
      <c r="B1403" s="49">
        <v>45216.586805555555</v>
      </c>
      <c r="C1403" s="18">
        <v>45216</v>
      </c>
      <c r="D1403" t="s">
        <v>103</v>
      </c>
      <c r="E1403" s="32">
        <v>614900</v>
      </c>
      <c r="F1403" s="32">
        <v>0</v>
      </c>
      <c r="G1403" s="32">
        <v>78633761</v>
      </c>
      <c r="H1403" t="s">
        <v>619</v>
      </c>
    </row>
    <row r="1404" spans="1:8" hidden="1" x14ac:dyDescent="0.3">
      <c r="A1404" s="28">
        <v>15055</v>
      </c>
      <c r="B1404" s="49">
        <v>45216.496527777781</v>
      </c>
      <c r="C1404" s="18">
        <v>45216</v>
      </c>
      <c r="D1404" t="s">
        <v>103</v>
      </c>
      <c r="E1404" s="32">
        <v>277200</v>
      </c>
      <c r="F1404" s="32">
        <v>0</v>
      </c>
      <c r="G1404" s="32">
        <v>78018861</v>
      </c>
      <c r="H1404" t="s">
        <v>401</v>
      </c>
    </row>
    <row r="1405" spans="1:8" hidden="1" x14ac:dyDescent="0.3">
      <c r="A1405" s="28">
        <v>15054</v>
      </c>
      <c r="B1405" s="49">
        <v>45216.496527777781</v>
      </c>
      <c r="C1405" s="18">
        <v>45216</v>
      </c>
      <c r="D1405" t="s">
        <v>103</v>
      </c>
      <c r="E1405" s="32">
        <v>721600</v>
      </c>
      <c r="F1405" s="32">
        <v>0</v>
      </c>
      <c r="G1405" s="32">
        <v>77741661</v>
      </c>
      <c r="H1405" t="s">
        <v>401</v>
      </c>
    </row>
    <row r="1406" spans="1:8" hidden="1" x14ac:dyDescent="0.3">
      <c r="A1406" s="28">
        <v>15051</v>
      </c>
      <c r="B1406" s="49">
        <v>45215.847222222219</v>
      </c>
      <c r="C1406" s="18">
        <v>45215</v>
      </c>
      <c r="D1406" t="s">
        <v>104</v>
      </c>
      <c r="E1406" s="32">
        <v>0</v>
      </c>
      <c r="F1406" s="32">
        <v>334500</v>
      </c>
      <c r="G1406" s="32">
        <v>77020061</v>
      </c>
      <c r="H1406" t="s">
        <v>505</v>
      </c>
    </row>
    <row r="1407" spans="1:8" hidden="1" x14ac:dyDescent="0.3">
      <c r="A1407" s="28">
        <v>15050</v>
      </c>
      <c r="B1407" s="49">
        <v>45215.8125</v>
      </c>
      <c r="C1407" s="18">
        <v>45215</v>
      </c>
      <c r="D1407" t="s">
        <v>104</v>
      </c>
      <c r="E1407" s="32">
        <v>0</v>
      </c>
      <c r="F1407" s="32">
        <v>624540</v>
      </c>
      <c r="G1407" s="32">
        <v>77354561</v>
      </c>
      <c r="H1407" t="s">
        <v>504</v>
      </c>
    </row>
    <row r="1408" spans="1:8" hidden="1" x14ac:dyDescent="0.3">
      <c r="A1408" s="28">
        <v>15049</v>
      </c>
      <c r="B1408" s="49">
        <v>45215.8125</v>
      </c>
      <c r="C1408" s="18">
        <v>45215</v>
      </c>
      <c r="D1408" t="s">
        <v>104</v>
      </c>
      <c r="E1408" s="32">
        <v>0</v>
      </c>
      <c r="F1408" s="32">
        <v>299570</v>
      </c>
      <c r="G1408" s="32">
        <v>77979101</v>
      </c>
      <c r="H1408" t="s">
        <v>504</v>
      </c>
    </row>
    <row r="1409" spans="1:8" hidden="1" x14ac:dyDescent="0.3">
      <c r="A1409" s="28">
        <v>15048</v>
      </c>
      <c r="B1409" s="49">
        <v>45215.8125</v>
      </c>
      <c r="C1409" s="18">
        <v>45215</v>
      </c>
      <c r="D1409" t="s">
        <v>104</v>
      </c>
      <c r="E1409" s="32">
        <v>0</v>
      </c>
      <c r="F1409" s="32">
        <v>999100</v>
      </c>
      <c r="G1409" s="32">
        <v>78278671</v>
      </c>
      <c r="H1409" t="s">
        <v>504</v>
      </c>
    </row>
    <row r="1410" spans="1:8" hidden="1" x14ac:dyDescent="0.3">
      <c r="A1410" s="28">
        <v>15047</v>
      </c>
      <c r="B1410" s="49">
        <v>45215.8125</v>
      </c>
      <c r="C1410" s="18">
        <v>45215</v>
      </c>
      <c r="D1410" t="s">
        <v>104</v>
      </c>
      <c r="E1410" s="32">
        <v>0</v>
      </c>
      <c r="F1410" s="32">
        <v>690300</v>
      </c>
      <c r="G1410" s="32">
        <v>79277771</v>
      </c>
      <c r="H1410" t="s">
        <v>504</v>
      </c>
    </row>
    <row r="1411" spans="1:8" hidden="1" x14ac:dyDescent="0.3">
      <c r="A1411" s="28">
        <v>15046</v>
      </c>
      <c r="B1411" s="49">
        <v>45215.809027777781</v>
      </c>
      <c r="C1411" s="18">
        <v>45215</v>
      </c>
      <c r="D1411" t="s">
        <v>104</v>
      </c>
      <c r="E1411" s="32">
        <v>0</v>
      </c>
      <c r="F1411" s="32">
        <v>99000</v>
      </c>
      <c r="G1411" s="32">
        <v>79968071</v>
      </c>
      <c r="H1411" t="s">
        <v>373</v>
      </c>
    </row>
    <row r="1412" spans="1:8" hidden="1" x14ac:dyDescent="0.3">
      <c r="A1412" s="28">
        <v>15045</v>
      </c>
      <c r="B1412" s="49">
        <v>45215.800694444442</v>
      </c>
      <c r="C1412" s="18">
        <v>45215</v>
      </c>
      <c r="D1412" t="s">
        <v>104</v>
      </c>
      <c r="E1412" s="32">
        <v>0</v>
      </c>
      <c r="F1412" s="32">
        <v>684420</v>
      </c>
      <c r="G1412" s="32">
        <v>80067071</v>
      </c>
      <c r="H1412" t="s">
        <v>507</v>
      </c>
    </row>
    <row r="1413" spans="1:8" hidden="1" x14ac:dyDescent="0.3">
      <c r="A1413" s="28">
        <v>15044</v>
      </c>
      <c r="B1413" s="49">
        <v>45215.776388888888</v>
      </c>
      <c r="C1413" s="18">
        <v>45215</v>
      </c>
      <c r="D1413" t="s">
        <v>104</v>
      </c>
      <c r="E1413" s="32">
        <v>0</v>
      </c>
      <c r="F1413" s="32">
        <v>13388739</v>
      </c>
      <c r="G1413" s="32">
        <v>80751491</v>
      </c>
      <c r="H1413" t="s">
        <v>375</v>
      </c>
    </row>
    <row r="1414" spans="1:8" hidden="1" x14ac:dyDescent="0.3">
      <c r="A1414" s="28">
        <v>15042</v>
      </c>
      <c r="B1414" s="49">
        <v>45215.688888888886</v>
      </c>
      <c r="C1414" s="18">
        <v>45215</v>
      </c>
      <c r="D1414" t="s">
        <v>103</v>
      </c>
      <c r="E1414" s="32">
        <v>1309000</v>
      </c>
      <c r="F1414" s="32">
        <v>0</v>
      </c>
      <c r="G1414" s="32">
        <v>94140230</v>
      </c>
      <c r="H1414" t="s">
        <v>468</v>
      </c>
    </row>
    <row r="1415" spans="1:8" hidden="1" x14ac:dyDescent="0.3">
      <c r="A1415" s="28">
        <v>15041</v>
      </c>
      <c r="B1415" s="49">
        <v>45215.629861111112</v>
      </c>
      <c r="C1415" s="18">
        <v>45215</v>
      </c>
      <c r="D1415" t="s">
        <v>104</v>
      </c>
      <c r="E1415" s="32">
        <v>0</v>
      </c>
      <c r="F1415" s="32">
        <v>20000</v>
      </c>
      <c r="G1415" s="32">
        <v>92831230</v>
      </c>
      <c r="H1415" t="s">
        <v>367</v>
      </c>
    </row>
    <row r="1416" spans="1:8" hidden="1" x14ac:dyDescent="0.3">
      <c r="A1416" s="28">
        <v>15039</v>
      </c>
      <c r="B1416" s="49">
        <v>45215.628472222219</v>
      </c>
      <c r="C1416" s="18">
        <v>45215</v>
      </c>
      <c r="D1416" t="s">
        <v>104</v>
      </c>
      <c r="E1416" s="32">
        <v>0</v>
      </c>
      <c r="F1416" s="32">
        <v>99000</v>
      </c>
      <c r="G1416" s="32">
        <v>92851230</v>
      </c>
      <c r="H1416" t="s">
        <v>620</v>
      </c>
    </row>
    <row r="1417" spans="1:8" hidden="1" x14ac:dyDescent="0.3">
      <c r="A1417" s="28">
        <v>15038</v>
      </c>
      <c r="B1417" s="49">
        <v>45215.619444444441</v>
      </c>
      <c r="C1417" s="18">
        <v>45215</v>
      </c>
      <c r="D1417" t="s">
        <v>103</v>
      </c>
      <c r="E1417" s="32">
        <v>171600</v>
      </c>
      <c r="F1417" s="32">
        <v>0</v>
      </c>
      <c r="G1417" s="32">
        <v>92950230</v>
      </c>
      <c r="H1417" t="s">
        <v>292</v>
      </c>
    </row>
    <row r="1418" spans="1:8" hidden="1" x14ac:dyDescent="0.3">
      <c r="A1418" s="28">
        <v>15037</v>
      </c>
      <c r="B1418" s="49">
        <v>45215.594444444447</v>
      </c>
      <c r="C1418" s="18">
        <v>45215</v>
      </c>
      <c r="D1418" t="s">
        <v>103</v>
      </c>
      <c r="E1418" s="32">
        <v>327800</v>
      </c>
      <c r="F1418" s="32">
        <v>0</v>
      </c>
      <c r="G1418" s="32">
        <v>92778630</v>
      </c>
      <c r="H1418" t="s">
        <v>324</v>
      </c>
    </row>
    <row r="1419" spans="1:8" hidden="1" x14ac:dyDescent="0.3">
      <c r="A1419" s="28">
        <v>15036</v>
      </c>
      <c r="B1419" s="49">
        <v>45215.594444444447</v>
      </c>
      <c r="C1419" s="18">
        <v>45215</v>
      </c>
      <c r="D1419" t="s">
        <v>103</v>
      </c>
      <c r="E1419" s="32">
        <v>270600</v>
      </c>
      <c r="F1419" s="32">
        <v>0</v>
      </c>
      <c r="G1419" s="32">
        <v>92450830</v>
      </c>
      <c r="H1419" t="s">
        <v>324</v>
      </c>
    </row>
    <row r="1420" spans="1:8" hidden="1" x14ac:dyDescent="0.3">
      <c r="A1420" s="28">
        <v>15035</v>
      </c>
      <c r="B1420" s="49">
        <v>45215.594444444447</v>
      </c>
      <c r="C1420" s="18">
        <v>45215</v>
      </c>
      <c r="D1420" t="s">
        <v>103</v>
      </c>
      <c r="E1420" s="32">
        <v>339900</v>
      </c>
      <c r="F1420" s="32">
        <v>0</v>
      </c>
      <c r="G1420" s="32">
        <v>92180230</v>
      </c>
      <c r="H1420" t="s">
        <v>324</v>
      </c>
    </row>
    <row r="1421" spans="1:8" hidden="1" x14ac:dyDescent="0.3">
      <c r="A1421" s="28">
        <v>15034</v>
      </c>
      <c r="B1421" s="49">
        <v>45215.594444444447</v>
      </c>
      <c r="C1421" s="18">
        <v>45215</v>
      </c>
      <c r="D1421" t="s">
        <v>103</v>
      </c>
      <c r="E1421" s="32">
        <v>905300</v>
      </c>
      <c r="F1421" s="32">
        <v>0</v>
      </c>
      <c r="G1421" s="32">
        <v>91840330</v>
      </c>
      <c r="H1421" t="s">
        <v>324</v>
      </c>
    </row>
    <row r="1422" spans="1:8" hidden="1" x14ac:dyDescent="0.3">
      <c r="A1422" s="28">
        <v>15033</v>
      </c>
      <c r="B1422" s="49">
        <v>45215.594444444447</v>
      </c>
      <c r="C1422" s="18">
        <v>45215</v>
      </c>
      <c r="D1422" t="s">
        <v>103</v>
      </c>
      <c r="E1422" s="32">
        <v>128700</v>
      </c>
      <c r="F1422" s="32">
        <v>0</v>
      </c>
      <c r="G1422" s="32">
        <v>90935030</v>
      </c>
      <c r="H1422" t="s">
        <v>324</v>
      </c>
    </row>
    <row r="1423" spans="1:8" hidden="1" x14ac:dyDescent="0.3">
      <c r="A1423" s="28">
        <v>15032</v>
      </c>
      <c r="B1423" s="49">
        <v>45215.568055555559</v>
      </c>
      <c r="C1423" s="18">
        <v>45215</v>
      </c>
      <c r="D1423" t="s">
        <v>103</v>
      </c>
      <c r="E1423" s="32">
        <v>3148200</v>
      </c>
      <c r="F1423" s="32">
        <v>0</v>
      </c>
      <c r="G1423" s="32">
        <v>90806330</v>
      </c>
      <c r="H1423" t="s">
        <v>525</v>
      </c>
    </row>
    <row r="1424" spans="1:8" hidden="1" x14ac:dyDescent="0.3">
      <c r="A1424" s="28">
        <v>15031</v>
      </c>
      <c r="B1424" s="49">
        <v>45215.567361111112</v>
      </c>
      <c r="C1424" s="18">
        <v>45215</v>
      </c>
      <c r="D1424" t="s">
        <v>103</v>
      </c>
      <c r="E1424" s="32">
        <v>760100</v>
      </c>
      <c r="F1424" s="32">
        <v>0</v>
      </c>
      <c r="G1424" s="32">
        <v>87658130</v>
      </c>
      <c r="H1424" t="s">
        <v>525</v>
      </c>
    </row>
    <row r="1425" spans="1:8" hidden="1" x14ac:dyDescent="0.3">
      <c r="A1425" s="28">
        <v>15030</v>
      </c>
      <c r="B1425" s="49">
        <v>45215.495138888888</v>
      </c>
      <c r="C1425" s="18">
        <v>45215</v>
      </c>
      <c r="D1425" t="s">
        <v>103</v>
      </c>
      <c r="E1425" s="32">
        <v>287100</v>
      </c>
      <c r="F1425" s="32">
        <v>0</v>
      </c>
      <c r="G1425" s="32">
        <v>86898030</v>
      </c>
      <c r="H1425" t="s">
        <v>526</v>
      </c>
    </row>
    <row r="1426" spans="1:8" hidden="1" x14ac:dyDescent="0.3">
      <c r="A1426" s="28">
        <v>15027</v>
      </c>
      <c r="B1426" s="49">
        <v>45212.805555555555</v>
      </c>
      <c r="C1426" s="18">
        <v>45212</v>
      </c>
      <c r="D1426" t="s">
        <v>104</v>
      </c>
      <c r="E1426" s="32">
        <v>0</v>
      </c>
      <c r="F1426" s="32">
        <v>348383</v>
      </c>
      <c r="G1426" s="32">
        <v>86610930</v>
      </c>
      <c r="H1426" t="s">
        <v>506</v>
      </c>
    </row>
    <row r="1427" spans="1:8" hidden="1" x14ac:dyDescent="0.3">
      <c r="A1427" s="28">
        <v>15022</v>
      </c>
      <c r="B1427" s="49">
        <v>45212.670138888891</v>
      </c>
      <c r="C1427" s="18">
        <v>45212</v>
      </c>
      <c r="D1427" t="s">
        <v>103</v>
      </c>
      <c r="E1427" s="32">
        <v>22964700</v>
      </c>
      <c r="F1427" s="32">
        <v>0</v>
      </c>
      <c r="G1427" s="32">
        <v>86959313</v>
      </c>
      <c r="H1427" t="s">
        <v>378</v>
      </c>
    </row>
    <row r="1428" spans="1:8" hidden="1" x14ac:dyDescent="0.3">
      <c r="A1428" s="28">
        <v>15015</v>
      </c>
      <c r="B1428" s="49">
        <v>45212.624305555553</v>
      </c>
      <c r="C1428" s="18">
        <v>45212</v>
      </c>
      <c r="D1428" t="s">
        <v>103</v>
      </c>
      <c r="E1428" s="32">
        <v>286000</v>
      </c>
      <c r="F1428" s="32">
        <v>0</v>
      </c>
      <c r="G1428" s="32">
        <v>63994613</v>
      </c>
      <c r="H1428" t="s">
        <v>302</v>
      </c>
    </row>
    <row r="1429" spans="1:8" hidden="1" x14ac:dyDescent="0.3">
      <c r="A1429" s="28">
        <v>15014</v>
      </c>
      <c r="B1429" s="49">
        <v>45212.597222222219</v>
      </c>
      <c r="C1429" s="18">
        <v>45212</v>
      </c>
      <c r="D1429" t="s">
        <v>104</v>
      </c>
      <c r="E1429" s="32">
        <v>0</v>
      </c>
      <c r="F1429" s="32">
        <v>87534</v>
      </c>
      <c r="G1429" s="32">
        <v>63708613</v>
      </c>
      <c r="H1429" t="s">
        <v>293</v>
      </c>
    </row>
    <row r="1430" spans="1:8" hidden="1" x14ac:dyDescent="0.3">
      <c r="A1430" s="28">
        <v>15013</v>
      </c>
      <c r="B1430" s="49">
        <v>45212.490277777775</v>
      </c>
      <c r="C1430" s="18">
        <v>45212</v>
      </c>
      <c r="D1430" t="s">
        <v>104</v>
      </c>
      <c r="E1430" s="32">
        <v>0</v>
      </c>
      <c r="F1430" s="32">
        <v>629640</v>
      </c>
      <c r="G1430" s="32">
        <v>63796147</v>
      </c>
      <c r="H1430" t="s">
        <v>365</v>
      </c>
    </row>
    <row r="1431" spans="1:8" hidden="1" x14ac:dyDescent="0.3">
      <c r="A1431" s="28">
        <v>15011</v>
      </c>
      <c r="B1431" s="49">
        <v>45212.377083333333</v>
      </c>
      <c r="C1431" s="18">
        <v>45212</v>
      </c>
      <c r="D1431" t="s">
        <v>104</v>
      </c>
      <c r="E1431" s="32">
        <v>0</v>
      </c>
      <c r="F1431" s="32">
        <v>1710000</v>
      </c>
      <c r="G1431" s="32">
        <v>64425787</v>
      </c>
      <c r="H1431" t="s">
        <v>621</v>
      </c>
    </row>
    <row r="1432" spans="1:8" hidden="1" x14ac:dyDescent="0.3">
      <c r="A1432" s="28">
        <v>15010</v>
      </c>
      <c r="B1432" s="49">
        <v>45211.709722222222</v>
      </c>
      <c r="C1432" s="18">
        <v>45211</v>
      </c>
      <c r="D1432" t="s">
        <v>103</v>
      </c>
      <c r="E1432" s="32">
        <v>122100</v>
      </c>
      <c r="F1432" s="32">
        <v>0</v>
      </c>
      <c r="G1432" s="32">
        <v>66135787</v>
      </c>
      <c r="H1432" t="s">
        <v>323</v>
      </c>
    </row>
    <row r="1433" spans="1:8" hidden="1" x14ac:dyDescent="0.3">
      <c r="A1433" s="28">
        <v>15009</v>
      </c>
      <c r="B1433" s="49">
        <v>45211.640277777777</v>
      </c>
      <c r="C1433" s="18">
        <v>45211</v>
      </c>
      <c r="D1433" t="s">
        <v>103</v>
      </c>
      <c r="E1433" s="32">
        <v>446600</v>
      </c>
      <c r="F1433" s="32">
        <v>0</v>
      </c>
      <c r="G1433" s="32">
        <v>66013687</v>
      </c>
      <c r="H1433" t="s">
        <v>622</v>
      </c>
    </row>
    <row r="1434" spans="1:8" hidden="1" x14ac:dyDescent="0.3">
      <c r="A1434" s="28">
        <v>15008</v>
      </c>
      <c r="B1434" s="49">
        <v>45211.613888888889</v>
      </c>
      <c r="C1434" s="18">
        <v>45211</v>
      </c>
      <c r="D1434" t="s">
        <v>103</v>
      </c>
      <c r="E1434" s="32">
        <v>179300</v>
      </c>
      <c r="F1434" s="32">
        <v>0</v>
      </c>
      <c r="G1434" s="32">
        <v>65567087</v>
      </c>
      <c r="H1434" t="s">
        <v>546</v>
      </c>
    </row>
    <row r="1435" spans="1:8" hidden="1" x14ac:dyDescent="0.3">
      <c r="A1435" s="28">
        <v>15007</v>
      </c>
      <c r="B1435" s="49">
        <v>45211.591666666667</v>
      </c>
      <c r="C1435" s="18">
        <v>45211</v>
      </c>
      <c r="D1435" t="s">
        <v>104</v>
      </c>
      <c r="E1435" s="32">
        <v>0</v>
      </c>
      <c r="F1435" s="32">
        <v>97359</v>
      </c>
      <c r="G1435" s="32">
        <v>65387787</v>
      </c>
      <c r="H1435" t="s">
        <v>293</v>
      </c>
    </row>
    <row r="1436" spans="1:8" hidden="1" x14ac:dyDescent="0.3">
      <c r="A1436" s="28">
        <v>15004</v>
      </c>
      <c r="B1436" s="49">
        <v>45211.424305555556</v>
      </c>
      <c r="C1436" s="18">
        <v>45211</v>
      </c>
      <c r="D1436" t="s">
        <v>103</v>
      </c>
      <c r="E1436" s="32">
        <v>245300</v>
      </c>
      <c r="F1436" s="32">
        <v>0</v>
      </c>
      <c r="G1436" s="32">
        <v>65485146</v>
      </c>
      <c r="H1436" t="s">
        <v>600</v>
      </c>
    </row>
    <row r="1437" spans="1:8" hidden="1" x14ac:dyDescent="0.3">
      <c r="A1437" s="28">
        <v>15003</v>
      </c>
      <c r="B1437" s="49">
        <v>45211.413888888892</v>
      </c>
      <c r="C1437" s="18">
        <v>45211</v>
      </c>
      <c r="D1437" t="s">
        <v>103</v>
      </c>
      <c r="E1437" s="32">
        <v>1171500</v>
      </c>
      <c r="F1437" s="32">
        <v>0</v>
      </c>
      <c r="G1437" s="32">
        <v>65239846</v>
      </c>
      <c r="H1437" t="s">
        <v>623</v>
      </c>
    </row>
    <row r="1438" spans="1:8" hidden="1" x14ac:dyDescent="0.3">
      <c r="A1438" s="28">
        <v>15002</v>
      </c>
      <c r="B1438" s="49">
        <v>45210.8125</v>
      </c>
      <c r="C1438" s="18">
        <v>45210</v>
      </c>
      <c r="D1438" t="s">
        <v>104</v>
      </c>
      <c r="E1438" s="32">
        <v>0</v>
      </c>
      <c r="F1438" s="32">
        <v>35500</v>
      </c>
      <c r="G1438" s="32">
        <v>64068346</v>
      </c>
      <c r="H1438" t="s">
        <v>624</v>
      </c>
    </row>
    <row r="1439" spans="1:8" hidden="1" x14ac:dyDescent="0.3">
      <c r="A1439" s="28">
        <v>14999</v>
      </c>
      <c r="B1439" s="49">
        <v>45210.601388888892</v>
      </c>
      <c r="C1439" s="18">
        <v>45210</v>
      </c>
      <c r="D1439" t="s">
        <v>103</v>
      </c>
      <c r="E1439" s="32">
        <v>457600</v>
      </c>
      <c r="F1439" s="32">
        <v>0</v>
      </c>
      <c r="G1439" s="32">
        <v>64103846</v>
      </c>
      <c r="H1439" t="s">
        <v>625</v>
      </c>
    </row>
    <row r="1440" spans="1:8" hidden="1" x14ac:dyDescent="0.3">
      <c r="A1440" s="28">
        <v>14998</v>
      </c>
      <c r="B1440" s="49">
        <v>45210.568749999999</v>
      </c>
      <c r="C1440" s="18">
        <v>45210</v>
      </c>
      <c r="D1440" t="s">
        <v>103</v>
      </c>
      <c r="E1440" s="32">
        <v>295900</v>
      </c>
      <c r="F1440" s="32">
        <v>0</v>
      </c>
      <c r="G1440" s="32">
        <v>63646246</v>
      </c>
      <c r="H1440" t="s">
        <v>526</v>
      </c>
    </row>
    <row r="1441" spans="1:8" hidden="1" x14ac:dyDescent="0.3">
      <c r="A1441" s="28">
        <v>14996</v>
      </c>
      <c r="B1441" s="49">
        <v>45210.421527777777</v>
      </c>
      <c r="C1441" s="18">
        <v>45210</v>
      </c>
      <c r="D1441" t="s">
        <v>104</v>
      </c>
      <c r="E1441" s="32">
        <v>0</v>
      </c>
      <c r="F1441" s="32">
        <v>491506</v>
      </c>
      <c r="G1441" s="32">
        <v>63350346</v>
      </c>
      <c r="H1441" t="s">
        <v>298</v>
      </c>
    </row>
    <row r="1442" spans="1:8" hidden="1" x14ac:dyDescent="0.3">
      <c r="A1442" s="28">
        <v>14995</v>
      </c>
      <c r="B1442" s="49">
        <v>45210.375</v>
      </c>
      <c r="C1442" s="18">
        <v>45210</v>
      </c>
      <c r="D1442" t="s">
        <v>104</v>
      </c>
      <c r="E1442" s="32">
        <v>0</v>
      </c>
      <c r="F1442" s="32">
        <v>6000000</v>
      </c>
      <c r="G1442" s="32">
        <v>63841852</v>
      </c>
      <c r="H1442" t="s">
        <v>626</v>
      </c>
    </row>
    <row r="1443" spans="1:8" hidden="1" x14ac:dyDescent="0.3">
      <c r="A1443" s="28">
        <v>14994</v>
      </c>
      <c r="B1443" s="49">
        <v>45210.35833333333</v>
      </c>
      <c r="C1443" s="18">
        <v>45210</v>
      </c>
      <c r="D1443" t="s">
        <v>103</v>
      </c>
      <c r="E1443" s="32">
        <v>443300</v>
      </c>
      <c r="F1443" s="32">
        <v>0</v>
      </c>
      <c r="G1443" s="32">
        <v>69841852</v>
      </c>
      <c r="H1443" t="s">
        <v>292</v>
      </c>
    </row>
    <row r="1444" spans="1:8" hidden="1" x14ac:dyDescent="0.3">
      <c r="A1444" s="28">
        <v>14993</v>
      </c>
      <c r="B1444" s="49">
        <v>45210.357638888891</v>
      </c>
      <c r="C1444" s="18">
        <v>45210</v>
      </c>
      <c r="D1444" t="s">
        <v>103</v>
      </c>
      <c r="E1444" s="32">
        <v>357500</v>
      </c>
      <c r="F1444" s="32">
        <v>0</v>
      </c>
      <c r="G1444" s="32">
        <v>69398552</v>
      </c>
      <c r="H1444" t="s">
        <v>548</v>
      </c>
    </row>
    <row r="1445" spans="1:8" hidden="1" x14ac:dyDescent="0.3">
      <c r="A1445" s="28">
        <v>14992</v>
      </c>
      <c r="B1445" s="49">
        <v>45210.352777777778</v>
      </c>
      <c r="C1445" s="18">
        <v>45210</v>
      </c>
      <c r="D1445" t="s">
        <v>104</v>
      </c>
      <c r="E1445" s="32">
        <v>0</v>
      </c>
      <c r="F1445" s="32">
        <v>2530000</v>
      </c>
      <c r="G1445" s="32">
        <v>69041052</v>
      </c>
      <c r="H1445" t="s">
        <v>627</v>
      </c>
    </row>
    <row r="1446" spans="1:8" hidden="1" x14ac:dyDescent="0.3">
      <c r="A1446" s="28">
        <v>14987</v>
      </c>
      <c r="B1446" s="49">
        <v>45209.675694444442</v>
      </c>
      <c r="C1446" s="18">
        <v>45209</v>
      </c>
      <c r="D1446" t="s">
        <v>103</v>
      </c>
      <c r="E1446" s="32">
        <v>2014100</v>
      </c>
      <c r="F1446" s="32">
        <v>0</v>
      </c>
      <c r="G1446" s="32">
        <v>71571052</v>
      </c>
      <c r="H1446" t="s">
        <v>628</v>
      </c>
    </row>
    <row r="1447" spans="1:8" hidden="1" x14ac:dyDescent="0.3">
      <c r="A1447" s="28">
        <v>14986</v>
      </c>
      <c r="B1447" s="49">
        <v>45209.62777777778</v>
      </c>
      <c r="C1447" s="18">
        <v>45209</v>
      </c>
      <c r="D1447" t="s">
        <v>103</v>
      </c>
      <c r="E1447" s="32">
        <v>2905100</v>
      </c>
      <c r="F1447" s="32">
        <v>0</v>
      </c>
      <c r="G1447" s="32">
        <v>69556952</v>
      </c>
      <c r="H1447" t="s">
        <v>559</v>
      </c>
    </row>
    <row r="1448" spans="1:8" hidden="1" x14ac:dyDescent="0.3">
      <c r="A1448" s="28">
        <v>14985</v>
      </c>
      <c r="B1448" s="49">
        <v>45209.605555555558</v>
      </c>
      <c r="C1448" s="18">
        <v>45209</v>
      </c>
      <c r="D1448" t="s">
        <v>103</v>
      </c>
      <c r="E1448" s="32">
        <v>1464100</v>
      </c>
      <c r="F1448" s="32">
        <v>0</v>
      </c>
      <c r="G1448" s="32">
        <v>66651852</v>
      </c>
      <c r="H1448" t="s">
        <v>454</v>
      </c>
    </row>
    <row r="1449" spans="1:8" hidden="1" x14ac:dyDescent="0.3">
      <c r="A1449" s="28">
        <v>14984</v>
      </c>
      <c r="B1449" s="49">
        <v>45209.567361111112</v>
      </c>
      <c r="C1449" s="18">
        <v>45209</v>
      </c>
      <c r="D1449" t="s">
        <v>103</v>
      </c>
      <c r="E1449" s="32">
        <v>56100</v>
      </c>
      <c r="F1449" s="32">
        <v>0</v>
      </c>
      <c r="G1449" s="32">
        <v>65187752</v>
      </c>
      <c r="H1449" t="s">
        <v>573</v>
      </c>
    </row>
    <row r="1450" spans="1:8" hidden="1" x14ac:dyDescent="0.3">
      <c r="A1450" s="28">
        <v>14983</v>
      </c>
      <c r="B1450" s="49">
        <v>45209.567361111112</v>
      </c>
      <c r="C1450" s="18">
        <v>45209</v>
      </c>
      <c r="D1450" t="s">
        <v>103</v>
      </c>
      <c r="E1450" s="32">
        <v>561000</v>
      </c>
      <c r="F1450" s="32">
        <v>0</v>
      </c>
      <c r="G1450" s="32">
        <v>65131652</v>
      </c>
      <c r="H1450" t="s">
        <v>573</v>
      </c>
    </row>
    <row r="1451" spans="1:8" hidden="1" x14ac:dyDescent="0.3">
      <c r="A1451" s="28">
        <v>14982</v>
      </c>
      <c r="B1451" s="49">
        <v>45209.549305555556</v>
      </c>
      <c r="C1451" s="18">
        <v>45209</v>
      </c>
      <c r="D1451" t="s">
        <v>103</v>
      </c>
      <c r="E1451" s="32">
        <v>178200</v>
      </c>
      <c r="F1451" s="32">
        <v>0</v>
      </c>
      <c r="G1451" s="32">
        <v>64570652</v>
      </c>
      <c r="H1451" t="s">
        <v>437</v>
      </c>
    </row>
    <row r="1452" spans="1:8" hidden="1" x14ac:dyDescent="0.3">
      <c r="A1452" s="28">
        <v>14980</v>
      </c>
      <c r="B1452" s="49">
        <v>45209.462500000001</v>
      </c>
      <c r="C1452" s="18">
        <v>45209</v>
      </c>
      <c r="D1452" t="s">
        <v>103</v>
      </c>
      <c r="E1452" s="32">
        <v>90200</v>
      </c>
      <c r="F1452" s="32">
        <v>0</v>
      </c>
      <c r="G1452" s="32">
        <v>64392452</v>
      </c>
      <c r="H1452" t="s">
        <v>574</v>
      </c>
    </row>
    <row r="1453" spans="1:8" hidden="1" x14ac:dyDescent="0.3">
      <c r="A1453" s="28">
        <v>14979</v>
      </c>
      <c r="B1453" s="49">
        <v>45209.459027777775</v>
      </c>
      <c r="C1453" s="18">
        <v>45209</v>
      </c>
      <c r="D1453" t="s">
        <v>103</v>
      </c>
      <c r="E1453" s="32">
        <v>1116500</v>
      </c>
      <c r="F1453" s="32">
        <v>0</v>
      </c>
      <c r="G1453" s="32">
        <v>64302252</v>
      </c>
      <c r="H1453" t="s">
        <v>526</v>
      </c>
    </row>
    <row r="1454" spans="1:8" hidden="1" x14ac:dyDescent="0.3">
      <c r="A1454" s="28">
        <v>14974</v>
      </c>
      <c r="B1454" s="49">
        <v>45205.594444444447</v>
      </c>
      <c r="C1454" s="18">
        <v>45205</v>
      </c>
      <c r="D1454" t="s">
        <v>103</v>
      </c>
      <c r="E1454" s="32">
        <v>3524400</v>
      </c>
      <c r="F1454" s="32">
        <v>0</v>
      </c>
      <c r="G1454" s="32">
        <v>63185752</v>
      </c>
      <c r="H1454" t="s">
        <v>629</v>
      </c>
    </row>
    <row r="1455" spans="1:8" hidden="1" x14ac:dyDescent="0.3">
      <c r="A1455" s="28">
        <v>14973</v>
      </c>
      <c r="B1455" s="49">
        <v>45204.827777777777</v>
      </c>
      <c r="C1455" s="18">
        <v>45204</v>
      </c>
      <c r="D1455" t="s">
        <v>104</v>
      </c>
      <c r="E1455" s="32">
        <v>0</v>
      </c>
      <c r="F1455" s="32">
        <v>626472</v>
      </c>
      <c r="G1455" s="32">
        <v>59661352</v>
      </c>
      <c r="H1455" t="s">
        <v>630</v>
      </c>
    </row>
    <row r="1456" spans="1:8" hidden="1" x14ac:dyDescent="0.3">
      <c r="A1456" s="28">
        <v>14972</v>
      </c>
      <c r="B1456" s="49">
        <v>45204.797222222223</v>
      </c>
      <c r="C1456" s="18">
        <v>45204</v>
      </c>
      <c r="D1456" t="s">
        <v>104</v>
      </c>
      <c r="E1456" s="32">
        <v>0</v>
      </c>
      <c r="F1456" s="32">
        <v>711920</v>
      </c>
      <c r="G1456" s="32">
        <v>60287824</v>
      </c>
      <c r="H1456" t="s">
        <v>507</v>
      </c>
    </row>
    <row r="1457" spans="1:8" hidden="1" x14ac:dyDescent="0.3">
      <c r="A1457" s="28">
        <v>14970</v>
      </c>
      <c r="B1457" s="49">
        <v>45204.683333333334</v>
      </c>
      <c r="C1457" s="18">
        <v>45204</v>
      </c>
      <c r="D1457" t="s">
        <v>103</v>
      </c>
      <c r="E1457" s="32">
        <v>271700</v>
      </c>
      <c r="F1457" s="32">
        <v>0</v>
      </c>
      <c r="G1457" s="32">
        <v>60999744</v>
      </c>
      <c r="H1457" t="s">
        <v>600</v>
      </c>
    </row>
    <row r="1458" spans="1:8" hidden="1" x14ac:dyDescent="0.3">
      <c r="A1458" s="28">
        <v>14968</v>
      </c>
      <c r="B1458" s="49">
        <v>45204.622916666667</v>
      </c>
      <c r="C1458" s="18">
        <v>45204</v>
      </c>
      <c r="D1458" t="s">
        <v>104</v>
      </c>
      <c r="E1458" s="32">
        <v>0</v>
      </c>
      <c r="F1458" s="32">
        <v>825150</v>
      </c>
      <c r="G1458" s="32">
        <v>60728044</v>
      </c>
      <c r="H1458" t="s">
        <v>391</v>
      </c>
    </row>
    <row r="1459" spans="1:8" hidden="1" x14ac:dyDescent="0.3">
      <c r="A1459" s="28">
        <v>14967</v>
      </c>
      <c r="B1459" s="49">
        <v>45204.62222222222</v>
      </c>
      <c r="C1459" s="18">
        <v>45204</v>
      </c>
      <c r="D1459" t="s">
        <v>104</v>
      </c>
      <c r="E1459" s="32">
        <v>0</v>
      </c>
      <c r="F1459" s="32">
        <v>8243510</v>
      </c>
      <c r="G1459" s="32">
        <v>61553194</v>
      </c>
      <c r="H1459" t="s">
        <v>392</v>
      </c>
    </row>
    <row r="1460" spans="1:8" hidden="1" x14ac:dyDescent="0.3">
      <c r="A1460" s="28">
        <v>14966</v>
      </c>
      <c r="B1460" s="49">
        <v>45204.62222222222</v>
      </c>
      <c r="C1460" s="18">
        <v>45204</v>
      </c>
      <c r="D1460" t="s">
        <v>104</v>
      </c>
      <c r="E1460" s="32">
        <v>0</v>
      </c>
      <c r="F1460" s="32">
        <v>9300</v>
      </c>
      <c r="G1460" s="32">
        <v>69796704</v>
      </c>
      <c r="H1460" t="s">
        <v>393</v>
      </c>
    </row>
    <row r="1461" spans="1:8" hidden="1" x14ac:dyDescent="0.3">
      <c r="A1461" s="28">
        <v>14965</v>
      </c>
      <c r="B1461" s="49">
        <v>45204.59375</v>
      </c>
      <c r="C1461" s="18">
        <v>45204</v>
      </c>
      <c r="D1461" t="s">
        <v>104</v>
      </c>
      <c r="E1461" s="32">
        <v>0</v>
      </c>
      <c r="F1461" s="32">
        <v>212384</v>
      </c>
      <c r="G1461" s="32">
        <v>69806004</v>
      </c>
      <c r="H1461" t="s">
        <v>293</v>
      </c>
    </row>
    <row r="1462" spans="1:8" hidden="1" x14ac:dyDescent="0.3">
      <c r="A1462" s="28">
        <v>14964</v>
      </c>
      <c r="B1462" s="49">
        <v>45204.592361111114</v>
      </c>
      <c r="C1462" s="18">
        <v>45204</v>
      </c>
      <c r="D1462" t="s">
        <v>104</v>
      </c>
      <c r="E1462" s="32">
        <v>0</v>
      </c>
      <c r="F1462" s="32">
        <v>744900</v>
      </c>
      <c r="G1462" s="32">
        <v>70018388</v>
      </c>
      <c r="H1462" t="s">
        <v>631</v>
      </c>
    </row>
    <row r="1463" spans="1:8" hidden="1" x14ac:dyDescent="0.3">
      <c r="A1463" s="28">
        <v>14963</v>
      </c>
      <c r="B1463" s="49">
        <v>45204.561111111114</v>
      </c>
      <c r="C1463" s="18">
        <v>45204</v>
      </c>
      <c r="D1463" t="s">
        <v>103</v>
      </c>
      <c r="E1463" s="32">
        <v>2986500</v>
      </c>
      <c r="F1463" s="32">
        <v>0</v>
      </c>
      <c r="G1463" s="32">
        <v>70763288</v>
      </c>
      <c r="H1463" t="s">
        <v>476</v>
      </c>
    </row>
    <row r="1464" spans="1:8" hidden="1" x14ac:dyDescent="0.3">
      <c r="A1464" s="28">
        <v>14961</v>
      </c>
      <c r="B1464" s="49">
        <v>45203.797222222223</v>
      </c>
      <c r="C1464" s="18">
        <v>45203</v>
      </c>
      <c r="D1464" t="s">
        <v>104</v>
      </c>
      <c r="E1464" s="32">
        <v>0</v>
      </c>
      <c r="F1464" s="32">
        <v>400510</v>
      </c>
      <c r="G1464" s="32">
        <v>67776788</v>
      </c>
      <c r="H1464" t="s">
        <v>507</v>
      </c>
    </row>
    <row r="1465" spans="1:8" hidden="1" x14ac:dyDescent="0.3">
      <c r="A1465" s="28">
        <v>14959</v>
      </c>
      <c r="B1465" s="49">
        <v>45203.622916666667</v>
      </c>
      <c r="C1465" s="18">
        <v>45203</v>
      </c>
      <c r="D1465" t="s">
        <v>103</v>
      </c>
      <c r="E1465" s="32">
        <v>70400</v>
      </c>
      <c r="F1465" s="32">
        <v>0</v>
      </c>
      <c r="G1465" s="32">
        <v>68177298</v>
      </c>
      <c r="H1465" t="s">
        <v>632</v>
      </c>
    </row>
    <row r="1466" spans="1:8" hidden="1" x14ac:dyDescent="0.3">
      <c r="A1466" s="28">
        <v>14958</v>
      </c>
      <c r="B1466" s="49">
        <v>45203.62222222222</v>
      </c>
      <c r="C1466" s="18">
        <v>45203</v>
      </c>
      <c r="D1466" t="s">
        <v>103</v>
      </c>
      <c r="E1466" s="32">
        <v>867900</v>
      </c>
      <c r="F1466" s="32">
        <v>0</v>
      </c>
      <c r="G1466" s="32">
        <v>68106898</v>
      </c>
      <c r="H1466" t="s">
        <v>633</v>
      </c>
    </row>
    <row r="1467" spans="1:8" hidden="1" x14ac:dyDescent="0.3">
      <c r="A1467" s="28">
        <v>14957</v>
      </c>
      <c r="B1467" s="49">
        <v>45203.602777777778</v>
      </c>
      <c r="C1467" s="18">
        <v>45203</v>
      </c>
      <c r="D1467" t="s">
        <v>103</v>
      </c>
      <c r="E1467" s="32">
        <v>706200</v>
      </c>
      <c r="F1467" s="32">
        <v>0</v>
      </c>
      <c r="G1467" s="32">
        <v>67238998</v>
      </c>
      <c r="H1467" t="s">
        <v>381</v>
      </c>
    </row>
    <row r="1468" spans="1:8" hidden="1" x14ac:dyDescent="0.3">
      <c r="A1468" s="28">
        <v>14956</v>
      </c>
      <c r="B1468" s="49">
        <v>45203.551388888889</v>
      </c>
      <c r="C1468" s="18">
        <v>45203</v>
      </c>
      <c r="D1468" t="s">
        <v>103</v>
      </c>
      <c r="E1468" s="32">
        <v>2649900</v>
      </c>
      <c r="F1468" s="32">
        <v>0</v>
      </c>
      <c r="G1468" s="32">
        <v>66532798</v>
      </c>
      <c r="H1468" t="s">
        <v>634</v>
      </c>
    </row>
    <row r="1469" spans="1:8" hidden="1" x14ac:dyDescent="0.3">
      <c r="A1469" s="28">
        <v>14954</v>
      </c>
      <c r="B1469" s="49">
        <v>45203.486805555556</v>
      </c>
      <c r="C1469" s="18">
        <v>45203</v>
      </c>
      <c r="D1469" t="s">
        <v>103</v>
      </c>
      <c r="E1469" s="32">
        <v>1349700</v>
      </c>
      <c r="F1469" s="32">
        <v>0</v>
      </c>
      <c r="G1469" s="32">
        <v>63882898</v>
      </c>
      <c r="H1469" t="s">
        <v>448</v>
      </c>
    </row>
    <row r="1470" spans="1:8" hidden="1" x14ac:dyDescent="0.3">
      <c r="A1470" s="28">
        <v>14953</v>
      </c>
      <c r="B1470" s="49">
        <v>45203.470138888886</v>
      </c>
      <c r="C1470" s="18">
        <v>45203</v>
      </c>
      <c r="D1470" t="s">
        <v>103</v>
      </c>
      <c r="E1470" s="32">
        <v>536800</v>
      </c>
      <c r="F1470" s="32">
        <v>0</v>
      </c>
      <c r="G1470" s="32">
        <v>62533198</v>
      </c>
      <c r="H1470" t="s">
        <v>526</v>
      </c>
    </row>
    <row r="1471" spans="1:8" hidden="1" x14ac:dyDescent="0.3">
      <c r="A1471" s="28">
        <v>14952</v>
      </c>
      <c r="B1471" s="49">
        <v>45203.461111111108</v>
      </c>
      <c r="C1471" s="18">
        <v>45203</v>
      </c>
      <c r="D1471" t="s">
        <v>103</v>
      </c>
      <c r="E1471" s="32">
        <v>524700</v>
      </c>
      <c r="F1471" s="32">
        <v>0</v>
      </c>
      <c r="G1471" s="32">
        <v>61996398</v>
      </c>
      <c r="H1471" t="s">
        <v>635</v>
      </c>
    </row>
    <row r="1472" spans="1:8" hidden="1" x14ac:dyDescent="0.3">
      <c r="A1472" s="28">
        <v>14951</v>
      </c>
      <c r="B1472" s="49">
        <v>45203.460416666669</v>
      </c>
      <c r="C1472" s="18">
        <v>45203</v>
      </c>
      <c r="D1472" t="s">
        <v>103</v>
      </c>
      <c r="E1472" s="32">
        <v>326700</v>
      </c>
      <c r="F1472" s="32">
        <v>0</v>
      </c>
      <c r="G1472" s="32">
        <v>61471698</v>
      </c>
      <c r="H1472" t="s">
        <v>292</v>
      </c>
    </row>
    <row r="1473" spans="1:8" hidden="1" x14ac:dyDescent="0.3">
      <c r="A1473" s="28">
        <v>14950</v>
      </c>
      <c r="B1473" s="49">
        <v>45203.446527777778</v>
      </c>
      <c r="C1473" s="18">
        <v>45203</v>
      </c>
      <c r="D1473" t="s">
        <v>103</v>
      </c>
      <c r="E1473" s="32">
        <v>683100</v>
      </c>
      <c r="F1473" s="32">
        <v>0</v>
      </c>
      <c r="G1473" s="32">
        <v>61144998</v>
      </c>
      <c r="H1473" t="s">
        <v>636</v>
      </c>
    </row>
    <row r="1474" spans="1:8" hidden="1" x14ac:dyDescent="0.3">
      <c r="A1474" s="28">
        <v>14949</v>
      </c>
      <c r="B1474" s="49">
        <v>45203.412499999999</v>
      </c>
      <c r="C1474" s="18">
        <v>45203</v>
      </c>
      <c r="D1474" t="s">
        <v>103</v>
      </c>
      <c r="E1474" s="32">
        <v>13567854</v>
      </c>
      <c r="F1474" s="32">
        <v>0</v>
      </c>
      <c r="G1474" s="32">
        <v>60461898</v>
      </c>
      <c r="H1474" t="s">
        <v>442</v>
      </c>
    </row>
    <row r="1475" spans="1:8" hidden="1" x14ac:dyDescent="0.3">
      <c r="A1475" s="28">
        <v>14939</v>
      </c>
      <c r="B1475" s="49">
        <v>45196.636805555558</v>
      </c>
      <c r="C1475" s="18">
        <v>45196</v>
      </c>
      <c r="D1475" t="s">
        <v>103</v>
      </c>
      <c r="E1475" s="32">
        <v>1387100</v>
      </c>
      <c r="F1475" s="32">
        <v>0</v>
      </c>
      <c r="G1475" s="32">
        <v>46894044</v>
      </c>
      <c r="H1475" t="s">
        <v>300</v>
      </c>
    </row>
    <row r="1476" spans="1:8" hidden="1" x14ac:dyDescent="0.3">
      <c r="A1476" s="28">
        <v>14937</v>
      </c>
      <c r="B1476" s="49">
        <v>45196.593055555553</v>
      </c>
      <c r="C1476" s="18">
        <v>45196</v>
      </c>
      <c r="D1476" t="s">
        <v>103</v>
      </c>
      <c r="E1476" s="32">
        <v>729300</v>
      </c>
      <c r="F1476" s="32">
        <v>0</v>
      </c>
      <c r="G1476" s="32">
        <v>45506944</v>
      </c>
      <c r="H1476" t="s">
        <v>387</v>
      </c>
    </row>
    <row r="1477" spans="1:8" hidden="1" x14ac:dyDescent="0.3">
      <c r="A1477" s="28">
        <v>14936</v>
      </c>
      <c r="B1477" s="49">
        <v>45196.574999999997</v>
      </c>
      <c r="C1477" s="18">
        <v>45196</v>
      </c>
      <c r="D1477" t="s">
        <v>103</v>
      </c>
      <c r="E1477" s="32">
        <v>331100</v>
      </c>
      <c r="F1477" s="32">
        <v>0</v>
      </c>
      <c r="G1477" s="32">
        <v>44777644</v>
      </c>
      <c r="H1477" t="s">
        <v>320</v>
      </c>
    </row>
    <row r="1478" spans="1:8" hidden="1" x14ac:dyDescent="0.3">
      <c r="A1478" s="28">
        <v>14935</v>
      </c>
      <c r="B1478" s="49">
        <v>45196.574305555558</v>
      </c>
      <c r="C1478" s="18">
        <v>45196</v>
      </c>
      <c r="D1478" t="s">
        <v>103</v>
      </c>
      <c r="E1478" s="32">
        <v>223300</v>
      </c>
      <c r="F1478" s="32">
        <v>0</v>
      </c>
      <c r="G1478" s="32">
        <v>44446544</v>
      </c>
      <c r="H1478" t="s">
        <v>323</v>
      </c>
    </row>
    <row r="1479" spans="1:8" hidden="1" x14ac:dyDescent="0.3">
      <c r="A1479" s="28">
        <v>14934</v>
      </c>
      <c r="B1479" s="49">
        <v>45196.570138888892</v>
      </c>
      <c r="C1479" s="18">
        <v>45196</v>
      </c>
      <c r="D1479" t="s">
        <v>103</v>
      </c>
      <c r="E1479" s="32">
        <v>580800</v>
      </c>
      <c r="F1479" s="32">
        <v>0</v>
      </c>
      <c r="G1479" s="32">
        <v>44223244</v>
      </c>
      <c r="H1479" t="s">
        <v>637</v>
      </c>
    </row>
    <row r="1480" spans="1:8" hidden="1" x14ac:dyDescent="0.3">
      <c r="A1480" s="28">
        <v>14933</v>
      </c>
      <c r="B1480" s="49">
        <v>45196.544444444444</v>
      </c>
      <c r="C1480" s="18">
        <v>45196</v>
      </c>
      <c r="D1480" t="s">
        <v>103</v>
      </c>
      <c r="E1480" s="32">
        <v>3993000</v>
      </c>
      <c r="F1480" s="32">
        <v>0</v>
      </c>
      <c r="G1480" s="32">
        <v>43642444</v>
      </c>
      <c r="H1480" t="s">
        <v>336</v>
      </c>
    </row>
    <row r="1481" spans="1:8" hidden="1" x14ac:dyDescent="0.3">
      <c r="A1481" s="28">
        <v>14932</v>
      </c>
      <c r="B1481" s="49">
        <v>45196.497916666667</v>
      </c>
      <c r="C1481" s="18">
        <v>45196</v>
      </c>
      <c r="D1481" t="s">
        <v>103</v>
      </c>
      <c r="E1481" s="32">
        <v>2984300</v>
      </c>
      <c r="F1481" s="32">
        <v>0</v>
      </c>
      <c r="G1481" s="32">
        <v>39649444</v>
      </c>
      <c r="H1481" t="s">
        <v>638</v>
      </c>
    </row>
    <row r="1482" spans="1:8" hidden="1" x14ac:dyDescent="0.3">
      <c r="A1482" s="28">
        <v>14930</v>
      </c>
      <c r="B1482" s="49">
        <v>45196.489583333336</v>
      </c>
      <c r="C1482" s="18">
        <v>45196</v>
      </c>
      <c r="D1482" t="s">
        <v>103</v>
      </c>
      <c r="E1482" s="32">
        <v>544500</v>
      </c>
      <c r="F1482" s="32">
        <v>0</v>
      </c>
      <c r="G1482" s="32">
        <v>36665144</v>
      </c>
      <c r="H1482" t="s">
        <v>327</v>
      </c>
    </row>
    <row r="1483" spans="1:8" hidden="1" x14ac:dyDescent="0.3">
      <c r="A1483" s="28">
        <v>14928</v>
      </c>
      <c r="B1483" s="49">
        <v>45196.481944444444</v>
      </c>
      <c r="C1483" s="18">
        <v>45196</v>
      </c>
      <c r="D1483" t="s">
        <v>103</v>
      </c>
      <c r="E1483" s="32">
        <v>1051600</v>
      </c>
      <c r="F1483" s="32">
        <v>0</v>
      </c>
      <c r="G1483" s="32">
        <v>36120644</v>
      </c>
      <c r="H1483" t="s">
        <v>525</v>
      </c>
    </row>
    <row r="1484" spans="1:8" hidden="1" x14ac:dyDescent="0.3">
      <c r="A1484" s="28">
        <v>14927</v>
      </c>
      <c r="B1484" s="49">
        <v>45196.481944444444</v>
      </c>
      <c r="C1484" s="18">
        <v>45196</v>
      </c>
      <c r="D1484" t="s">
        <v>103</v>
      </c>
      <c r="E1484" s="32">
        <v>759000</v>
      </c>
      <c r="F1484" s="32">
        <v>0</v>
      </c>
      <c r="G1484" s="32">
        <v>35069044</v>
      </c>
      <c r="H1484" t="s">
        <v>525</v>
      </c>
    </row>
    <row r="1485" spans="1:8" hidden="1" x14ac:dyDescent="0.3">
      <c r="A1485" s="28">
        <v>14926</v>
      </c>
      <c r="B1485" s="49">
        <v>45196.459027777775</v>
      </c>
      <c r="C1485" s="18">
        <v>45196</v>
      </c>
      <c r="D1485" t="s">
        <v>103</v>
      </c>
      <c r="E1485" s="32">
        <v>343200</v>
      </c>
      <c r="F1485" s="32">
        <v>0</v>
      </c>
      <c r="G1485" s="32">
        <v>34310044</v>
      </c>
      <c r="H1485" t="s">
        <v>324</v>
      </c>
    </row>
    <row r="1486" spans="1:8" hidden="1" x14ac:dyDescent="0.3">
      <c r="A1486" s="28">
        <v>14925</v>
      </c>
      <c r="B1486" s="49">
        <v>45196.459027777775</v>
      </c>
      <c r="C1486" s="18">
        <v>45196</v>
      </c>
      <c r="D1486" t="s">
        <v>103</v>
      </c>
      <c r="E1486" s="32">
        <v>81400</v>
      </c>
      <c r="F1486" s="32">
        <v>0</v>
      </c>
      <c r="G1486" s="32">
        <v>33966844</v>
      </c>
      <c r="H1486" t="s">
        <v>324</v>
      </c>
    </row>
    <row r="1487" spans="1:8" hidden="1" x14ac:dyDescent="0.3">
      <c r="A1487" s="28">
        <v>14924</v>
      </c>
      <c r="B1487" s="49">
        <v>45196.449305555558</v>
      </c>
      <c r="C1487" s="18">
        <v>45196</v>
      </c>
      <c r="D1487" t="s">
        <v>103</v>
      </c>
      <c r="E1487" s="32">
        <v>136400</v>
      </c>
      <c r="F1487" s="32">
        <v>0</v>
      </c>
      <c r="G1487" s="32">
        <v>33885444</v>
      </c>
      <c r="H1487" t="s">
        <v>481</v>
      </c>
    </row>
    <row r="1488" spans="1:8" hidden="1" x14ac:dyDescent="0.3">
      <c r="A1488" s="28">
        <v>14923</v>
      </c>
      <c r="B1488" s="49">
        <v>45196.442361111112</v>
      </c>
      <c r="C1488" s="18">
        <v>45196</v>
      </c>
      <c r="D1488" t="s">
        <v>103</v>
      </c>
      <c r="E1488" s="32">
        <v>1546600</v>
      </c>
      <c r="F1488" s="32">
        <v>0</v>
      </c>
      <c r="G1488" s="32">
        <v>33749044</v>
      </c>
      <c r="H1488" t="s">
        <v>486</v>
      </c>
    </row>
    <row r="1489" spans="1:8" hidden="1" x14ac:dyDescent="0.3">
      <c r="A1489" s="28">
        <v>14922</v>
      </c>
      <c r="B1489" s="49">
        <v>45196.436111111114</v>
      </c>
      <c r="C1489" s="18">
        <v>45196</v>
      </c>
      <c r="D1489" t="s">
        <v>103</v>
      </c>
      <c r="E1489" s="32">
        <v>259600</v>
      </c>
      <c r="F1489" s="32">
        <v>0</v>
      </c>
      <c r="G1489" s="32">
        <v>32202444</v>
      </c>
      <c r="H1489" t="s">
        <v>639</v>
      </c>
    </row>
    <row r="1490" spans="1:8" hidden="1" x14ac:dyDescent="0.3">
      <c r="A1490" s="28">
        <v>14921</v>
      </c>
      <c r="B1490" s="49">
        <v>45196.434027777781</v>
      </c>
      <c r="C1490" s="18">
        <v>45196</v>
      </c>
      <c r="D1490" t="s">
        <v>103</v>
      </c>
      <c r="E1490" s="32">
        <v>100100</v>
      </c>
      <c r="F1490" s="32">
        <v>0</v>
      </c>
      <c r="G1490" s="32">
        <v>31942844</v>
      </c>
      <c r="H1490" t="s">
        <v>385</v>
      </c>
    </row>
    <row r="1491" spans="1:8" hidden="1" x14ac:dyDescent="0.3">
      <c r="A1491" s="28">
        <v>14920</v>
      </c>
      <c r="B1491" s="49">
        <v>45196.433333333334</v>
      </c>
      <c r="C1491" s="18">
        <v>45196</v>
      </c>
      <c r="D1491" t="s">
        <v>103</v>
      </c>
      <c r="E1491" s="32">
        <v>515900</v>
      </c>
      <c r="F1491" s="32">
        <v>0</v>
      </c>
      <c r="G1491" s="32">
        <v>31842744</v>
      </c>
      <c r="H1491" t="s">
        <v>385</v>
      </c>
    </row>
    <row r="1492" spans="1:8" hidden="1" x14ac:dyDescent="0.3">
      <c r="A1492" s="28">
        <v>14919</v>
      </c>
      <c r="B1492" s="49">
        <v>45196.433333333334</v>
      </c>
      <c r="C1492" s="18">
        <v>45196</v>
      </c>
      <c r="D1492" t="s">
        <v>103</v>
      </c>
      <c r="E1492" s="32">
        <v>361900</v>
      </c>
      <c r="F1492" s="32">
        <v>0</v>
      </c>
      <c r="G1492" s="32">
        <v>31326844</v>
      </c>
      <c r="H1492" t="s">
        <v>385</v>
      </c>
    </row>
    <row r="1493" spans="1:8" hidden="1" x14ac:dyDescent="0.3">
      <c r="A1493" s="28">
        <v>14918</v>
      </c>
      <c r="B1493" s="49">
        <v>45196.433333333334</v>
      </c>
      <c r="C1493" s="18">
        <v>45196</v>
      </c>
      <c r="D1493" t="s">
        <v>103</v>
      </c>
      <c r="E1493" s="32">
        <v>932800</v>
      </c>
      <c r="F1493" s="32">
        <v>0</v>
      </c>
      <c r="G1493" s="32">
        <v>30964944</v>
      </c>
      <c r="H1493" t="s">
        <v>385</v>
      </c>
    </row>
    <row r="1494" spans="1:8" hidden="1" x14ac:dyDescent="0.3">
      <c r="A1494" s="28">
        <v>14917</v>
      </c>
      <c r="B1494" s="49">
        <v>45196.425000000003</v>
      </c>
      <c r="C1494" s="18">
        <v>45196</v>
      </c>
      <c r="D1494" t="s">
        <v>104</v>
      </c>
      <c r="E1494" s="32">
        <v>0</v>
      </c>
      <c r="F1494" s="32">
        <v>8000</v>
      </c>
      <c r="G1494" s="32">
        <v>30032144</v>
      </c>
      <c r="H1494" t="s">
        <v>313</v>
      </c>
    </row>
    <row r="1495" spans="1:8" hidden="1" x14ac:dyDescent="0.3">
      <c r="A1495" s="28">
        <v>14916</v>
      </c>
      <c r="B1495" s="49">
        <v>45196.418055555558</v>
      </c>
      <c r="C1495" s="18">
        <v>45196</v>
      </c>
      <c r="D1495" t="s">
        <v>103</v>
      </c>
      <c r="E1495" s="32">
        <v>90200</v>
      </c>
      <c r="F1495" s="32">
        <v>0</v>
      </c>
      <c r="G1495" s="32">
        <v>30040144</v>
      </c>
      <c r="H1495" t="s">
        <v>640</v>
      </c>
    </row>
    <row r="1496" spans="1:8" hidden="1" x14ac:dyDescent="0.3">
      <c r="A1496" s="28">
        <v>14915</v>
      </c>
      <c r="B1496" s="49">
        <v>45196.405555555553</v>
      </c>
      <c r="C1496" s="18">
        <v>45196</v>
      </c>
      <c r="D1496" t="s">
        <v>103</v>
      </c>
      <c r="E1496" s="32">
        <v>3099800</v>
      </c>
      <c r="F1496" s="32">
        <v>0</v>
      </c>
      <c r="G1496" s="32">
        <v>29949944</v>
      </c>
      <c r="H1496" t="s">
        <v>326</v>
      </c>
    </row>
    <row r="1497" spans="1:8" hidden="1" x14ac:dyDescent="0.3">
      <c r="A1497" s="28">
        <v>14914</v>
      </c>
      <c r="B1497" s="49">
        <v>45196.405555555553</v>
      </c>
      <c r="C1497" s="18">
        <v>45196</v>
      </c>
      <c r="D1497" t="s">
        <v>103</v>
      </c>
      <c r="E1497" s="32">
        <v>4854300</v>
      </c>
      <c r="F1497" s="32">
        <v>0</v>
      </c>
      <c r="G1497" s="32">
        <v>26850144</v>
      </c>
      <c r="H1497" t="s">
        <v>326</v>
      </c>
    </row>
    <row r="1498" spans="1:8" hidden="1" x14ac:dyDescent="0.3">
      <c r="A1498" s="28">
        <v>14913</v>
      </c>
      <c r="B1498" s="49">
        <v>45196.405555555553</v>
      </c>
      <c r="C1498" s="18">
        <v>45196</v>
      </c>
      <c r="D1498" t="s">
        <v>103</v>
      </c>
      <c r="E1498" s="32">
        <v>906400</v>
      </c>
      <c r="F1498" s="32">
        <v>0</v>
      </c>
      <c r="G1498" s="32">
        <v>21995844</v>
      </c>
      <c r="H1498" t="s">
        <v>326</v>
      </c>
    </row>
    <row r="1499" spans="1:8" hidden="1" x14ac:dyDescent="0.3">
      <c r="A1499" s="28">
        <v>14912</v>
      </c>
      <c r="B1499" s="49">
        <v>45196.397916666669</v>
      </c>
      <c r="C1499" s="18">
        <v>45196</v>
      </c>
      <c r="D1499" t="s">
        <v>104</v>
      </c>
      <c r="E1499" s="32">
        <v>0</v>
      </c>
      <c r="F1499" s="32">
        <v>36587700</v>
      </c>
      <c r="G1499" s="32">
        <v>21089444</v>
      </c>
      <c r="H1499" t="s">
        <v>641</v>
      </c>
    </row>
    <row r="1500" spans="1:8" hidden="1" x14ac:dyDescent="0.3">
      <c r="A1500" s="28">
        <v>14911</v>
      </c>
      <c r="B1500" s="49">
        <v>45196.382638888892</v>
      </c>
      <c r="C1500" s="18">
        <v>45196</v>
      </c>
      <c r="D1500" t="s">
        <v>103</v>
      </c>
      <c r="E1500" s="32">
        <v>829400</v>
      </c>
      <c r="F1500" s="32">
        <v>0</v>
      </c>
      <c r="G1500" s="32">
        <v>57677144</v>
      </c>
      <c r="H1500" t="s">
        <v>399</v>
      </c>
    </row>
    <row r="1501" spans="1:8" hidden="1" x14ac:dyDescent="0.3">
      <c r="A1501" s="28">
        <v>14909</v>
      </c>
      <c r="B1501" s="49">
        <v>45195.720833333333</v>
      </c>
      <c r="C1501" s="18">
        <v>45195</v>
      </c>
      <c r="D1501" t="s">
        <v>103</v>
      </c>
      <c r="E1501" s="32">
        <v>746900</v>
      </c>
      <c r="F1501" s="32">
        <v>0</v>
      </c>
      <c r="G1501" s="32">
        <v>56847744</v>
      </c>
      <c r="H1501" t="s">
        <v>319</v>
      </c>
    </row>
    <row r="1502" spans="1:8" hidden="1" x14ac:dyDescent="0.3">
      <c r="A1502" s="28">
        <v>14908</v>
      </c>
      <c r="B1502" s="49">
        <v>45195.716666666667</v>
      </c>
      <c r="C1502" s="18">
        <v>45195</v>
      </c>
      <c r="D1502" t="s">
        <v>103</v>
      </c>
      <c r="E1502" s="32">
        <v>451300</v>
      </c>
      <c r="F1502" s="32">
        <v>0</v>
      </c>
      <c r="G1502" s="32">
        <v>56100844</v>
      </c>
      <c r="H1502" t="s">
        <v>642</v>
      </c>
    </row>
    <row r="1503" spans="1:8" hidden="1" x14ac:dyDescent="0.3">
      <c r="A1503" s="28">
        <v>14907</v>
      </c>
      <c r="B1503" s="49">
        <v>45195.712500000001</v>
      </c>
      <c r="C1503" s="18">
        <v>45195</v>
      </c>
      <c r="D1503" t="s">
        <v>103</v>
      </c>
      <c r="E1503" s="32">
        <v>320100</v>
      </c>
      <c r="F1503" s="32">
        <v>0</v>
      </c>
      <c r="G1503" s="32">
        <v>55649544</v>
      </c>
      <c r="H1503" t="s">
        <v>447</v>
      </c>
    </row>
    <row r="1504" spans="1:8" hidden="1" x14ac:dyDescent="0.3">
      <c r="A1504" s="28">
        <v>14906</v>
      </c>
      <c r="B1504" s="49">
        <v>45195.710416666669</v>
      </c>
      <c r="C1504" s="18">
        <v>45195</v>
      </c>
      <c r="D1504" t="s">
        <v>103</v>
      </c>
      <c r="E1504" s="32">
        <v>4513000</v>
      </c>
      <c r="F1504" s="32">
        <v>0</v>
      </c>
      <c r="G1504" s="32">
        <v>55329444</v>
      </c>
      <c r="H1504" t="s">
        <v>643</v>
      </c>
    </row>
    <row r="1505" spans="1:8" hidden="1" x14ac:dyDescent="0.3">
      <c r="A1505" s="28">
        <v>14905</v>
      </c>
      <c r="B1505" s="49">
        <v>45195.59652777778</v>
      </c>
      <c r="C1505" s="18">
        <v>45195</v>
      </c>
      <c r="D1505" t="s">
        <v>104</v>
      </c>
      <c r="E1505" s="32">
        <v>0</v>
      </c>
      <c r="F1505" s="32">
        <v>99000</v>
      </c>
      <c r="G1505" s="32">
        <v>50816444</v>
      </c>
      <c r="H1505" t="s">
        <v>644</v>
      </c>
    </row>
    <row r="1506" spans="1:8" hidden="1" x14ac:dyDescent="0.3">
      <c r="A1506" s="28">
        <v>14904</v>
      </c>
      <c r="B1506" s="49">
        <v>45195.595833333333</v>
      </c>
      <c r="C1506" s="18">
        <v>45195</v>
      </c>
      <c r="D1506" t="s">
        <v>104</v>
      </c>
      <c r="E1506" s="32">
        <v>0</v>
      </c>
      <c r="F1506" s="32">
        <v>93060</v>
      </c>
      <c r="G1506" s="32">
        <v>50915444</v>
      </c>
      <c r="H1506" t="s">
        <v>293</v>
      </c>
    </row>
    <row r="1507" spans="1:8" hidden="1" x14ac:dyDescent="0.3">
      <c r="A1507" s="28">
        <v>14903</v>
      </c>
      <c r="B1507" s="49">
        <v>45195.585416666669</v>
      </c>
      <c r="C1507" s="18">
        <v>45195</v>
      </c>
      <c r="D1507" t="s">
        <v>103</v>
      </c>
      <c r="E1507" s="32">
        <v>519200</v>
      </c>
      <c r="F1507" s="32">
        <v>0</v>
      </c>
      <c r="G1507" s="32">
        <v>51008504</v>
      </c>
      <c r="H1507" t="s">
        <v>364</v>
      </c>
    </row>
    <row r="1508" spans="1:8" hidden="1" x14ac:dyDescent="0.3">
      <c r="A1508" s="28">
        <v>14902</v>
      </c>
      <c r="B1508" s="49">
        <v>45195.558333333334</v>
      </c>
      <c r="C1508" s="18">
        <v>45195</v>
      </c>
      <c r="D1508" t="s">
        <v>103</v>
      </c>
      <c r="E1508" s="32">
        <v>523600</v>
      </c>
      <c r="F1508" s="32">
        <v>0</v>
      </c>
      <c r="G1508" s="32">
        <v>50489304</v>
      </c>
      <c r="H1508" t="s">
        <v>510</v>
      </c>
    </row>
    <row r="1509" spans="1:8" hidden="1" x14ac:dyDescent="0.3">
      <c r="A1509" s="28">
        <v>14901</v>
      </c>
      <c r="B1509" s="49">
        <v>45195.558333333334</v>
      </c>
      <c r="C1509" s="18">
        <v>45195</v>
      </c>
      <c r="D1509" t="s">
        <v>103</v>
      </c>
      <c r="E1509" s="32">
        <v>390800</v>
      </c>
      <c r="F1509" s="32">
        <v>0</v>
      </c>
      <c r="G1509" s="32">
        <v>49965704</v>
      </c>
      <c r="H1509" t="s">
        <v>335</v>
      </c>
    </row>
    <row r="1510" spans="1:8" hidden="1" x14ac:dyDescent="0.3">
      <c r="A1510" s="28">
        <v>14898</v>
      </c>
      <c r="B1510" s="49">
        <v>45195.457638888889</v>
      </c>
      <c r="C1510" s="18">
        <v>45195</v>
      </c>
      <c r="D1510" t="s">
        <v>104</v>
      </c>
      <c r="E1510" s="32">
        <v>0</v>
      </c>
      <c r="F1510" s="32">
        <v>44880</v>
      </c>
      <c r="G1510" s="32">
        <v>49574904</v>
      </c>
      <c r="H1510" t="s">
        <v>645</v>
      </c>
    </row>
    <row r="1511" spans="1:8" hidden="1" x14ac:dyDescent="0.3">
      <c r="A1511" s="28">
        <v>14894</v>
      </c>
      <c r="B1511" s="49">
        <v>45195.392361111109</v>
      </c>
      <c r="C1511" s="18">
        <v>45195</v>
      </c>
      <c r="D1511" t="s">
        <v>104</v>
      </c>
      <c r="E1511" s="32">
        <v>0</v>
      </c>
      <c r="F1511" s="32">
        <v>6600000</v>
      </c>
      <c r="G1511" s="32">
        <v>49619784</v>
      </c>
      <c r="H1511" t="s">
        <v>646</v>
      </c>
    </row>
    <row r="1512" spans="1:8" hidden="1" x14ac:dyDescent="0.3">
      <c r="A1512" s="28">
        <v>14893</v>
      </c>
      <c r="B1512" s="49">
        <v>45195.388194444444</v>
      </c>
      <c r="C1512" s="18">
        <v>45195</v>
      </c>
      <c r="D1512" t="s">
        <v>104</v>
      </c>
      <c r="E1512" s="32">
        <v>0</v>
      </c>
      <c r="F1512" s="32">
        <v>39793800</v>
      </c>
      <c r="G1512" s="32">
        <v>56219784</v>
      </c>
      <c r="H1512" t="s">
        <v>314</v>
      </c>
    </row>
    <row r="1513" spans="1:8" hidden="1" x14ac:dyDescent="0.3">
      <c r="A1513" s="28">
        <v>14892</v>
      </c>
      <c r="B1513" s="49">
        <v>45195.386805555558</v>
      </c>
      <c r="C1513" s="18">
        <v>45195</v>
      </c>
      <c r="D1513" t="s">
        <v>104</v>
      </c>
      <c r="E1513" s="32">
        <v>0</v>
      </c>
      <c r="F1513" s="32">
        <v>39650400</v>
      </c>
      <c r="G1513" s="32">
        <v>96013584</v>
      </c>
      <c r="H1513" t="s">
        <v>314</v>
      </c>
    </row>
    <row r="1514" spans="1:8" hidden="1" x14ac:dyDescent="0.3">
      <c r="A1514" s="28">
        <v>14890</v>
      </c>
      <c r="B1514" s="49">
        <v>45195.384027777778</v>
      </c>
      <c r="C1514" s="18">
        <v>45195</v>
      </c>
      <c r="D1514" t="s">
        <v>103</v>
      </c>
      <c r="E1514" s="32">
        <v>2132000</v>
      </c>
      <c r="F1514" s="32">
        <v>0</v>
      </c>
      <c r="G1514" s="32">
        <v>135663984</v>
      </c>
      <c r="H1514" t="s">
        <v>647</v>
      </c>
    </row>
    <row r="1515" spans="1:8" hidden="1" x14ac:dyDescent="0.3">
      <c r="A1515" s="28">
        <v>14889</v>
      </c>
      <c r="B1515" s="49">
        <v>45195.384027777778</v>
      </c>
      <c r="C1515" s="18">
        <v>45195</v>
      </c>
      <c r="D1515" t="s">
        <v>103</v>
      </c>
      <c r="E1515" s="32">
        <v>220000</v>
      </c>
      <c r="F1515" s="32">
        <v>0</v>
      </c>
      <c r="G1515" s="32">
        <v>133531984</v>
      </c>
      <c r="H1515" t="s">
        <v>647</v>
      </c>
    </row>
    <row r="1516" spans="1:8" hidden="1" x14ac:dyDescent="0.3">
      <c r="A1516" s="28">
        <v>14888</v>
      </c>
      <c r="B1516" s="49">
        <v>45195.384027777778</v>
      </c>
      <c r="C1516" s="18">
        <v>45195</v>
      </c>
      <c r="D1516" t="s">
        <v>103</v>
      </c>
      <c r="E1516" s="32">
        <v>855000</v>
      </c>
      <c r="F1516" s="32">
        <v>0</v>
      </c>
      <c r="G1516" s="32">
        <v>133311984</v>
      </c>
      <c r="H1516" t="s">
        <v>647</v>
      </c>
    </row>
    <row r="1517" spans="1:8" hidden="1" x14ac:dyDescent="0.3">
      <c r="A1517" s="28">
        <v>14887</v>
      </c>
      <c r="B1517" s="49">
        <v>45195.384027777778</v>
      </c>
      <c r="C1517" s="18">
        <v>45195</v>
      </c>
      <c r="D1517" t="s">
        <v>103</v>
      </c>
      <c r="E1517" s="32">
        <v>114000</v>
      </c>
      <c r="F1517" s="32">
        <v>0</v>
      </c>
      <c r="G1517" s="32">
        <v>132456984</v>
      </c>
      <c r="H1517" t="s">
        <v>647</v>
      </c>
    </row>
    <row r="1518" spans="1:8" hidden="1" x14ac:dyDescent="0.3">
      <c r="A1518" s="28">
        <v>14886</v>
      </c>
      <c r="B1518" s="49">
        <v>45195.384027777778</v>
      </c>
      <c r="C1518" s="18">
        <v>45195</v>
      </c>
      <c r="D1518" t="s">
        <v>103</v>
      </c>
      <c r="E1518" s="32">
        <v>62000</v>
      </c>
      <c r="F1518" s="32">
        <v>0</v>
      </c>
      <c r="G1518" s="32">
        <v>132342984</v>
      </c>
      <c r="H1518" t="s">
        <v>647</v>
      </c>
    </row>
    <row r="1519" spans="1:8" hidden="1" x14ac:dyDescent="0.3">
      <c r="A1519" s="28">
        <v>14885</v>
      </c>
      <c r="B1519" s="49">
        <v>45195.384027777778</v>
      </c>
      <c r="C1519" s="18">
        <v>45195</v>
      </c>
      <c r="D1519" t="s">
        <v>103</v>
      </c>
      <c r="E1519" s="32">
        <v>362000</v>
      </c>
      <c r="F1519" s="32">
        <v>0</v>
      </c>
      <c r="G1519" s="32">
        <v>132280984</v>
      </c>
      <c r="H1519" t="s">
        <v>647</v>
      </c>
    </row>
    <row r="1520" spans="1:8" hidden="1" x14ac:dyDescent="0.3">
      <c r="A1520" s="28">
        <v>14884</v>
      </c>
      <c r="B1520" s="49">
        <v>45195.384027777778</v>
      </c>
      <c r="C1520" s="18">
        <v>45195</v>
      </c>
      <c r="D1520" t="s">
        <v>103</v>
      </c>
      <c r="E1520" s="32">
        <v>163000</v>
      </c>
      <c r="F1520" s="32">
        <v>0</v>
      </c>
      <c r="G1520" s="32">
        <v>131918984</v>
      </c>
      <c r="H1520" t="s">
        <v>647</v>
      </c>
    </row>
    <row r="1521" spans="1:8" hidden="1" x14ac:dyDescent="0.3">
      <c r="A1521" s="28">
        <v>14883</v>
      </c>
      <c r="B1521" s="49">
        <v>45195.37222222222</v>
      </c>
      <c r="C1521" s="18">
        <v>45195</v>
      </c>
      <c r="D1521" t="s">
        <v>103</v>
      </c>
      <c r="E1521" s="32">
        <v>239800</v>
      </c>
      <c r="F1521" s="32">
        <v>0</v>
      </c>
      <c r="G1521" s="32">
        <v>131755984</v>
      </c>
      <c r="H1521" t="s">
        <v>292</v>
      </c>
    </row>
    <row r="1522" spans="1:8" hidden="1" x14ac:dyDescent="0.3">
      <c r="A1522" s="28">
        <v>14880</v>
      </c>
      <c r="B1522" s="49">
        <v>45194.840277777781</v>
      </c>
      <c r="C1522" s="18">
        <v>45194</v>
      </c>
      <c r="D1522" t="s">
        <v>104</v>
      </c>
      <c r="E1522" s="32">
        <v>0</v>
      </c>
      <c r="F1522" s="32">
        <v>440000</v>
      </c>
      <c r="G1522" s="32">
        <v>131516184</v>
      </c>
      <c r="H1522" t="s">
        <v>485</v>
      </c>
    </row>
    <row r="1523" spans="1:8" hidden="1" x14ac:dyDescent="0.3">
      <c r="A1523" s="28">
        <v>14877</v>
      </c>
      <c r="B1523" s="49">
        <v>45194.712500000001</v>
      </c>
      <c r="C1523" s="18">
        <v>45194</v>
      </c>
      <c r="D1523" t="s">
        <v>103</v>
      </c>
      <c r="E1523" s="32">
        <v>270600</v>
      </c>
      <c r="F1523" s="32">
        <v>0</v>
      </c>
      <c r="G1523" s="32">
        <v>131956184</v>
      </c>
      <c r="H1523" t="s">
        <v>648</v>
      </c>
    </row>
    <row r="1524" spans="1:8" hidden="1" x14ac:dyDescent="0.3">
      <c r="A1524" s="28">
        <v>14876</v>
      </c>
      <c r="B1524" s="49">
        <v>45194.685416666667</v>
      </c>
      <c r="C1524" s="18">
        <v>45194</v>
      </c>
      <c r="D1524" t="s">
        <v>103</v>
      </c>
      <c r="E1524" s="32">
        <v>49500000</v>
      </c>
      <c r="F1524" s="32">
        <v>0</v>
      </c>
      <c r="G1524" s="32">
        <v>131685584</v>
      </c>
      <c r="H1524" t="s">
        <v>606</v>
      </c>
    </row>
    <row r="1525" spans="1:8" hidden="1" x14ac:dyDescent="0.3">
      <c r="A1525" s="28">
        <v>14873</v>
      </c>
      <c r="B1525" s="49">
        <v>45194.637499999997</v>
      </c>
      <c r="C1525" s="18">
        <v>45194</v>
      </c>
      <c r="D1525" t="s">
        <v>103</v>
      </c>
      <c r="E1525" s="32">
        <v>465300</v>
      </c>
      <c r="F1525" s="32">
        <v>0</v>
      </c>
      <c r="G1525" s="32">
        <v>82185584</v>
      </c>
      <c r="H1525" t="s">
        <v>429</v>
      </c>
    </row>
    <row r="1526" spans="1:8" hidden="1" x14ac:dyDescent="0.3">
      <c r="A1526" s="28">
        <v>14872</v>
      </c>
      <c r="B1526" s="49">
        <v>45194.606249999997</v>
      </c>
      <c r="C1526" s="18">
        <v>45194</v>
      </c>
      <c r="D1526" t="s">
        <v>104</v>
      </c>
      <c r="E1526" s="32">
        <v>0</v>
      </c>
      <c r="F1526" s="32">
        <v>198000</v>
      </c>
      <c r="G1526" s="32">
        <v>81720284</v>
      </c>
      <c r="H1526" t="s">
        <v>649</v>
      </c>
    </row>
    <row r="1527" spans="1:8" hidden="1" x14ac:dyDescent="0.3">
      <c r="A1527" s="28">
        <v>14871</v>
      </c>
      <c r="B1527" s="49">
        <v>45194.595138888886</v>
      </c>
      <c r="C1527" s="18">
        <v>45194</v>
      </c>
      <c r="D1527" t="s">
        <v>103</v>
      </c>
      <c r="E1527" s="32">
        <v>116600</v>
      </c>
      <c r="F1527" s="32">
        <v>0</v>
      </c>
      <c r="G1527" s="32">
        <v>81918284</v>
      </c>
      <c r="H1527" t="s">
        <v>489</v>
      </c>
    </row>
    <row r="1528" spans="1:8" hidden="1" x14ac:dyDescent="0.3">
      <c r="A1528" s="28">
        <v>14870</v>
      </c>
      <c r="B1528" s="49">
        <v>45194.45416666667</v>
      </c>
      <c r="C1528" s="18">
        <v>45194</v>
      </c>
      <c r="D1528" t="s">
        <v>103</v>
      </c>
      <c r="E1528" s="32">
        <v>116600</v>
      </c>
      <c r="F1528" s="32">
        <v>0</v>
      </c>
      <c r="G1528" s="32">
        <v>81801684</v>
      </c>
      <c r="H1528" t="s">
        <v>437</v>
      </c>
    </row>
    <row r="1529" spans="1:8" hidden="1" x14ac:dyDescent="0.3">
      <c r="A1529" s="28">
        <v>14869</v>
      </c>
      <c r="B1529" s="49">
        <v>45194.434027777781</v>
      </c>
      <c r="C1529" s="18">
        <v>45194</v>
      </c>
      <c r="D1529" t="s">
        <v>103</v>
      </c>
      <c r="E1529" s="32">
        <v>1087900</v>
      </c>
      <c r="F1529" s="32">
        <v>0</v>
      </c>
      <c r="G1529" s="32">
        <v>81685084</v>
      </c>
      <c r="H1529" t="s">
        <v>300</v>
      </c>
    </row>
    <row r="1530" spans="1:8" hidden="1" x14ac:dyDescent="0.3">
      <c r="A1530" s="28">
        <v>14868</v>
      </c>
      <c r="B1530" s="49">
        <v>45194.340277777781</v>
      </c>
      <c r="C1530" s="18">
        <v>45194</v>
      </c>
      <c r="D1530" t="s">
        <v>104</v>
      </c>
      <c r="E1530" s="32">
        <v>0</v>
      </c>
      <c r="F1530" s="32">
        <v>2731839</v>
      </c>
      <c r="G1530" s="32">
        <v>80597184</v>
      </c>
      <c r="H1530" t="s">
        <v>650</v>
      </c>
    </row>
    <row r="1531" spans="1:8" hidden="1" x14ac:dyDescent="0.3">
      <c r="A1531" s="28">
        <v>14867</v>
      </c>
      <c r="B1531" s="49">
        <v>45194.337500000001</v>
      </c>
      <c r="C1531" s="18">
        <v>45194</v>
      </c>
      <c r="D1531" t="s">
        <v>104</v>
      </c>
      <c r="E1531" s="32">
        <v>0</v>
      </c>
      <c r="F1531" s="32">
        <v>130000</v>
      </c>
      <c r="G1531" s="32">
        <v>83329023</v>
      </c>
      <c r="H1531" t="s">
        <v>651</v>
      </c>
    </row>
    <row r="1532" spans="1:8" hidden="1" x14ac:dyDescent="0.3">
      <c r="A1532" s="28">
        <v>14866</v>
      </c>
      <c r="B1532" s="49">
        <v>45194.336805555555</v>
      </c>
      <c r="C1532" s="18">
        <v>45194</v>
      </c>
      <c r="D1532" t="s">
        <v>104</v>
      </c>
      <c r="E1532" s="32">
        <v>0</v>
      </c>
      <c r="F1532" s="32">
        <v>450000</v>
      </c>
      <c r="G1532" s="32">
        <v>83459023</v>
      </c>
      <c r="H1532" t="s">
        <v>354</v>
      </c>
    </row>
    <row r="1533" spans="1:8" hidden="1" x14ac:dyDescent="0.3">
      <c r="A1533" s="28">
        <v>14865</v>
      </c>
      <c r="B1533" s="49">
        <v>45191.633333333331</v>
      </c>
      <c r="C1533" s="18">
        <v>45191</v>
      </c>
      <c r="D1533" t="s">
        <v>104</v>
      </c>
      <c r="E1533" s="32">
        <v>0</v>
      </c>
      <c r="F1533" s="32">
        <v>36111460</v>
      </c>
      <c r="G1533" s="32">
        <v>83909023</v>
      </c>
      <c r="H1533" t="s">
        <v>330</v>
      </c>
    </row>
    <row r="1534" spans="1:8" hidden="1" x14ac:dyDescent="0.3">
      <c r="A1534" s="28">
        <v>14864</v>
      </c>
      <c r="B1534" s="49">
        <v>45191.631249999999</v>
      </c>
      <c r="C1534" s="18">
        <v>45191</v>
      </c>
      <c r="D1534" t="s">
        <v>104</v>
      </c>
      <c r="E1534" s="32">
        <v>0</v>
      </c>
      <c r="F1534" s="32">
        <v>13785380</v>
      </c>
      <c r="G1534" s="32">
        <v>120020483</v>
      </c>
      <c r="H1534" t="s">
        <v>330</v>
      </c>
    </row>
    <row r="1535" spans="1:8" hidden="1" x14ac:dyDescent="0.3">
      <c r="A1535" s="28">
        <v>14863</v>
      </c>
      <c r="B1535" s="49">
        <v>45191.594444444447</v>
      </c>
      <c r="C1535" s="18">
        <v>45191</v>
      </c>
      <c r="D1535" t="s">
        <v>103</v>
      </c>
      <c r="E1535" s="32">
        <v>462000</v>
      </c>
      <c r="F1535" s="32">
        <v>0</v>
      </c>
      <c r="G1535" s="32">
        <v>133805863</v>
      </c>
      <c r="H1535" t="s">
        <v>501</v>
      </c>
    </row>
    <row r="1536" spans="1:8" hidden="1" x14ac:dyDescent="0.3">
      <c r="A1536" s="28">
        <v>14862</v>
      </c>
      <c r="B1536" s="49">
        <v>45191.594444444447</v>
      </c>
      <c r="C1536" s="18">
        <v>45191</v>
      </c>
      <c r="D1536" t="s">
        <v>103</v>
      </c>
      <c r="E1536" s="32">
        <v>332200</v>
      </c>
      <c r="F1536" s="32">
        <v>0</v>
      </c>
      <c r="G1536" s="32">
        <v>133343863</v>
      </c>
      <c r="H1536" t="s">
        <v>501</v>
      </c>
    </row>
    <row r="1537" spans="1:8" hidden="1" x14ac:dyDescent="0.3">
      <c r="A1537" s="28">
        <v>14860</v>
      </c>
      <c r="B1537" s="49">
        <v>45191.506944444445</v>
      </c>
      <c r="C1537" s="18">
        <v>45191</v>
      </c>
      <c r="D1537" t="s">
        <v>103</v>
      </c>
      <c r="E1537" s="32">
        <v>47720</v>
      </c>
      <c r="F1537" s="32">
        <v>0</v>
      </c>
      <c r="G1537" s="32">
        <v>133011663</v>
      </c>
      <c r="H1537" t="s">
        <v>356</v>
      </c>
    </row>
    <row r="1538" spans="1:8" hidden="1" x14ac:dyDescent="0.3">
      <c r="A1538" s="28">
        <v>14859</v>
      </c>
      <c r="B1538" s="49">
        <v>45191.467361111114</v>
      </c>
      <c r="C1538" s="18">
        <v>45191</v>
      </c>
      <c r="D1538" t="s">
        <v>103</v>
      </c>
      <c r="E1538" s="32">
        <v>3993000</v>
      </c>
      <c r="F1538" s="32">
        <v>0</v>
      </c>
      <c r="G1538" s="32">
        <v>132963943</v>
      </c>
      <c r="H1538" t="s">
        <v>652</v>
      </c>
    </row>
    <row r="1539" spans="1:8" hidden="1" x14ac:dyDescent="0.3">
      <c r="A1539" s="28">
        <v>14857</v>
      </c>
      <c r="B1539" s="49">
        <v>45191.424305555556</v>
      </c>
      <c r="C1539" s="18">
        <v>45191</v>
      </c>
      <c r="D1539" t="s">
        <v>103</v>
      </c>
      <c r="E1539" s="32">
        <v>528000</v>
      </c>
      <c r="F1539" s="32">
        <v>0</v>
      </c>
      <c r="G1539" s="32">
        <v>128970943</v>
      </c>
      <c r="H1539" t="s">
        <v>292</v>
      </c>
    </row>
    <row r="1540" spans="1:8" hidden="1" x14ac:dyDescent="0.3">
      <c r="A1540" s="28">
        <v>14856</v>
      </c>
      <c r="B1540" s="49">
        <v>45191.401388888888</v>
      </c>
      <c r="C1540" s="18">
        <v>45191</v>
      </c>
      <c r="D1540" t="s">
        <v>103</v>
      </c>
      <c r="E1540" s="32">
        <v>243100</v>
      </c>
      <c r="F1540" s="32">
        <v>0</v>
      </c>
      <c r="G1540" s="32">
        <v>128442943</v>
      </c>
      <c r="H1540" t="s">
        <v>653</v>
      </c>
    </row>
    <row r="1541" spans="1:8" hidden="1" x14ac:dyDescent="0.3">
      <c r="A1541" s="28">
        <v>14855</v>
      </c>
      <c r="B1541" s="49">
        <v>45191.383333333331</v>
      </c>
      <c r="C1541" s="18">
        <v>45191</v>
      </c>
      <c r="D1541" t="s">
        <v>104</v>
      </c>
      <c r="E1541" s="32">
        <v>0</v>
      </c>
      <c r="F1541" s="32">
        <v>14520</v>
      </c>
      <c r="G1541" s="32">
        <v>128199843</v>
      </c>
      <c r="H1541" t="s">
        <v>645</v>
      </c>
    </row>
    <row r="1542" spans="1:8" hidden="1" x14ac:dyDescent="0.3">
      <c r="A1542" s="28">
        <v>14854</v>
      </c>
      <c r="B1542" s="49">
        <v>45191.343055555553</v>
      </c>
      <c r="C1542" s="18">
        <v>45191</v>
      </c>
      <c r="D1542" t="s">
        <v>104</v>
      </c>
      <c r="E1542" s="32">
        <v>0</v>
      </c>
      <c r="F1542" s="32">
        <v>9244500</v>
      </c>
      <c r="G1542" s="32">
        <v>128214363</v>
      </c>
      <c r="H1542" t="s">
        <v>361</v>
      </c>
    </row>
    <row r="1543" spans="1:8" hidden="1" x14ac:dyDescent="0.3">
      <c r="A1543" s="28">
        <v>14849</v>
      </c>
      <c r="B1543" s="49">
        <v>45190.737500000003</v>
      </c>
      <c r="C1543" s="18">
        <v>45190</v>
      </c>
      <c r="D1543" t="s">
        <v>103</v>
      </c>
      <c r="E1543" s="32">
        <v>521400</v>
      </c>
      <c r="F1543" s="32">
        <v>0</v>
      </c>
      <c r="G1543" s="32">
        <v>137458863</v>
      </c>
      <c r="H1543" t="s">
        <v>561</v>
      </c>
    </row>
    <row r="1544" spans="1:8" hidden="1" x14ac:dyDescent="0.3">
      <c r="A1544" s="28">
        <v>14848</v>
      </c>
      <c r="B1544" s="49">
        <v>45190.724305555559</v>
      </c>
      <c r="C1544" s="18">
        <v>45190</v>
      </c>
      <c r="D1544" t="s">
        <v>103</v>
      </c>
      <c r="E1544" s="32">
        <v>16012700</v>
      </c>
      <c r="F1544" s="32">
        <v>0</v>
      </c>
      <c r="G1544" s="32">
        <v>136937463</v>
      </c>
      <c r="H1544" t="s">
        <v>561</v>
      </c>
    </row>
    <row r="1545" spans="1:8" hidden="1" x14ac:dyDescent="0.3">
      <c r="A1545" s="28">
        <v>14847</v>
      </c>
      <c r="B1545" s="49">
        <v>45190.53125</v>
      </c>
      <c r="C1545" s="18">
        <v>45190</v>
      </c>
      <c r="D1545" t="s">
        <v>103</v>
      </c>
      <c r="E1545" s="32">
        <v>2185700</v>
      </c>
      <c r="F1545" s="32">
        <v>0</v>
      </c>
      <c r="G1545" s="32">
        <v>120924763</v>
      </c>
      <c r="H1545" t="s">
        <v>448</v>
      </c>
    </row>
    <row r="1546" spans="1:8" hidden="1" x14ac:dyDescent="0.3">
      <c r="A1546" s="28">
        <v>14845</v>
      </c>
      <c r="B1546" s="49">
        <v>45190.418055555558</v>
      </c>
      <c r="C1546" s="18">
        <v>45190</v>
      </c>
      <c r="D1546" t="s">
        <v>104</v>
      </c>
      <c r="E1546" s="32">
        <v>0</v>
      </c>
      <c r="F1546" s="32">
        <v>2542820</v>
      </c>
      <c r="G1546" s="32">
        <v>118739063</v>
      </c>
      <c r="H1546" t="s">
        <v>366</v>
      </c>
    </row>
    <row r="1547" spans="1:8" hidden="1" x14ac:dyDescent="0.3">
      <c r="A1547" s="28">
        <v>14844</v>
      </c>
      <c r="B1547" s="49">
        <v>45189.850694444445</v>
      </c>
      <c r="C1547" s="18">
        <v>45189</v>
      </c>
      <c r="D1547" t="s">
        <v>104</v>
      </c>
      <c r="E1547" s="32">
        <v>0</v>
      </c>
      <c r="F1547" s="32">
        <v>598530</v>
      </c>
      <c r="G1547" s="32">
        <v>121281883</v>
      </c>
      <c r="H1547" t="s">
        <v>494</v>
      </c>
    </row>
    <row r="1548" spans="1:8" hidden="1" x14ac:dyDescent="0.3">
      <c r="A1548" s="28">
        <v>14843</v>
      </c>
      <c r="B1548" s="49">
        <v>45189.82916666667</v>
      </c>
      <c r="C1548" s="18">
        <v>45189</v>
      </c>
      <c r="D1548" t="s">
        <v>104</v>
      </c>
      <c r="E1548" s="32">
        <v>0</v>
      </c>
      <c r="F1548" s="32">
        <v>283113</v>
      </c>
      <c r="G1548" s="32">
        <v>121880413</v>
      </c>
      <c r="H1548" t="s">
        <v>495</v>
      </c>
    </row>
    <row r="1549" spans="1:8" hidden="1" x14ac:dyDescent="0.3">
      <c r="A1549" s="28">
        <v>14842</v>
      </c>
      <c r="B1549" s="49">
        <v>45189.819444444445</v>
      </c>
      <c r="C1549" s="18">
        <v>45189</v>
      </c>
      <c r="D1549" t="s">
        <v>104</v>
      </c>
      <c r="E1549" s="32">
        <v>0</v>
      </c>
      <c r="F1549" s="32">
        <v>77429</v>
      </c>
      <c r="G1549" s="32">
        <v>122163526</v>
      </c>
      <c r="H1549" t="s">
        <v>654</v>
      </c>
    </row>
    <row r="1550" spans="1:8" hidden="1" x14ac:dyDescent="0.3">
      <c r="A1550" s="28">
        <v>14841</v>
      </c>
      <c r="B1550" s="49">
        <v>45189.817361111112</v>
      </c>
      <c r="C1550" s="18">
        <v>45189</v>
      </c>
      <c r="D1550" t="s">
        <v>104</v>
      </c>
      <c r="E1550" s="32">
        <v>0</v>
      </c>
      <c r="F1550" s="32">
        <v>1000000</v>
      </c>
      <c r="G1550" s="32">
        <v>122240955</v>
      </c>
      <c r="H1550" t="s">
        <v>655</v>
      </c>
    </row>
    <row r="1551" spans="1:8" hidden="1" x14ac:dyDescent="0.3">
      <c r="A1551" s="28">
        <v>14840</v>
      </c>
      <c r="B1551" s="49">
        <v>45189.627083333333</v>
      </c>
      <c r="C1551" s="18">
        <v>45189</v>
      </c>
      <c r="D1551" t="s">
        <v>103</v>
      </c>
      <c r="E1551" s="32">
        <v>551100</v>
      </c>
      <c r="F1551" s="32">
        <v>0</v>
      </c>
      <c r="G1551" s="32">
        <v>123240955</v>
      </c>
      <c r="H1551" t="s">
        <v>390</v>
      </c>
    </row>
    <row r="1552" spans="1:8" hidden="1" x14ac:dyDescent="0.3">
      <c r="A1552" s="28">
        <v>14837</v>
      </c>
      <c r="B1552" s="49">
        <v>45189.425694444442</v>
      </c>
      <c r="C1552" s="18">
        <v>45189</v>
      </c>
      <c r="D1552" t="s">
        <v>104</v>
      </c>
      <c r="E1552" s="32">
        <v>0</v>
      </c>
      <c r="F1552" s="32">
        <v>1090520</v>
      </c>
      <c r="G1552" s="32">
        <v>122689855</v>
      </c>
      <c r="H1552" t="s">
        <v>363</v>
      </c>
    </row>
    <row r="1553" spans="1:8" hidden="1" x14ac:dyDescent="0.3">
      <c r="A1553" s="28">
        <v>14836</v>
      </c>
      <c r="B1553" s="49">
        <v>45189.397916666669</v>
      </c>
      <c r="C1553" s="18">
        <v>45189</v>
      </c>
      <c r="D1553" t="s">
        <v>104</v>
      </c>
      <c r="E1553" s="32">
        <v>0</v>
      </c>
      <c r="F1553" s="32">
        <v>185900</v>
      </c>
      <c r="G1553" s="32">
        <v>123780375</v>
      </c>
      <c r="H1553" t="s">
        <v>293</v>
      </c>
    </row>
    <row r="1554" spans="1:8" hidden="1" x14ac:dyDescent="0.3">
      <c r="A1554" s="28">
        <v>14835</v>
      </c>
      <c r="B1554" s="49">
        <v>45188.688888888886</v>
      </c>
      <c r="C1554" s="18">
        <v>45188</v>
      </c>
      <c r="D1554" t="s">
        <v>103</v>
      </c>
      <c r="E1554" s="32">
        <v>1488300</v>
      </c>
      <c r="F1554" s="32">
        <v>0</v>
      </c>
      <c r="G1554" s="32">
        <v>123966275</v>
      </c>
      <c r="H1554" t="s">
        <v>394</v>
      </c>
    </row>
    <row r="1555" spans="1:8" hidden="1" x14ac:dyDescent="0.3">
      <c r="A1555" s="28">
        <v>14834</v>
      </c>
      <c r="B1555" s="49">
        <v>45188.629861111112</v>
      </c>
      <c r="C1555" s="18">
        <v>45188</v>
      </c>
      <c r="D1555" t="s">
        <v>104</v>
      </c>
      <c r="E1555" s="32">
        <v>0</v>
      </c>
      <c r="F1555" s="32">
        <v>15000</v>
      </c>
      <c r="G1555" s="32">
        <v>122477975</v>
      </c>
      <c r="H1555" t="s">
        <v>656</v>
      </c>
    </row>
    <row r="1556" spans="1:8" hidden="1" x14ac:dyDescent="0.3">
      <c r="A1556" s="28">
        <v>14833</v>
      </c>
      <c r="B1556" s="49">
        <v>45188.61041666667</v>
      </c>
      <c r="C1556" s="18">
        <v>45188</v>
      </c>
      <c r="D1556" t="s">
        <v>103</v>
      </c>
      <c r="E1556" s="32">
        <v>5000</v>
      </c>
      <c r="F1556" s="32">
        <v>0</v>
      </c>
      <c r="G1556" s="32">
        <v>122492975</v>
      </c>
      <c r="H1556" t="s">
        <v>657</v>
      </c>
    </row>
    <row r="1557" spans="1:8" hidden="1" x14ac:dyDescent="0.3">
      <c r="A1557" s="28">
        <v>14832</v>
      </c>
      <c r="B1557" s="49">
        <v>45188.595138888886</v>
      </c>
      <c r="C1557" s="18">
        <v>45188</v>
      </c>
      <c r="D1557" t="s">
        <v>103</v>
      </c>
      <c r="E1557" s="32">
        <v>66000</v>
      </c>
      <c r="F1557" s="32">
        <v>0</v>
      </c>
      <c r="G1557" s="32">
        <v>122487975</v>
      </c>
      <c r="H1557" t="s">
        <v>658</v>
      </c>
    </row>
    <row r="1558" spans="1:8" hidden="1" x14ac:dyDescent="0.3">
      <c r="A1558" s="28">
        <v>14831</v>
      </c>
      <c r="B1558" s="49">
        <v>45188.59375</v>
      </c>
      <c r="C1558" s="18">
        <v>45188</v>
      </c>
      <c r="D1558" t="s">
        <v>104</v>
      </c>
      <c r="E1558" s="32">
        <v>0</v>
      </c>
      <c r="F1558" s="32">
        <v>60000</v>
      </c>
      <c r="G1558" s="32">
        <v>122421975</v>
      </c>
      <c r="H1558" t="s">
        <v>431</v>
      </c>
    </row>
    <row r="1559" spans="1:8" hidden="1" x14ac:dyDescent="0.3">
      <c r="A1559" s="28">
        <v>14830</v>
      </c>
      <c r="B1559" s="49">
        <v>45188.590277777781</v>
      </c>
      <c r="C1559" s="18">
        <v>45188</v>
      </c>
      <c r="D1559" t="s">
        <v>104</v>
      </c>
      <c r="E1559" s="32">
        <v>0</v>
      </c>
      <c r="F1559" s="32">
        <v>66000</v>
      </c>
      <c r="G1559" s="32">
        <v>122481975</v>
      </c>
      <c r="H1559" t="s">
        <v>659</v>
      </c>
    </row>
    <row r="1560" spans="1:8" hidden="1" x14ac:dyDescent="0.3">
      <c r="A1560" s="28">
        <v>14829</v>
      </c>
      <c r="B1560" s="49">
        <v>45188.487500000003</v>
      </c>
      <c r="C1560" s="18">
        <v>45188</v>
      </c>
      <c r="D1560" t="s">
        <v>104</v>
      </c>
      <c r="E1560" s="32">
        <v>0</v>
      </c>
      <c r="F1560" s="32">
        <v>99000</v>
      </c>
      <c r="G1560" s="32">
        <v>122547975</v>
      </c>
      <c r="H1560" t="s">
        <v>660</v>
      </c>
    </row>
    <row r="1561" spans="1:8" hidden="1" x14ac:dyDescent="0.3">
      <c r="A1561" s="28">
        <v>14826</v>
      </c>
      <c r="B1561" s="49">
        <v>45188.417361111111</v>
      </c>
      <c r="C1561" s="18">
        <v>45188</v>
      </c>
      <c r="D1561" t="s">
        <v>103</v>
      </c>
      <c r="E1561" s="32">
        <v>2330900</v>
      </c>
      <c r="F1561" s="32">
        <v>0</v>
      </c>
      <c r="G1561" s="32">
        <v>122646975</v>
      </c>
      <c r="H1561" t="s">
        <v>292</v>
      </c>
    </row>
    <row r="1562" spans="1:8" hidden="1" x14ac:dyDescent="0.3">
      <c r="A1562" s="28">
        <v>14823</v>
      </c>
      <c r="B1562" s="49">
        <v>45188.388194444444</v>
      </c>
      <c r="C1562" s="18">
        <v>45188</v>
      </c>
      <c r="D1562" t="s">
        <v>103</v>
      </c>
      <c r="E1562" s="32">
        <v>201300</v>
      </c>
      <c r="F1562" s="32">
        <v>0</v>
      </c>
      <c r="G1562" s="32">
        <v>120316075</v>
      </c>
      <c r="H1562" t="s">
        <v>384</v>
      </c>
    </row>
    <row r="1563" spans="1:8" hidden="1" x14ac:dyDescent="0.3">
      <c r="A1563" s="28">
        <v>14822</v>
      </c>
      <c r="B1563" s="49">
        <v>45187.793749999997</v>
      </c>
      <c r="C1563" s="18">
        <v>45187</v>
      </c>
      <c r="D1563" t="s">
        <v>104</v>
      </c>
      <c r="E1563" s="32">
        <v>0</v>
      </c>
      <c r="F1563" s="32">
        <v>422750</v>
      </c>
      <c r="G1563" s="32">
        <v>120114775</v>
      </c>
      <c r="H1563" t="s">
        <v>504</v>
      </c>
    </row>
    <row r="1564" spans="1:8" hidden="1" x14ac:dyDescent="0.3">
      <c r="A1564" s="28">
        <v>14821</v>
      </c>
      <c r="B1564" s="49">
        <v>45187.793749999997</v>
      </c>
      <c r="C1564" s="18">
        <v>45187</v>
      </c>
      <c r="D1564" t="s">
        <v>104</v>
      </c>
      <c r="E1564" s="32">
        <v>0</v>
      </c>
      <c r="F1564" s="32">
        <v>1327530</v>
      </c>
      <c r="G1564" s="32">
        <v>120537525</v>
      </c>
      <c r="H1564" t="s">
        <v>504</v>
      </c>
    </row>
    <row r="1565" spans="1:8" hidden="1" x14ac:dyDescent="0.3">
      <c r="A1565" s="28">
        <v>14820</v>
      </c>
      <c r="B1565" s="49">
        <v>45187.793749999997</v>
      </c>
      <c r="C1565" s="18">
        <v>45187</v>
      </c>
      <c r="D1565" t="s">
        <v>104</v>
      </c>
      <c r="E1565" s="32">
        <v>0</v>
      </c>
      <c r="F1565" s="32">
        <v>581200</v>
      </c>
      <c r="G1565" s="32">
        <v>121865055</v>
      </c>
      <c r="H1565" t="s">
        <v>504</v>
      </c>
    </row>
    <row r="1566" spans="1:8" hidden="1" x14ac:dyDescent="0.3">
      <c r="A1566" s="28">
        <v>14819</v>
      </c>
      <c r="B1566" s="49">
        <v>45187.793749999997</v>
      </c>
      <c r="C1566" s="18">
        <v>45187</v>
      </c>
      <c r="D1566" t="s">
        <v>104</v>
      </c>
      <c r="E1566" s="32">
        <v>0</v>
      </c>
      <c r="F1566" s="32">
        <v>898010</v>
      </c>
      <c r="G1566" s="32">
        <v>122446255</v>
      </c>
      <c r="H1566" t="s">
        <v>504</v>
      </c>
    </row>
    <row r="1567" spans="1:8" hidden="1" x14ac:dyDescent="0.3">
      <c r="A1567" s="28">
        <v>14818</v>
      </c>
      <c r="B1567" s="49">
        <v>45187.673611111109</v>
      </c>
      <c r="C1567" s="18">
        <v>45187</v>
      </c>
      <c r="D1567" t="s">
        <v>104</v>
      </c>
      <c r="E1567" s="32">
        <v>0</v>
      </c>
      <c r="F1567" s="32">
        <v>254320</v>
      </c>
      <c r="G1567" s="32">
        <v>123344265</v>
      </c>
      <c r="H1567" t="s">
        <v>352</v>
      </c>
    </row>
    <row r="1568" spans="1:8" hidden="1" x14ac:dyDescent="0.3">
      <c r="A1568" s="28">
        <v>14817</v>
      </c>
      <c r="B1568" s="49">
        <v>45187.665972222225</v>
      </c>
      <c r="C1568" s="18">
        <v>45187</v>
      </c>
      <c r="D1568" t="s">
        <v>103</v>
      </c>
      <c r="E1568" s="32">
        <v>193600</v>
      </c>
      <c r="F1568" s="32">
        <v>0</v>
      </c>
      <c r="G1568" s="32">
        <v>123598585</v>
      </c>
      <c r="H1568" t="s">
        <v>661</v>
      </c>
    </row>
    <row r="1569" spans="1:8" hidden="1" x14ac:dyDescent="0.3">
      <c r="A1569" s="28">
        <v>14816</v>
      </c>
      <c r="B1569" s="49">
        <v>45187.464583333334</v>
      </c>
      <c r="C1569" s="18">
        <v>45187</v>
      </c>
      <c r="D1569" t="s">
        <v>103</v>
      </c>
      <c r="E1569" s="32">
        <v>504900</v>
      </c>
      <c r="F1569" s="32">
        <v>0</v>
      </c>
      <c r="G1569" s="32">
        <v>123404985</v>
      </c>
      <c r="H1569" t="s">
        <v>662</v>
      </c>
    </row>
    <row r="1570" spans="1:8" hidden="1" x14ac:dyDescent="0.3">
      <c r="A1570" s="28">
        <v>14814</v>
      </c>
      <c r="B1570" s="49">
        <v>45187.383333333331</v>
      </c>
      <c r="C1570" s="18">
        <v>45187</v>
      </c>
      <c r="D1570" t="s">
        <v>103</v>
      </c>
      <c r="E1570" s="32">
        <v>548900</v>
      </c>
      <c r="F1570" s="32">
        <v>0</v>
      </c>
      <c r="G1570" s="32">
        <v>122900085</v>
      </c>
      <c r="H1570" t="s">
        <v>525</v>
      </c>
    </row>
    <row r="1571" spans="1:8" hidden="1" x14ac:dyDescent="0.3">
      <c r="A1571" s="28">
        <v>14813</v>
      </c>
      <c r="B1571" s="49">
        <v>45187.383333333331</v>
      </c>
      <c r="C1571" s="18">
        <v>45187</v>
      </c>
      <c r="D1571" t="s">
        <v>103</v>
      </c>
      <c r="E1571" s="32">
        <v>268400</v>
      </c>
      <c r="F1571" s="32">
        <v>0</v>
      </c>
      <c r="G1571" s="32">
        <v>122351185</v>
      </c>
      <c r="H1571" t="s">
        <v>525</v>
      </c>
    </row>
    <row r="1572" spans="1:8" hidden="1" x14ac:dyDescent="0.3">
      <c r="A1572" s="28">
        <v>14812</v>
      </c>
      <c r="B1572" s="49">
        <v>45187.382638888892</v>
      </c>
      <c r="C1572" s="18">
        <v>45187</v>
      </c>
      <c r="D1572" t="s">
        <v>103</v>
      </c>
      <c r="E1572" s="32">
        <v>1828200</v>
      </c>
      <c r="F1572" s="32">
        <v>0</v>
      </c>
      <c r="G1572" s="32">
        <v>122082785</v>
      </c>
      <c r="H1572" t="s">
        <v>525</v>
      </c>
    </row>
    <row r="1573" spans="1:8" hidden="1" x14ac:dyDescent="0.3">
      <c r="A1573" s="28">
        <v>14811</v>
      </c>
      <c r="B1573" s="49">
        <v>45187.36041666667</v>
      </c>
      <c r="C1573" s="18">
        <v>45187</v>
      </c>
      <c r="D1573" t="s">
        <v>103</v>
      </c>
      <c r="E1573" s="32">
        <v>151800</v>
      </c>
      <c r="F1573" s="32">
        <v>0</v>
      </c>
      <c r="G1573" s="32">
        <v>120254585</v>
      </c>
      <c r="H1573" t="s">
        <v>292</v>
      </c>
    </row>
    <row r="1574" spans="1:8" hidden="1" x14ac:dyDescent="0.3">
      <c r="A1574" s="28">
        <v>14808</v>
      </c>
      <c r="B1574" s="49">
        <v>45184.835416666669</v>
      </c>
      <c r="C1574" s="18">
        <v>45184</v>
      </c>
      <c r="D1574" t="s">
        <v>104</v>
      </c>
      <c r="E1574" s="32">
        <v>0</v>
      </c>
      <c r="F1574" s="32">
        <v>592600</v>
      </c>
      <c r="G1574" s="32">
        <v>120102785</v>
      </c>
      <c r="H1574" t="s">
        <v>505</v>
      </c>
    </row>
    <row r="1575" spans="1:8" hidden="1" x14ac:dyDescent="0.3">
      <c r="A1575" s="28">
        <v>14807</v>
      </c>
      <c r="B1575" s="49">
        <v>45184.809027777781</v>
      </c>
      <c r="C1575" s="18">
        <v>45184</v>
      </c>
      <c r="D1575" t="s">
        <v>104</v>
      </c>
      <c r="E1575" s="32">
        <v>0</v>
      </c>
      <c r="F1575" s="32">
        <v>99000</v>
      </c>
      <c r="G1575" s="32">
        <v>120695385</v>
      </c>
      <c r="H1575" t="s">
        <v>373</v>
      </c>
    </row>
    <row r="1576" spans="1:8" hidden="1" x14ac:dyDescent="0.3">
      <c r="A1576" s="28">
        <v>14806</v>
      </c>
      <c r="B1576" s="49">
        <v>45184.807638888888</v>
      </c>
      <c r="C1576" s="18">
        <v>45184</v>
      </c>
      <c r="D1576" t="s">
        <v>104</v>
      </c>
      <c r="E1576" s="32">
        <v>0</v>
      </c>
      <c r="F1576" s="32">
        <v>242361</v>
      </c>
      <c r="G1576" s="32">
        <v>120794385</v>
      </c>
      <c r="H1576" t="s">
        <v>506</v>
      </c>
    </row>
    <row r="1577" spans="1:8" hidden="1" x14ac:dyDescent="0.3">
      <c r="A1577" s="28">
        <v>14805</v>
      </c>
      <c r="B1577" s="49">
        <v>45184.800694444442</v>
      </c>
      <c r="C1577" s="18">
        <v>45184</v>
      </c>
      <c r="D1577" t="s">
        <v>104</v>
      </c>
      <c r="E1577" s="32">
        <v>0</v>
      </c>
      <c r="F1577" s="32">
        <v>684420</v>
      </c>
      <c r="G1577" s="32">
        <v>121036746</v>
      </c>
      <c r="H1577" t="s">
        <v>507</v>
      </c>
    </row>
    <row r="1578" spans="1:8" hidden="1" x14ac:dyDescent="0.3">
      <c r="A1578" s="28">
        <v>14803</v>
      </c>
      <c r="B1578" s="49">
        <v>45184.759722222225</v>
      </c>
      <c r="C1578" s="18">
        <v>45184</v>
      </c>
      <c r="D1578" t="s">
        <v>104</v>
      </c>
      <c r="E1578" s="32">
        <v>0</v>
      </c>
      <c r="F1578" s="32">
        <v>11205737</v>
      </c>
      <c r="G1578" s="32">
        <v>121721166</v>
      </c>
      <c r="H1578" t="s">
        <v>375</v>
      </c>
    </row>
    <row r="1579" spans="1:8" hidden="1" x14ac:dyDescent="0.3">
      <c r="A1579" s="28">
        <v>14800</v>
      </c>
      <c r="B1579" s="49">
        <v>45184.599305555559</v>
      </c>
      <c r="C1579" s="18">
        <v>45184</v>
      </c>
      <c r="D1579" t="s">
        <v>103</v>
      </c>
      <c r="E1579" s="32">
        <v>215600</v>
      </c>
      <c r="F1579" s="32">
        <v>0</v>
      </c>
      <c r="G1579" s="32">
        <v>132926903</v>
      </c>
      <c r="H1579" t="s">
        <v>468</v>
      </c>
    </row>
    <row r="1580" spans="1:8" hidden="1" x14ac:dyDescent="0.3">
      <c r="A1580" s="28">
        <v>14799</v>
      </c>
      <c r="B1580" s="49">
        <v>45184.581250000003</v>
      </c>
      <c r="C1580" s="18">
        <v>45184</v>
      </c>
      <c r="D1580" t="s">
        <v>103</v>
      </c>
      <c r="E1580" s="32">
        <v>432300</v>
      </c>
      <c r="F1580" s="32">
        <v>0</v>
      </c>
      <c r="G1580" s="32">
        <v>132711303</v>
      </c>
      <c r="H1580" t="s">
        <v>520</v>
      </c>
    </row>
    <row r="1581" spans="1:8" hidden="1" x14ac:dyDescent="0.3">
      <c r="A1581" s="28">
        <v>14798</v>
      </c>
      <c r="B1581" s="49">
        <v>45184.536805555559</v>
      </c>
      <c r="C1581" s="18">
        <v>45184</v>
      </c>
      <c r="D1581" t="s">
        <v>103</v>
      </c>
      <c r="E1581" s="32">
        <v>2411200</v>
      </c>
      <c r="F1581" s="32">
        <v>0</v>
      </c>
      <c r="G1581" s="32">
        <v>132279003</v>
      </c>
      <c r="H1581" t="s">
        <v>324</v>
      </c>
    </row>
    <row r="1582" spans="1:8" hidden="1" x14ac:dyDescent="0.3">
      <c r="A1582" s="28">
        <v>14797</v>
      </c>
      <c r="B1582" s="49">
        <v>45184.536805555559</v>
      </c>
      <c r="C1582" s="18">
        <v>45184</v>
      </c>
      <c r="D1582" t="s">
        <v>103</v>
      </c>
      <c r="E1582" s="32">
        <v>1562000</v>
      </c>
      <c r="F1582" s="32">
        <v>0</v>
      </c>
      <c r="G1582" s="32">
        <v>129867803</v>
      </c>
      <c r="H1582" t="s">
        <v>324</v>
      </c>
    </row>
    <row r="1583" spans="1:8" hidden="1" x14ac:dyDescent="0.3">
      <c r="A1583" s="28">
        <v>14796</v>
      </c>
      <c r="B1583" s="49">
        <v>45184.536805555559</v>
      </c>
      <c r="C1583" s="18">
        <v>45184</v>
      </c>
      <c r="D1583" t="s">
        <v>103</v>
      </c>
      <c r="E1583" s="32">
        <v>473000</v>
      </c>
      <c r="F1583" s="32">
        <v>0</v>
      </c>
      <c r="G1583" s="32">
        <v>128305803</v>
      </c>
      <c r="H1583" t="s">
        <v>324</v>
      </c>
    </row>
    <row r="1584" spans="1:8" hidden="1" x14ac:dyDescent="0.3">
      <c r="A1584" s="28">
        <v>14795</v>
      </c>
      <c r="B1584" s="49">
        <v>45184.536805555559</v>
      </c>
      <c r="C1584" s="18">
        <v>45184</v>
      </c>
      <c r="D1584" t="s">
        <v>103</v>
      </c>
      <c r="E1584" s="32">
        <v>1020800</v>
      </c>
      <c r="F1584" s="32">
        <v>0</v>
      </c>
      <c r="G1584" s="32">
        <v>127832803</v>
      </c>
      <c r="H1584" t="s">
        <v>324</v>
      </c>
    </row>
    <row r="1585" spans="1:8" hidden="1" x14ac:dyDescent="0.3">
      <c r="A1585" s="28">
        <v>14793</v>
      </c>
      <c r="B1585" s="49">
        <v>45184.463888888888</v>
      </c>
      <c r="C1585" s="18">
        <v>45184</v>
      </c>
      <c r="D1585" t="s">
        <v>103</v>
      </c>
      <c r="E1585" s="32">
        <v>15008400</v>
      </c>
      <c r="F1585" s="32">
        <v>0</v>
      </c>
      <c r="G1585" s="32">
        <v>126812003</v>
      </c>
      <c r="H1585" t="s">
        <v>378</v>
      </c>
    </row>
    <row r="1586" spans="1:8" hidden="1" x14ac:dyDescent="0.3">
      <c r="A1586" s="28">
        <v>14792</v>
      </c>
      <c r="B1586" s="49">
        <v>45184.383333333331</v>
      </c>
      <c r="C1586" s="18">
        <v>45184</v>
      </c>
      <c r="D1586" t="s">
        <v>104</v>
      </c>
      <c r="E1586" s="32">
        <v>0</v>
      </c>
      <c r="F1586" s="32">
        <v>20000</v>
      </c>
      <c r="G1586" s="32">
        <v>111803603</v>
      </c>
      <c r="H1586" t="s">
        <v>367</v>
      </c>
    </row>
    <row r="1587" spans="1:8" hidden="1" x14ac:dyDescent="0.3">
      <c r="A1587" s="28">
        <v>14791</v>
      </c>
      <c r="B1587" s="49">
        <v>45184.381249999999</v>
      </c>
      <c r="C1587" s="18">
        <v>45184</v>
      </c>
      <c r="D1587" t="s">
        <v>104</v>
      </c>
      <c r="E1587" s="32">
        <v>0</v>
      </c>
      <c r="F1587" s="32">
        <v>507430</v>
      </c>
      <c r="G1587" s="32">
        <v>111823603</v>
      </c>
      <c r="H1587" t="s">
        <v>293</v>
      </c>
    </row>
    <row r="1588" spans="1:8" hidden="1" x14ac:dyDescent="0.3">
      <c r="A1588" s="28">
        <v>14790</v>
      </c>
      <c r="B1588" s="49">
        <v>45184.379861111112</v>
      </c>
      <c r="C1588" s="18">
        <v>45184</v>
      </c>
      <c r="D1588" t="s">
        <v>104</v>
      </c>
      <c r="E1588" s="32">
        <v>0</v>
      </c>
      <c r="F1588" s="32">
        <v>2361150</v>
      </c>
      <c r="G1588" s="32">
        <v>112331033</v>
      </c>
      <c r="H1588" t="s">
        <v>352</v>
      </c>
    </row>
    <row r="1589" spans="1:8" hidden="1" x14ac:dyDescent="0.3">
      <c r="A1589" s="28">
        <v>14789</v>
      </c>
      <c r="B1589" s="49">
        <v>45183.614583333336</v>
      </c>
      <c r="C1589" s="18">
        <v>45183</v>
      </c>
      <c r="D1589" t="s">
        <v>103</v>
      </c>
      <c r="E1589" s="32">
        <v>962500</v>
      </c>
      <c r="F1589" s="32">
        <v>0</v>
      </c>
      <c r="G1589" s="32">
        <v>114692183</v>
      </c>
      <c r="H1589" t="s">
        <v>663</v>
      </c>
    </row>
    <row r="1590" spans="1:8" hidden="1" x14ac:dyDescent="0.3">
      <c r="A1590" s="28">
        <v>14788</v>
      </c>
      <c r="B1590" s="49">
        <v>45183.609027777777</v>
      </c>
      <c r="C1590" s="18">
        <v>45183</v>
      </c>
      <c r="D1590" t="s">
        <v>104</v>
      </c>
      <c r="E1590" s="32">
        <v>0</v>
      </c>
      <c r="F1590" s="32">
        <v>732000</v>
      </c>
      <c r="G1590" s="32">
        <v>113729683</v>
      </c>
      <c r="H1590" t="s">
        <v>664</v>
      </c>
    </row>
    <row r="1591" spans="1:8" hidden="1" x14ac:dyDescent="0.3">
      <c r="A1591" s="28">
        <v>14787</v>
      </c>
      <c r="B1591" s="49">
        <v>45183.606944444444</v>
      </c>
      <c r="C1591" s="18">
        <v>45183</v>
      </c>
      <c r="D1591" t="s">
        <v>104</v>
      </c>
      <c r="E1591" s="32">
        <v>0</v>
      </c>
      <c r="F1591" s="32">
        <v>184690</v>
      </c>
      <c r="G1591" s="32">
        <v>114461683</v>
      </c>
      <c r="H1591" t="s">
        <v>352</v>
      </c>
    </row>
    <row r="1592" spans="1:8" hidden="1" x14ac:dyDescent="0.3">
      <c r="A1592" s="28">
        <v>14786</v>
      </c>
      <c r="B1592" s="49">
        <v>45183.537499999999</v>
      </c>
      <c r="C1592" s="18">
        <v>45183</v>
      </c>
      <c r="D1592" t="s">
        <v>103</v>
      </c>
      <c r="E1592" s="32">
        <v>266200</v>
      </c>
      <c r="F1592" s="32">
        <v>0</v>
      </c>
      <c r="G1592" s="32">
        <v>114646373</v>
      </c>
      <c r="H1592" t="s">
        <v>600</v>
      </c>
    </row>
    <row r="1593" spans="1:8" hidden="1" x14ac:dyDescent="0.3">
      <c r="A1593" s="28">
        <v>14783</v>
      </c>
      <c r="B1593" s="49">
        <v>45183.397222222222</v>
      </c>
      <c r="C1593" s="18">
        <v>45183</v>
      </c>
      <c r="D1593" t="s">
        <v>103</v>
      </c>
      <c r="E1593" s="32">
        <v>261800</v>
      </c>
      <c r="F1593" s="32">
        <v>0</v>
      </c>
      <c r="G1593" s="32">
        <v>114380173</v>
      </c>
      <c r="H1593" t="s">
        <v>640</v>
      </c>
    </row>
    <row r="1594" spans="1:8" hidden="1" x14ac:dyDescent="0.3">
      <c r="A1594" s="28">
        <v>14782</v>
      </c>
      <c r="B1594" s="49">
        <v>45183.397222222222</v>
      </c>
      <c r="C1594" s="18">
        <v>45183</v>
      </c>
      <c r="D1594" t="s">
        <v>103</v>
      </c>
      <c r="E1594" s="32">
        <v>90200</v>
      </c>
      <c r="F1594" s="32">
        <v>0</v>
      </c>
      <c r="G1594" s="32">
        <v>114118373</v>
      </c>
      <c r="H1594" t="s">
        <v>640</v>
      </c>
    </row>
    <row r="1595" spans="1:8" hidden="1" x14ac:dyDescent="0.3">
      <c r="A1595" s="28">
        <v>14781</v>
      </c>
      <c r="B1595" s="49">
        <v>45183.397222222222</v>
      </c>
      <c r="C1595" s="18">
        <v>45183</v>
      </c>
      <c r="D1595" t="s">
        <v>103</v>
      </c>
      <c r="E1595" s="32">
        <v>1291400</v>
      </c>
      <c r="F1595" s="32">
        <v>0</v>
      </c>
      <c r="G1595" s="32">
        <v>114028173</v>
      </c>
      <c r="H1595" t="s">
        <v>640</v>
      </c>
    </row>
    <row r="1596" spans="1:8" hidden="1" x14ac:dyDescent="0.3">
      <c r="A1596" s="28">
        <v>14780</v>
      </c>
      <c r="B1596" s="49">
        <v>45183.397222222222</v>
      </c>
      <c r="C1596" s="18">
        <v>45183</v>
      </c>
      <c r="D1596" t="s">
        <v>103</v>
      </c>
      <c r="E1596" s="32">
        <v>1041700</v>
      </c>
      <c r="F1596" s="32">
        <v>0</v>
      </c>
      <c r="G1596" s="32">
        <v>112736773</v>
      </c>
      <c r="H1596" t="s">
        <v>640</v>
      </c>
    </row>
    <row r="1597" spans="1:8" hidden="1" x14ac:dyDescent="0.3">
      <c r="A1597" s="28">
        <v>14779</v>
      </c>
      <c r="B1597" s="49">
        <v>45183.397222222222</v>
      </c>
      <c r="C1597" s="18">
        <v>45183</v>
      </c>
      <c r="D1597" t="s">
        <v>103</v>
      </c>
      <c r="E1597" s="32">
        <v>79200</v>
      </c>
      <c r="F1597" s="32">
        <v>0</v>
      </c>
      <c r="G1597" s="32">
        <v>111695073</v>
      </c>
      <c r="H1597" t="s">
        <v>640</v>
      </c>
    </row>
    <row r="1598" spans="1:8" hidden="1" x14ac:dyDescent="0.3">
      <c r="A1598" s="28">
        <v>14778</v>
      </c>
      <c r="B1598" s="49">
        <v>45183.397222222222</v>
      </c>
      <c r="C1598" s="18">
        <v>45183</v>
      </c>
      <c r="D1598" t="s">
        <v>103</v>
      </c>
      <c r="E1598" s="32">
        <v>294800</v>
      </c>
      <c r="F1598" s="32">
        <v>0</v>
      </c>
      <c r="G1598" s="32">
        <v>111615873</v>
      </c>
      <c r="H1598" t="s">
        <v>640</v>
      </c>
    </row>
    <row r="1599" spans="1:8" hidden="1" x14ac:dyDescent="0.3">
      <c r="A1599" s="28">
        <v>14777</v>
      </c>
      <c r="B1599" s="49">
        <v>45183.38958333333</v>
      </c>
      <c r="C1599" s="18">
        <v>45183</v>
      </c>
      <c r="D1599" t="s">
        <v>103</v>
      </c>
      <c r="E1599" s="32">
        <v>209000</v>
      </c>
      <c r="F1599" s="32">
        <v>0</v>
      </c>
      <c r="G1599" s="32">
        <v>111321073</v>
      </c>
      <c r="H1599" t="s">
        <v>292</v>
      </c>
    </row>
    <row r="1600" spans="1:8" hidden="1" x14ac:dyDescent="0.3">
      <c r="A1600" s="28">
        <v>14776</v>
      </c>
      <c r="B1600" s="49">
        <v>45183.355555555558</v>
      </c>
      <c r="C1600" s="18">
        <v>45183</v>
      </c>
      <c r="D1600" t="s">
        <v>104</v>
      </c>
      <c r="E1600" s="32">
        <v>0</v>
      </c>
      <c r="F1600" s="32">
        <v>623000</v>
      </c>
      <c r="G1600" s="32">
        <v>111112073</v>
      </c>
      <c r="H1600" t="s">
        <v>665</v>
      </c>
    </row>
    <row r="1601" spans="1:8" hidden="1" x14ac:dyDescent="0.3">
      <c r="A1601" s="28">
        <v>14775</v>
      </c>
      <c r="B1601" s="49">
        <v>45182.622916666667</v>
      </c>
      <c r="C1601" s="18">
        <v>45182</v>
      </c>
      <c r="D1601" t="s">
        <v>103</v>
      </c>
      <c r="E1601" s="32">
        <v>451900</v>
      </c>
      <c r="F1601" s="32">
        <v>0</v>
      </c>
      <c r="G1601" s="32">
        <v>111735073</v>
      </c>
      <c r="H1601" t="s">
        <v>642</v>
      </c>
    </row>
    <row r="1602" spans="1:8" hidden="1" x14ac:dyDescent="0.3">
      <c r="A1602" s="28">
        <v>14774</v>
      </c>
      <c r="B1602" s="49">
        <v>45182.622916666667</v>
      </c>
      <c r="C1602" s="18">
        <v>45182</v>
      </c>
      <c r="D1602" t="s">
        <v>103</v>
      </c>
      <c r="E1602" s="32">
        <v>187900</v>
      </c>
      <c r="F1602" s="32">
        <v>0</v>
      </c>
      <c r="G1602" s="32">
        <v>111283173</v>
      </c>
      <c r="H1602" t="s">
        <v>642</v>
      </c>
    </row>
    <row r="1603" spans="1:8" hidden="1" x14ac:dyDescent="0.3">
      <c r="A1603" s="28">
        <v>14773</v>
      </c>
      <c r="B1603" s="49">
        <v>45182.620833333334</v>
      </c>
      <c r="C1603" s="18">
        <v>45182</v>
      </c>
      <c r="D1603" t="s">
        <v>103</v>
      </c>
      <c r="E1603" s="32">
        <v>510400</v>
      </c>
      <c r="F1603" s="32">
        <v>0</v>
      </c>
      <c r="G1603" s="32">
        <v>111095273</v>
      </c>
      <c r="H1603" t="s">
        <v>666</v>
      </c>
    </row>
    <row r="1604" spans="1:8" hidden="1" x14ac:dyDescent="0.3">
      <c r="A1604" s="28">
        <v>14772</v>
      </c>
      <c r="B1604" s="49">
        <v>45182.611805555556</v>
      </c>
      <c r="C1604" s="18">
        <v>45182</v>
      </c>
      <c r="D1604" t="s">
        <v>104</v>
      </c>
      <c r="E1604" s="32">
        <v>0</v>
      </c>
      <c r="F1604" s="32">
        <v>118470</v>
      </c>
      <c r="G1604" s="32">
        <v>110584873</v>
      </c>
      <c r="H1604" t="s">
        <v>293</v>
      </c>
    </row>
    <row r="1605" spans="1:8" hidden="1" x14ac:dyDescent="0.3">
      <c r="A1605" s="28">
        <v>14771</v>
      </c>
      <c r="B1605" s="49">
        <v>45182.594444444447</v>
      </c>
      <c r="C1605" s="18">
        <v>45182</v>
      </c>
      <c r="D1605" t="s">
        <v>103</v>
      </c>
      <c r="E1605" s="32">
        <v>4519000</v>
      </c>
      <c r="F1605" s="32">
        <v>0</v>
      </c>
      <c r="G1605" s="32">
        <v>110703343</v>
      </c>
      <c r="H1605" t="s">
        <v>643</v>
      </c>
    </row>
    <row r="1606" spans="1:8" hidden="1" x14ac:dyDescent="0.3">
      <c r="A1606" s="28">
        <v>14770</v>
      </c>
      <c r="B1606" s="49">
        <v>45182.594444444447</v>
      </c>
      <c r="C1606" s="18">
        <v>45182</v>
      </c>
      <c r="D1606" t="s">
        <v>103</v>
      </c>
      <c r="E1606" s="32">
        <v>1879000</v>
      </c>
      <c r="F1606" s="32">
        <v>0</v>
      </c>
      <c r="G1606" s="32">
        <v>106184343</v>
      </c>
      <c r="H1606" t="s">
        <v>643</v>
      </c>
    </row>
    <row r="1607" spans="1:8" hidden="1" x14ac:dyDescent="0.3">
      <c r="A1607" s="28">
        <v>14763</v>
      </c>
      <c r="B1607" s="49">
        <v>45181.691666666666</v>
      </c>
      <c r="C1607" s="18">
        <v>45181</v>
      </c>
      <c r="D1607" t="s">
        <v>104</v>
      </c>
      <c r="E1607" s="32">
        <v>0</v>
      </c>
      <c r="F1607" s="32">
        <v>99000</v>
      </c>
      <c r="G1607" s="32">
        <v>104305343</v>
      </c>
      <c r="H1607" t="s">
        <v>667</v>
      </c>
    </row>
    <row r="1608" spans="1:8" hidden="1" x14ac:dyDescent="0.3">
      <c r="A1608" s="28">
        <v>14762</v>
      </c>
      <c r="B1608" s="49">
        <v>45181.481249999997</v>
      </c>
      <c r="C1608" s="18">
        <v>45181</v>
      </c>
      <c r="D1608" t="s">
        <v>104</v>
      </c>
      <c r="E1608" s="32">
        <v>0</v>
      </c>
      <c r="F1608" s="32">
        <v>99000</v>
      </c>
      <c r="G1608" s="32">
        <v>104404343</v>
      </c>
      <c r="H1608" t="s">
        <v>668</v>
      </c>
    </row>
    <row r="1609" spans="1:8" hidden="1" x14ac:dyDescent="0.3">
      <c r="A1609" s="28">
        <v>14760</v>
      </c>
      <c r="B1609" s="49">
        <v>45181.438194444447</v>
      </c>
      <c r="C1609" s="18">
        <v>45181</v>
      </c>
      <c r="D1609" t="s">
        <v>103</v>
      </c>
      <c r="E1609" s="32">
        <v>188100</v>
      </c>
      <c r="F1609" s="32">
        <v>0</v>
      </c>
      <c r="G1609" s="32">
        <v>104503343</v>
      </c>
      <c r="H1609" t="s">
        <v>292</v>
      </c>
    </row>
    <row r="1610" spans="1:8" hidden="1" x14ac:dyDescent="0.3">
      <c r="A1610" s="28">
        <v>14759</v>
      </c>
      <c r="B1610" s="49">
        <v>45181.438194444447</v>
      </c>
      <c r="C1610" s="18">
        <v>45181</v>
      </c>
      <c r="D1610" t="s">
        <v>103</v>
      </c>
      <c r="E1610" s="32">
        <v>1317800</v>
      </c>
      <c r="F1610" s="32">
        <v>0</v>
      </c>
      <c r="G1610" s="32">
        <v>104315243</v>
      </c>
      <c r="H1610" t="s">
        <v>292</v>
      </c>
    </row>
    <row r="1611" spans="1:8" hidden="1" x14ac:dyDescent="0.3">
      <c r="A1611" s="28">
        <v>14758</v>
      </c>
      <c r="B1611" s="49">
        <v>45181.436805555553</v>
      </c>
      <c r="C1611" s="18">
        <v>45181</v>
      </c>
      <c r="D1611" t="s">
        <v>103</v>
      </c>
      <c r="E1611" s="32">
        <v>6768300</v>
      </c>
      <c r="F1611" s="32">
        <v>0</v>
      </c>
      <c r="G1611" s="32">
        <v>102997443</v>
      </c>
      <c r="H1611" t="s">
        <v>306</v>
      </c>
    </row>
    <row r="1612" spans="1:8" hidden="1" x14ac:dyDescent="0.3">
      <c r="A1612" s="28">
        <v>14757</v>
      </c>
      <c r="B1612" s="49">
        <v>45180.835416666669</v>
      </c>
      <c r="C1612" s="18">
        <v>45180</v>
      </c>
      <c r="D1612" t="s">
        <v>104</v>
      </c>
      <c r="E1612" s="32">
        <v>0</v>
      </c>
      <c r="F1612" s="32">
        <v>35500</v>
      </c>
      <c r="G1612" s="32">
        <v>96229143</v>
      </c>
      <c r="H1612" t="s">
        <v>669</v>
      </c>
    </row>
    <row r="1613" spans="1:8" hidden="1" x14ac:dyDescent="0.3">
      <c r="A1613" s="28">
        <v>14752</v>
      </c>
      <c r="B1613" s="49">
        <v>45180.743750000001</v>
      </c>
      <c r="C1613" s="18">
        <v>45180</v>
      </c>
      <c r="D1613" t="s">
        <v>103</v>
      </c>
      <c r="E1613" s="32">
        <v>4642000</v>
      </c>
      <c r="F1613" s="32">
        <v>0</v>
      </c>
      <c r="G1613" s="32">
        <v>96264643</v>
      </c>
      <c r="H1613" t="s">
        <v>454</v>
      </c>
    </row>
    <row r="1614" spans="1:8" hidden="1" x14ac:dyDescent="0.3">
      <c r="A1614" s="28">
        <v>14750</v>
      </c>
      <c r="B1614" s="49">
        <v>45180.613194444442</v>
      </c>
      <c r="C1614" s="18">
        <v>45180</v>
      </c>
      <c r="D1614" t="s">
        <v>103</v>
      </c>
      <c r="E1614" s="32">
        <v>286000</v>
      </c>
      <c r="F1614" s="32">
        <v>0</v>
      </c>
      <c r="G1614" s="32">
        <v>91622643</v>
      </c>
      <c r="H1614" t="s">
        <v>526</v>
      </c>
    </row>
    <row r="1615" spans="1:8" hidden="1" x14ac:dyDescent="0.3">
      <c r="A1615" s="28">
        <v>14749</v>
      </c>
      <c r="B1615" s="49">
        <v>45180.613194444442</v>
      </c>
      <c r="C1615" s="18">
        <v>45180</v>
      </c>
      <c r="D1615" t="s">
        <v>103</v>
      </c>
      <c r="E1615" s="32">
        <v>1372800</v>
      </c>
      <c r="F1615" s="32">
        <v>0</v>
      </c>
      <c r="G1615" s="32">
        <v>91336643</v>
      </c>
      <c r="H1615" t="s">
        <v>526</v>
      </c>
    </row>
    <row r="1616" spans="1:8" hidden="1" x14ac:dyDescent="0.3">
      <c r="A1616" s="28">
        <v>14748</v>
      </c>
      <c r="B1616" s="49">
        <v>45180.588888888888</v>
      </c>
      <c r="C1616" s="18">
        <v>45180</v>
      </c>
      <c r="D1616" t="s">
        <v>104</v>
      </c>
      <c r="E1616" s="32">
        <v>0</v>
      </c>
      <c r="F1616" s="32">
        <v>414150</v>
      </c>
      <c r="G1616" s="32">
        <v>89963843</v>
      </c>
      <c r="H1616" t="s">
        <v>293</v>
      </c>
    </row>
    <row r="1617" spans="1:8" hidden="1" x14ac:dyDescent="0.3">
      <c r="A1617" s="28">
        <v>14747</v>
      </c>
      <c r="B1617" s="49">
        <v>45180.54583333333</v>
      </c>
      <c r="C1617" s="18">
        <v>45180</v>
      </c>
      <c r="D1617" t="s">
        <v>104</v>
      </c>
      <c r="E1617" s="32">
        <v>0</v>
      </c>
      <c r="F1617" s="32">
        <v>96360</v>
      </c>
      <c r="G1617" s="32">
        <v>90377993</v>
      </c>
      <c r="H1617" t="s">
        <v>293</v>
      </c>
    </row>
    <row r="1618" spans="1:8" hidden="1" x14ac:dyDescent="0.3">
      <c r="A1618" s="28">
        <v>14744</v>
      </c>
      <c r="B1618" s="49">
        <v>45180.463194444441</v>
      </c>
      <c r="C1618" s="18">
        <v>45180</v>
      </c>
      <c r="D1618" t="s">
        <v>103</v>
      </c>
      <c r="E1618" s="32">
        <v>2576200</v>
      </c>
      <c r="F1618" s="32">
        <v>0</v>
      </c>
      <c r="G1618" s="32">
        <v>90474353</v>
      </c>
      <c r="H1618" t="s">
        <v>463</v>
      </c>
    </row>
    <row r="1619" spans="1:8" hidden="1" x14ac:dyDescent="0.3">
      <c r="A1619" s="28">
        <v>14742</v>
      </c>
      <c r="B1619" s="49">
        <v>45180.43472222222</v>
      </c>
      <c r="C1619" s="18">
        <v>45180</v>
      </c>
      <c r="D1619" t="s">
        <v>104</v>
      </c>
      <c r="E1619" s="32">
        <v>0</v>
      </c>
      <c r="F1619" s="32">
        <v>507890</v>
      </c>
      <c r="G1619" s="32">
        <v>87898153</v>
      </c>
      <c r="H1619" t="s">
        <v>298</v>
      </c>
    </row>
    <row r="1620" spans="1:8" hidden="1" x14ac:dyDescent="0.3">
      <c r="A1620" s="28">
        <v>14740</v>
      </c>
      <c r="B1620" s="49">
        <v>45180.422222222223</v>
      </c>
      <c r="C1620" s="18">
        <v>45180</v>
      </c>
      <c r="D1620" t="s">
        <v>104</v>
      </c>
      <c r="E1620" s="32">
        <v>0</v>
      </c>
      <c r="F1620" s="32">
        <v>100000000</v>
      </c>
      <c r="G1620" s="32">
        <v>88406043</v>
      </c>
      <c r="H1620" t="s">
        <v>342</v>
      </c>
    </row>
    <row r="1621" spans="1:8" hidden="1" x14ac:dyDescent="0.3">
      <c r="A1621" s="28">
        <v>14737</v>
      </c>
      <c r="B1621" s="49">
        <v>45177.625694444447</v>
      </c>
      <c r="C1621" s="18">
        <v>45177</v>
      </c>
      <c r="D1621" t="s">
        <v>103</v>
      </c>
      <c r="E1621" s="32">
        <v>222200</v>
      </c>
      <c r="F1621" s="32">
        <v>0</v>
      </c>
      <c r="G1621" s="32">
        <v>188406043</v>
      </c>
      <c r="H1621" t="s">
        <v>670</v>
      </c>
    </row>
    <row r="1622" spans="1:8" hidden="1" x14ac:dyDescent="0.3">
      <c r="A1622" s="28">
        <v>14736</v>
      </c>
      <c r="B1622" s="49">
        <v>45177.588888888888</v>
      </c>
      <c r="C1622" s="18">
        <v>45177</v>
      </c>
      <c r="D1622" t="s">
        <v>103</v>
      </c>
      <c r="E1622" s="32">
        <v>173800</v>
      </c>
      <c r="F1622" s="32">
        <v>0</v>
      </c>
      <c r="G1622" s="32">
        <v>188183843</v>
      </c>
      <c r="H1622" t="s">
        <v>437</v>
      </c>
    </row>
    <row r="1623" spans="1:8" hidden="1" x14ac:dyDescent="0.3">
      <c r="A1623" s="28">
        <v>14735</v>
      </c>
      <c r="B1623" s="49">
        <v>45177.582638888889</v>
      </c>
      <c r="C1623" s="18">
        <v>45177</v>
      </c>
      <c r="D1623" t="s">
        <v>103</v>
      </c>
      <c r="E1623" s="32">
        <v>1581800</v>
      </c>
      <c r="F1623" s="32">
        <v>0</v>
      </c>
      <c r="G1623" s="32">
        <v>188010043</v>
      </c>
      <c r="H1623" t="s">
        <v>300</v>
      </c>
    </row>
    <row r="1624" spans="1:8" hidden="1" x14ac:dyDescent="0.3">
      <c r="A1624" s="28">
        <v>14734</v>
      </c>
      <c r="B1624" s="49">
        <v>45177.581944444442</v>
      </c>
      <c r="C1624" s="18">
        <v>45177</v>
      </c>
      <c r="D1624" t="s">
        <v>103</v>
      </c>
      <c r="E1624" s="32">
        <v>279510</v>
      </c>
      <c r="F1624" s="32">
        <v>0</v>
      </c>
      <c r="G1624" s="32">
        <v>186428243</v>
      </c>
      <c r="H1624" t="s">
        <v>387</v>
      </c>
    </row>
    <row r="1625" spans="1:8" hidden="1" x14ac:dyDescent="0.3">
      <c r="A1625" s="28">
        <v>14733</v>
      </c>
      <c r="B1625" s="49">
        <v>45177.579861111109</v>
      </c>
      <c r="C1625" s="18">
        <v>45177</v>
      </c>
      <c r="D1625" t="s">
        <v>103</v>
      </c>
      <c r="E1625" s="32">
        <v>58000</v>
      </c>
      <c r="F1625" s="32">
        <v>0</v>
      </c>
      <c r="G1625" s="32">
        <v>186148733</v>
      </c>
      <c r="H1625" t="s">
        <v>573</v>
      </c>
    </row>
    <row r="1626" spans="1:8" hidden="1" x14ac:dyDescent="0.3">
      <c r="A1626" s="28">
        <v>14732</v>
      </c>
      <c r="B1626" s="49">
        <v>45177.579861111109</v>
      </c>
      <c r="C1626" s="18">
        <v>45177</v>
      </c>
      <c r="D1626" t="s">
        <v>103</v>
      </c>
      <c r="E1626" s="32">
        <v>580000</v>
      </c>
      <c r="F1626" s="32">
        <v>0</v>
      </c>
      <c r="G1626" s="32">
        <v>186090733</v>
      </c>
      <c r="H1626" t="s">
        <v>573</v>
      </c>
    </row>
    <row r="1627" spans="1:8" hidden="1" x14ac:dyDescent="0.3">
      <c r="A1627" s="28">
        <v>14729</v>
      </c>
      <c r="B1627" s="49">
        <v>45177.378472222219</v>
      </c>
      <c r="C1627" s="18">
        <v>45177</v>
      </c>
      <c r="D1627" t="s">
        <v>103</v>
      </c>
      <c r="E1627" s="32">
        <v>2493700</v>
      </c>
      <c r="F1627" s="32">
        <v>0</v>
      </c>
      <c r="G1627" s="32">
        <v>185510733</v>
      </c>
      <c r="H1627" t="s">
        <v>399</v>
      </c>
    </row>
    <row r="1628" spans="1:8" hidden="1" x14ac:dyDescent="0.3">
      <c r="A1628" s="28">
        <v>14727</v>
      </c>
      <c r="B1628" s="49">
        <v>45176.824999999997</v>
      </c>
      <c r="C1628" s="18">
        <v>45176</v>
      </c>
      <c r="D1628" t="s">
        <v>103</v>
      </c>
      <c r="E1628" s="32">
        <v>155100</v>
      </c>
      <c r="F1628" s="32">
        <v>0</v>
      </c>
      <c r="G1628" s="32">
        <v>183017033</v>
      </c>
      <c r="H1628" t="s">
        <v>323</v>
      </c>
    </row>
    <row r="1629" spans="1:8" hidden="1" x14ac:dyDescent="0.3">
      <c r="A1629" s="28">
        <v>14726</v>
      </c>
      <c r="B1629" s="49">
        <v>45176.703472222223</v>
      </c>
      <c r="C1629" s="18">
        <v>45176</v>
      </c>
      <c r="D1629" t="s">
        <v>103</v>
      </c>
      <c r="E1629" s="32">
        <v>408100</v>
      </c>
      <c r="F1629" s="32">
        <v>0</v>
      </c>
      <c r="G1629" s="32">
        <v>182861933</v>
      </c>
      <c r="H1629" t="s">
        <v>526</v>
      </c>
    </row>
    <row r="1630" spans="1:8" hidden="1" x14ac:dyDescent="0.3">
      <c r="A1630" s="28">
        <v>14725</v>
      </c>
      <c r="B1630" s="49">
        <v>45176.68472222222</v>
      </c>
      <c r="C1630" s="18">
        <v>45176</v>
      </c>
      <c r="D1630" t="s">
        <v>103</v>
      </c>
      <c r="E1630" s="32">
        <v>4742100</v>
      </c>
      <c r="F1630" s="32">
        <v>0</v>
      </c>
      <c r="G1630" s="32">
        <v>182453833</v>
      </c>
      <c r="H1630" t="s">
        <v>486</v>
      </c>
    </row>
    <row r="1631" spans="1:8" hidden="1" x14ac:dyDescent="0.3">
      <c r="A1631" s="28">
        <v>14724</v>
      </c>
      <c r="B1631" s="49">
        <v>45176.595138888886</v>
      </c>
      <c r="C1631" s="18">
        <v>45176</v>
      </c>
      <c r="D1631" t="s">
        <v>104</v>
      </c>
      <c r="E1631" s="32">
        <v>0</v>
      </c>
      <c r="F1631" s="32">
        <v>82610</v>
      </c>
      <c r="G1631" s="32">
        <v>177711733</v>
      </c>
      <c r="H1631" t="s">
        <v>293</v>
      </c>
    </row>
    <row r="1632" spans="1:8" hidden="1" x14ac:dyDescent="0.3">
      <c r="A1632" s="28">
        <v>14723</v>
      </c>
      <c r="B1632" s="49">
        <v>45176.569444444445</v>
      </c>
      <c r="C1632" s="18">
        <v>45176</v>
      </c>
      <c r="D1632" t="s">
        <v>103</v>
      </c>
      <c r="E1632" s="32">
        <v>522000</v>
      </c>
      <c r="F1632" s="32">
        <v>0</v>
      </c>
      <c r="G1632" s="32">
        <v>177794343</v>
      </c>
      <c r="H1632" t="s">
        <v>671</v>
      </c>
    </row>
    <row r="1633" spans="1:8" hidden="1" x14ac:dyDescent="0.3">
      <c r="A1633" s="28">
        <v>14722</v>
      </c>
      <c r="B1633" s="49">
        <v>45176.561805555553</v>
      </c>
      <c r="C1633" s="18">
        <v>45176</v>
      </c>
      <c r="D1633" t="s">
        <v>103</v>
      </c>
      <c r="E1633" s="32">
        <v>199000</v>
      </c>
      <c r="F1633" s="32">
        <v>0</v>
      </c>
      <c r="G1633" s="32">
        <v>177272343</v>
      </c>
      <c r="H1633" t="s">
        <v>580</v>
      </c>
    </row>
    <row r="1634" spans="1:8" hidden="1" x14ac:dyDescent="0.3">
      <c r="A1634" s="28">
        <v>14721</v>
      </c>
      <c r="B1634" s="49">
        <v>45176.552777777775</v>
      </c>
      <c r="C1634" s="18">
        <v>45176</v>
      </c>
      <c r="D1634" t="s">
        <v>103</v>
      </c>
      <c r="E1634" s="32">
        <v>19900</v>
      </c>
      <c r="F1634" s="32">
        <v>0</v>
      </c>
      <c r="G1634" s="32">
        <v>177073343</v>
      </c>
      <c r="H1634" t="s">
        <v>579</v>
      </c>
    </row>
    <row r="1635" spans="1:8" hidden="1" x14ac:dyDescent="0.3">
      <c r="A1635" s="28">
        <v>14720</v>
      </c>
      <c r="B1635" s="49">
        <v>45176.552777777775</v>
      </c>
      <c r="C1635" s="18">
        <v>45176</v>
      </c>
      <c r="D1635" t="s">
        <v>103</v>
      </c>
      <c r="E1635" s="32">
        <v>52200</v>
      </c>
      <c r="F1635" s="32">
        <v>0</v>
      </c>
      <c r="G1635" s="32">
        <v>177053443</v>
      </c>
      <c r="H1635" t="s">
        <v>579</v>
      </c>
    </row>
    <row r="1636" spans="1:8" hidden="1" x14ac:dyDescent="0.3">
      <c r="A1636" s="28">
        <v>14719</v>
      </c>
      <c r="B1636" s="49">
        <v>45176.498611111114</v>
      </c>
      <c r="C1636" s="18">
        <v>45176</v>
      </c>
      <c r="D1636" t="s">
        <v>104</v>
      </c>
      <c r="E1636" s="32">
        <v>0</v>
      </c>
      <c r="F1636" s="32">
        <v>344000</v>
      </c>
      <c r="G1636" s="32">
        <v>177001243</v>
      </c>
      <c r="H1636" t="s">
        <v>391</v>
      </c>
    </row>
    <row r="1637" spans="1:8" hidden="1" x14ac:dyDescent="0.3">
      <c r="A1637" s="28">
        <v>14718</v>
      </c>
      <c r="B1637" s="49">
        <v>45176.497916666667</v>
      </c>
      <c r="C1637" s="18">
        <v>45176</v>
      </c>
      <c r="D1637" t="s">
        <v>104</v>
      </c>
      <c r="E1637" s="32">
        <v>0</v>
      </c>
      <c r="F1637" s="32">
        <v>3431290</v>
      </c>
      <c r="G1637" s="32">
        <v>177345243</v>
      </c>
      <c r="H1637" t="s">
        <v>392</v>
      </c>
    </row>
    <row r="1638" spans="1:8" hidden="1" x14ac:dyDescent="0.3">
      <c r="A1638" s="28">
        <v>14717</v>
      </c>
      <c r="B1638" s="49">
        <v>45176.49722222222</v>
      </c>
      <c r="C1638" s="18">
        <v>45176</v>
      </c>
      <c r="D1638" t="s">
        <v>104</v>
      </c>
      <c r="E1638" s="32">
        <v>0</v>
      </c>
      <c r="F1638" s="32">
        <v>9300</v>
      </c>
      <c r="G1638" s="32">
        <v>180776533</v>
      </c>
      <c r="H1638" t="s">
        <v>393</v>
      </c>
    </row>
    <row r="1639" spans="1:8" hidden="1" x14ac:dyDescent="0.3">
      <c r="A1639" s="28">
        <v>14716</v>
      </c>
      <c r="B1639" s="49">
        <v>45176.495833333334</v>
      </c>
      <c r="C1639" s="18">
        <v>45176</v>
      </c>
      <c r="D1639" t="s">
        <v>104</v>
      </c>
      <c r="E1639" s="32">
        <v>0</v>
      </c>
      <c r="F1639" s="32">
        <v>60500</v>
      </c>
      <c r="G1639" s="32">
        <v>180785833</v>
      </c>
      <c r="H1639" t="s">
        <v>672</v>
      </c>
    </row>
    <row r="1640" spans="1:8" hidden="1" x14ac:dyDescent="0.3">
      <c r="A1640" s="28">
        <v>14714</v>
      </c>
      <c r="B1640" s="49">
        <v>45176.37777777778</v>
      </c>
      <c r="C1640" s="18">
        <v>45176</v>
      </c>
      <c r="D1640" t="s">
        <v>103</v>
      </c>
      <c r="E1640" s="32">
        <v>585200</v>
      </c>
      <c r="F1640" s="32">
        <v>0</v>
      </c>
      <c r="G1640" s="32">
        <v>180846333</v>
      </c>
      <c r="H1640" t="s">
        <v>399</v>
      </c>
    </row>
    <row r="1641" spans="1:8" hidden="1" x14ac:dyDescent="0.3">
      <c r="A1641" s="28">
        <v>14713</v>
      </c>
      <c r="B1641" s="49">
        <v>45176.37777777778</v>
      </c>
      <c r="C1641" s="18">
        <v>45176</v>
      </c>
      <c r="D1641" t="s">
        <v>103</v>
      </c>
      <c r="E1641" s="32">
        <v>2675200</v>
      </c>
      <c r="F1641" s="32">
        <v>0</v>
      </c>
      <c r="G1641" s="32">
        <v>180261133</v>
      </c>
      <c r="H1641" t="s">
        <v>399</v>
      </c>
    </row>
    <row r="1642" spans="1:8" hidden="1" x14ac:dyDescent="0.3">
      <c r="A1642" s="28">
        <v>14712</v>
      </c>
      <c r="B1642" s="49">
        <v>45175.775694444441</v>
      </c>
      <c r="C1642" s="18">
        <v>45175</v>
      </c>
      <c r="D1642" t="s">
        <v>103</v>
      </c>
      <c r="E1642" s="32">
        <v>37600</v>
      </c>
      <c r="F1642" s="32">
        <v>0</v>
      </c>
      <c r="G1642" s="32">
        <v>177585933</v>
      </c>
      <c r="H1642" t="s">
        <v>673</v>
      </c>
    </row>
    <row r="1643" spans="1:8" hidden="1" x14ac:dyDescent="0.3">
      <c r="A1643" s="28">
        <v>14711</v>
      </c>
      <c r="B1643" s="49">
        <v>45175.775000000001</v>
      </c>
      <c r="C1643" s="18">
        <v>45175</v>
      </c>
      <c r="D1643" t="s">
        <v>103</v>
      </c>
      <c r="E1643" s="32">
        <v>376000</v>
      </c>
      <c r="F1643" s="32">
        <v>0</v>
      </c>
      <c r="G1643" s="32">
        <v>177548333</v>
      </c>
      <c r="H1643" t="s">
        <v>673</v>
      </c>
    </row>
    <row r="1644" spans="1:8" hidden="1" x14ac:dyDescent="0.3">
      <c r="A1644" s="28">
        <v>14710</v>
      </c>
      <c r="B1644" s="49">
        <v>45175.559027777781</v>
      </c>
      <c r="C1644" s="18">
        <v>45175</v>
      </c>
      <c r="D1644" t="s">
        <v>103</v>
      </c>
      <c r="E1644" s="32">
        <v>2964500</v>
      </c>
      <c r="F1644" s="32">
        <v>0</v>
      </c>
      <c r="G1644" s="32">
        <v>177172333</v>
      </c>
      <c r="H1644" t="s">
        <v>674</v>
      </c>
    </row>
    <row r="1645" spans="1:8" hidden="1" x14ac:dyDescent="0.3">
      <c r="A1645" s="28">
        <v>14707</v>
      </c>
      <c r="B1645" s="49">
        <v>45174.833333333336</v>
      </c>
      <c r="C1645" s="18">
        <v>45174</v>
      </c>
      <c r="D1645" t="s">
        <v>104</v>
      </c>
      <c r="E1645" s="32">
        <v>0</v>
      </c>
      <c r="F1645" s="32">
        <v>626472</v>
      </c>
      <c r="G1645" s="32">
        <v>174207833</v>
      </c>
      <c r="H1645" t="s">
        <v>675</v>
      </c>
    </row>
    <row r="1646" spans="1:8" hidden="1" x14ac:dyDescent="0.3">
      <c r="A1646" s="28">
        <v>14706</v>
      </c>
      <c r="B1646" s="49">
        <v>45174.808333333334</v>
      </c>
      <c r="C1646" s="18">
        <v>45174</v>
      </c>
      <c r="D1646" t="s">
        <v>104</v>
      </c>
      <c r="E1646" s="32">
        <v>0</v>
      </c>
      <c r="F1646" s="32">
        <v>751920</v>
      </c>
      <c r="G1646" s="32">
        <v>174834305</v>
      </c>
      <c r="H1646" t="s">
        <v>507</v>
      </c>
    </row>
    <row r="1647" spans="1:8" hidden="1" x14ac:dyDescent="0.3">
      <c r="A1647" s="28">
        <v>14703</v>
      </c>
      <c r="B1647" s="49">
        <v>45174.615972222222</v>
      </c>
      <c r="C1647" s="18">
        <v>45174</v>
      </c>
      <c r="D1647" t="s">
        <v>104</v>
      </c>
      <c r="E1647" s="32">
        <v>0</v>
      </c>
      <c r="F1647" s="32">
        <v>2530000</v>
      </c>
      <c r="G1647" s="32">
        <v>175586225</v>
      </c>
      <c r="H1647" t="s">
        <v>627</v>
      </c>
    </row>
    <row r="1648" spans="1:8" hidden="1" x14ac:dyDescent="0.3">
      <c r="A1648" s="28">
        <v>14702</v>
      </c>
      <c r="B1648" s="49">
        <v>45174.597916666666</v>
      </c>
      <c r="C1648" s="18">
        <v>45174</v>
      </c>
      <c r="D1648" t="s">
        <v>103</v>
      </c>
      <c r="E1648" s="32">
        <v>6416300</v>
      </c>
      <c r="F1648" s="32">
        <v>0</v>
      </c>
      <c r="G1648" s="32">
        <v>178116225</v>
      </c>
      <c r="H1648" t="s">
        <v>300</v>
      </c>
    </row>
    <row r="1649" spans="1:8" hidden="1" x14ac:dyDescent="0.3">
      <c r="A1649" s="28">
        <v>14701</v>
      </c>
      <c r="B1649" s="49">
        <v>45174.567361111112</v>
      </c>
      <c r="C1649" s="18">
        <v>45174</v>
      </c>
      <c r="D1649" t="s">
        <v>103</v>
      </c>
      <c r="E1649" s="32">
        <v>845900</v>
      </c>
      <c r="F1649" s="32">
        <v>0</v>
      </c>
      <c r="G1649" s="32">
        <v>171699925</v>
      </c>
      <c r="H1649" t="s">
        <v>292</v>
      </c>
    </row>
    <row r="1650" spans="1:8" hidden="1" x14ac:dyDescent="0.3">
      <c r="A1650" s="28">
        <v>14698</v>
      </c>
      <c r="B1650" s="49">
        <v>45174.445138888892</v>
      </c>
      <c r="C1650" s="18">
        <v>45174</v>
      </c>
      <c r="D1650" t="s">
        <v>104</v>
      </c>
      <c r="E1650" s="32">
        <v>0</v>
      </c>
      <c r="F1650" s="32">
        <v>767500</v>
      </c>
      <c r="G1650" s="32">
        <v>170854025</v>
      </c>
      <c r="H1650" t="s">
        <v>676</v>
      </c>
    </row>
    <row r="1651" spans="1:8" hidden="1" x14ac:dyDescent="0.3">
      <c r="A1651" s="28">
        <v>14697</v>
      </c>
      <c r="B1651" s="49">
        <v>45174.361805555556</v>
      </c>
      <c r="C1651" s="18">
        <v>45174</v>
      </c>
      <c r="D1651" t="s">
        <v>104</v>
      </c>
      <c r="E1651" s="32">
        <v>0</v>
      </c>
      <c r="F1651" s="32">
        <v>300000</v>
      </c>
      <c r="G1651" s="32">
        <v>171621525</v>
      </c>
      <c r="H1651" t="s">
        <v>677</v>
      </c>
    </row>
    <row r="1652" spans="1:8" hidden="1" x14ac:dyDescent="0.3">
      <c r="A1652" s="28">
        <v>14696</v>
      </c>
      <c r="B1652" s="49">
        <v>45173.567361111112</v>
      </c>
      <c r="C1652" s="18">
        <v>45173</v>
      </c>
      <c r="D1652" t="s">
        <v>103</v>
      </c>
      <c r="E1652" s="32">
        <v>751300</v>
      </c>
      <c r="F1652" s="32">
        <v>0</v>
      </c>
      <c r="G1652" s="32">
        <v>171921525</v>
      </c>
      <c r="H1652" t="s">
        <v>678</v>
      </c>
    </row>
    <row r="1653" spans="1:8" hidden="1" x14ac:dyDescent="0.3">
      <c r="A1653" s="28">
        <v>14695</v>
      </c>
      <c r="B1653" s="49">
        <v>45173.506944444445</v>
      </c>
      <c r="C1653" s="18">
        <v>45173</v>
      </c>
      <c r="D1653" t="s">
        <v>103</v>
      </c>
      <c r="E1653" s="32">
        <v>697400</v>
      </c>
      <c r="F1653" s="32">
        <v>0</v>
      </c>
      <c r="G1653" s="32">
        <v>171170225</v>
      </c>
      <c r="H1653" t="s">
        <v>305</v>
      </c>
    </row>
    <row r="1654" spans="1:8" hidden="1" x14ac:dyDescent="0.3">
      <c r="A1654" s="28">
        <v>14693</v>
      </c>
      <c r="B1654" s="49">
        <v>45173.425694444442</v>
      </c>
      <c r="C1654" s="18">
        <v>45173</v>
      </c>
      <c r="D1654" t="s">
        <v>104</v>
      </c>
      <c r="E1654" s="32">
        <v>0</v>
      </c>
      <c r="F1654" s="32">
        <v>268290</v>
      </c>
      <c r="G1654" s="32">
        <v>170472825</v>
      </c>
      <c r="H1654" t="s">
        <v>352</v>
      </c>
    </row>
    <row r="1655" spans="1:8" hidden="1" x14ac:dyDescent="0.3">
      <c r="A1655" s="28">
        <v>14690</v>
      </c>
      <c r="B1655" s="49">
        <v>45173.384722222225</v>
      </c>
      <c r="C1655" s="18">
        <v>45173</v>
      </c>
      <c r="D1655" t="s">
        <v>104</v>
      </c>
      <c r="E1655" s="32">
        <v>0</v>
      </c>
      <c r="F1655" s="32">
        <v>300000000</v>
      </c>
      <c r="G1655" s="32">
        <v>170741115</v>
      </c>
      <c r="H1655" t="s">
        <v>342</v>
      </c>
    </row>
    <row r="1656" spans="1:8" hidden="1" x14ac:dyDescent="0.3">
      <c r="A1656" s="28">
        <v>14686</v>
      </c>
      <c r="B1656" s="49">
        <v>45170.426388888889</v>
      </c>
      <c r="C1656" s="18">
        <v>45170</v>
      </c>
      <c r="D1656" t="s">
        <v>103</v>
      </c>
      <c r="E1656" s="32">
        <v>402244480</v>
      </c>
      <c r="F1656" s="32">
        <v>0</v>
      </c>
      <c r="G1656" s="32">
        <v>470741115</v>
      </c>
      <c r="H1656" t="s">
        <v>679</v>
      </c>
    </row>
    <row r="1657" spans="1:8" hidden="1" x14ac:dyDescent="0.3">
      <c r="A1657" s="28">
        <v>14684</v>
      </c>
      <c r="B1657" s="49">
        <v>45169.797222222223</v>
      </c>
      <c r="C1657" s="18">
        <v>45169</v>
      </c>
      <c r="D1657" t="s">
        <v>104</v>
      </c>
      <c r="E1657" s="32">
        <v>0</v>
      </c>
      <c r="F1657" s="32">
        <v>400510</v>
      </c>
      <c r="G1657" s="32">
        <v>68496635</v>
      </c>
      <c r="H1657" t="s">
        <v>507</v>
      </c>
    </row>
    <row r="1658" spans="1:8" hidden="1" x14ac:dyDescent="0.3">
      <c r="A1658" s="28">
        <v>14683</v>
      </c>
      <c r="B1658" s="49">
        <v>45169.709027777775</v>
      </c>
      <c r="C1658" s="18">
        <v>45169</v>
      </c>
      <c r="D1658" t="s">
        <v>103</v>
      </c>
      <c r="E1658" s="32">
        <v>129800</v>
      </c>
      <c r="F1658" s="32">
        <v>0</v>
      </c>
      <c r="G1658" s="32">
        <v>68897145</v>
      </c>
      <c r="H1658" t="s">
        <v>680</v>
      </c>
    </row>
    <row r="1659" spans="1:8" hidden="1" x14ac:dyDescent="0.3">
      <c r="A1659" s="28">
        <v>14682</v>
      </c>
      <c r="B1659" s="49">
        <v>45169.707638888889</v>
      </c>
      <c r="C1659" s="18">
        <v>45169</v>
      </c>
      <c r="D1659" t="s">
        <v>104</v>
      </c>
      <c r="E1659" s="32">
        <v>0</v>
      </c>
      <c r="F1659" s="32">
        <v>53330</v>
      </c>
      <c r="G1659" s="32">
        <v>68767345</v>
      </c>
      <c r="H1659" t="s">
        <v>681</v>
      </c>
    </row>
    <row r="1660" spans="1:8" hidden="1" x14ac:dyDescent="0.3">
      <c r="A1660" s="28">
        <v>14676</v>
      </c>
      <c r="B1660" s="49">
        <v>45169.67083333333</v>
      </c>
      <c r="C1660" s="18">
        <v>45169</v>
      </c>
      <c r="D1660" t="s">
        <v>103</v>
      </c>
      <c r="E1660" s="32">
        <v>3775200</v>
      </c>
      <c r="F1660" s="32">
        <v>0</v>
      </c>
      <c r="G1660" s="32">
        <v>68820675</v>
      </c>
      <c r="H1660" t="s">
        <v>682</v>
      </c>
    </row>
    <row r="1661" spans="1:8" hidden="1" x14ac:dyDescent="0.3">
      <c r="A1661" s="28">
        <v>14675</v>
      </c>
      <c r="B1661" s="49">
        <v>45169.669444444444</v>
      </c>
      <c r="C1661" s="18">
        <v>45169</v>
      </c>
      <c r="D1661" t="s">
        <v>104</v>
      </c>
      <c r="E1661" s="32">
        <v>0</v>
      </c>
      <c r="F1661" s="32">
        <v>1350000</v>
      </c>
      <c r="G1661" s="32">
        <v>65045475</v>
      </c>
      <c r="H1661" t="s">
        <v>683</v>
      </c>
    </row>
    <row r="1662" spans="1:8" hidden="1" x14ac:dyDescent="0.3">
      <c r="A1662" s="28">
        <v>14674</v>
      </c>
      <c r="B1662" s="49">
        <v>45169.65347222222</v>
      </c>
      <c r="C1662" s="18">
        <v>45169</v>
      </c>
      <c r="D1662" t="s">
        <v>103</v>
      </c>
      <c r="E1662" s="32">
        <v>2752200</v>
      </c>
      <c r="F1662" s="32">
        <v>0</v>
      </c>
      <c r="G1662" s="32">
        <v>66395475</v>
      </c>
      <c r="H1662" t="s">
        <v>338</v>
      </c>
    </row>
    <row r="1663" spans="1:8" hidden="1" x14ac:dyDescent="0.3">
      <c r="A1663" s="28">
        <v>14673</v>
      </c>
      <c r="B1663" s="49">
        <v>45169.638888888891</v>
      </c>
      <c r="C1663" s="18">
        <v>45169</v>
      </c>
      <c r="D1663" t="s">
        <v>103</v>
      </c>
      <c r="E1663" s="32">
        <v>511500</v>
      </c>
      <c r="F1663" s="32">
        <v>0</v>
      </c>
      <c r="G1663" s="32">
        <v>63643275</v>
      </c>
      <c r="H1663" t="s">
        <v>320</v>
      </c>
    </row>
    <row r="1664" spans="1:8" hidden="1" x14ac:dyDescent="0.3">
      <c r="A1664" s="28">
        <v>14672</v>
      </c>
      <c r="B1664" s="49">
        <v>45169.629861111112</v>
      </c>
      <c r="C1664" s="18">
        <v>45169</v>
      </c>
      <c r="D1664" t="s">
        <v>103</v>
      </c>
      <c r="E1664" s="32">
        <v>2205500</v>
      </c>
      <c r="F1664" s="32">
        <v>0</v>
      </c>
      <c r="G1664" s="32">
        <v>63131775</v>
      </c>
      <c r="H1664" t="s">
        <v>326</v>
      </c>
    </row>
    <row r="1665" spans="1:8" hidden="1" x14ac:dyDescent="0.3">
      <c r="A1665" s="28">
        <v>14671</v>
      </c>
      <c r="B1665" s="49">
        <v>45169.629861111112</v>
      </c>
      <c r="C1665" s="18">
        <v>45169</v>
      </c>
      <c r="D1665" t="s">
        <v>103</v>
      </c>
      <c r="E1665" s="32">
        <v>698500</v>
      </c>
      <c r="F1665" s="32">
        <v>0</v>
      </c>
      <c r="G1665" s="32">
        <v>60926275</v>
      </c>
      <c r="H1665" t="s">
        <v>326</v>
      </c>
    </row>
    <row r="1666" spans="1:8" hidden="1" x14ac:dyDescent="0.3">
      <c r="A1666" s="28">
        <v>14670</v>
      </c>
      <c r="B1666" s="49">
        <v>45169.629861111112</v>
      </c>
      <c r="C1666" s="18">
        <v>45169</v>
      </c>
      <c r="D1666" t="s">
        <v>103</v>
      </c>
      <c r="E1666" s="32">
        <v>3170200</v>
      </c>
      <c r="F1666" s="32">
        <v>0</v>
      </c>
      <c r="G1666" s="32">
        <v>60227775</v>
      </c>
      <c r="H1666" t="s">
        <v>326</v>
      </c>
    </row>
    <row r="1667" spans="1:8" hidden="1" x14ac:dyDescent="0.3">
      <c r="A1667" s="28">
        <v>14669</v>
      </c>
      <c r="B1667" s="49">
        <v>45169.5625</v>
      </c>
      <c r="C1667" s="18">
        <v>45169</v>
      </c>
      <c r="D1667" t="s">
        <v>103</v>
      </c>
      <c r="E1667" s="32">
        <v>442200</v>
      </c>
      <c r="F1667" s="32">
        <v>0</v>
      </c>
      <c r="G1667" s="32">
        <v>57057575</v>
      </c>
      <c r="H1667" t="s">
        <v>327</v>
      </c>
    </row>
    <row r="1668" spans="1:8" hidden="1" x14ac:dyDescent="0.3">
      <c r="A1668" s="28">
        <v>14668</v>
      </c>
      <c r="B1668" s="49">
        <v>45169.556250000001</v>
      </c>
      <c r="C1668" s="18">
        <v>45169</v>
      </c>
      <c r="D1668" t="s">
        <v>103</v>
      </c>
      <c r="E1668" s="32">
        <v>335534</v>
      </c>
      <c r="F1668" s="32">
        <v>0</v>
      </c>
      <c r="G1668" s="32">
        <v>56615375</v>
      </c>
      <c r="H1668" t="s">
        <v>588</v>
      </c>
    </row>
    <row r="1669" spans="1:8" hidden="1" x14ac:dyDescent="0.3">
      <c r="A1669" s="28">
        <v>14667</v>
      </c>
      <c r="B1669" s="49">
        <v>45169.556250000001</v>
      </c>
      <c r="C1669" s="18">
        <v>45169</v>
      </c>
      <c r="D1669" t="s">
        <v>103</v>
      </c>
      <c r="E1669" s="32">
        <v>75900</v>
      </c>
      <c r="F1669" s="32">
        <v>0</v>
      </c>
      <c r="G1669" s="32">
        <v>56279841</v>
      </c>
      <c r="H1669" t="s">
        <v>588</v>
      </c>
    </row>
    <row r="1670" spans="1:8" hidden="1" x14ac:dyDescent="0.3">
      <c r="A1670" s="28">
        <v>14666</v>
      </c>
      <c r="B1670" s="49">
        <v>45169.554166666669</v>
      </c>
      <c r="C1670" s="18">
        <v>45169</v>
      </c>
      <c r="D1670" t="s">
        <v>103</v>
      </c>
      <c r="E1670" s="32">
        <v>525800</v>
      </c>
      <c r="F1670" s="32">
        <v>0</v>
      </c>
      <c r="G1670" s="32">
        <v>56203941</v>
      </c>
      <c r="H1670" t="s">
        <v>684</v>
      </c>
    </row>
    <row r="1671" spans="1:8" hidden="1" x14ac:dyDescent="0.3">
      <c r="A1671" s="28">
        <v>14665</v>
      </c>
      <c r="B1671" s="49">
        <v>45169.527083333334</v>
      </c>
      <c r="C1671" s="18">
        <v>45169</v>
      </c>
      <c r="D1671" t="s">
        <v>103</v>
      </c>
      <c r="E1671" s="32">
        <v>116600</v>
      </c>
      <c r="F1671" s="32">
        <v>0</v>
      </c>
      <c r="G1671" s="32">
        <v>55678141</v>
      </c>
      <c r="H1671" t="s">
        <v>481</v>
      </c>
    </row>
    <row r="1672" spans="1:8" hidden="1" x14ac:dyDescent="0.3">
      <c r="A1672" s="28">
        <v>14663</v>
      </c>
      <c r="B1672" s="49">
        <v>45169.467361111114</v>
      </c>
      <c r="C1672" s="18">
        <v>45169</v>
      </c>
      <c r="D1672" t="s">
        <v>103</v>
      </c>
      <c r="E1672" s="32">
        <v>1394800</v>
      </c>
      <c r="F1672" s="32">
        <v>0</v>
      </c>
      <c r="G1672" s="32">
        <v>55561541</v>
      </c>
      <c r="H1672" t="s">
        <v>525</v>
      </c>
    </row>
    <row r="1673" spans="1:8" hidden="1" x14ac:dyDescent="0.3">
      <c r="A1673" s="28">
        <v>14662</v>
      </c>
      <c r="B1673" s="49">
        <v>45169.467361111114</v>
      </c>
      <c r="C1673" s="18">
        <v>45169</v>
      </c>
      <c r="D1673" t="s">
        <v>103</v>
      </c>
      <c r="E1673" s="32">
        <v>2891900</v>
      </c>
      <c r="F1673" s="32">
        <v>0</v>
      </c>
      <c r="G1673" s="32">
        <v>54166741</v>
      </c>
      <c r="H1673" t="s">
        <v>525</v>
      </c>
    </row>
    <row r="1674" spans="1:8" hidden="1" x14ac:dyDescent="0.3">
      <c r="A1674" s="28">
        <v>14661</v>
      </c>
      <c r="B1674" s="49">
        <v>45169.466666666667</v>
      </c>
      <c r="C1674" s="18">
        <v>45169</v>
      </c>
      <c r="D1674" t="s">
        <v>103</v>
      </c>
      <c r="E1674" s="32">
        <v>2670800</v>
      </c>
      <c r="F1674" s="32">
        <v>0</v>
      </c>
      <c r="G1674" s="32">
        <v>51274841</v>
      </c>
      <c r="H1674" t="s">
        <v>525</v>
      </c>
    </row>
    <row r="1675" spans="1:8" hidden="1" x14ac:dyDescent="0.3">
      <c r="A1675" s="28">
        <v>14660</v>
      </c>
      <c r="B1675" s="49">
        <v>45169.46597222222</v>
      </c>
      <c r="C1675" s="18">
        <v>45169</v>
      </c>
      <c r="D1675" t="s">
        <v>103</v>
      </c>
      <c r="E1675" s="32">
        <v>315700</v>
      </c>
      <c r="F1675" s="32">
        <v>0</v>
      </c>
      <c r="G1675" s="32">
        <v>48604041</v>
      </c>
      <c r="H1675" t="s">
        <v>525</v>
      </c>
    </row>
    <row r="1676" spans="1:8" hidden="1" x14ac:dyDescent="0.3">
      <c r="A1676" s="28">
        <v>14659</v>
      </c>
      <c r="B1676" s="49">
        <v>45169.429166666669</v>
      </c>
      <c r="C1676" s="18">
        <v>45169</v>
      </c>
      <c r="D1676" t="s">
        <v>103</v>
      </c>
      <c r="E1676" s="32">
        <v>1119800</v>
      </c>
      <c r="F1676" s="32">
        <v>0</v>
      </c>
      <c r="G1676" s="32">
        <v>48288341</v>
      </c>
      <c r="H1676" t="s">
        <v>685</v>
      </c>
    </row>
    <row r="1677" spans="1:8" hidden="1" x14ac:dyDescent="0.3">
      <c r="A1677" s="28">
        <v>14658</v>
      </c>
      <c r="B1677" s="49">
        <v>45169.415277777778</v>
      </c>
      <c r="C1677" s="18">
        <v>45169</v>
      </c>
      <c r="D1677" t="s">
        <v>103</v>
      </c>
      <c r="E1677" s="32">
        <v>423466</v>
      </c>
      <c r="F1677" s="32">
        <v>0</v>
      </c>
      <c r="G1677" s="32">
        <v>47168541</v>
      </c>
      <c r="H1677" t="s">
        <v>686</v>
      </c>
    </row>
    <row r="1678" spans="1:8" hidden="1" x14ac:dyDescent="0.3">
      <c r="A1678" s="28">
        <v>14657</v>
      </c>
      <c r="B1678" s="49">
        <v>45169.40347222222</v>
      </c>
      <c r="C1678" s="18">
        <v>45169</v>
      </c>
      <c r="D1678" t="s">
        <v>104</v>
      </c>
      <c r="E1678" s="32">
        <v>0</v>
      </c>
      <c r="F1678" s="32">
        <v>8000</v>
      </c>
      <c r="G1678" s="32">
        <v>46745075</v>
      </c>
      <c r="H1678" t="s">
        <v>313</v>
      </c>
    </row>
    <row r="1679" spans="1:8" hidden="1" x14ac:dyDescent="0.3">
      <c r="A1679" s="28">
        <v>14656</v>
      </c>
      <c r="B1679" s="49">
        <v>45169.383333333331</v>
      </c>
      <c r="C1679" s="18">
        <v>45169</v>
      </c>
      <c r="D1679" t="s">
        <v>103</v>
      </c>
      <c r="E1679" s="32">
        <v>621500</v>
      </c>
      <c r="F1679" s="32">
        <v>0</v>
      </c>
      <c r="G1679" s="32">
        <v>46753075</v>
      </c>
      <c r="H1679" t="s">
        <v>336</v>
      </c>
    </row>
    <row r="1680" spans="1:8" hidden="1" x14ac:dyDescent="0.3">
      <c r="A1680" s="28">
        <v>14655</v>
      </c>
      <c r="B1680" s="49">
        <v>45169.380555555559</v>
      </c>
      <c r="C1680" s="18">
        <v>45169</v>
      </c>
      <c r="D1680" t="s">
        <v>104</v>
      </c>
      <c r="E1680" s="32">
        <v>0</v>
      </c>
      <c r="F1680" s="32">
        <v>13222000</v>
      </c>
      <c r="G1680" s="32">
        <v>46131575</v>
      </c>
      <c r="H1680" t="s">
        <v>687</v>
      </c>
    </row>
    <row r="1681" spans="1:8" hidden="1" x14ac:dyDescent="0.3">
      <c r="A1681" s="28">
        <v>14654</v>
      </c>
      <c r="B1681" s="49">
        <v>45168.659722222219</v>
      </c>
      <c r="C1681" s="18">
        <v>45168</v>
      </c>
      <c r="D1681" t="s">
        <v>103</v>
      </c>
      <c r="E1681" s="32">
        <v>371800</v>
      </c>
      <c r="F1681" s="32">
        <v>0</v>
      </c>
      <c r="G1681" s="32">
        <v>59353575</v>
      </c>
      <c r="H1681" t="s">
        <v>319</v>
      </c>
    </row>
    <row r="1682" spans="1:8" hidden="1" x14ac:dyDescent="0.3">
      <c r="A1682" s="28">
        <v>14653</v>
      </c>
      <c r="B1682" s="49">
        <v>45168.598611111112</v>
      </c>
      <c r="C1682" s="18">
        <v>45168</v>
      </c>
      <c r="D1682" t="s">
        <v>103</v>
      </c>
      <c r="E1682" s="32">
        <v>1105500</v>
      </c>
      <c r="F1682" s="32">
        <v>0</v>
      </c>
      <c r="G1682" s="32">
        <v>58981775</v>
      </c>
      <c r="H1682" t="s">
        <v>489</v>
      </c>
    </row>
    <row r="1683" spans="1:8" hidden="1" x14ac:dyDescent="0.3">
      <c r="A1683" s="28">
        <v>14651</v>
      </c>
      <c r="B1683" s="49">
        <v>45168.464583333334</v>
      </c>
      <c r="C1683" s="18">
        <v>45168</v>
      </c>
      <c r="D1683" t="s">
        <v>104</v>
      </c>
      <c r="E1683" s="32">
        <v>0</v>
      </c>
      <c r="F1683" s="32">
        <v>99000</v>
      </c>
      <c r="G1683" s="32">
        <v>57876275</v>
      </c>
      <c r="H1683" t="s">
        <v>688</v>
      </c>
    </row>
    <row r="1684" spans="1:8" hidden="1" x14ac:dyDescent="0.3">
      <c r="A1684" s="28">
        <v>14650</v>
      </c>
      <c r="B1684" s="49">
        <v>45168.448611111111</v>
      </c>
      <c r="C1684" s="18">
        <v>45168</v>
      </c>
      <c r="D1684" t="s">
        <v>103</v>
      </c>
      <c r="E1684" s="32">
        <v>1371400</v>
      </c>
      <c r="F1684" s="32">
        <v>0</v>
      </c>
      <c r="G1684" s="32">
        <v>57975275</v>
      </c>
      <c r="H1684" t="s">
        <v>335</v>
      </c>
    </row>
    <row r="1685" spans="1:8" hidden="1" x14ac:dyDescent="0.3">
      <c r="A1685" s="28">
        <v>14649</v>
      </c>
      <c r="B1685" s="49">
        <v>45168.426388888889</v>
      </c>
      <c r="C1685" s="18">
        <v>45168</v>
      </c>
      <c r="D1685" t="s">
        <v>103</v>
      </c>
      <c r="E1685" s="32">
        <v>115000</v>
      </c>
      <c r="F1685" s="32">
        <v>0</v>
      </c>
      <c r="G1685" s="32">
        <v>56603875</v>
      </c>
      <c r="H1685" t="s">
        <v>647</v>
      </c>
    </row>
    <row r="1686" spans="1:8" hidden="1" x14ac:dyDescent="0.3">
      <c r="A1686" s="28">
        <v>14648</v>
      </c>
      <c r="B1686" s="49">
        <v>45168.426388888889</v>
      </c>
      <c r="C1686" s="18">
        <v>45168</v>
      </c>
      <c r="D1686" t="s">
        <v>103</v>
      </c>
      <c r="E1686" s="32">
        <v>44000</v>
      </c>
      <c r="F1686" s="32">
        <v>0</v>
      </c>
      <c r="G1686" s="32">
        <v>56488875</v>
      </c>
      <c r="H1686" t="s">
        <v>647</v>
      </c>
    </row>
    <row r="1687" spans="1:8" hidden="1" x14ac:dyDescent="0.3">
      <c r="A1687" s="28">
        <v>14647</v>
      </c>
      <c r="B1687" s="49">
        <v>45168.426388888889</v>
      </c>
      <c r="C1687" s="18">
        <v>45168</v>
      </c>
      <c r="D1687" t="s">
        <v>103</v>
      </c>
      <c r="E1687" s="32">
        <v>64000</v>
      </c>
      <c r="F1687" s="32">
        <v>0</v>
      </c>
      <c r="G1687" s="32">
        <v>56444875</v>
      </c>
      <c r="H1687" t="s">
        <v>647</v>
      </c>
    </row>
    <row r="1688" spans="1:8" hidden="1" x14ac:dyDescent="0.3">
      <c r="A1688" s="28">
        <v>14646</v>
      </c>
      <c r="B1688" s="49">
        <v>45168.426388888889</v>
      </c>
      <c r="C1688" s="18">
        <v>45168</v>
      </c>
      <c r="D1688" t="s">
        <v>103</v>
      </c>
      <c r="E1688" s="32">
        <v>71000</v>
      </c>
      <c r="F1688" s="32">
        <v>0</v>
      </c>
      <c r="G1688" s="32">
        <v>56380875</v>
      </c>
      <c r="H1688" t="s">
        <v>647</v>
      </c>
    </row>
    <row r="1689" spans="1:8" hidden="1" x14ac:dyDescent="0.3">
      <c r="A1689" s="28">
        <v>14645</v>
      </c>
      <c r="B1689" s="49">
        <v>45168.402777777781</v>
      </c>
      <c r="C1689" s="18">
        <v>45168</v>
      </c>
      <c r="D1689" t="s">
        <v>104</v>
      </c>
      <c r="E1689" s="32">
        <v>0</v>
      </c>
      <c r="F1689" s="32">
        <v>40117200</v>
      </c>
      <c r="G1689" s="32">
        <v>56309875</v>
      </c>
      <c r="H1689" t="s">
        <v>314</v>
      </c>
    </row>
    <row r="1690" spans="1:8" hidden="1" x14ac:dyDescent="0.3">
      <c r="A1690" s="28">
        <v>14644</v>
      </c>
      <c r="B1690" s="49">
        <v>45168.402777777781</v>
      </c>
      <c r="C1690" s="18">
        <v>45168</v>
      </c>
      <c r="D1690" t="s">
        <v>104</v>
      </c>
      <c r="E1690" s="32">
        <v>0</v>
      </c>
      <c r="F1690" s="32">
        <v>39835200</v>
      </c>
      <c r="G1690" s="32">
        <v>96427075</v>
      </c>
      <c r="H1690" t="s">
        <v>314</v>
      </c>
    </row>
    <row r="1691" spans="1:8" hidden="1" x14ac:dyDescent="0.3">
      <c r="A1691" s="28">
        <v>14643</v>
      </c>
      <c r="B1691" s="49">
        <v>45167.688194444447</v>
      </c>
      <c r="C1691" s="18">
        <v>45167</v>
      </c>
      <c r="D1691" t="s">
        <v>104</v>
      </c>
      <c r="E1691" s="32">
        <v>0</v>
      </c>
      <c r="F1691" s="32">
        <v>198000</v>
      </c>
      <c r="G1691" s="32">
        <v>136262275</v>
      </c>
      <c r="H1691" t="s">
        <v>689</v>
      </c>
    </row>
    <row r="1692" spans="1:8" hidden="1" x14ac:dyDescent="0.3">
      <c r="A1692" s="28">
        <v>14642</v>
      </c>
      <c r="B1692" s="49">
        <v>45167.67291666667</v>
      </c>
      <c r="C1692" s="18">
        <v>45167</v>
      </c>
      <c r="D1692" t="s">
        <v>104</v>
      </c>
      <c r="E1692" s="32">
        <v>0</v>
      </c>
      <c r="F1692" s="32">
        <v>14951410</v>
      </c>
      <c r="G1692" s="32">
        <v>136460275</v>
      </c>
      <c r="H1692" t="s">
        <v>590</v>
      </c>
    </row>
    <row r="1693" spans="1:8" hidden="1" x14ac:dyDescent="0.3">
      <c r="A1693" s="28">
        <v>14641</v>
      </c>
      <c r="B1693" s="49">
        <v>45167.672222222223</v>
      </c>
      <c r="C1693" s="18">
        <v>45167</v>
      </c>
      <c r="D1693" t="s">
        <v>103</v>
      </c>
      <c r="E1693" s="32">
        <v>130000000</v>
      </c>
      <c r="F1693" s="32">
        <v>0</v>
      </c>
      <c r="G1693" s="32">
        <v>151411685</v>
      </c>
      <c r="H1693" t="s">
        <v>331</v>
      </c>
    </row>
    <row r="1694" spans="1:8" hidden="1" x14ac:dyDescent="0.3">
      <c r="A1694" s="28">
        <v>14638</v>
      </c>
      <c r="B1694" s="49">
        <v>45167.621527777781</v>
      </c>
      <c r="C1694" s="18">
        <v>45167</v>
      </c>
      <c r="D1694" t="s">
        <v>104</v>
      </c>
      <c r="E1694" s="32">
        <v>0</v>
      </c>
      <c r="F1694" s="32">
        <v>4277570</v>
      </c>
      <c r="G1694" s="32">
        <v>21411685</v>
      </c>
      <c r="H1694" t="s">
        <v>293</v>
      </c>
    </row>
    <row r="1695" spans="1:8" hidden="1" x14ac:dyDescent="0.3">
      <c r="A1695" s="28">
        <v>14637</v>
      </c>
      <c r="B1695" s="49">
        <v>45167.454861111109</v>
      </c>
      <c r="C1695" s="18">
        <v>45167</v>
      </c>
      <c r="D1695" t="s">
        <v>104</v>
      </c>
      <c r="E1695" s="32">
        <v>0</v>
      </c>
      <c r="F1695" s="32">
        <v>18000</v>
      </c>
      <c r="G1695" s="32">
        <v>25689255</v>
      </c>
      <c r="H1695" t="s">
        <v>457</v>
      </c>
    </row>
    <row r="1696" spans="1:8" hidden="1" x14ac:dyDescent="0.3">
      <c r="A1696" s="28">
        <v>14636</v>
      </c>
      <c r="B1696" s="49">
        <v>45167.453472222223</v>
      </c>
      <c r="C1696" s="18">
        <v>45167</v>
      </c>
      <c r="D1696" t="s">
        <v>104</v>
      </c>
      <c r="E1696" s="32">
        <v>0</v>
      </c>
      <c r="F1696" s="32">
        <v>34980490</v>
      </c>
      <c r="G1696" s="32">
        <v>25707255</v>
      </c>
      <c r="H1696" t="s">
        <v>330</v>
      </c>
    </row>
    <row r="1697" spans="1:8" hidden="1" x14ac:dyDescent="0.3">
      <c r="A1697" s="28">
        <v>14635</v>
      </c>
      <c r="B1697" s="49">
        <v>45167.452777777777</v>
      </c>
      <c r="C1697" s="18">
        <v>45167</v>
      </c>
      <c r="D1697" t="s">
        <v>104</v>
      </c>
      <c r="E1697" s="32">
        <v>0</v>
      </c>
      <c r="F1697" s="32">
        <v>11729380</v>
      </c>
      <c r="G1697" s="32">
        <v>60687745</v>
      </c>
      <c r="H1697" t="s">
        <v>330</v>
      </c>
    </row>
    <row r="1698" spans="1:8" hidden="1" x14ac:dyDescent="0.3">
      <c r="A1698" s="28">
        <v>14634</v>
      </c>
      <c r="B1698" s="49">
        <v>45167.419444444444</v>
      </c>
      <c r="C1698" s="18">
        <v>45167</v>
      </c>
      <c r="D1698" t="s">
        <v>103</v>
      </c>
      <c r="E1698" s="32">
        <v>2222000</v>
      </c>
      <c r="F1698" s="32">
        <v>0</v>
      </c>
      <c r="G1698" s="32">
        <v>72417125</v>
      </c>
      <c r="H1698" t="s">
        <v>690</v>
      </c>
    </row>
    <row r="1699" spans="1:8" hidden="1" x14ac:dyDescent="0.3">
      <c r="A1699" s="28">
        <v>14633</v>
      </c>
      <c r="B1699" s="49">
        <v>45167.395138888889</v>
      </c>
      <c r="C1699" s="18">
        <v>45167</v>
      </c>
      <c r="D1699" t="s">
        <v>104</v>
      </c>
      <c r="E1699" s="32">
        <v>0</v>
      </c>
      <c r="F1699" s="32">
        <v>50490</v>
      </c>
      <c r="G1699" s="32">
        <v>70195125</v>
      </c>
      <c r="H1699" t="s">
        <v>365</v>
      </c>
    </row>
    <row r="1700" spans="1:8" hidden="1" x14ac:dyDescent="0.3">
      <c r="A1700" s="28">
        <v>14632</v>
      </c>
      <c r="B1700" s="49">
        <v>45167.368055555555</v>
      </c>
      <c r="C1700" s="18">
        <v>45167</v>
      </c>
      <c r="D1700" t="s">
        <v>103</v>
      </c>
      <c r="E1700" s="32">
        <v>541200</v>
      </c>
      <c r="F1700" s="32">
        <v>0</v>
      </c>
      <c r="G1700" s="32">
        <v>70245615</v>
      </c>
      <c r="H1700" t="s">
        <v>292</v>
      </c>
    </row>
    <row r="1701" spans="1:8" hidden="1" x14ac:dyDescent="0.3">
      <c r="A1701" s="28">
        <v>14631</v>
      </c>
      <c r="B1701" s="49">
        <v>45167.368055555555</v>
      </c>
      <c r="C1701" s="18">
        <v>45167</v>
      </c>
      <c r="D1701" t="s">
        <v>103</v>
      </c>
      <c r="E1701" s="32">
        <v>249700</v>
      </c>
      <c r="F1701" s="32">
        <v>0</v>
      </c>
      <c r="G1701" s="32">
        <v>69704415</v>
      </c>
      <c r="H1701" t="s">
        <v>292</v>
      </c>
    </row>
    <row r="1702" spans="1:8" hidden="1" x14ac:dyDescent="0.3">
      <c r="A1702" s="28">
        <v>14630</v>
      </c>
      <c r="B1702" s="49">
        <v>45166.711805555555</v>
      </c>
      <c r="C1702" s="18">
        <v>45166</v>
      </c>
      <c r="D1702" t="s">
        <v>104</v>
      </c>
      <c r="E1702" s="32">
        <v>0</v>
      </c>
      <c r="F1702" s="32">
        <v>6600000</v>
      </c>
      <c r="G1702" s="32">
        <v>69454715</v>
      </c>
      <c r="H1702" t="s">
        <v>691</v>
      </c>
    </row>
    <row r="1703" spans="1:8" hidden="1" x14ac:dyDescent="0.3">
      <c r="A1703" s="28">
        <v>14629</v>
      </c>
      <c r="B1703" s="49">
        <v>45166.651388888888</v>
      </c>
      <c r="C1703" s="18">
        <v>45166</v>
      </c>
      <c r="D1703" t="s">
        <v>103</v>
      </c>
      <c r="E1703" s="32">
        <v>2748900</v>
      </c>
      <c r="F1703" s="32">
        <v>0</v>
      </c>
      <c r="G1703" s="32">
        <v>76054715</v>
      </c>
      <c r="H1703" t="s">
        <v>290</v>
      </c>
    </row>
    <row r="1704" spans="1:8" hidden="1" x14ac:dyDescent="0.3">
      <c r="A1704" s="28">
        <v>14628</v>
      </c>
      <c r="B1704" s="49">
        <v>45166.62777777778</v>
      </c>
      <c r="C1704" s="18">
        <v>45166</v>
      </c>
      <c r="D1704" t="s">
        <v>103</v>
      </c>
      <c r="E1704" s="32">
        <v>90200</v>
      </c>
      <c r="F1704" s="32">
        <v>0</v>
      </c>
      <c r="G1704" s="32">
        <v>73305815</v>
      </c>
      <c r="H1704" t="s">
        <v>347</v>
      </c>
    </row>
    <row r="1705" spans="1:8" hidden="1" x14ac:dyDescent="0.3">
      <c r="A1705" s="28">
        <v>14627</v>
      </c>
      <c r="B1705" s="49">
        <v>45166.62777777778</v>
      </c>
      <c r="C1705" s="18">
        <v>45166</v>
      </c>
      <c r="D1705" t="s">
        <v>103</v>
      </c>
      <c r="E1705" s="32">
        <v>361900</v>
      </c>
      <c r="F1705" s="32">
        <v>0</v>
      </c>
      <c r="G1705" s="32">
        <v>73215615</v>
      </c>
      <c r="H1705" t="s">
        <v>347</v>
      </c>
    </row>
    <row r="1706" spans="1:8" hidden="1" x14ac:dyDescent="0.3">
      <c r="A1706" s="28">
        <v>14626</v>
      </c>
      <c r="B1706" s="49">
        <v>45166.611805555556</v>
      </c>
      <c r="C1706" s="18">
        <v>45166</v>
      </c>
      <c r="D1706" t="s">
        <v>103</v>
      </c>
      <c r="E1706" s="32">
        <v>2438700</v>
      </c>
      <c r="F1706" s="32">
        <v>0</v>
      </c>
      <c r="G1706" s="32">
        <v>72853715</v>
      </c>
      <c r="H1706" t="s">
        <v>692</v>
      </c>
    </row>
    <row r="1707" spans="1:8" hidden="1" x14ac:dyDescent="0.3">
      <c r="A1707" s="28">
        <v>14625</v>
      </c>
      <c r="B1707" s="49">
        <v>45166.604861111111</v>
      </c>
      <c r="C1707" s="18">
        <v>45166</v>
      </c>
      <c r="D1707" t="s">
        <v>104</v>
      </c>
      <c r="E1707" s="32">
        <v>0</v>
      </c>
      <c r="F1707" s="32">
        <v>99000</v>
      </c>
      <c r="G1707" s="32">
        <v>70415015</v>
      </c>
      <c r="H1707" t="s">
        <v>693</v>
      </c>
    </row>
    <row r="1708" spans="1:8" hidden="1" x14ac:dyDescent="0.3">
      <c r="A1708" s="28">
        <v>14624</v>
      </c>
      <c r="B1708" s="49">
        <v>45166.500694444447</v>
      </c>
      <c r="C1708" s="18">
        <v>45166</v>
      </c>
      <c r="D1708" t="s">
        <v>103</v>
      </c>
      <c r="E1708" s="32">
        <v>44138947</v>
      </c>
      <c r="F1708" s="32">
        <v>0</v>
      </c>
      <c r="G1708" s="32">
        <v>70514015</v>
      </c>
      <c r="H1708" t="s">
        <v>442</v>
      </c>
    </row>
    <row r="1709" spans="1:8" hidden="1" x14ac:dyDescent="0.3">
      <c r="A1709" s="28">
        <v>14623</v>
      </c>
      <c r="B1709" s="49">
        <v>45166.500694444447</v>
      </c>
      <c r="C1709" s="18">
        <v>45166</v>
      </c>
      <c r="D1709" t="s">
        <v>103</v>
      </c>
      <c r="E1709" s="32">
        <v>5405950</v>
      </c>
      <c r="F1709" s="32">
        <v>0</v>
      </c>
      <c r="G1709" s="32">
        <v>26375068</v>
      </c>
      <c r="H1709" t="s">
        <v>442</v>
      </c>
    </row>
    <row r="1710" spans="1:8" hidden="1" x14ac:dyDescent="0.3">
      <c r="A1710" s="28">
        <v>14622</v>
      </c>
      <c r="B1710" s="49">
        <v>45166.48541666667</v>
      </c>
      <c r="C1710" s="18">
        <v>45166</v>
      </c>
      <c r="D1710" t="s">
        <v>103</v>
      </c>
      <c r="E1710" s="32">
        <v>350900</v>
      </c>
      <c r="F1710" s="32">
        <v>0</v>
      </c>
      <c r="G1710" s="32">
        <v>20969118</v>
      </c>
      <c r="H1710" t="s">
        <v>526</v>
      </c>
    </row>
    <row r="1711" spans="1:8" hidden="1" x14ac:dyDescent="0.3">
      <c r="A1711" s="28">
        <v>14619</v>
      </c>
      <c r="B1711" s="49">
        <v>45166.45208333333</v>
      </c>
      <c r="C1711" s="18">
        <v>45166</v>
      </c>
      <c r="D1711" t="s">
        <v>103</v>
      </c>
      <c r="E1711" s="32">
        <v>396000</v>
      </c>
      <c r="F1711" s="32">
        <v>0</v>
      </c>
      <c r="G1711" s="32">
        <v>20618218</v>
      </c>
      <c r="H1711" t="s">
        <v>694</v>
      </c>
    </row>
    <row r="1712" spans="1:8" hidden="1" x14ac:dyDescent="0.3">
      <c r="A1712" s="28">
        <v>14618</v>
      </c>
      <c r="B1712" s="49">
        <v>45166.439583333333</v>
      </c>
      <c r="C1712" s="18">
        <v>45166</v>
      </c>
      <c r="D1712" t="s">
        <v>103</v>
      </c>
      <c r="E1712" s="32">
        <v>89100</v>
      </c>
      <c r="F1712" s="32">
        <v>0</v>
      </c>
      <c r="G1712" s="32">
        <v>20222218</v>
      </c>
      <c r="H1712" t="s">
        <v>695</v>
      </c>
    </row>
    <row r="1713" spans="1:8" hidden="1" x14ac:dyDescent="0.3">
      <c r="A1713" s="28">
        <v>14613</v>
      </c>
      <c r="B1713" s="49">
        <v>45163.832638888889</v>
      </c>
      <c r="C1713" s="18">
        <v>45163</v>
      </c>
      <c r="D1713" t="s">
        <v>104</v>
      </c>
      <c r="E1713" s="32">
        <v>0</v>
      </c>
      <c r="F1713" s="32">
        <v>440000</v>
      </c>
      <c r="G1713" s="32">
        <v>20133118</v>
      </c>
      <c r="H1713" t="s">
        <v>485</v>
      </c>
    </row>
    <row r="1714" spans="1:8" hidden="1" x14ac:dyDescent="0.3">
      <c r="A1714" s="28">
        <v>14610</v>
      </c>
      <c r="B1714" s="49">
        <v>45163.62777777778</v>
      </c>
      <c r="C1714" s="18">
        <v>45163</v>
      </c>
      <c r="D1714" t="s">
        <v>103</v>
      </c>
      <c r="E1714" s="32">
        <v>2356200</v>
      </c>
      <c r="F1714" s="32">
        <v>0</v>
      </c>
      <c r="G1714" s="32">
        <v>20573118</v>
      </c>
      <c r="H1714" t="s">
        <v>321</v>
      </c>
    </row>
    <row r="1715" spans="1:8" hidden="1" x14ac:dyDescent="0.3">
      <c r="A1715" s="28">
        <v>14609</v>
      </c>
      <c r="B1715" s="49">
        <v>45163.598611111112</v>
      </c>
      <c r="C1715" s="18">
        <v>45163</v>
      </c>
      <c r="D1715" t="s">
        <v>103</v>
      </c>
      <c r="E1715" s="32">
        <v>2039400</v>
      </c>
      <c r="F1715" s="32">
        <v>0</v>
      </c>
      <c r="G1715" s="32">
        <v>18216918</v>
      </c>
      <c r="H1715" t="s">
        <v>674</v>
      </c>
    </row>
    <row r="1716" spans="1:8" hidden="1" x14ac:dyDescent="0.3">
      <c r="A1716" s="28">
        <v>14608</v>
      </c>
      <c r="B1716" s="49">
        <v>45163.48541666667</v>
      </c>
      <c r="C1716" s="18">
        <v>45163</v>
      </c>
      <c r="D1716" t="s">
        <v>103</v>
      </c>
      <c r="E1716" s="32">
        <v>293700</v>
      </c>
      <c r="F1716" s="32">
        <v>0</v>
      </c>
      <c r="G1716" s="32">
        <v>16177518</v>
      </c>
      <c r="H1716" t="s">
        <v>302</v>
      </c>
    </row>
    <row r="1717" spans="1:8" hidden="1" x14ac:dyDescent="0.3">
      <c r="A1717" s="28">
        <v>14606</v>
      </c>
      <c r="B1717" s="49">
        <v>45163.47152777778</v>
      </c>
      <c r="C1717" s="18">
        <v>45163</v>
      </c>
      <c r="D1717" t="s">
        <v>104</v>
      </c>
      <c r="E1717" s="32">
        <v>0</v>
      </c>
      <c r="F1717" s="32">
        <v>587070</v>
      </c>
      <c r="G1717" s="32">
        <v>15883818</v>
      </c>
      <c r="H1717" t="s">
        <v>365</v>
      </c>
    </row>
    <row r="1718" spans="1:8" hidden="1" x14ac:dyDescent="0.3">
      <c r="A1718" s="28">
        <v>14604</v>
      </c>
      <c r="B1718" s="49">
        <v>45163.363888888889</v>
      </c>
      <c r="C1718" s="18">
        <v>45163</v>
      </c>
      <c r="D1718" t="s">
        <v>104</v>
      </c>
      <c r="E1718" s="32">
        <v>0</v>
      </c>
      <c r="F1718" s="32">
        <v>130000</v>
      </c>
      <c r="G1718" s="32">
        <v>16470888</v>
      </c>
      <c r="H1718" t="s">
        <v>696</v>
      </c>
    </row>
    <row r="1719" spans="1:8" hidden="1" x14ac:dyDescent="0.3">
      <c r="A1719" s="28">
        <v>14603</v>
      </c>
      <c r="B1719" s="49">
        <v>45163.362500000003</v>
      </c>
      <c r="C1719" s="18">
        <v>45163</v>
      </c>
      <c r="D1719" t="s">
        <v>104</v>
      </c>
      <c r="E1719" s="32">
        <v>0</v>
      </c>
      <c r="F1719" s="32">
        <v>450000</v>
      </c>
      <c r="G1719" s="32">
        <v>16600888</v>
      </c>
      <c r="H1719" t="s">
        <v>354</v>
      </c>
    </row>
    <row r="1720" spans="1:8" hidden="1" x14ac:dyDescent="0.3">
      <c r="A1720" s="28">
        <v>14602</v>
      </c>
      <c r="B1720" s="49">
        <v>45163.361805555556</v>
      </c>
      <c r="C1720" s="18">
        <v>45163</v>
      </c>
      <c r="D1720" t="s">
        <v>104</v>
      </c>
      <c r="E1720" s="32">
        <v>0</v>
      </c>
      <c r="F1720" s="32">
        <v>2622281</v>
      </c>
      <c r="G1720" s="32">
        <v>17050888</v>
      </c>
      <c r="H1720" t="s">
        <v>697</v>
      </c>
    </row>
    <row r="1721" spans="1:8" hidden="1" x14ac:dyDescent="0.3">
      <c r="A1721" s="28">
        <v>14601</v>
      </c>
      <c r="B1721" s="49">
        <v>45162.64166666667</v>
      </c>
      <c r="C1721" s="18">
        <v>45162</v>
      </c>
      <c r="D1721" t="s">
        <v>103</v>
      </c>
      <c r="E1721" s="32">
        <v>2550900</v>
      </c>
      <c r="F1721" s="32">
        <v>0</v>
      </c>
      <c r="G1721" s="32">
        <v>19673169</v>
      </c>
      <c r="H1721" t="s">
        <v>692</v>
      </c>
    </row>
    <row r="1722" spans="1:8" hidden="1" x14ac:dyDescent="0.3">
      <c r="A1722" s="28">
        <v>14600</v>
      </c>
      <c r="B1722" s="49">
        <v>45162.592361111114</v>
      </c>
      <c r="C1722" s="18">
        <v>45162</v>
      </c>
      <c r="D1722" t="s">
        <v>104</v>
      </c>
      <c r="E1722" s="32">
        <v>0</v>
      </c>
      <c r="F1722" s="32">
        <v>10442910</v>
      </c>
      <c r="G1722" s="32">
        <v>17122269</v>
      </c>
      <c r="H1722" t="s">
        <v>361</v>
      </c>
    </row>
    <row r="1723" spans="1:8" hidden="1" x14ac:dyDescent="0.3">
      <c r="A1723" s="28">
        <v>14599</v>
      </c>
      <c r="B1723" s="49">
        <v>45162.506944444445</v>
      </c>
      <c r="C1723" s="18">
        <v>45162</v>
      </c>
      <c r="D1723" t="s">
        <v>103</v>
      </c>
      <c r="E1723" s="32">
        <v>75780</v>
      </c>
      <c r="F1723" s="32">
        <v>0</v>
      </c>
      <c r="G1723" s="32">
        <v>27565179</v>
      </c>
      <c r="H1723" t="s">
        <v>356</v>
      </c>
    </row>
    <row r="1724" spans="1:8" hidden="1" x14ac:dyDescent="0.3">
      <c r="A1724" s="28">
        <v>14596</v>
      </c>
      <c r="B1724" s="49">
        <v>45161.8125</v>
      </c>
      <c r="C1724" s="18">
        <v>45161</v>
      </c>
      <c r="D1724" t="s">
        <v>103</v>
      </c>
      <c r="E1724" s="32">
        <v>160600</v>
      </c>
      <c r="F1724" s="32">
        <v>0</v>
      </c>
      <c r="G1724" s="32">
        <v>27489399</v>
      </c>
      <c r="H1724" t="s">
        <v>447</v>
      </c>
    </row>
    <row r="1725" spans="1:8" hidden="1" x14ac:dyDescent="0.3">
      <c r="A1725" s="28">
        <v>14595</v>
      </c>
      <c r="B1725" s="49">
        <v>45161.761111111111</v>
      </c>
      <c r="C1725" s="18">
        <v>45161</v>
      </c>
      <c r="D1725" t="s">
        <v>103</v>
      </c>
      <c r="E1725" s="32">
        <v>940000</v>
      </c>
      <c r="F1725" s="32">
        <v>0</v>
      </c>
      <c r="G1725" s="32">
        <v>27328799</v>
      </c>
      <c r="H1725" t="s">
        <v>673</v>
      </c>
    </row>
    <row r="1726" spans="1:8" hidden="1" x14ac:dyDescent="0.3">
      <c r="A1726" s="28">
        <v>14594</v>
      </c>
      <c r="B1726" s="49">
        <v>45161.761111111111</v>
      </c>
      <c r="C1726" s="18">
        <v>45161</v>
      </c>
      <c r="D1726" t="s">
        <v>103</v>
      </c>
      <c r="E1726" s="32">
        <v>3557000</v>
      </c>
      <c r="F1726" s="32">
        <v>0</v>
      </c>
      <c r="G1726" s="32">
        <v>26388799</v>
      </c>
      <c r="H1726" t="s">
        <v>673</v>
      </c>
    </row>
    <row r="1727" spans="1:8" hidden="1" x14ac:dyDescent="0.3">
      <c r="A1727" s="28">
        <v>14593</v>
      </c>
      <c r="B1727" s="49">
        <v>45161.760416666664</v>
      </c>
      <c r="C1727" s="18">
        <v>45161</v>
      </c>
      <c r="D1727" t="s">
        <v>103</v>
      </c>
      <c r="E1727" s="32">
        <v>355700</v>
      </c>
      <c r="F1727" s="32">
        <v>0</v>
      </c>
      <c r="G1727" s="32">
        <v>22831799</v>
      </c>
      <c r="H1727" t="s">
        <v>673</v>
      </c>
    </row>
    <row r="1728" spans="1:8" hidden="1" x14ac:dyDescent="0.3">
      <c r="A1728" s="28">
        <v>14592</v>
      </c>
      <c r="B1728" s="49">
        <v>45161.760416666664</v>
      </c>
      <c r="C1728" s="18">
        <v>45161</v>
      </c>
      <c r="D1728" t="s">
        <v>103</v>
      </c>
      <c r="E1728" s="32">
        <v>94000</v>
      </c>
      <c r="F1728" s="32">
        <v>0</v>
      </c>
      <c r="G1728" s="32">
        <v>22476099</v>
      </c>
      <c r="H1728" t="s">
        <v>673</v>
      </c>
    </row>
    <row r="1729" spans="1:8" hidden="1" x14ac:dyDescent="0.3">
      <c r="A1729" s="28">
        <v>14591</v>
      </c>
      <c r="B1729" s="49">
        <v>45161.62222222222</v>
      </c>
      <c r="C1729" s="18">
        <v>45161</v>
      </c>
      <c r="D1729" t="s">
        <v>103</v>
      </c>
      <c r="E1729" s="32">
        <v>1254000</v>
      </c>
      <c r="F1729" s="32">
        <v>0</v>
      </c>
      <c r="G1729" s="32">
        <v>22382099</v>
      </c>
      <c r="H1729" t="s">
        <v>546</v>
      </c>
    </row>
    <row r="1730" spans="1:8" hidden="1" x14ac:dyDescent="0.3">
      <c r="A1730" s="28">
        <v>14587</v>
      </c>
      <c r="B1730" s="49">
        <v>45161.592361111114</v>
      </c>
      <c r="C1730" s="18">
        <v>45161</v>
      </c>
      <c r="D1730" t="s">
        <v>103</v>
      </c>
      <c r="E1730" s="32">
        <v>251900</v>
      </c>
      <c r="F1730" s="32">
        <v>0</v>
      </c>
      <c r="G1730" s="32">
        <v>21128099</v>
      </c>
      <c r="H1730" t="s">
        <v>381</v>
      </c>
    </row>
    <row r="1731" spans="1:8" hidden="1" x14ac:dyDescent="0.3">
      <c r="A1731" s="28">
        <v>14586</v>
      </c>
      <c r="B1731" s="49">
        <v>45161.57708333333</v>
      </c>
      <c r="C1731" s="18">
        <v>45161</v>
      </c>
      <c r="D1731" t="s">
        <v>103</v>
      </c>
      <c r="E1731" s="32">
        <v>162800</v>
      </c>
      <c r="F1731" s="32">
        <v>0</v>
      </c>
      <c r="G1731" s="32">
        <v>20876199</v>
      </c>
      <c r="H1731" t="s">
        <v>526</v>
      </c>
    </row>
    <row r="1732" spans="1:8" hidden="1" x14ac:dyDescent="0.3">
      <c r="A1732" s="28">
        <v>14585</v>
      </c>
      <c r="B1732" s="49">
        <v>45161.550694444442</v>
      </c>
      <c r="C1732" s="18">
        <v>45161</v>
      </c>
      <c r="D1732" t="s">
        <v>104</v>
      </c>
      <c r="E1732" s="32">
        <v>0</v>
      </c>
      <c r="F1732" s="32">
        <v>57420</v>
      </c>
      <c r="G1732" s="32">
        <v>20713399</v>
      </c>
      <c r="H1732" t="s">
        <v>365</v>
      </c>
    </row>
    <row r="1733" spans="1:8" hidden="1" x14ac:dyDescent="0.3">
      <c r="A1733" s="28">
        <v>14583</v>
      </c>
      <c r="B1733" s="49">
        <v>45160.71875</v>
      </c>
      <c r="C1733" s="18">
        <v>45160</v>
      </c>
      <c r="D1733" t="s">
        <v>103</v>
      </c>
      <c r="E1733" s="32">
        <v>599500</v>
      </c>
      <c r="F1733" s="32">
        <v>0</v>
      </c>
      <c r="G1733" s="32">
        <v>20770819</v>
      </c>
      <c r="H1733" t="s">
        <v>300</v>
      </c>
    </row>
    <row r="1734" spans="1:8" hidden="1" x14ac:dyDescent="0.3">
      <c r="A1734" s="28">
        <v>14582</v>
      </c>
      <c r="B1734" s="49">
        <v>45160.71875</v>
      </c>
      <c r="C1734" s="18">
        <v>45160</v>
      </c>
      <c r="D1734" t="s">
        <v>103</v>
      </c>
      <c r="E1734" s="32">
        <v>402600</v>
      </c>
      <c r="F1734" s="32">
        <v>0</v>
      </c>
      <c r="G1734" s="32">
        <v>20171319</v>
      </c>
      <c r="H1734" t="s">
        <v>300</v>
      </c>
    </row>
    <row r="1735" spans="1:8" hidden="1" x14ac:dyDescent="0.3">
      <c r="A1735" s="28">
        <v>14581</v>
      </c>
      <c r="B1735" s="49">
        <v>45160.71875</v>
      </c>
      <c r="C1735" s="18">
        <v>45160</v>
      </c>
      <c r="D1735" t="s">
        <v>103</v>
      </c>
      <c r="E1735" s="32">
        <v>1712700</v>
      </c>
      <c r="F1735" s="32">
        <v>0</v>
      </c>
      <c r="G1735" s="32">
        <v>19768719</v>
      </c>
      <c r="H1735" t="s">
        <v>300</v>
      </c>
    </row>
    <row r="1736" spans="1:8" hidden="1" x14ac:dyDescent="0.3">
      <c r="A1736" s="28">
        <v>14577</v>
      </c>
      <c r="B1736" s="49">
        <v>45160.679861111108</v>
      </c>
      <c r="C1736" s="18">
        <v>45160</v>
      </c>
      <c r="D1736" t="s">
        <v>104</v>
      </c>
      <c r="E1736" s="32">
        <v>0</v>
      </c>
      <c r="F1736" s="32">
        <v>51490</v>
      </c>
      <c r="G1736" s="32">
        <v>18056019</v>
      </c>
      <c r="H1736" t="s">
        <v>428</v>
      </c>
    </row>
    <row r="1737" spans="1:8" hidden="1" x14ac:dyDescent="0.3">
      <c r="A1737" s="28">
        <v>14576</v>
      </c>
      <c r="B1737" s="49">
        <v>45160.552777777775</v>
      </c>
      <c r="C1737" s="18">
        <v>45160</v>
      </c>
      <c r="D1737" t="s">
        <v>104</v>
      </c>
      <c r="E1737" s="32">
        <v>0</v>
      </c>
      <c r="F1737" s="32">
        <v>346500</v>
      </c>
      <c r="G1737" s="32">
        <v>18107509</v>
      </c>
      <c r="H1737" t="s">
        <v>698</v>
      </c>
    </row>
    <row r="1738" spans="1:8" hidden="1" x14ac:dyDescent="0.3">
      <c r="A1738" s="28">
        <v>14574</v>
      </c>
      <c r="B1738" s="49">
        <v>45160.459722222222</v>
      </c>
      <c r="C1738" s="18">
        <v>45160</v>
      </c>
      <c r="D1738" t="s">
        <v>103</v>
      </c>
      <c r="E1738" s="32">
        <v>102300</v>
      </c>
      <c r="F1738" s="32">
        <v>0</v>
      </c>
      <c r="G1738" s="32">
        <v>18454009</v>
      </c>
      <c r="H1738" t="s">
        <v>312</v>
      </c>
    </row>
    <row r="1739" spans="1:8" hidden="1" x14ac:dyDescent="0.3">
      <c r="A1739" s="28">
        <v>14573</v>
      </c>
      <c r="B1739" s="49">
        <v>45160.444444444445</v>
      </c>
      <c r="C1739" s="18">
        <v>45160</v>
      </c>
      <c r="D1739" t="s">
        <v>103</v>
      </c>
      <c r="E1739" s="32">
        <v>1023000</v>
      </c>
      <c r="F1739" s="32">
        <v>0</v>
      </c>
      <c r="G1739" s="32">
        <v>18351709</v>
      </c>
      <c r="H1739" t="s">
        <v>312</v>
      </c>
    </row>
    <row r="1740" spans="1:8" hidden="1" x14ac:dyDescent="0.3">
      <c r="A1740" s="28">
        <v>14572</v>
      </c>
      <c r="B1740" s="49">
        <v>45159.870138888888</v>
      </c>
      <c r="C1740" s="18">
        <v>45159</v>
      </c>
      <c r="D1740" t="s">
        <v>104</v>
      </c>
      <c r="E1740" s="32">
        <v>0</v>
      </c>
      <c r="F1740" s="32">
        <v>598530</v>
      </c>
      <c r="G1740" s="32">
        <v>17328709</v>
      </c>
      <c r="H1740" t="s">
        <v>494</v>
      </c>
    </row>
    <row r="1741" spans="1:8" hidden="1" x14ac:dyDescent="0.3">
      <c r="A1741" s="28">
        <v>14571</v>
      </c>
      <c r="B1741" s="49">
        <v>45159.842361111114</v>
      </c>
      <c r="C1741" s="18">
        <v>45159</v>
      </c>
      <c r="D1741" t="s">
        <v>104</v>
      </c>
      <c r="E1741" s="32">
        <v>0</v>
      </c>
      <c r="F1741" s="32">
        <v>280875</v>
      </c>
      <c r="G1741" s="32">
        <v>17927239</v>
      </c>
      <c r="H1741" t="s">
        <v>495</v>
      </c>
    </row>
    <row r="1742" spans="1:8" hidden="1" x14ac:dyDescent="0.3">
      <c r="A1742" s="28">
        <v>14570</v>
      </c>
      <c r="B1742" s="49">
        <v>45159.823611111111</v>
      </c>
      <c r="C1742" s="18">
        <v>45159</v>
      </c>
      <c r="D1742" t="s">
        <v>104</v>
      </c>
      <c r="E1742" s="32">
        <v>0</v>
      </c>
      <c r="F1742" s="32">
        <v>77429</v>
      </c>
      <c r="G1742" s="32">
        <v>18208114</v>
      </c>
      <c r="H1742" t="s">
        <v>699</v>
      </c>
    </row>
    <row r="1743" spans="1:8" hidden="1" x14ac:dyDescent="0.3">
      <c r="A1743" s="28">
        <v>14569</v>
      </c>
      <c r="B1743" s="49">
        <v>45159.818055555559</v>
      </c>
      <c r="C1743" s="18">
        <v>45159</v>
      </c>
      <c r="D1743" t="s">
        <v>104</v>
      </c>
      <c r="E1743" s="32">
        <v>0</v>
      </c>
      <c r="F1743" s="32">
        <v>1000000</v>
      </c>
      <c r="G1743" s="32">
        <v>18285543</v>
      </c>
      <c r="H1743" t="s">
        <v>700</v>
      </c>
    </row>
    <row r="1744" spans="1:8" hidden="1" x14ac:dyDescent="0.3">
      <c r="A1744" s="28">
        <v>14563</v>
      </c>
      <c r="B1744" s="49">
        <v>45159.656944444447</v>
      </c>
      <c r="C1744" s="18">
        <v>45159</v>
      </c>
      <c r="D1744" t="s">
        <v>104</v>
      </c>
      <c r="E1744" s="32">
        <v>0</v>
      </c>
      <c r="F1744" s="32">
        <v>1896710</v>
      </c>
      <c r="G1744" s="32">
        <v>19285543</v>
      </c>
      <c r="H1744" t="s">
        <v>366</v>
      </c>
    </row>
    <row r="1745" spans="1:8" hidden="1" x14ac:dyDescent="0.3">
      <c r="A1745" s="28">
        <v>14562</v>
      </c>
      <c r="B1745" s="49">
        <v>45159.580555555556</v>
      </c>
      <c r="C1745" s="18">
        <v>45159</v>
      </c>
      <c r="D1745" t="s">
        <v>104</v>
      </c>
      <c r="E1745" s="32">
        <v>0</v>
      </c>
      <c r="F1745" s="32">
        <v>99000</v>
      </c>
      <c r="G1745" s="32">
        <v>21182253</v>
      </c>
      <c r="H1745" t="s">
        <v>701</v>
      </c>
    </row>
    <row r="1746" spans="1:8" hidden="1" x14ac:dyDescent="0.3">
      <c r="A1746" s="28">
        <v>14561</v>
      </c>
      <c r="B1746" s="49">
        <v>45159.548611111109</v>
      </c>
      <c r="C1746" s="18">
        <v>45159</v>
      </c>
      <c r="D1746" t="s">
        <v>103</v>
      </c>
      <c r="E1746" s="32">
        <v>126500</v>
      </c>
      <c r="F1746" s="32">
        <v>0</v>
      </c>
      <c r="G1746" s="32">
        <v>21281253</v>
      </c>
      <c r="H1746" t="s">
        <v>328</v>
      </c>
    </row>
    <row r="1747" spans="1:8" hidden="1" x14ac:dyDescent="0.3">
      <c r="A1747" s="28">
        <v>14559</v>
      </c>
      <c r="B1747" s="49">
        <v>45159.488194444442</v>
      </c>
      <c r="C1747" s="18">
        <v>45159</v>
      </c>
      <c r="D1747" t="s">
        <v>103</v>
      </c>
      <c r="E1747" s="32">
        <v>471900</v>
      </c>
      <c r="F1747" s="32">
        <v>0</v>
      </c>
      <c r="G1747" s="32">
        <v>21154753</v>
      </c>
      <c r="H1747" t="s">
        <v>292</v>
      </c>
    </row>
    <row r="1748" spans="1:8" hidden="1" x14ac:dyDescent="0.3">
      <c r="A1748" s="28">
        <v>14558</v>
      </c>
      <c r="B1748" s="49">
        <v>45159.425000000003</v>
      </c>
      <c r="C1748" s="18">
        <v>45159</v>
      </c>
      <c r="D1748" t="s">
        <v>104</v>
      </c>
      <c r="E1748" s="32">
        <v>0</v>
      </c>
      <c r="F1748" s="32">
        <v>1090520</v>
      </c>
      <c r="G1748" s="32">
        <v>20682853</v>
      </c>
      <c r="H1748" t="s">
        <v>363</v>
      </c>
    </row>
    <row r="1749" spans="1:8" hidden="1" x14ac:dyDescent="0.3">
      <c r="A1749" s="28">
        <v>14554</v>
      </c>
      <c r="B1749" s="49">
        <v>45155.627083333333</v>
      </c>
      <c r="C1749" s="18">
        <v>45155</v>
      </c>
      <c r="D1749" t="s">
        <v>103</v>
      </c>
      <c r="E1749" s="32">
        <v>136400</v>
      </c>
      <c r="F1749" s="32">
        <v>0</v>
      </c>
      <c r="G1749" s="32">
        <v>21773373</v>
      </c>
      <c r="H1749" t="s">
        <v>561</v>
      </c>
    </row>
    <row r="1750" spans="1:8" hidden="1" x14ac:dyDescent="0.3">
      <c r="A1750" s="28">
        <v>14553</v>
      </c>
      <c r="B1750" s="49">
        <v>45155.5625</v>
      </c>
      <c r="C1750" s="18">
        <v>45155</v>
      </c>
      <c r="D1750" t="s">
        <v>103</v>
      </c>
      <c r="E1750" s="32">
        <v>1090100</v>
      </c>
      <c r="F1750" s="32">
        <v>0</v>
      </c>
      <c r="G1750" s="32">
        <v>21636973</v>
      </c>
      <c r="H1750" t="s">
        <v>387</v>
      </c>
    </row>
    <row r="1751" spans="1:8" hidden="1" x14ac:dyDescent="0.3">
      <c r="A1751" s="28">
        <v>14552</v>
      </c>
      <c r="B1751" s="49">
        <v>45155.46875</v>
      </c>
      <c r="C1751" s="18">
        <v>45155</v>
      </c>
      <c r="D1751" t="s">
        <v>103</v>
      </c>
      <c r="E1751" s="32">
        <v>124300</v>
      </c>
      <c r="F1751" s="32">
        <v>0</v>
      </c>
      <c r="G1751" s="32">
        <v>20546873</v>
      </c>
      <c r="H1751" t="s">
        <v>401</v>
      </c>
    </row>
    <row r="1752" spans="1:8" hidden="1" x14ac:dyDescent="0.3">
      <c r="A1752" s="28">
        <v>14551</v>
      </c>
      <c r="B1752" s="49">
        <v>45155.459722222222</v>
      </c>
      <c r="C1752" s="18">
        <v>45155</v>
      </c>
      <c r="D1752" t="s">
        <v>103</v>
      </c>
      <c r="E1752" s="32">
        <v>1945900</v>
      </c>
      <c r="F1752" s="32">
        <v>0</v>
      </c>
      <c r="G1752" s="32">
        <v>20422573</v>
      </c>
      <c r="H1752" t="s">
        <v>600</v>
      </c>
    </row>
    <row r="1753" spans="1:8" hidden="1" x14ac:dyDescent="0.3">
      <c r="A1753" s="28">
        <v>14550</v>
      </c>
      <c r="B1753" s="49">
        <v>45155.386805555558</v>
      </c>
      <c r="C1753" s="18">
        <v>45155</v>
      </c>
      <c r="D1753" t="s">
        <v>103</v>
      </c>
      <c r="E1753" s="32">
        <v>144100</v>
      </c>
      <c r="F1753" s="32">
        <v>0</v>
      </c>
      <c r="G1753" s="32">
        <v>18476673</v>
      </c>
      <c r="H1753" t="s">
        <v>574</v>
      </c>
    </row>
    <row r="1754" spans="1:8" hidden="1" x14ac:dyDescent="0.3">
      <c r="A1754" s="28">
        <v>14549</v>
      </c>
      <c r="B1754" s="49">
        <v>45155.379861111112</v>
      </c>
      <c r="C1754" s="18">
        <v>45155</v>
      </c>
      <c r="D1754" t="s">
        <v>103</v>
      </c>
      <c r="E1754" s="32">
        <v>1472900</v>
      </c>
      <c r="F1754" s="32">
        <v>0</v>
      </c>
      <c r="G1754" s="32">
        <v>18332573</v>
      </c>
      <c r="H1754" t="s">
        <v>399</v>
      </c>
    </row>
    <row r="1755" spans="1:8" hidden="1" x14ac:dyDescent="0.3">
      <c r="A1755" s="28">
        <v>14548</v>
      </c>
      <c r="B1755" s="49">
        <v>45154.836805555555</v>
      </c>
      <c r="C1755" s="18">
        <v>45154</v>
      </c>
      <c r="D1755" t="s">
        <v>104</v>
      </c>
      <c r="E1755" s="32">
        <v>0</v>
      </c>
      <c r="F1755" s="32">
        <v>412500</v>
      </c>
      <c r="G1755" s="32">
        <v>16859673</v>
      </c>
      <c r="H1755" t="s">
        <v>505</v>
      </c>
    </row>
    <row r="1756" spans="1:8" hidden="1" x14ac:dyDescent="0.3">
      <c r="A1756" s="28">
        <v>14547</v>
      </c>
      <c r="B1756" s="49">
        <v>45154.8125</v>
      </c>
      <c r="C1756" s="18">
        <v>45154</v>
      </c>
      <c r="D1756" t="s">
        <v>104</v>
      </c>
      <c r="E1756" s="32">
        <v>0</v>
      </c>
      <c r="F1756" s="32">
        <v>810770</v>
      </c>
      <c r="G1756" s="32">
        <v>17272173</v>
      </c>
      <c r="H1756" t="s">
        <v>504</v>
      </c>
    </row>
    <row r="1757" spans="1:8" hidden="1" x14ac:dyDescent="0.3">
      <c r="A1757" s="28">
        <v>14546</v>
      </c>
      <c r="B1757" s="49">
        <v>45154.8125</v>
      </c>
      <c r="C1757" s="18">
        <v>45154</v>
      </c>
      <c r="D1757" t="s">
        <v>104</v>
      </c>
      <c r="E1757" s="32">
        <v>0</v>
      </c>
      <c r="F1757" s="32">
        <v>167850</v>
      </c>
      <c r="G1757" s="32">
        <v>18082943</v>
      </c>
      <c r="H1757" t="s">
        <v>504</v>
      </c>
    </row>
    <row r="1758" spans="1:8" hidden="1" x14ac:dyDescent="0.3">
      <c r="A1758" s="28">
        <v>14545</v>
      </c>
      <c r="B1758" s="49">
        <v>45154.8125</v>
      </c>
      <c r="C1758" s="18">
        <v>45154</v>
      </c>
      <c r="D1758" t="s">
        <v>104</v>
      </c>
      <c r="E1758" s="32">
        <v>0</v>
      </c>
      <c r="F1758" s="32">
        <v>987550</v>
      </c>
      <c r="G1758" s="32">
        <v>18250793</v>
      </c>
      <c r="H1758" t="s">
        <v>504</v>
      </c>
    </row>
    <row r="1759" spans="1:8" hidden="1" x14ac:dyDescent="0.3">
      <c r="A1759" s="28">
        <v>14544</v>
      </c>
      <c r="B1759" s="49">
        <v>45154.8125</v>
      </c>
      <c r="C1759" s="18">
        <v>45154</v>
      </c>
      <c r="D1759" t="s">
        <v>104</v>
      </c>
      <c r="E1759" s="32">
        <v>0</v>
      </c>
      <c r="F1759" s="32">
        <v>573100</v>
      </c>
      <c r="G1759" s="32">
        <v>19238343</v>
      </c>
      <c r="H1759" t="s">
        <v>504</v>
      </c>
    </row>
    <row r="1760" spans="1:8" hidden="1" x14ac:dyDescent="0.3">
      <c r="A1760" s="28">
        <v>14543</v>
      </c>
      <c r="B1760" s="49">
        <v>45154.807638888888</v>
      </c>
      <c r="C1760" s="18">
        <v>45154</v>
      </c>
      <c r="D1760" t="s">
        <v>104</v>
      </c>
      <c r="E1760" s="32">
        <v>0</v>
      </c>
      <c r="F1760" s="32">
        <v>99000</v>
      </c>
      <c r="G1760" s="32">
        <v>19811443</v>
      </c>
      <c r="H1760" t="s">
        <v>373</v>
      </c>
    </row>
    <row r="1761" spans="1:8" hidden="1" x14ac:dyDescent="0.3">
      <c r="A1761" s="28">
        <v>14542</v>
      </c>
      <c r="B1761" s="49">
        <v>45154.800694444442</v>
      </c>
      <c r="C1761" s="18">
        <v>45154</v>
      </c>
      <c r="D1761" t="s">
        <v>104</v>
      </c>
      <c r="E1761" s="32">
        <v>0</v>
      </c>
      <c r="F1761" s="32">
        <v>684420</v>
      </c>
      <c r="G1761" s="32">
        <v>19910443</v>
      </c>
      <c r="H1761" t="s">
        <v>507</v>
      </c>
    </row>
    <row r="1762" spans="1:8" hidden="1" x14ac:dyDescent="0.3">
      <c r="A1762" s="28">
        <v>14540</v>
      </c>
      <c r="B1762" s="49">
        <v>45154.76458333333</v>
      </c>
      <c r="C1762" s="18">
        <v>45154</v>
      </c>
      <c r="D1762" t="s">
        <v>104</v>
      </c>
      <c r="E1762" s="32">
        <v>0</v>
      </c>
      <c r="F1762" s="32">
        <v>14149786</v>
      </c>
      <c r="G1762" s="32">
        <v>20594863</v>
      </c>
      <c r="H1762" t="s">
        <v>375</v>
      </c>
    </row>
    <row r="1763" spans="1:8" hidden="1" x14ac:dyDescent="0.3">
      <c r="A1763" s="28">
        <v>14538</v>
      </c>
      <c r="B1763" s="49">
        <v>45154.64166666667</v>
      </c>
      <c r="C1763" s="18">
        <v>45154</v>
      </c>
      <c r="D1763" t="s">
        <v>103</v>
      </c>
      <c r="E1763" s="32">
        <v>191400</v>
      </c>
      <c r="F1763" s="32">
        <v>0</v>
      </c>
      <c r="G1763" s="32">
        <v>34744649</v>
      </c>
      <c r="H1763" t="s">
        <v>526</v>
      </c>
    </row>
    <row r="1764" spans="1:8" hidden="1" x14ac:dyDescent="0.3">
      <c r="A1764" s="28">
        <v>14537</v>
      </c>
      <c r="B1764" s="49">
        <v>45154.636805555558</v>
      </c>
      <c r="C1764" s="18">
        <v>45154</v>
      </c>
      <c r="D1764" t="s">
        <v>103</v>
      </c>
      <c r="E1764" s="32">
        <v>351000</v>
      </c>
      <c r="F1764" s="32">
        <v>0</v>
      </c>
      <c r="G1764" s="32">
        <v>34553249</v>
      </c>
      <c r="H1764" t="s">
        <v>462</v>
      </c>
    </row>
    <row r="1765" spans="1:8" hidden="1" x14ac:dyDescent="0.3">
      <c r="A1765" s="28">
        <v>14536</v>
      </c>
      <c r="B1765" s="49">
        <v>45154.615277777775</v>
      </c>
      <c r="C1765" s="18">
        <v>45154</v>
      </c>
      <c r="D1765" t="s">
        <v>103</v>
      </c>
      <c r="E1765" s="32">
        <v>552200</v>
      </c>
      <c r="F1765" s="32">
        <v>0</v>
      </c>
      <c r="G1765" s="32">
        <v>34202249</v>
      </c>
      <c r="H1765" t="s">
        <v>702</v>
      </c>
    </row>
    <row r="1766" spans="1:8" hidden="1" x14ac:dyDescent="0.3">
      <c r="A1766" s="28">
        <v>14535</v>
      </c>
      <c r="B1766" s="49">
        <v>45154.593055555553</v>
      </c>
      <c r="C1766" s="18">
        <v>45154</v>
      </c>
      <c r="D1766" t="s">
        <v>103</v>
      </c>
      <c r="E1766" s="32">
        <v>2028400</v>
      </c>
      <c r="F1766" s="32">
        <v>0</v>
      </c>
      <c r="G1766" s="32">
        <v>33650049</v>
      </c>
      <c r="H1766" t="s">
        <v>703</v>
      </c>
    </row>
    <row r="1767" spans="1:8" hidden="1" x14ac:dyDescent="0.3">
      <c r="A1767" s="28">
        <v>14534</v>
      </c>
      <c r="B1767" s="49">
        <v>45154.583333333336</v>
      </c>
      <c r="C1767" s="18">
        <v>45154</v>
      </c>
      <c r="D1767" t="s">
        <v>103</v>
      </c>
      <c r="E1767" s="32">
        <v>35100</v>
      </c>
      <c r="F1767" s="32">
        <v>0</v>
      </c>
      <c r="G1767" s="32">
        <v>31621649</v>
      </c>
      <c r="H1767" t="s">
        <v>463</v>
      </c>
    </row>
    <row r="1768" spans="1:8" hidden="1" x14ac:dyDescent="0.3">
      <c r="A1768" s="28">
        <v>14533</v>
      </c>
      <c r="B1768" s="49">
        <v>45154.552777777775</v>
      </c>
      <c r="C1768" s="18">
        <v>45154</v>
      </c>
      <c r="D1768" t="s">
        <v>104</v>
      </c>
      <c r="E1768" s="32">
        <v>0</v>
      </c>
      <c r="F1768" s="32">
        <v>3053600</v>
      </c>
      <c r="G1768" s="32">
        <v>31586549</v>
      </c>
      <c r="H1768" t="s">
        <v>704</v>
      </c>
    </row>
    <row r="1769" spans="1:8" hidden="1" x14ac:dyDescent="0.3">
      <c r="A1769" s="28">
        <v>14532</v>
      </c>
      <c r="B1769" s="49">
        <v>45154.48333333333</v>
      </c>
      <c r="C1769" s="18">
        <v>45154</v>
      </c>
      <c r="D1769" t="s">
        <v>103</v>
      </c>
      <c r="E1769" s="32">
        <v>128700</v>
      </c>
      <c r="F1769" s="32">
        <v>0</v>
      </c>
      <c r="G1769" s="32">
        <v>34640149</v>
      </c>
      <c r="H1769" t="s">
        <v>526</v>
      </c>
    </row>
    <row r="1770" spans="1:8" hidden="1" x14ac:dyDescent="0.3">
      <c r="A1770" s="28">
        <v>14531</v>
      </c>
      <c r="B1770" s="49">
        <v>45154.48333333333</v>
      </c>
      <c r="C1770" s="18">
        <v>45154</v>
      </c>
      <c r="D1770" t="s">
        <v>103</v>
      </c>
      <c r="E1770" s="32">
        <v>1536700</v>
      </c>
      <c r="F1770" s="32">
        <v>0</v>
      </c>
      <c r="G1770" s="32">
        <v>34511449</v>
      </c>
      <c r="H1770" t="s">
        <v>526</v>
      </c>
    </row>
    <row r="1771" spans="1:8" hidden="1" x14ac:dyDescent="0.3">
      <c r="A1771" s="28">
        <v>14529</v>
      </c>
      <c r="B1771" s="49">
        <v>45154.477777777778</v>
      </c>
      <c r="C1771" s="18">
        <v>45154</v>
      </c>
      <c r="D1771" t="s">
        <v>104</v>
      </c>
      <c r="E1771" s="32">
        <v>0</v>
      </c>
      <c r="F1771" s="32">
        <v>30000000</v>
      </c>
      <c r="G1771" s="32">
        <v>32974749</v>
      </c>
      <c r="H1771" t="s">
        <v>342</v>
      </c>
    </row>
    <row r="1772" spans="1:8" hidden="1" x14ac:dyDescent="0.3">
      <c r="A1772" s="28">
        <v>14528</v>
      </c>
      <c r="B1772" s="49">
        <v>45154.469444444447</v>
      </c>
      <c r="C1772" s="18">
        <v>45154</v>
      </c>
      <c r="D1772" t="s">
        <v>104</v>
      </c>
      <c r="E1772" s="32">
        <v>0</v>
      </c>
      <c r="F1772" s="32">
        <v>20000</v>
      </c>
      <c r="G1772" s="32">
        <v>62974749</v>
      </c>
      <c r="H1772" t="s">
        <v>705</v>
      </c>
    </row>
    <row r="1773" spans="1:8" hidden="1" x14ac:dyDescent="0.3">
      <c r="A1773" s="28">
        <v>14527</v>
      </c>
      <c r="B1773" s="49">
        <v>45154.435416666667</v>
      </c>
      <c r="C1773" s="18">
        <v>45154</v>
      </c>
      <c r="D1773" t="s">
        <v>103</v>
      </c>
      <c r="E1773" s="32">
        <v>534600</v>
      </c>
      <c r="F1773" s="32">
        <v>0</v>
      </c>
      <c r="G1773" s="32">
        <v>62994749</v>
      </c>
      <c r="H1773" t="s">
        <v>292</v>
      </c>
    </row>
    <row r="1774" spans="1:8" hidden="1" x14ac:dyDescent="0.3">
      <c r="A1774" s="28">
        <v>14526</v>
      </c>
      <c r="B1774" s="49">
        <v>45154.427777777775</v>
      </c>
      <c r="C1774" s="18">
        <v>45154</v>
      </c>
      <c r="D1774" t="s">
        <v>103</v>
      </c>
      <c r="E1774" s="32">
        <v>204600</v>
      </c>
      <c r="F1774" s="32">
        <v>0</v>
      </c>
      <c r="G1774" s="32">
        <v>62460149</v>
      </c>
      <c r="H1774" t="s">
        <v>548</v>
      </c>
    </row>
    <row r="1775" spans="1:8" hidden="1" x14ac:dyDescent="0.3">
      <c r="A1775" s="28">
        <v>14525</v>
      </c>
      <c r="B1775" s="49">
        <v>45152.805555555555</v>
      </c>
      <c r="C1775" s="18">
        <v>45152</v>
      </c>
      <c r="D1775" t="s">
        <v>104</v>
      </c>
      <c r="E1775" s="32">
        <v>0</v>
      </c>
      <c r="F1775" s="32">
        <v>111876</v>
      </c>
      <c r="G1775" s="32">
        <v>62255549</v>
      </c>
      <c r="H1775" t="s">
        <v>506</v>
      </c>
    </row>
    <row r="1776" spans="1:8" hidden="1" x14ac:dyDescent="0.3">
      <c r="A1776" s="28">
        <v>14524</v>
      </c>
      <c r="B1776" s="49">
        <v>45152.805555555555</v>
      </c>
      <c r="C1776" s="18">
        <v>45152</v>
      </c>
      <c r="D1776" t="s">
        <v>104</v>
      </c>
      <c r="E1776" s="32">
        <v>0</v>
      </c>
      <c r="F1776" s="32">
        <v>23080</v>
      </c>
      <c r="G1776" s="32">
        <v>62367425</v>
      </c>
      <c r="H1776" t="s">
        <v>506</v>
      </c>
    </row>
    <row r="1777" spans="1:8" hidden="1" x14ac:dyDescent="0.3">
      <c r="A1777" s="28">
        <v>14520</v>
      </c>
      <c r="B1777" s="49">
        <v>45152.550694444442</v>
      </c>
      <c r="C1777" s="18">
        <v>45152</v>
      </c>
      <c r="D1777" t="s">
        <v>103</v>
      </c>
      <c r="E1777" s="32">
        <v>823000</v>
      </c>
      <c r="F1777" s="32">
        <v>0</v>
      </c>
      <c r="G1777" s="32">
        <v>62390505</v>
      </c>
      <c r="H1777" t="s">
        <v>467</v>
      </c>
    </row>
    <row r="1778" spans="1:8" hidden="1" x14ac:dyDescent="0.3">
      <c r="A1778" s="28">
        <v>14519</v>
      </c>
      <c r="B1778" s="49">
        <v>45152.55</v>
      </c>
      <c r="C1778" s="18">
        <v>45152</v>
      </c>
      <c r="D1778" t="s">
        <v>103</v>
      </c>
      <c r="E1778" s="32">
        <v>82300</v>
      </c>
      <c r="F1778" s="32">
        <v>0</v>
      </c>
      <c r="G1778" s="32">
        <v>61567505</v>
      </c>
      <c r="H1778" t="s">
        <v>467</v>
      </c>
    </row>
    <row r="1779" spans="1:8" hidden="1" x14ac:dyDescent="0.3">
      <c r="A1779" s="28">
        <v>14518</v>
      </c>
      <c r="B1779" s="49">
        <v>45152.55</v>
      </c>
      <c r="C1779" s="18">
        <v>45152</v>
      </c>
      <c r="D1779" t="s">
        <v>103</v>
      </c>
      <c r="E1779" s="32">
        <v>866000</v>
      </c>
      <c r="F1779" s="32">
        <v>0</v>
      </c>
      <c r="G1779" s="32">
        <v>61485205</v>
      </c>
      <c r="H1779" t="s">
        <v>467</v>
      </c>
    </row>
    <row r="1780" spans="1:8" hidden="1" x14ac:dyDescent="0.3">
      <c r="A1780" s="28">
        <v>14517</v>
      </c>
      <c r="B1780" s="49">
        <v>45152.549305555556</v>
      </c>
      <c r="C1780" s="18">
        <v>45152</v>
      </c>
      <c r="D1780" t="s">
        <v>103</v>
      </c>
      <c r="E1780" s="32">
        <v>86600</v>
      </c>
      <c r="F1780" s="32">
        <v>0</v>
      </c>
      <c r="G1780" s="32">
        <v>60619205</v>
      </c>
      <c r="H1780" t="s">
        <v>467</v>
      </c>
    </row>
    <row r="1781" spans="1:8" hidden="1" x14ac:dyDescent="0.3">
      <c r="A1781" s="28">
        <v>14516</v>
      </c>
      <c r="B1781" s="49">
        <v>45152.549305555556</v>
      </c>
      <c r="C1781" s="18">
        <v>45152</v>
      </c>
      <c r="D1781" t="s">
        <v>103</v>
      </c>
      <c r="E1781" s="32">
        <v>407000</v>
      </c>
      <c r="F1781" s="32">
        <v>0</v>
      </c>
      <c r="G1781" s="32">
        <v>60532605</v>
      </c>
      <c r="H1781" t="s">
        <v>467</v>
      </c>
    </row>
    <row r="1782" spans="1:8" hidden="1" x14ac:dyDescent="0.3">
      <c r="A1782" s="28">
        <v>14515</v>
      </c>
      <c r="B1782" s="49">
        <v>45152.549305555556</v>
      </c>
      <c r="C1782" s="18">
        <v>45152</v>
      </c>
      <c r="D1782" t="s">
        <v>103</v>
      </c>
      <c r="E1782" s="32">
        <v>40700</v>
      </c>
      <c r="F1782" s="32">
        <v>0</v>
      </c>
      <c r="G1782" s="32">
        <v>60125605</v>
      </c>
      <c r="H1782" t="s">
        <v>467</v>
      </c>
    </row>
    <row r="1783" spans="1:8" hidden="1" x14ac:dyDescent="0.3">
      <c r="A1783" s="28">
        <v>14510</v>
      </c>
      <c r="B1783" s="49">
        <v>45152.466666666667</v>
      </c>
      <c r="C1783" s="18">
        <v>45152</v>
      </c>
      <c r="D1783" t="s">
        <v>103</v>
      </c>
      <c r="E1783" s="32">
        <v>308000</v>
      </c>
      <c r="F1783" s="32">
        <v>0</v>
      </c>
      <c r="G1783" s="32">
        <v>60084905</v>
      </c>
      <c r="H1783" t="s">
        <v>706</v>
      </c>
    </row>
    <row r="1784" spans="1:8" hidden="1" x14ac:dyDescent="0.3">
      <c r="A1784" s="28">
        <v>14509</v>
      </c>
      <c r="B1784" s="49">
        <v>45152.418055555558</v>
      </c>
      <c r="C1784" s="18">
        <v>45152</v>
      </c>
      <c r="D1784" t="s">
        <v>103</v>
      </c>
      <c r="E1784" s="32">
        <v>9758100</v>
      </c>
      <c r="F1784" s="32">
        <v>0</v>
      </c>
      <c r="G1784" s="32">
        <v>59776905</v>
      </c>
      <c r="H1784" t="s">
        <v>378</v>
      </c>
    </row>
    <row r="1785" spans="1:8" hidden="1" x14ac:dyDescent="0.3">
      <c r="A1785" s="28">
        <v>14508</v>
      </c>
      <c r="B1785" s="49">
        <v>45149.811805555553</v>
      </c>
      <c r="C1785" s="18">
        <v>45149</v>
      </c>
      <c r="D1785" t="s">
        <v>104</v>
      </c>
      <c r="E1785" s="32">
        <v>0</v>
      </c>
      <c r="F1785" s="32">
        <v>35500</v>
      </c>
      <c r="G1785" s="32">
        <v>50018805</v>
      </c>
      <c r="H1785" t="s">
        <v>707</v>
      </c>
    </row>
    <row r="1786" spans="1:8" hidden="1" x14ac:dyDescent="0.3">
      <c r="A1786" s="28">
        <v>14502</v>
      </c>
      <c r="B1786" s="49">
        <v>45149.614583333336</v>
      </c>
      <c r="C1786" s="18">
        <v>45149</v>
      </c>
      <c r="D1786" t="s">
        <v>104</v>
      </c>
      <c r="E1786" s="32">
        <v>0</v>
      </c>
      <c r="F1786" s="32">
        <v>341330</v>
      </c>
      <c r="G1786" s="32">
        <v>50054305</v>
      </c>
      <c r="H1786" t="s">
        <v>293</v>
      </c>
    </row>
    <row r="1787" spans="1:8" hidden="1" x14ac:dyDescent="0.3">
      <c r="A1787" s="28">
        <v>14500</v>
      </c>
      <c r="B1787" s="49">
        <v>45149.434027777781</v>
      </c>
      <c r="C1787" s="18">
        <v>45149</v>
      </c>
      <c r="D1787" t="s">
        <v>104</v>
      </c>
      <c r="E1787" s="32">
        <v>0</v>
      </c>
      <c r="F1787" s="32">
        <v>1416690</v>
      </c>
      <c r="G1787" s="32">
        <v>50395635</v>
      </c>
      <c r="H1787" t="s">
        <v>352</v>
      </c>
    </row>
    <row r="1788" spans="1:8" hidden="1" x14ac:dyDescent="0.3">
      <c r="A1788" s="28">
        <v>14499</v>
      </c>
      <c r="B1788" s="49">
        <v>45149.421527777777</v>
      </c>
      <c r="C1788" s="18">
        <v>45149</v>
      </c>
      <c r="D1788" t="s">
        <v>104</v>
      </c>
      <c r="E1788" s="32">
        <v>0</v>
      </c>
      <c r="F1788" s="32">
        <v>507890</v>
      </c>
      <c r="G1788" s="32">
        <v>51812325</v>
      </c>
      <c r="H1788" t="s">
        <v>298</v>
      </c>
    </row>
    <row r="1789" spans="1:8" hidden="1" x14ac:dyDescent="0.3">
      <c r="A1789" s="28">
        <v>14498</v>
      </c>
      <c r="B1789" s="49">
        <v>45149.367361111108</v>
      </c>
      <c r="C1789" s="18">
        <v>45149</v>
      </c>
      <c r="D1789" t="s">
        <v>104</v>
      </c>
      <c r="E1789" s="32">
        <v>0</v>
      </c>
      <c r="F1789" s="32">
        <v>50000</v>
      </c>
      <c r="G1789" s="32">
        <v>52320215</v>
      </c>
      <c r="H1789" t="s">
        <v>708</v>
      </c>
    </row>
    <row r="1790" spans="1:8" hidden="1" x14ac:dyDescent="0.3">
      <c r="A1790" s="28">
        <v>14497</v>
      </c>
      <c r="B1790" s="49">
        <v>45149.365972222222</v>
      </c>
      <c r="C1790" s="18">
        <v>45149</v>
      </c>
      <c r="D1790" t="s">
        <v>104</v>
      </c>
      <c r="E1790" s="32">
        <v>0</v>
      </c>
      <c r="F1790" s="32">
        <v>32000</v>
      </c>
      <c r="G1790" s="32">
        <v>52370215</v>
      </c>
      <c r="H1790" t="s">
        <v>709</v>
      </c>
    </row>
    <row r="1791" spans="1:8" hidden="1" x14ac:dyDescent="0.3">
      <c r="A1791" s="28">
        <v>14496</v>
      </c>
      <c r="B1791" s="49">
        <v>45149.365972222222</v>
      </c>
      <c r="C1791" s="18">
        <v>45149</v>
      </c>
      <c r="D1791" t="s">
        <v>104</v>
      </c>
      <c r="E1791" s="32">
        <v>0</v>
      </c>
      <c r="F1791" s="32">
        <v>32000</v>
      </c>
      <c r="G1791" s="32">
        <v>52402215</v>
      </c>
      <c r="H1791" t="s">
        <v>709</v>
      </c>
    </row>
    <row r="1792" spans="1:8" hidden="1" x14ac:dyDescent="0.3">
      <c r="A1792" s="28">
        <v>14491</v>
      </c>
      <c r="B1792" s="49">
        <v>45148.646527777775</v>
      </c>
      <c r="C1792" s="18">
        <v>45148</v>
      </c>
      <c r="D1792" t="s">
        <v>103</v>
      </c>
      <c r="E1792" s="32">
        <v>5236000</v>
      </c>
      <c r="F1792" s="32">
        <v>0</v>
      </c>
      <c r="G1792" s="32">
        <v>52434215</v>
      </c>
      <c r="H1792" t="s">
        <v>300</v>
      </c>
    </row>
    <row r="1793" spans="1:8" hidden="1" x14ac:dyDescent="0.3">
      <c r="A1793" s="28">
        <v>14490</v>
      </c>
      <c r="B1793" s="49">
        <v>45148.630555555559</v>
      </c>
      <c r="C1793" s="18">
        <v>45148</v>
      </c>
      <c r="D1793" t="s">
        <v>103</v>
      </c>
      <c r="E1793" s="32">
        <v>137500</v>
      </c>
      <c r="F1793" s="32">
        <v>0</v>
      </c>
      <c r="G1793" s="32">
        <v>47198215</v>
      </c>
      <c r="H1793" t="s">
        <v>387</v>
      </c>
    </row>
    <row r="1794" spans="1:8" hidden="1" x14ac:dyDescent="0.3">
      <c r="A1794" s="28">
        <v>14489</v>
      </c>
      <c r="B1794" s="49">
        <v>45148.563194444447</v>
      </c>
      <c r="C1794" s="18">
        <v>45148</v>
      </c>
      <c r="D1794" t="s">
        <v>103</v>
      </c>
      <c r="E1794" s="32">
        <v>618200</v>
      </c>
      <c r="F1794" s="32">
        <v>0</v>
      </c>
      <c r="G1794" s="32">
        <v>47060715</v>
      </c>
      <c r="H1794" t="s">
        <v>710</v>
      </c>
    </row>
    <row r="1795" spans="1:8" hidden="1" x14ac:dyDescent="0.3">
      <c r="A1795" s="28">
        <v>14485</v>
      </c>
      <c r="B1795" s="49">
        <v>45148.427777777775</v>
      </c>
      <c r="C1795" s="18">
        <v>45148</v>
      </c>
      <c r="D1795" t="s">
        <v>103</v>
      </c>
      <c r="E1795" s="32">
        <v>2957900</v>
      </c>
      <c r="F1795" s="32">
        <v>0</v>
      </c>
      <c r="G1795" s="32">
        <v>46442515</v>
      </c>
      <c r="H1795" t="s">
        <v>454</v>
      </c>
    </row>
    <row r="1796" spans="1:8" hidden="1" x14ac:dyDescent="0.3">
      <c r="A1796" s="28">
        <v>14483</v>
      </c>
      <c r="B1796" s="49">
        <v>45147.708333333336</v>
      </c>
      <c r="C1796" s="18">
        <v>45147</v>
      </c>
      <c r="D1796" t="s">
        <v>104</v>
      </c>
      <c r="E1796" s="32">
        <v>0</v>
      </c>
      <c r="F1796" s="32">
        <v>441760</v>
      </c>
      <c r="G1796" s="32">
        <v>43484615</v>
      </c>
      <c r="H1796" t="s">
        <v>293</v>
      </c>
    </row>
    <row r="1797" spans="1:8" hidden="1" x14ac:dyDescent="0.3">
      <c r="A1797" s="28">
        <v>14480</v>
      </c>
      <c r="B1797" s="49">
        <v>45147.620833333334</v>
      </c>
      <c r="C1797" s="18">
        <v>45147</v>
      </c>
      <c r="D1797" t="s">
        <v>103</v>
      </c>
      <c r="E1797" s="32">
        <v>12326600</v>
      </c>
      <c r="F1797" s="32">
        <v>0</v>
      </c>
      <c r="G1797" s="32">
        <v>43926375</v>
      </c>
      <c r="H1797" t="s">
        <v>387</v>
      </c>
    </row>
    <row r="1798" spans="1:8" hidden="1" x14ac:dyDescent="0.3">
      <c r="A1798" s="28">
        <v>14479</v>
      </c>
      <c r="B1798" s="49">
        <v>45147.575694444444</v>
      </c>
      <c r="C1798" s="18">
        <v>45147</v>
      </c>
      <c r="D1798" t="s">
        <v>104</v>
      </c>
      <c r="E1798" s="32">
        <v>0</v>
      </c>
      <c r="F1798" s="32">
        <v>68360</v>
      </c>
      <c r="G1798" s="32">
        <v>31599775</v>
      </c>
      <c r="H1798" t="s">
        <v>711</v>
      </c>
    </row>
    <row r="1799" spans="1:8" hidden="1" x14ac:dyDescent="0.3">
      <c r="A1799" s="28">
        <v>14476</v>
      </c>
      <c r="B1799" s="49">
        <v>45147.445833333331</v>
      </c>
      <c r="C1799" s="18">
        <v>45147</v>
      </c>
      <c r="D1799" t="s">
        <v>103</v>
      </c>
      <c r="E1799" s="32">
        <v>920700</v>
      </c>
      <c r="F1799" s="32">
        <v>0</v>
      </c>
      <c r="G1799" s="32">
        <v>31668135</v>
      </c>
      <c r="H1799" t="s">
        <v>678</v>
      </c>
    </row>
    <row r="1800" spans="1:8" hidden="1" x14ac:dyDescent="0.3">
      <c r="A1800" s="28">
        <v>14475</v>
      </c>
      <c r="B1800" s="49">
        <v>45147.313888888886</v>
      </c>
      <c r="C1800" s="18">
        <v>45147</v>
      </c>
      <c r="D1800" t="s">
        <v>103</v>
      </c>
      <c r="E1800" s="32">
        <v>664400</v>
      </c>
      <c r="F1800" s="32">
        <v>0</v>
      </c>
      <c r="G1800" s="32">
        <v>30747435</v>
      </c>
      <c r="H1800" t="s">
        <v>548</v>
      </c>
    </row>
    <row r="1801" spans="1:8" hidden="1" x14ac:dyDescent="0.3">
      <c r="A1801" s="28">
        <v>14474</v>
      </c>
      <c r="B1801" s="49">
        <v>45146.703472222223</v>
      </c>
      <c r="C1801" s="18">
        <v>45146</v>
      </c>
      <c r="D1801" t="s">
        <v>103</v>
      </c>
      <c r="E1801" s="32">
        <v>943800</v>
      </c>
      <c r="F1801" s="32">
        <v>0</v>
      </c>
      <c r="G1801" s="32">
        <v>30083035</v>
      </c>
      <c r="H1801" t="s">
        <v>526</v>
      </c>
    </row>
    <row r="1802" spans="1:8" hidden="1" x14ac:dyDescent="0.3">
      <c r="A1802" s="28">
        <v>14473</v>
      </c>
      <c r="B1802" s="49">
        <v>45146.568055555559</v>
      </c>
      <c r="C1802" s="18">
        <v>45146</v>
      </c>
      <c r="D1802" t="s">
        <v>104</v>
      </c>
      <c r="E1802" s="32">
        <v>0</v>
      </c>
      <c r="F1802" s="32">
        <v>47080</v>
      </c>
      <c r="G1802" s="32">
        <v>29139235</v>
      </c>
      <c r="H1802" t="s">
        <v>352</v>
      </c>
    </row>
    <row r="1803" spans="1:8" hidden="1" x14ac:dyDescent="0.3">
      <c r="A1803" s="28">
        <v>14472</v>
      </c>
      <c r="B1803" s="49">
        <v>45146.567361111112</v>
      </c>
      <c r="C1803" s="18">
        <v>45146</v>
      </c>
      <c r="D1803" t="s">
        <v>104</v>
      </c>
      <c r="E1803" s="32">
        <v>0</v>
      </c>
      <c r="F1803" s="32">
        <v>83160</v>
      </c>
      <c r="G1803" s="32">
        <v>29186315</v>
      </c>
      <c r="H1803" t="s">
        <v>365</v>
      </c>
    </row>
    <row r="1804" spans="1:8" hidden="1" x14ac:dyDescent="0.3">
      <c r="A1804" s="28">
        <v>14471</v>
      </c>
      <c r="B1804" s="49">
        <v>45146.490277777775</v>
      </c>
      <c r="C1804" s="18">
        <v>45146</v>
      </c>
      <c r="D1804" t="s">
        <v>104</v>
      </c>
      <c r="E1804" s="32">
        <v>0</v>
      </c>
      <c r="F1804" s="32">
        <v>9300</v>
      </c>
      <c r="G1804" s="32">
        <v>29269475</v>
      </c>
      <c r="H1804" t="s">
        <v>393</v>
      </c>
    </row>
    <row r="1805" spans="1:8" hidden="1" x14ac:dyDescent="0.3">
      <c r="A1805" s="28">
        <v>14470</v>
      </c>
      <c r="B1805" s="49">
        <v>45146.490277777775</v>
      </c>
      <c r="C1805" s="18">
        <v>45146</v>
      </c>
      <c r="D1805" t="s">
        <v>104</v>
      </c>
      <c r="E1805" s="32">
        <v>0</v>
      </c>
      <c r="F1805" s="32">
        <v>3331270</v>
      </c>
      <c r="G1805" s="32">
        <v>29278775</v>
      </c>
      <c r="H1805" t="s">
        <v>392</v>
      </c>
    </row>
    <row r="1806" spans="1:8" hidden="1" x14ac:dyDescent="0.3">
      <c r="A1806" s="28">
        <v>14469</v>
      </c>
      <c r="B1806" s="49">
        <v>45146.488888888889</v>
      </c>
      <c r="C1806" s="18">
        <v>45146</v>
      </c>
      <c r="D1806" t="s">
        <v>104</v>
      </c>
      <c r="E1806" s="32">
        <v>0</v>
      </c>
      <c r="F1806" s="32">
        <v>334040</v>
      </c>
      <c r="G1806" s="32">
        <v>32610045</v>
      </c>
      <c r="H1806" t="s">
        <v>391</v>
      </c>
    </row>
    <row r="1807" spans="1:8" hidden="1" x14ac:dyDescent="0.3">
      <c r="A1807" s="28">
        <v>14467</v>
      </c>
      <c r="B1807" s="49">
        <v>45145.832638888889</v>
      </c>
      <c r="C1807" s="18">
        <v>45145</v>
      </c>
      <c r="D1807" t="s">
        <v>104</v>
      </c>
      <c r="E1807" s="32">
        <v>0</v>
      </c>
      <c r="F1807" s="32">
        <v>626472</v>
      </c>
      <c r="G1807" s="32">
        <v>32944085</v>
      </c>
      <c r="H1807" t="s">
        <v>712</v>
      </c>
    </row>
    <row r="1808" spans="1:8" hidden="1" x14ac:dyDescent="0.3">
      <c r="A1808" s="28">
        <v>14466</v>
      </c>
      <c r="B1808" s="49">
        <v>45145.79791666667</v>
      </c>
      <c r="C1808" s="18">
        <v>45145</v>
      </c>
      <c r="D1808" t="s">
        <v>104</v>
      </c>
      <c r="E1808" s="32">
        <v>0</v>
      </c>
      <c r="F1808" s="32">
        <v>711920</v>
      </c>
      <c r="G1808" s="32">
        <v>33570557</v>
      </c>
      <c r="H1808" t="s">
        <v>507</v>
      </c>
    </row>
    <row r="1809" spans="1:8" hidden="1" x14ac:dyDescent="0.3">
      <c r="A1809" s="28">
        <v>14464</v>
      </c>
      <c r="B1809" s="49">
        <v>45145.675000000003</v>
      </c>
      <c r="C1809" s="18">
        <v>45145</v>
      </c>
      <c r="D1809" t="s">
        <v>104</v>
      </c>
      <c r="E1809" s="32">
        <v>0</v>
      </c>
      <c r="F1809" s="32">
        <v>165000</v>
      </c>
      <c r="G1809" s="32">
        <v>34282477</v>
      </c>
      <c r="H1809" t="s">
        <v>713</v>
      </c>
    </row>
    <row r="1810" spans="1:8" hidden="1" x14ac:dyDescent="0.3">
      <c r="A1810" s="28">
        <v>14463</v>
      </c>
      <c r="B1810" s="49">
        <v>45145.620138888888</v>
      </c>
      <c r="C1810" s="18">
        <v>45145</v>
      </c>
      <c r="D1810" t="s">
        <v>104</v>
      </c>
      <c r="E1810" s="32">
        <v>0</v>
      </c>
      <c r="F1810" s="32">
        <v>50490</v>
      </c>
      <c r="G1810" s="32">
        <v>34447477</v>
      </c>
      <c r="H1810" t="s">
        <v>352</v>
      </c>
    </row>
    <row r="1811" spans="1:8" hidden="1" x14ac:dyDescent="0.3">
      <c r="A1811" s="28">
        <v>14462</v>
      </c>
      <c r="B1811" s="49">
        <v>45145.59375</v>
      </c>
      <c r="C1811" s="18">
        <v>45145</v>
      </c>
      <c r="D1811" t="s">
        <v>103</v>
      </c>
      <c r="E1811" s="32">
        <v>710600</v>
      </c>
      <c r="F1811" s="32">
        <v>0</v>
      </c>
      <c r="G1811" s="32">
        <v>34497967</v>
      </c>
      <c r="H1811" t="s">
        <v>468</v>
      </c>
    </row>
    <row r="1812" spans="1:8" hidden="1" x14ac:dyDescent="0.3">
      <c r="A1812" s="28">
        <v>14458</v>
      </c>
      <c r="B1812" s="49">
        <v>45145.480555555558</v>
      </c>
      <c r="C1812" s="18">
        <v>45145</v>
      </c>
      <c r="D1812" t="s">
        <v>103</v>
      </c>
      <c r="E1812" s="32">
        <v>259600</v>
      </c>
      <c r="F1812" s="32">
        <v>0</v>
      </c>
      <c r="G1812" s="32">
        <v>33787367</v>
      </c>
      <c r="H1812" t="s">
        <v>526</v>
      </c>
    </row>
    <row r="1813" spans="1:8" hidden="1" x14ac:dyDescent="0.3">
      <c r="A1813" s="28">
        <v>14457</v>
      </c>
      <c r="B1813" s="49">
        <v>45145.466666666667</v>
      </c>
      <c r="C1813" s="18">
        <v>45145</v>
      </c>
      <c r="D1813" t="s">
        <v>103</v>
      </c>
      <c r="E1813" s="32">
        <v>490600</v>
      </c>
      <c r="F1813" s="32">
        <v>0</v>
      </c>
      <c r="G1813" s="32">
        <v>33527767</v>
      </c>
      <c r="H1813" t="s">
        <v>364</v>
      </c>
    </row>
    <row r="1814" spans="1:8" hidden="1" x14ac:dyDescent="0.3">
      <c r="A1814" s="28">
        <v>14456</v>
      </c>
      <c r="B1814" s="49">
        <v>45145.461805555555</v>
      </c>
      <c r="C1814" s="18">
        <v>45145</v>
      </c>
      <c r="D1814" t="s">
        <v>103</v>
      </c>
      <c r="E1814" s="32">
        <v>345400</v>
      </c>
      <c r="F1814" s="32">
        <v>0</v>
      </c>
      <c r="G1814" s="32">
        <v>33037167</v>
      </c>
      <c r="H1814" t="s">
        <v>437</v>
      </c>
    </row>
    <row r="1815" spans="1:8" hidden="1" x14ac:dyDescent="0.3">
      <c r="A1815" s="28">
        <v>14455</v>
      </c>
      <c r="B1815" s="49">
        <v>45145.387499999997</v>
      </c>
      <c r="C1815" s="18">
        <v>45145</v>
      </c>
      <c r="D1815" t="s">
        <v>104</v>
      </c>
      <c r="E1815" s="32">
        <v>0</v>
      </c>
      <c r="F1815" s="32">
        <v>108020</v>
      </c>
      <c r="G1815" s="32">
        <v>32691767</v>
      </c>
      <c r="H1815" t="s">
        <v>352</v>
      </c>
    </row>
    <row r="1816" spans="1:8" hidden="1" x14ac:dyDescent="0.3">
      <c r="A1816" s="28">
        <v>14451</v>
      </c>
      <c r="B1816" s="49">
        <v>45145.356249999997</v>
      </c>
      <c r="C1816" s="18">
        <v>45145</v>
      </c>
      <c r="D1816" t="s">
        <v>103</v>
      </c>
      <c r="E1816" s="32">
        <v>1048300</v>
      </c>
      <c r="F1816" s="32">
        <v>0</v>
      </c>
      <c r="G1816" s="32">
        <v>32799787</v>
      </c>
      <c r="H1816" t="s">
        <v>714</v>
      </c>
    </row>
    <row r="1817" spans="1:8" hidden="1" x14ac:dyDescent="0.3">
      <c r="A1817" s="28">
        <v>14450</v>
      </c>
      <c r="B1817" s="49">
        <v>45142.627083333333</v>
      </c>
      <c r="C1817" s="18">
        <v>45142</v>
      </c>
      <c r="D1817" t="s">
        <v>104</v>
      </c>
      <c r="E1817" s="32">
        <v>0</v>
      </c>
      <c r="F1817" s="32">
        <v>1538570</v>
      </c>
      <c r="G1817" s="32">
        <v>31751487</v>
      </c>
      <c r="H1817" t="s">
        <v>293</v>
      </c>
    </row>
    <row r="1818" spans="1:8" hidden="1" x14ac:dyDescent="0.3">
      <c r="A1818" s="28">
        <v>14449</v>
      </c>
      <c r="B1818" s="49">
        <v>45142.618055555555</v>
      </c>
      <c r="C1818" s="18">
        <v>45142</v>
      </c>
      <c r="D1818" t="s">
        <v>104</v>
      </c>
      <c r="E1818" s="32">
        <v>0</v>
      </c>
      <c r="F1818" s="32">
        <v>930800</v>
      </c>
      <c r="G1818" s="32">
        <v>33290057</v>
      </c>
      <c r="H1818" t="s">
        <v>715</v>
      </c>
    </row>
    <row r="1819" spans="1:8" hidden="1" x14ac:dyDescent="0.3">
      <c r="A1819" s="28">
        <v>14448</v>
      </c>
      <c r="B1819" s="49">
        <v>45142.582638888889</v>
      </c>
      <c r="C1819" s="18">
        <v>45142</v>
      </c>
      <c r="D1819" t="s">
        <v>103</v>
      </c>
      <c r="E1819" s="32">
        <v>1615900</v>
      </c>
      <c r="F1819" s="32">
        <v>0</v>
      </c>
      <c r="G1819" s="32">
        <v>34220857</v>
      </c>
      <c r="H1819" t="s">
        <v>300</v>
      </c>
    </row>
    <row r="1820" spans="1:8" hidden="1" x14ac:dyDescent="0.3">
      <c r="A1820" s="28">
        <v>14447</v>
      </c>
      <c r="B1820" s="49">
        <v>45142.582638888889</v>
      </c>
      <c r="C1820" s="18">
        <v>45142</v>
      </c>
      <c r="D1820" t="s">
        <v>103</v>
      </c>
      <c r="E1820" s="32">
        <v>916300</v>
      </c>
      <c r="F1820" s="32">
        <v>0</v>
      </c>
      <c r="G1820" s="32">
        <v>32604957</v>
      </c>
      <c r="H1820" t="s">
        <v>300</v>
      </c>
    </row>
    <row r="1821" spans="1:8" hidden="1" x14ac:dyDescent="0.3">
      <c r="A1821" s="28">
        <v>14446</v>
      </c>
      <c r="B1821" s="49">
        <v>45142.582638888889</v>
      </c>
      <c r="C1821" s="18">
        <v>45142</v>
      </c>
      <c r="D1821" t="s">
        <v>103</v>
      </c>
      <c r="E1821" s="32">
        <v>75900</v>
      </c>
      <c r="F1821" s="32">
        <v>0</v>
      </c>
      <c r="G1821" s="32">
        <v>31688657</v>
      </c>
      <c r="H1821" t="s">
        <v>300</v>
      </c>
    </row>
    <row r="1822" spans="1:8" hidden="1" x14ac:dyDescent="0.3">
      <c r="A1822" s="28">
        <v>14444</v>
      </c>
      <c r="B1822" s="49">
        <v>45142.405555555553</v>
      </c>
      <c r="C1822" s="18">
        <v>45142</v>
      </c>
      <c r="D1822" t="s">
        <v>103</v>
      </c>
      <c r="E1822" s="32">
        <v>220000</v>
      </c>
      <c r="F1822" s="32">
        <v>0</v>
      </c>
      <c r="G1822" s="32">
        <v>31612757</v>
      </c>
      <c r="H1822" t="s">
        <v>477</v>
      </c>
    </row>
    <row r="1823" spans="1:8" hidden="1" x14ac:dyDescent="0.3">
      <c r="A1823" s="28">
        <v>14443</v>
      </c>
      <c r="B1823" s="49">
        <v>45142.392361111109</v>
      </c>
      <c r="C1823" s="18">
        <v>45142</v>
      </c>
      <c r="D1823" t="s">
        <v>104</v>
      </c>
      <c r="E1823" s="32">
        <v>0</v>
      </c>
      <c r="F1823" s="32">
        <v>8000</v>
      </c>
      <c r="G1823" s="32">
        <v>31392757</v>
      </c>
      <c r="H1823" t="s">
        <v>313</v>
      </c>
    </row>
    <row r="1824" spans="1:8" hidden="1" x14ac:dyDescent="0.3">
      <c r="A1824" s="28">
        <v>14442</v>
      </c>
      <c r="B1824" s="49">
        <v>45141.643750000003</v>
      </c>
      <c r="C1824" s="18">
        <v>45141</v>
      </c>
      <c r="D1824" t="s">
        <v>103</v>
      </c>
      <c r="E1824" s="32">
        <v>187000</v>
      </c>
      <c r="F1824" s="32">
        <v>0</v>
      </c>
      <c r="G1824" s="32">
        <v>31400757</v>
      </c>
      <c r="H1824" t="s">
        <v>716</v>
      </c>
    </row>
    <row r="1825" spans="1:8" hidden="1" x14ac:dyDescent="0.3">
      <c r="A1825" s="28">
        <v>14441</v>
      </c>
      <c r="B1825" s="49">
        <v>45141.600694444445</v>
      </c>
      <c r="C1825" s="18">
        <v>45141</v>
      </c>
      <c r="D1825" t="s">
        <v>104</v>
      </c>
      <c r="E1825" s="32">
        <v>0</v>
      </c>
      <c r="F1825" s="32">
        <v>25993400</v>
      </c>
      <c r="G1825" s="32">
        <v>31213757</v>
      </c>
      <c r="H1825" t="s">
        <v>717</v>
      </c>
    </row>
    <row r="1826" spans="1:8" hidden="1" x14ac:dyDescent="0.3">
      <c r="A1826" s="28">
        <v>14440</v>
      </c>
      <c r="B1826" s="49">
        <v>45141.491666666669</v>
      </c>
      <c r="C1826" s="18">
        <v>45141</v>
      </c>
      <c r="D1826" t="s">
        <v>104</v>
      </c>
      <c r="E1826" s="32">
        <v>0</v>
      </c>
      <c r="F1826" s="32">
        <v>38940300</v>
      </c>
      <c r="G1826" s="32">
        <v>57207157</v>
      </c>
      <c r="H1826" t="s">
        <v>314</v>
      </c>
    </row>
    <row r="1827" spans="1:8" hidden="1" x14ac:dyDescent="0.3">
      <c r="A1827" s="28">
        <v>14439</v>
      </c>
      <c r="B1827" s="49">
        <v>45141.490972222222</v>
      </c>
      <c r="C1827" s="18">
        <v>45141</v>
      </c>
      <c r="D1827" t="s">
        <v>104</v>
      </c>
      <c r="E1827" s="32">
        <v>0</v>
      </c>
      <c r="F1827" s="32">
        <v>38653800</v>
      </c>
      <c r="G1827" s="32">
        <v>96147457</v>
      </c>
      <c r="H1827" t="s">
        <v>314</v>
      </c>
    </row>
    <row r="1828" spans="1:8" hidden="1" x14ac:dyDescent="0.3">
      <c r="A1828" s="28">
        <v>14437</v>
      </c>
      <c r="B1828" s="49">
        <v>45141.490277777775</v>
      </c>
      <c r="C1828" s="18">
        <v>45141</v>
      </c>
      <c r="D1828" t="s">
        <v>103</v>
      </c>
      <c r="E1828" s="32">
        <v>70000000</v>
      </c>
      <c r="F1828" s="32">
        <v>0</v>
      </c>
      <c r="G1828" s="32">
        <v>134801257</v>
      </c>
      <c r="H1828" t="s">
        <v>331</v>
      </c>
    </row>
    <row r="1829" spans="1:8" hidden="1" x14ac:dyDescent="0.3">
      <c r="A1829" s="28">
        <v>14434</v>
      </c>
      <c r="B1829" s="49">
        <v>45140.551388888889</v>
      </c>
      <c r="C1829" s="18">
        <v>45140</v>
      </c>
      <c r="D1829" t="s">
        <v>104</v>
      </c>
      <c r="E1829" s="32">
        <v>0</v>
      </c>
      <c r="F1829" s="32">
        <v>245407</v>
      </c>
      <c r="G1829" s="32">
        <v>64801257</v>
      </c>
      <c r="H1829" t="s">
        <v>293</v>
      </c>
    </row>
    <row r="1830" spans="1:8" hidden="1" x14ac:dyDescent="0.3">
      <c r="A1830" s="28">
        <v>14433</v>
      </c>
      <c r="B1830" s="49">
        <v>45140.549305555556</v>
      </c>
      <c r="C1830" s="18">
        <v>45140</v>
      </c>
      <c r="D1830" t="s">
        <v>104</v>
      </c>
      <c r="E1830" s="32">
        <v>0</v>
      </c>
      <c r="F1830" s="32">
        <v>2361150</v>
      </c>
      <c r="G1830" s="32">
        <v>65046664</v>
      </c>
      <c r="H1830" t="s">
        <v>352</v>
      </c>
    </row>
    <row r="1831" spans="1:8" hidden="1" x14ac:dyDescent="0.3">
      <c r="A1831" s="28">
        <v>14430</v>
      </c>
      <c r="B1831" s="49">
        <v>45140.463194444441</v>
      </c>
      <c r="C1831" s="18">
        <v>45140</v>
      </c>
      <c r="D1831" t="s">
        <v>103</v>
      </c>
      <c r="E1831" s="32">
        <v>512600</v>
      </c>
      <c r="F1831" s="32">
        <v>0</v>
      </c>
      <c r="G1831" s="32">
        <v>67407814</v>
      </c>
      <c r="H1831" t="s">
        <v>526</v>
      </c>
    </row>
    <row r="1832" spans="1:8" hidden="1" x14ac:dyDescent="0.3">
      <c r="A1832" s="28">
        <v>14429</v>
      </c>
      <c r="B1832" s="49">
        <v>45139.578472222223</v>
      </c>
      <c r="C1832" s="18">
        <v>45139</v>
      </c>
      <c r="D1832" t="s">
        <v>103</v>
      </c>
      <c r="E1832" s="32">
        <v>222200</v>
      </c>
      <c r="F1832" s="32">
        <v>0</v>
      </c>
      <c r="G1832" s="32">
        <v>66895214</v>
      </c>
      <c r="H1832" t="s">
        <v>718</v>
      </c>
    </row>
    <row r="1833" spans="1:8" hidden="1" x14ac:dyDescent="0.3">
      <c r="A1833" s="28">
        <v>14428</v>
      </c>
      <c r="B1833" s="49">
        <v>45139.556944444441</v>
      </c>
      <c r="C1833" s="18">
        <v>45139</v>
      </c>
      <c r="D1833" t="s">
        <v>103</v>
      </c>
      <c r="E1833" s="32">
        <v>288200</v>
      </c>
      <c r="F1833" s="32">
        <v>0</v>
      </c>
      <c r="G1833" s="32">
        <v>66673014</v>
      </c>
      <c r="H1833" t="s">
        <v>292</v>
      </c>
    </row>
    <row r="1834" spans="1:8" hidden="1" x14ac:dyDescent="0.3">
      <c r="A1834" s="28">
        <v>14426</v>
      </c>
      <c r="B1834" s="49">
        <v>45139.406944444447</v>
      </c>
      <c r="C1834" s="18">
        <v>45139</v>
      </c>
      <c r="D1834" t="s">
        <v>103</v>
      </c>
      <c r="E1834" s="32">
        <v>934000</v>
      </c>
      <c r="F1834" s="32">
        <v>0</v>
      </c>
      <c r="G1834" s="32">
        <v>66384814</v>
      </c>
      <c r="H1834" t="s">
        <v>462</v>
      </c>
    </row>
    <row r="1835" spans="1:8" hidden="1" x14ac:dyDescent="0.3">
      <c r="A1835" s="28">
        <v>14425</v>
      </c>
      <c r="B1835" s="49">
        <v>45139.402083333334</v>
      </c>
      <c r="C1835" s="18">
        <v>45139</v>
      </c>
      <c r="D1835" t="s">
        <v>103</v>
      </c>
      <c r="E1835" s="32">
        <v>93400</v>
      </c>
      <c r="F1835" s="32">
        <v>0</v>
      </c>
      <c r="G1835" s="32">
        <v>65450814</v>
      </c>
      <c r="H1835" t="s">
        <v>463</v>
      </c>
    </row>
    <row r="1836" spans="1:8" hidden="1" x14ac:dyDescent="0.3">
      <c r="A1836" s="28">
        <v>14424</v>
      </c>
      <c r="B1836" s="49">
        <v>45138.797222222223</v>
      </c>
      <c r="C1836" s="18">
        <v>45138</v>
      </c>
      <c r="D1836" t="s">
        <v>104</v>
      </c>
      <c r="E1836" s="32">
        <v>0</v>
      </c>
      <c r="F1836" s="32">
        <v>400510</v>
      </c>
      <c r="G1836" s="32">
        <v>65357414</v>
      </c>
      <c r="H1836" t="s">
        <v>507</v>
      </c>
    </row>
    <row r="1837" spans="1:8" hidden="1" x14ac:dyDescent="0.3">
      <c r="A1837" s="28">
        <v>14423</v>
      </c>
      <c r="B1837" s="49">
        <v>45138.716666666667</v>
      </c>
      <c r="C1837" s="18">
        <v>45138</v>
      </c>
      <c r="D1837" t="s">
        <v>103</v>
      </c>
      <c r="E1837" s="32">
        <v>281600</v>
      </c>
      <c r="F1837" s="32">
        <v>0</v>
      </c>
      <c r="G1837" s="32">
        <v>65757924</v>
      </c>
      <c r="H1837" t="s">
        <v>719</v>
      </c>
    </row>
    <row r="1838" spans="1:8" hidden="1" x14ac:dyDescent="0.3">
      <c r="A1838" s="28">
        <v>14422</v>
      </c>
      <c r="B1838" s="49">
        <v>45138.709722222222</v>
      </c>
      <c r="C1838" s="18">
        <v>45138</v>
      </c>
      <c r="D1838" t="s">
        <v>103</v>
      </c>
      <c r="E1838" s="32">
        <v>304700</v>
      </c>
      <c r="F1838" s="32">
        <v>0</v>
      </c>
      <c r="G1838" s="32">
        <v>65476324</v>
      </c>
      <c r="H1838" t="s">
        <v>720</v>
      </c>
    </row>
    <row r="1839" spans="1:8" hidden="1" x14ac:dyDescent="0.3">
      <c r="A1839" s="28">
        <v>14420</v>
      </c>
      <c r="B1839" s="49">
        <v>45138.627083333333</v>
      </c>
      <c r="C1839" s="18">
        <v>45138</v>
      </c>
      <c r="D1839" t="s">
        <v>104</v>
      </c>
      <c r="E1839" s="32">
        <v>0</v>
      </c>
      <c r="F1839" s="32">
        <v>674032</v>
      </c>
      <c r="G1839" s="32">
        <v>65171624</v>
      </c>
      <c r="H1839" t="s">
        <v>293</v>
      </c>
    </row>
    <row r="1840" spans="1:8" hidden="1" x14ac:dyDescent="0.3">
      <c r="A1840" s="28">
        <v>14419</v>
      </c>
      <c r="B1840" s="49">
        <v>45138.624305555553</v>
      </c>
      <c r="C1840" s="18">
        <v>45138</v>
      </c>
      <c r="D1840" t="s">
        <v>103</v>
      </c>
      <c r="E1840" s="32">
        <v>70400</v>
      </c>
      <c r="F1840" s="32">
        <v>0</v>
      </c>
      <c r="G1840" s="32">
        <v>65845656</v>
      </c>
      <c r="H1840" t="s">
        <v>324</v>
      </c>
    </row>
    <row r="1841" spans="1:8" hidden="1" x14ac:dyDescent="0.3">
      <c r="A1841" s="28">
        <v>14418</v>
      </c>
      <c r="B1841" s="49">
        <v>45138.518750000003</v>
      </c>
      <c r="C1841" s="18">
        <v>45138</v>
      </c>
      <c r="D1841" t="s">
        <v>103</v>
      </c>
      <c r="E1841" s="32">
        <v>149600</v>
      </c>
      <c r="F1841" s="32">
        <v>0</v>
      </c>
      <c r="G1841" s="32">
        <v>65775256</v>
      </c>
      <c r="H1841" t="s">
        <v>317</v>
      </c>
    </row>
    <row r="1842" spans="1:8" hidden="1" x14ac:dyDescent="0.3">
      <c r="A1842" s="28">
        <v>14417</v>
      </c>
      <c r="B1842" s="49">
        <v>45138.459027777775</v>
      </c>
      <c r="C1842" s="18">
        <v>45138</v>
      </c>
      <c r="D1842" t="s">
        <v>103</v>
      </c>
      <c r="E1842" s="32">
        <v>135300</v>
      </c>
      <c r="F1842" s="32">
        <v>0</v>
      </c>
      <c r="G1842" s="32">
        <v>65625656</v>
      </c>
      <c r="H1842" t="s">
        <v>461</v>
      </c>
    </row>
    <row r="1843" spans="1:8" hidden="1" x14ac:dyDescent="0.3">
      <c r="A1843" s="28">
        <v>14416</v>
      </c>
      <c r="B1843" s="49">
        <v>45138.455555555556</v>
      </c>
      <c r="C1843" s="18">
        <v>45138</v>
      </c>
      <c r="D1843" t="s">
        <v>103</v>
      </c>
      <c r="E1843" s="32">
        <v>3276900</v>
      </c>
      <c r="F1843" s="32">
        <v>0</v>
      </c>
      <c r="G1843" s="32">
        <v>65490356</v>
      </c>
      <c r="H1843" t="s">
        <v>721</v>
      </c>
    </row>
    <row r="1844" spans="1:8" hidden="1" x14ac:dyDescent="0.3">
      <c r="A1844" s="28">
        <v>14415</v>
      </c>
      <c r="B1844" s="49">
        <v>45138.445138888892</v>
      </c>
      <c r="C1844" s="18">
        <v>45138</v>
      </c>
      <c r="D1844" t="s">
        <v>103</v>
      </c>
      <c r="E1844" s="32">
        <v>1233100</v>
      </c>
      <c r="F1844" s="32">
        <v>0</v>
      </c>
      <c r="G1844" s="32">
        <v>62213456</v>
      </c>
      <c r="H1844" t="s">
        <v>336</v>
      </c>
    </row>
    <row r="1845" spans="1:8" hidden="1" x14ac:dyDescent="0.3">
      <c r="A1845" s="28">
        <v>14414</v>
      </c>
      <c r="B1845" s="49">
        <v>45138.436111111114</v>
      </c>
      <c r="C1845" s="18">
        <v>45138</v>
      </c>
      <c r="D1845" t="s">
        <v>103</v>
      </c>
      <c r="E1845" s="32">
        <v>1225400</v>
      </c>
      <c r="F1845" s="32">
        <v>0</v>
      </c>
      <c r="G1845" s="32">
        <v>60980356</v>
      </c>
      <c r="H1845" t="s">
        <v>526</v>
      </c>
    </row>
    <row r="1846" spans="1:8" hidden="1" x14ac:dyDescent="0.3">
      <c r="A1846" s="28">
        <v>14413</v>
      </c>
      <c r="B1846" s="49">
        <v>45138.412499999999</v>
      </c>
      <c r="C1846" s="18">
        <v>45138</v>
      </c>
      <c r="D1846" t="s">
        <v>103</v>
      </c>
      <c r="E1846" s="32">
        <v>3610094</v>
      </c>
      <c r="F1846" s="32">
        <v>0</v>
      </c>
      <c r="G1846" s="32">
        <v>59754956</v>
      </c>
      <c r="H1846" t="s">
        <v>442</v>
      </c>
    </row>
    <row r="1847" spans="1:8" hidden="1" x14ac:dyDescent="0.3">
      <c r="A1847" s="28">
        <v>14412</v>
      </c>
      <c r="B1847" s="49">
        <v>45138.412499999999</v>
      </c>
      <c r="C1847" s="18">
        <v>45138</v>
      </c>
      <c r="D1847" t="s">
        <v>103</v>
      </c>
      <c r="E1847" s="32">
        <v>8119737</v>
      </c>
      <c r="F1847" s="32">
        <v>0</v>
      </c>
      <c r="G1847" s="32">
        <v>56144862</v>
      </c>
      <c r="H1847" t="s">
        <v>442</v>
      </c>
    </row>
    <row r="1848" spans="1:8" hidden="1" x14ac:dyDescent="0.3">
      <c r="A1848" s="28">
        <v>14411</v>
      </c>
      <c r="B1848" s="49">
        <v>45138.412499999999</v>
      </c>
      <c r="C1848" s="18">
        <v>45138</v>
      </c>
      <c r="D1848" t="s">
        <v>103</v>
      </c>
      <c r="E1848" s="32">
        <v>3737347</v>
      </c>
      <c r="F1848" s="32">
        <v>0</v>
      </c>
      <c r="G1848" s="32">
        <v>48025125</v>
      </c>
      <c r="H1848" t="s">
        <v>442</v>
      </c>
    </row>
    <row r="1849" spans="1:8" hidden="1" x14ac:dyDescent="0.3">
      <c r="A1849" s="28">
        <v>14410</v>
      </c>
      <c r="B1849" s="49">
        <v>45138.412499999999</v>
      </c>
      <c r="C1849" s="18">
        <v>45138</v>
      </c>
      <c r="D1849" t="s">
        <v>103</v>
      </c>
      <c r="E1849" s="32">
        <v>7146666</v>
      </c>
      <c r="F1849" s="32">
        <v>0</v>
      </c>
      <c r="G1849" s="32">
        <v>44287778</v>
      </c>
      <c r="H1849" t="s">
        <v>442</v>
      </c>
    </row>
    <row r="1850" spans="1:8" hidden="1" x14ac:dyDescent="0.3">
      <c r="A1850" s="28">
        <v>14409</v>
      </c>
      <c r="B1850" s="49">
        <v>45138.412499999999</v>
      </c>
      <c r="C1850" s="18">
        <v>45138</v>
      </c>
      <c r="D1850" t="s">
        <v>103</v>
      </c>
      <c r="E1850" s="32">
        <v>1370949</v>
      </c>
      <c r="F1850" s="32">
        <v>0</v>
      </c>
      <c r="G1850" s="32">
        <v>37141112</v>
      </c>
      <c r="H1850" t="s">
        <v>442</v>
      </c>
    </row>
    <row r="1851" spans="1:8" hidden="1" x14ac:dyDescent="0.3">
      <c r="A1851" s="28">
        <v>14408</v>
      </c>
      <c r="B1851" s="49">
        <v>45138.400694444441</v>
      </c>
      <c r="C1851" s="18">
        <v>45138</v>
      </c>
      <c r="D1851" t="s">
        <v>103</v>
      </c>
      <c r="E1851" s="32">
        <v>3298900</v>
      </c>
      <c r="F1851" s="32">
        <v>0</v>
      </c>
      <c r="G1851" s="32">
        <v>35770163</v>
      </c>
      <c r="H1851" t="s">
        <v>326</v>
      </c>
    </row>
    <row r="1852" spans="1:8" hidden="1" x14ac:dyDescent="0.3">
      <c r="A1852" s="28">
        <v>14407</v>
      </c>
      <c r="B1852" s="49">
        <v>45138.400694444441</v>
      </c>
      <c r="C1852" s="18">
        <v>45138</v>
      </c>
      <c r="D1852" t="s">
        <v>103</v>
      </c>
      <c r="E1852" s="32">
        <v>926200</v>
      </c>
      <c r="F1852" s="32">
        <v>0</v>
      </c>
      <c r="G1852" s="32">
        <v>32471263</v>
      </c>
      <c r="H1852" t="s">
        <v>326</v>
      </c>
    </row>
    <row r="1853" spans="1:8" hidden="1" x14ac:dyDescent="0.3">
      <c r="A1853" s="28">
        <v>14406</v>
      </c>
      <c r="B1853" s="49">
        <v>45138.400694444441</v>
      </c>
      <c r="C1853" s="18">
        <v>45138</v>
      </c>
      <c r="D1853" t="s">
        <v>103</v>
      </c>
      <c r="E1853" s="32">
        <v>5827800</v>
      </c>
      <c r="F1853" s="32">
        <v>0</v>
      </c>
      <c r="G1853" s="32">
        <v>31545063</v>
      </c>
      <c r="H1853" t="s">
        <v>326</v>
      </c>
    </row>
    <row r="1854" spans="1:8" hidden="1" x14ac:dyDescent="0.3">
      <c r="A1854" s="28">
        <v>14400</v>
      </c>
      <c r="B1854" s="49">
        <v>45135.609722222223</v>
      </c>
      <c r="C1854" s="18">
        <v>45135</v>
      </c>
      <c r="D1854" t="s">
        <v>104</v>
      </c>
      <c r="E1854" s="32">
        <v>0</v>
      </c>
      <c r="F1854" s="32">
        <v>198000</v>
      </c>
      <c r="G1854" s="32">
        <v>25717263</v>
      </c>
      <c r="H1854" t="s">
        <v>722</v>
      </c>
    </row>
    <row r="1855" spans="1:8" hidden="1" x14ac:dyDescent="0.3">
      <c r="A1855" s="28">
        <v>14399</v>
      </c>
      <c r="B1855" s="49">
        <v>45135.552777777775</v>
      </c>
      <c r="C1855" s="18">
        <v>45135</v>
      </c>
      <c r="D1855" t="s">
        <v>103</v>
      </c>
      <c r="E1855" s="32">
        <v>893200</v>
      </c>
      <c r="F1855" s="32">
        <v>0</v>
      </c>
      <c r="G1855" s="32">
        <v>25915263</v>
      </c>
      <c r="H1855" t="s">
        <v>489</v>
      </c>
    </row>
    <row r="1856" spans="1:8" hidden="1" x14ac:dyDescent="0.3">
      <c r="A1856" s="28">
        <v>14398</v>
      </c>
      <c r="B1856" s="49">
        <v>45135.552777777775</v>
      </c>
      <c r="C1856" s="18">
        <v>45135</v>
      </c>
      <c r="D1856" t="s">
        <v>103</v>
      </c>
      <c r="E1856" s="32">
        <v>807400</v>
      </c>
      <c r="F1856" s="32">
        <v>0</v>
      </c>
      <c r="G1856" s="32">
        <v>25022063</v>
      </c>
      <c r="H1856" t="s">
        <v>489</v>
      </c>
    </row>
    <row r="1857" spans="1:8" hidden="1" x14ac:dyDescent="0.3">
      <c r="A1857" s="28">
        <v>14395</v>
      </c>
      <c r="B1857" s="49">
        <v>45135.46597222222</v>
      </c>
      <c r="C1857" s="18">
        <v>45135</v>
      </c>
      <c r="D1857" t="s">
        <v>104</v>
      </c>
      <c r="E1857" s="32">
        <v>0</v>
      </c>
      <c r="F1857" s="32">
        <v>750000</v>
      </c>
      <c r="G1857" s="32">
        <v>24214663</v>
      </c>
      <c r="H1857" t="s">
        <v>532</v>
      </c>
    </row>
    <row r="1858" spans="1:8" hidden="1" x14ac:dyDescent="0.3">
      <c r="A1858" s="28">
        <v>14394</v>
      </c>
      <c r="B1858" s="49">
        <v>45135.429861111108</v>
      </c>
      <c r="C1858" s="18">
        <v>45135</v>
      </c>
      <c r="D1858" t="s">
        <v>103</v>
      </c>
      <c r="E1858" s="32">
        <v>650100</v>
      </c>
      <c r="F1858" s="32">
        <v>0</v>
      </c>
      <c r="G1858" s="32">
        <v>24964663</v>
      </c>
      <c r="H1858" t="s">
        <v>335</v>
      </c>
    </row>
    <row r="1859" spans="1:8" hidden="1" x14ac:dyDescent="0.3">
      <c r="A1859" s="28">
        <v>14393</v>
      </c>
      <c r="B1859" s="49">
        <v>45135.40625</v>
      </c>
      <c r="C1859" s="18">
        <v>45135</v>
      </c>
      <c r="D1859" t="s">
        <v>103</v>
      </c>
      <c r="E1859" s="32">
        <v>78000</v>
      </c>
      <c r="F1859" s="32">
        <v>0</v>
      </c>
      <c r="G1859" s="32">
        <v>24314563</v>
      </c>
      <c r="H1859" t="s">
        <v>647</v>
      </c>
    </row>
    <row r="1860" spans="1:8" hidden="1" x14ac:dyDescent="0.3">
      <c r="A1860" s="28">
        <v>14392</v>
      </c>
      <c r="B1860" s="49">
        <v>45135.40625</v>
      </c>
      <c r="C1860" s="18">
        <v>45135</v>
      </c>
      <c r="D1860" t="s">
        <v>103</v>
      </c>
      <c r="E1860" s="32">
        <v>301000</v>
      </c>
      <c r="F1860" s="32">
        <v>0</v>
      </c>
      <c r="G1860" s="32">
        <v>24236563</v>
      </c>
      <c r="H1860" t="s">
        <v>647</v>
      </c>
    </row>
    <row r="1861" spans="1:8" hidden="1" x14ac:dyDescent="0.3">
      <c r="A1861" s="28">
        <v>14391</v>
      </c>
      <c r="B1861" s="49">
        <v>45135.40625</v>
      </c>
      <c r="C1861" s="18">
        <v>45135</v>
      </c>
      <c r="D1861" t="s">
        <v>103</v>
      </c>
      <c r="E1861" s="32">
        <v>940000</v>
      </c>
      <c r="F1861" s="32">
        <v>0</v>
      </c>
      <c r="G1861" s="32">
        <v>23935563</v>
      </c>
      <c r="H1861" t="s">
        <v>647</v>
      </c>
    </row>
    <row r="1862" spans="1:8" hidden="1" x14ac:dyDescent="0.3">
      <c r="A1862" s="28">
        <v>14390</v>
      </c>
      <c r="B1862" s="49">
        <v>45135.40625</v>
      </c>
      <c r="C1862" s="18">
        <v>45135</v>
      </c>
      <c r="D1862" t="s">
        <v>103</v>
      </c>
      <c r="E1862" s="32">
        <v>117000</v>
      </c>
      <c r="F1862" s="32">
        <v>0</v>
      </c>
      <c r="G1862" s="32">
        <v>22995563</v>
      </c>
      <c r="H1862" t="s">
        <v>647</v>
      </c>
    </row>
    <row r="1863" spans="1:8" hidden="1" x14ac:dyDescent="0.3">
      <c r="A1863" s="28">
        <v>14389</v>
      </c>
      <c r="B1863" s="49">
        <v>45135.40625</v>
      </c>
      <c r="C1863" s="18">
        <v>45135</v>
      </c>
      <c r="D1863" t="s">
        <v>103</v>
      </c>
      <c r="E1863" s="32">
        <v>137000</v>
      </c>
      <c r="F1863" s="32">
        <v>0</v>
      </c>
      <c r="G1863" s="32">
        <v>22878563</v>
      </c>
      <c r="H1863" t="s">
        <v>647</v>
      </c>
    </row>
    <row r="1864" spans="1:8" hidden="1" x14ac:dyDescent="0.3">
      <c r="A1864" s="28">
        <v>14388</v>
      </c>
      <c r="B1864" s="49">
        <v>45135.40625</v>
      </c>
      <c r="C1864" s="18">
        <v>45135</v>
      </c>
      <c r="D1864" t="s">
        <v>103</v>
      </c>
      <c r="E1864" s="32">
        <v>143000</v>
      </c>
      <c r="F1864" s="32">
        <v>0</v>
      </c>
      <c r="G1864" s="32">
        <v>22741563</v>
      </c>
      <c r="H1864" t="s">
        <v>647</v>
      </c>
    </row>
    <row r="1865" spans="1:8" hidden="1" x14ac:dyDescent="0.3">
      <c r="A1865" s="28">
        <v>14387</v>
      </c>
      <c r="B1865" s="49">
        <v>45134.724305555559</v>
      </c>
      <c r="C1865" s="18">
        <v>45134</v>
      </c>
      <c r="D1865" t="s">
        <v>103</v>
      </c>
      <c r="E1865" s="32">
        <v>379500</v>
      </c>
      <c r="F1865" s="32">
        <v>0</v>
      </c>
      <c r="G1865" s="32">
        <v>22598563</v>
      </c>
      <c r="H1865" t="s">
        <v>723</v>
      </c>
    </row>
    <row r="1866" spans="1:8" hidden="1" x14ac:dyDescent="0.3">
      <c r="A1866" s="28">
        <v>14386</v>
      </c>
      <c r="B1866" s="49">
        <v>45134.70208333333</v>
      </c>
      <c r="C1866" s="18">
        <v>45134</v>
      </c>
      <c r="D1866" t="s">
        <v>103</v>
      </c>
      <c r="E1866" s="32">
        <v>180500</v>
      </c>
      <c r="F1866" s="32">
        <v>0</v>
      </c>
      <c r="G1866" s="32">
        <v>22219063</v>
      </c>
      <c r="H1866" t="s">
        <v>332</v>
      </c>
    </row>
    <row r="1867" spans="1:8" hidden="1" x14ac:dyDescent="0.3">
      <c r="A1867" s="28">
        <v>14385</v>
      </c>
      <c r="B1867" s="49">
        <v>45134.694444444445</v>
      </c>
      <c r="C1867" s="18">
        <v>45134</v>
      </c>
      <c r="D1867" t="s">
        <v>104</v>
      </c>
      <c r="E1867" s="32">
        <v>0</v>
      </c>
      <c r="F1867" s="32">
        <v>262490</v>
      </c>
      <c r="G1867" s="32">
        <v>22038563</v>
      </c>
      <c r="H1867" t="s">
        <v>293</v>
      </c>
    </row>
    <row r="1868" spans="1:8" hidden="1" x14ac:dyDescent="0.3">
      <c r="A1868" s="28">
        <v>14384</v>
      </c>
      <c r="B1868" s="49">
        <v>45134.686805555553</v>
      </c>
      <c r="C1868" s="18">
        <v>45134</v>
      </c>
      <c r="D1868" t="s">
        <v>103</v>
      </c>
      <c r="E1868" s="32">
        <v>1805000</v>
      </c>
      <c r="F1868" s="32">
        <v>0</v>
      </c>
      <c r="G1868" s="32">
        <v>22301053</v>
      </c>
      <c r="H1868" t="s">
        <v>724</v>
      </c>
    </row>
    <row r="1869" spans="1:8" hidden="1" x14ac:dyDescent="0.3">
      <c r="A1869" s="28">
        <v>14383</v>
      </c>
      <c r="B1869" s="49">
        <v>45134.652777777781</v>
      </c>
      <c r="C1869" s="18">
        <v>45134</v>
      </c>
      <c r="D1869" t="s">
        <v>104</v>
      </c>
      <c r="E1869" s="32">
        <v>0</v>
      </c>
      <c r="F1869" s="32">
        <v>87310</v>
      </c>
      <c r="G1869" s="32">
        <v>20496053</v>
      </c>
      <c r="H1869" t="s">
        <v>293</v>
      </c>
    </row>
    <row r="1870" spans="1:8" hidden="1" x14ac:dyDescent="0.3">
      <c r="A1870" s="28">
        <v>14381</v>
      </c>
      <c r="B1870" s="49">
        <v>45134.621527777781</v>
      </c>
      <c r="C1870" s="18">
        <v>45134</v>
      </c>
      <c r="D1870" t="s">
        <v>103</v>
      </c>
      <c r="E1870" s="32">
        <v>1706650</v>
      </c>
      <c r="F1870" s="32">
        <v>0</v>
      </c>
      <c r="G1870" s="32">
        <v>20583363</v>
      </c>
      <c r="H1870" t="s">
        <v>307</v>
      </c>
    </row>
    <row r="1871" spans="1:8" hidden="1" x14ac:dyDescent="0.3">
      <c r="A1871" s="28">
        <v>14380</v>
      </c>
      <c r="B1871" s="49">
        <v>45134.620138888888</v>
      </c>
      <c r="C1871" s="18">
        <v>45134</v>
      </c>
      <c r="D1871" t="s">
        <v>104</v>
      </c>
      <c r="E1871" s="32">
        <v>0</v>
      </c>
      <c r="F1871" s="32">
        <v>6600000</v>
      </c>
      <c r="G1871" s="32">
        <v>18876713</v>
      </c>
      <c r="H1871" t="s">
        <v>725</v>
      </c>
    </row>
    <row r="1872" spans="1:8" hidden="1" x14ac:dyDescent="0.3">
      <c r="A1872" s="28">
        <v>14377</v>
      </c>
      <c r="B1872" s="49">
        <v>45134.463888888888</v>
      </c>
      <c r="C1872" s="18">
        <v>45134</v>
      </c>
      <c r="D1872" t="s">
        <v>103</v>
      </c>
      <c r="E1872" s="32">
        <v>1453000</v>
      </c>
      <c r="F1872" s="32">
        <v>0</v>
      </c>
      <c r="G1872" s="32">
        <v>25476713</v>
      </c>
      <c r="H1872" t="s">
        <v>580</v>
      </c>
    </row>
    <row r="1873" spans="1:8" hidden="1" x14ac:dyDescent="0.3">
      <c r="A1873" s="28">
        <v>14376</v>
      </c>
      <c r="B1873" s="49">
        <v>45134.461805555555</v>
      </c>
      <c r="C1873" s="18">
        <v>45134</v>
      </c>
      <c r="D1873" t="s">
        <v>103</v>
      </c>
      <c r="E1873" s="32">
        <v>785000</v>
      </c>
      <c r="F1873" s="32">
        <v>0</v>
      </c>
      <c r="G1873" s="32">
        <v>24023713</v>
      </c>
      <c r="H1873" t="s">
        <v>726</v>
      </c>
    </row>
    <row r="1874" spans="1:8" hidden="1" x14ac:dyDescent="0.3">
      <c r="A1874" s="28">
        <v>14375</v>
      </c>
      <c r="B1874" s="49">
        <v>45134.458333333336</v>
      </c>
      <c r="C1874" s="18">
        <v>45134</v>
      </c>
      <c r="D1874" t="s">
        <v>103</v>
      </c>
      <c r="E1874" s="32">
        <v>78500</v>
      </c>
      <c r="F1874" s="32">
        <v>0</v>
      </c>
      <c r="G1874" s="32">
        <v>23238713</v>
      </c>
      <c r="H1874" t="s">
        <v>579</v>
      </c>
    </row>
    <row r="1875" spans="1:8" hidden="1" x14ac:dyDescent="0.3">
      <c r="A1875" s="28">
        <v>14374</v>
      </c>
      <c r="B1875" s="49">
        <v>45134.458333333336</v>
      </c>
      <c r="C1875" s="18">
        <v>45134</v>
      </c>
      <c r="D1875" t="s">
        <v>103</v>
      </c>
      <c r="E1875" s="32">
        <v>145300</v>
      </c>
      <c r="F1875" s="32">
        <v>0</v>
      </c>
      <c r="G1875" s="32">
        <v>23160213</v>
      </c>
      <c r="H1875" t="s">
        <v>579</v>
      </c>
    </row>
    <row r="1876" spans="1:8" hidden="1" x14ac:dyDescent="0.3">
      <c r="A1876" s="28">
        <v>14373</v>
      </c>
      <c r="B1876" s="49">
        <v>45134.432638888888</v>
      </c>
      <c r="C1876" s="18">
        <v>45134</v>
      </c>
      <c r="D1876" t="s">
        <v>103</v>
      </c>
      <c r="E1876" s="32">
        <v>521400</v>
      </c>
      <c r="F1876" s="32">
        <v>0</v>
      </c>
      <c r="G1876" s="32">
        <v>23014913</v>
      </c>
      <c r="H1876" t="s">
        <v>510</v>
      </c>
    </row>
    <row r="1877" spans="1:8" hidden="1" x14ac:dyDescent="0.3">
      <c r="A1877" s="28">
        <v>14371</v>
      </c>
      <c r="B1877" s="49">
        <v>45133.709722222222</v>
      </c>
      <c r="C1877" s="18">
        <v>45133</v>
      </c>
      <c r="D1877" t="s">
        <v>103</v>
      </c>
      <c r="E1877" s="32">
        <v>3290100</v>
      </c>
      <c r="F1877" s="32">
        <v>0</v>
      </c>
      <c r="G1877" s="32">
        <v>22493513</v>
      </c>
      <c r="H1877" t="s">
        <v>559</v>
      </c>
    </row>
    <row r="1878" spans="1:8" hidden="1" x14ac:dyDescent="0.3">
      <c r="A1878" s="28">
        <v>14365</v>
      </c>
      <c r="B1878" s="49">
        <v>45132.834722222222</v>
      </c>
      <c r="C1878" s="18">
        <v>45132</v>
      </c>
      <c r="D1878" t="s">
        <v>104</v>
      </c>
      <c r="E1878" s="32">
        <v>0</v>
      </c>
      <c r="F1878" s="32">
        <v>440000</v>
      </c>
      <c r="G1878" s="32">
        <v>19203413</v>
      </c>
      <c r="H1878" t="s">
        <v>485</v>
      </c>
    </row>
    <row r="1879" spans="1:8" hidden="1" x14ac:dyDescent="0.3">
      <c r="A1879" s="28">
        <v>14362</v>
      </c>
      <c r="B1879" s="49">
        <v>45132.706250000003</v>
      </c>
      <c r="C1879" s="18">
        <v>45132</v>
      </c>
      <c r="D1879" t="s">
        <v>104</v>
      </c>
      <c r="E1879" s="32">
        <v>0</v>
      </c>
      <c r="F1879" s="32">
        <v>357500</v>
      </c>
      <c r="G1879" s="32">
        <v>19643413</v>
      </c>
      <c r="H1879" t="s">
        <v>727</v>
      </c>
    </row>
    <row r="1880" spans="1:8" hidden="1" x14ac:dyDescent="0.3">
      <c r="A1880" s="28">
        <v>14361</v>
      </c>
      <c r="B1880" s="49">
        <v>45132.677777777775</v>
      </c>
      <c r="C1880" s="18">
        <v>45132</v>
      </c>
      <c r="D1880" t="s">
        <v>103</v>
      </c>
      <c r="E1880" s="32">
        <v>3644300</v>
      </c>
      <c r="F1880" s="32">
        <v>0</v>
      </c>
      <c r="G1880" s="32">
        <v>20000913</v>
      </c>
      <c r="H1880" t="s">
        <v>321</v>
      </c>
    </row>
    <row r="1881" spans="1:8" hidden="1" x14ac:dyDescent="0.3">
      <c r="A1881" s="28">
        <v>14360</v>
      </c>
      <c r="B1881" s="49">
        <v>45132.62222222222</v>
      </c>
      <c r="C1881" s="18">
        <v>45132</v>
      </c>
      <c r="D1881" t="s">
        <v>104</v>
      </c>
      <c r="E1881" s="32">
        <v>0</v>
      </c>
      <c r="F1881" s="32">
        <v>57530</v>
      </c>
      <c r="G1881" s="32">
        <v>16356613</v>
      </c>
      <c r="H1881" t="s">
        <v>352</v>
      </c>
    </row>
    <row r="1882" spans="1:8" hidden="1" x14ac:dyDescent="0.3">
      <c r="A1882" s="28">
        <v>14359</v>
      </c>
      <c r="B1882" s="49">
        <v>45132.588888888888</v>
      </c>
      <c r="C1882" s="18">
        <v>45132</v>
      </c>
      <c r="D1882" t="s">
        <v>104</v>
      </c>
      <c r="E1882" s="32">
        <v>0</v>
      </c>
      <c r="F1882" s="32">
        <v>156087</v>
      </c>
      <c r="G1882" s="32">
        <v>16414143</v>
      </c>
      <c r="H1882" t="s">
        <v>293</v>
      </c>
    </row>
    <row r="1883" spans="1:8" hidden="1" x14ac:dyDescent="0.3">
      <c r="A1883" s="28">
        <v>14358</v>
      </c>
      <c r="B1883" s="49">
        <v>45132.563888888886</v>
      </c>
      <c r="C1883" s="18">
        <v>45132</v>
      </c>
      <c r="D1883" t="s">
        <v>103</v>
      </c>
      <c r="E1883" s="32">
        <v>985600</v>
      </c>
      <c r="F1883" s="32">
        <v>0</v>
      </c>
      <c r="G1883" s="32">
        <v>16570230</v>
      </c>
      <c r="H1883" t="s">
        <v>385</v>
      </c>
    </row>
    <row r="1884" spans="1:8" hidden="1" x14ac:dyDescent="0.3">
      <c r="A1884" s="28">
        <v>14357</v>
      </c>
      <c r="B1884" s="49">
        <v>45132.563888888886</v>
      </c>
      <c r="C1884" s="18">
        <v>45132</v>
      </c>
      <c r="D1884" t="s">
        <v>103</v>
      </c>
      <c r="E1884" s="32">
        <v>1953600</v>
      </c>
      <c r="F1884" s="32">
        <v>0</v>
      </c>
      <c r="G1884" s="32">
        <v>15584630</v>
      </c>
      <c r="H1884" t="s">
        <v>385</v>
      </c>
    </row>
    <row r="1885" spans="1:8" hidden="1" x14ac:dyDescent="0.3">
      <c r="A1885" s="28">
        <v>14355</v>
      </c>
      <c r="B1885" s="49">
        <v>45132.477083333331</v>
      </c>
      <c r="C1885" s="18">
        <v>45132</v>
      </c>
      <c r="D1885" t="s">
        <v>103</v>
      </c>
      <c r="E1885" s="32">
        <v>705100</v>
      </c>
      <c r="F1885" s="32">
        <v>0</v>
      </c>
      <c r="G1885" s="32">
        <v>13631030</v>
      </c>
      <c r="H1885" t="s">
        <v>666</v>
      </c>
    </row>
    <row r="1886" spans="1:8" hidden="1" x14ac:dyDescent="0.3">
      <c r="A1886" s="28">
        <v>14354</v>
      </c>
      <c r="B1886" s="49">
        <v>45132.37222222222</v>
      </c>
      <c r="C1886" s="18">
        <v>45132</v>
      </c>
      <c r="D1886" t="s">
        <v>104</v>
      </c>
      <c r="E1886" s="32">
        <v>0</v>
      </c>
      <c r="F1886" s="32">
        <v>2650203</v>
      </c>
      <c r="G1886" s="32">
        <v>12925930</v>
      </c>
      <c r="H1886" t="s">
        <v>728</v>
      </c>
    </row>
    <row r="1887" spans="1:8" hidden="1" x14ac:dyDescent="0.3">
      <c r="A1887" s="28">
        <v>14353</v>
      </c>
      <c r="B1887" s="49">
        <v>45132.370138888888</v>
      </c>
      <c r="C1887" s="18">
        <v>45132</v>
      </c>
      <c r="D1887" t="s">
        <v>104</v>
      </c>
      <c r="E1887" s="32">
        <v>0</v>
      </c>
      <c r="F1887" s="32">
        <v>130000</v>
      </c>
      <c r="G1887" s="32">
        <v>15576133</v>
      </c>
      <c r="H1887" t="s">
        <v>729</v>
      </c>
    </row>
    <row r="1888" spans="1:8" hidden="1" x14ac:dyDescent="0.3">
      <c r="A1888" s="28">
        <v>14352</v>
      </c>
      <c r="B1888" s="49">
        <v>45132.369444444441</v>
      </c>
      <c r="C1888" s="18">
        <v>45132</v>
      </c>
      <c r="D1888" t="s">
        <v>104</v>
      </c>
      <c r="E1888" s="32">
        <v>0</v>
      </c>
      <c r="F1888" s="32">
        <v>450000</v>
      </c>
      <c r="G1888" s="32">
        <v>15706133</v>
      </c>
      <c r="H1888" t="s">
        <v>354</v>
      </c>
    </row>
    <row r="1889" spans="1:8" hidden="1" x14ac:dyDescent="0.3">
      <c r="A1889" s="28">
        <v>14351</v>
      </c>
      <c r="B1889" s="49">
        <v>45131.550694444442</v>
      </c>
      <c r="C1889" s="18">
        <v>45131</v>
      </c>
      <c r="D1889" t="s">
        <v>103</v>
      </c>
      <c r="E1889" s="32">
        <v>79200</v>
      </c>
      <c r="F1889" s="32">
        <v>0</v>
      </c>
      <c r="G1889" s="32">
        <v>16156133</v>
      </c>
      <c r="H1889" t="s">
        <v>730</v>
      </c>
    </row>
    <row r="1890" spans="1:8" hidden="1" x14ac:dyDescent="0.3">
      <c r="A1890" s="28">
        <v>14350</v>
      </c>
      <c r="B1890" s="49">
        <v>45131.520138888889</v>
      </c>
      <c r="C1890" s="18">
        <v>45131</v>
      </c>
      <c r="D1890" t="s">
        <v>103</v>
      </c>
      <c r="E1890" s="32">
        <v>86900</v>
      </c>
      <c r="F1890" s="32">
        <v>0</v>
      </c>
      <c r="G1890" s="32">
        <v>16076933</v>
      </c>
      <c r="H1890" t="s">
        <v>731</v>
      </c>
    </row>
    <row r="1891" spans="1:8" hidden="1" x14ac:dyDescent="0.3">
      <c r="A1891" s="28">
        <v>14349</v>
      </c>
      <c r="B1891" s="49">
        <v>45131.382638888892</v>
      </c>
      <c r="C1891" s="18">
        <v>45131</v>
      </c>
      <c r="D1891" t="s">
        <v>103</v>
      </c>
      <c r="E1891" s="32">
        <v>2545950</v>
      </c>
      <c r="F1891" s="32">
        <v>0</v>
      </c>
      <c r="G1891" s="32">
        <v>15990033</v>
      </c>
      <c r="H1891" t="s">
        <v>732</v>
      </c>
    </row>
    <row r="1892" spans="1:8" hidden="1" x14ac:dyDescent="0.3">
      <c r="A1892" s="28">
        <v>14348</v>
      </c>
      <c r="B1892" s="49">
        <v>45131.382638888892</v>
      </c>
      <c r="C1892" s="18">
        <v>45131</v>
      </c>
      <c r="D1892" t="s">
        <v>103</v>
      </c>
      <c r="E1892" s="32">
        <v>2635050</v>
      </c>
      <c r="F1892" s="32">
        <v>0</v>
      </c>
      <c r="G1892" s="32">
        <v>13444083</v>
      </c>
      <c r="H1892" t="s">
        <v>732</v>
      </c>
    </row>
    <row r="1893" spans="1:8" hidden="1" x14ac:dyDescent="0.3">
      <c r="A1893" s="28">
        <v>14341</v>
      </c>
      <c r="B1893" s="49">
        <v>45128.35833333333</v>
      </c>
      <c r="C1893" s="18">
        <v>45128</v>
      </c>
      <c r="D1893" t="s">
        <v>104</v>
      </c>
      <c r="E1893" s="32">
        <v>0</v>
      </c>
      <c r="F1893" s="32">
        <v>12598120</v>
      </c>
      <c r="G1893" s="32">
        <v>10809033</v>
      </c>
      <c r="H1893" t="s">
        <v>733</v>
      </c>
    </row>
    <row r="1894" spans="1:8" hidden="1" x14ac:dyDescent="0.3">
      <c r="A1894" s="28">
        <v>14340</v>
      </c>
      <c r="B1894" s="49">
        <v>45127.85</v>
      </c>
      <c r="C1894" s="18">
        <v>45127</v>
      </c>
      <c r="D1894" t="s">
        <v>104</v>
      </c>
      <c r="E1894" s="32">
        <v>0</v>
      </c>
      <c r="F1894" s="32">
        <v>598530</v>
      </c>
      <c r="G1894" s="32">
        <v>23407153</v>
      </c>
      <c r="H1894" t="s">
        <v>734</v>
      </c>
    </row>
    <row r="1895" spans="1:8" hidden="1" x14ac:dyDescent="0.3">
      <c r="A1895" s="28">
        <v>14339</v>
      </c>
      <c r="B1895" s="49">
        <v>45127.829861111109</v>
      </c>
      <c r="C1895" s="18">
        <v>45127</v>
      </c>
      <c r="D1895" t="s">
        <v>104</v>
      </c>
      <c r="E1895" s="32">
        <v>0</v>
      </c>
      <c r="F1895" s="32">
        <v>282428</v>
      </c>
      <c r="G1895" s="32">
        <v>24005683</v>
      </c>
      <c r="H1895" t="s">
        <v>735</v>
      </c>
    </row>
    <row r="1896" spans="1:8" hidden="1" x14ac:dyDescent="0.3">
      <c r="A1896" s="28">
        <v>14338</v>
      </c>
      <c r="B1896" s="49">
        <v>45127.820833333331</v>
      </c>
      <c r="C1896" s="18">
        <v>45127</v>
      </c>
      <c r="D1896" t="s">
        <v>104</v>
      </c>
      <c r="E1896" s="32">
        <v>0</v>
      </c>
      <c r="F1896" s="32">
        <v>77429</v>
      </c>
      <c r="G1896" s="32">
        <v>24288111</v>
      </c>
      <c r="H1896" t="s">
        <v>736</v>
      </c>
    </row>
    <row r="1897" spans="1:8" hidden="1" x14ac:dyDescent="0.3">
      <c r="A1897" s="28">
        <v>14337</v>
      </c>
      <c r="B1897" s="49">
        <v>45127.816666666666</v>
      </c>
      <c r="C1897" s="18">
        <v>45127</v>
      </c>
      <c r="D1897" t="s">
        <v>104</v>
      </c>
      <c r="E1897" s="32">
        <v>0</v>
      </c>
      <c r="F1897" s="32">
        <v>1000000</v>
      </c>
      <c r="G1897" s="32">
        <v>24365540</v>
      </c>
      <c r="H1897" t="s">
        <v>737</v>
      </c>
    </row>
    <row r="1898" spans="1:8" hidden="1" x14ac:dyDescent="0.3">
      <c r="A1898" s="28">
        <v>14336</v>
      </c>
      <c r="B1898" s="49">
        <v>45127.695138888892</v>
      </c>
      <c r="C1898" s="18">
        <v>45127</v>
      </c>
      <c r="D1898" t="s">
        <v>104</v>
      </c>
      <c r="E1898" s="32">
        <v>0</v>
      </c>
      <c r="F1898" s="32">
        <v>346500</v>
      </c>
      <c r="G1898" s="32">
        <v>25365540</v>
      </c>
      <c r="H1898" t="s">
        <v>738</v>
      </c>
    </row>
    <row r="1899" spans="1:8" hidden="1" x14ac:dyDescent="0.3">
      <c r="A1899" s="28">
        <v>14335</v>
      </c>
      <c r="B1899" s="49">
        <v>45127.657638888886</v>
      </c>
      <c r="C1899" s="18">
        <v>45127</v>
      </c>
      <c r="D1899" t="s">
        <v>104</v>
      </c>
      <c r="E1899" s="32">
        <v>0</v>
      </c>
      <c r="F1899" s="32">
        <v>2968290</v>
      </c>
      <c r="G1899" s="32">
        <v>25712040</v>
      </c>
      <c r="H1899" t="s">
        <v>739</v>
      </c>
    </row>
    <row r="1900" spans="1:8" hidden="1" x14ac:dyDescent="0.3">
      <c r="A1900" s="28">
        <v>14334</v>
      </c>
      <c r="B1900" s="49">
        <v>45127.65625</v>
      </c>
      <c r="C1900" s="18">
        <v>45127</v>
      </c>
      <c r="D1900" t="s">
        <v>104</v>
      </c>
      <c r="E1900" s="32">
        <v>0</v>
      </c>
      <c r="F1900" s="32">
        <v>20000</v>
      </c>
      <c r="G1900" s="32">
        <v>28680330</v>
      </c>
      <c r="H1900" t="s">
        <v>740</v>
      </c>
    </row>
    <row r="1901" spans="1:8" hidden="1" x14ac:dyDescent="0.3">
      <c r="A1901" s="28">
        <v>14333</v>
      </c>
      <c r="B1901" s="49">
        <v>45127.620833333334</v>
      </c>
      <c r="C1901" s="18">
        <v>45127</v>
      </c>
      <c r="D1901" t="s">
        <v>103</v>
      </c>
      <c r="E1901" s="32">
        <v>214500</v>
      </c>
      <c r="F1901" s="32">
        <v>0</v>
      </c>
      <c r="G1901" s="32">
        <v>28700330</v>
      </c>
      <c r="H1901" t="s">
        <v>741</v>
      </c>
    </row>
    <row r="1902" spans="1:8" hidden="1" x14ac:dyDescent="0.3">
      <c r="A1902" s="28">
        <v>14332</v>
      </c>
      <c r="B1902" s="49">
        <v>45127.620833333334</v>
      </c>
      <c r="C1902" s="18">
        <v>45127</v>
      </c>
      <c r="D1902" t="s">
        <v>103</v>
      </c>
      <c r="E1902" s="32">
        <v>523600</v>
      </c>
      <c r="F1902" s="32">
        <v>0</v>
      </c>
      <c r="G1902" s="32">
        <v>28485830</v>
      </c>
      <c r="H1902" t="s">
        <v>741</v>
      </c>
    </row>
    <row r="1903" spans="1:8" hidden="1" x14ac:dyDescent="0.3">
      <c r="A1903" s="28">
        <v>14331</v>
      </c>
      <c r="B1903" s="49">
        <v>45127.584722222222</v>
      </c>
      <c r="C1903" s="18">
        <v>45127</v>
      </c>
      <c r="D1903" t="s">
        <v>103</v>
      </c>
      <c r="E1903" s="32">
        <v>1109900</v>
      </c>
      <c r="F1903" s="32">
        <v>0</v>
      </c>
      <c r="G1903" s="32">
        <v>27962230</v>
      </c>
      <c r="H1903" t="s">
        <v>742</v>
      </c>
    </row>
    <row r="1904" spans="1:8" hidden="1" x14ac:dyDescent="0.3">
      <c r="A1904" s="28">
        <v>14330</v>
      </c>
      <c r="B1904" s="49">
        <v>45127.583333333336</v>
      </c>
      <c r="C1904" s="18">
        <v>45127</v>
      </c>
      <c r="D1904" t="s">
        <v>103</v>
      </c>
      <c r="E1904" s="32">
        <v>536800</v>
      </c>
      <c r="F1904" s="32">
        <v>0</v>
      </c>
      <c r="G1904" s="32">
        <v>26852330</v>
      </c>
      <c r="H1904" t="s">
        <v>743</v>
      </c>
    </row>
    <row r="1905" spans="1:8" hidden="1" x14ac:dyDescent="0.3">
      <c r="A1905" s="28">
        <v>14329</v>
      </c>
      <c r="B1905" s="49">
        <v>45127.492361111108</v>
      </c>
      <c r="C1905" s="18">
        <v>45127</v>
      </c>
      <c r="D1905" t="s">
        <v>103</v>
      </c>
      <c r="E1905" s="32">
        <v>394900</v>
      </c>
      <c r="F1905" s="32">
        <v>0</v>
      </c>
      <c r="G1905" s="32">
        <v>26315530</v>
      </c>
      <c r="H1905" t="s">
        <v>731</v>
      </c>
    </row>
    <row r="1906" spans="1:8" hidden="1" x14ac:dyDescent="0.3">
      <c r="A1906" s="28">
        <v>14326</v>
      </c>
      <c r="B1906" s="49">
        <v>45127.443055555559</v>
      </c>
      <c r="C1906" s="18">
        <v>45127</v>
      </c>
      <c r="D1906" t="s">
        <v>103</v>
      </c>
      <c r="E1906" s="32">
        <v>452100</v>
      </c>
      <c r="F1906" s="32">
        <v>0</v>
      </c>
      <c r="G1906" s="32">
        <v>25920630</v>
      </c>
      <c r="H1906" t="s">
        <v>744</v>
      </c>
    </row>
    <row r="1907" spans="1:8" hidden="1" x14ac:dyDescent="0.3">
      <c r="A1907" s="28">
        <v>14325</v>
      </c>
      <c r="B1907" s="49">
        <v>45127.426388888889</v>
      </c>
      <c r="C1907" s="18">
        <v>45127</v>
      </c>
      <c r="D1907" t="s">
        <v>104</v>
      </c>
      <c r="E1907" s="32">
        <v>0</v>
      </c>
      <c r="F1907" s="32">
        <v>1055342</v>
      </c>
      <c r="G1907" s="32">
        <v>25468530</v>
      </c>
      <c r="H1907">
        <v>64971601470587</v>
      </c>
    </row>
    <row r="1908" spans="1:8" hidden="1" x14ac:dyDescent="0.3">
      <c r="A1908" s="28">
        <v>14324</v>
      </c>
      <c r="B1908" s="49">
        <v>45126.654861111114</v>
      </c>
      <c r="C1908" s="18">
        <v>45126</v>
      </c>
      <c r="D1908" t="s">
        <v>103</v>
      </c>
      <c r="E1908" s="32">
        <v>1269400</v>
      </c>
      <c r="F1908" s="32">
        <v>0</v>
      </c>
      <c r="G1908" s="32">
        <v>26523872</v>
      </c>
      <c r="H1908" t="s">
        <v>745</v>
      </c>
    </row>
    <row r="1909" spans="1:8" hidden="1" x14ac:dyDescent="0.3">
      <c r="A1909" s="28">
        <v>14323</v>
      </c>
      <c r="B1909" s="49">
        <v>45126.632638888892</v>
      </c>
      <c r="C1909" s="18">
        <v>45126</v>
      </c>
      <c r="D1909" t="s">
        <v>103</v>
      </c>
      <c r="E1909" s="32">
        <v>231000</v>
      </c>
      <c r="F1909" s="32">
        <v>0</v>
      </c>
      <c r="G1909" s="32">
        <v>25254472</v>
      </c>
      <c r="H1909" t="s">
        <v>746</v>
      </c>
    </row>
    <row r="1910" spans="1:8" hidden="1" x14ac:dyDescent="0.3">
      <c r="A1910" s="28">
        <v>14322</v>
      </c>
      <c r="B1910" s="49">
        <v>45126.580555555556</v>
      </c>
      <c r="C1910" s="18">
        <v>45126</v>
      </c>
      <c r="D1910" t="s">
        <v>104</v>
      </c>
      <c r="E1910" s="32">
        <v>0</v>
      </c>
      <c r="F1910" s="32">
        <v>7271790</v>
      </c>
      <c r="G1910" s="32">
        <v>25023472</v>
      </c>
      <c r="H1910" t="s">
        <v>747</v>
      </c>
    </row>
    <row r="1911" spans="1:8" hidden="1" x14ac:dyDescent="0.3">
      <c r="A1911" s="28">
        <v>14321</v>
      </c>
      <c r="B1911" s="49">
        <v>45126.564583333333</v>
      </c>
      <c r="C1911" s="18">
        <v>45126</v>
      </c>
      <c r="D1911" t="s">
        <v>104</v>
      </c>
      <c r="E1911" s="32">
        <v>0</v>
      </c>
      <c r="F1911" s="32">
        <v>124490</v>
      </c>
      <c r="G1911" s="32">
        <v>32295262</v>
      </c>
      <c r="H1911" t="s">
        <v>748</v>
      </c>
    </row>
    <row r="1912" spans="1:8" hidden="1" x14ac:dyDescent="0.3">
      <c r="A1912" s="28">
        <v>14320</v>
      </c>
      <c r="B1912" s="49">
        <v>45126.556250000001</v>
      </c>
      <c r="C1912" s="18">
        <v>45126</v>
      </c>
      <c r="D1912" t="s">
        <v>104</v>
      </c>
      <c r="E1912" s="32">
        <v>0</v>
      </c>
      <c r="F1912" s="32">
        <v>1813000</v>
      </c>
      <c r="G1912" s="32">
        <v>32419752</v>
      </c>
      <c r="H1912" t="s">
        <v>749</v>
      </c>
    </row>
    <row r="1913" spans="1:8" hidden="1" x14ac:dyDescent="0.3">
      <c r="A1913" s="28">
        <v>14319</v>
      </c>
      <c r="B1913" s="49">
        <v>45126.48541666667</v>
      </c>
      <c r="C1913" s="18">
        <v>45126</v>
      </c>
      <c r="D1913" t="s">
        <v>104</v>
      </c>
      <c r="E1913" s="32">
        <v>0</v>
      </c>
      <c r="F1913" s="32">
        <v>1972075</v>
      </c>
      <c r="G1913" s="32">
        <v>34232752</v>
      </c>
      <c r="H1913" t="s">
        <v>748</v>
      </c>
    </row>
    <row r="1914" spans="1:8" hidden="1" x14ac:dyDescent="0.3">
      <c r="A1914" s="28">
        <v>14317</v>
      </c>
      <c r="B1914" s="49">
        <v>45126.475694444445</v>
      </c>
      <c r="C1914" s="18">
        <v>45126</v>
      </c>
      <c r="D1914" t="s">
        <v>104</v>
      </c>
      <c r="E1914" s="32">
        <v>0</v>
      </c>
      <c r="F1914" s="32">
        <v>32487700</v>
      </c>
      <c r="G1914" s="32">
        <v>36204827</v>
      </c>
      <c r="H1914" t="s">
        <v>750</v>
      </c>
    </row>
    <row r="1915" spans="1:8" hidden="1" x14ac:dyDescent="0.3">
      <c r="A1915" s="28">
        <v>14316</v>
      </c>
      <c r="B1915" s="49">
        <v>45126.474999999999</v>
      </c>
      <c r="C1915" s="18">
        <v>45126</v>
      </c>
      <c r="D1915" t="s">
        <v>103</v>
      </c>
      <c r="E1915" s="32">
        <v>40000000</v>
      </c>
      <c r="F1915" s="32">
        <v>0</v>
      </c>
      <c r="G1915" s="32">
        <v>68692527</v>
      </c>
      <c r="H1915" t="s">
        <v>751</v>
      </c>
    </row>
    <row r="1916" spans="1:8" hidden="1" x14ac:dyDescent="0.3">
      <c r="A1916" s="28">
        <v>14312</v>
      </c>
      <c r="B1916" s="49">
        <v>45126.457638888889</v>
      </c>
      <c r="C1916" s="18">
        <v>45126</v>
      </c>
      <c r="D1916" t="s">
        <v>104</v>
      </c>
      <c r="E1916" s="32">
        <v>0</v>
      </c>
      <c r="F1916" s="32">
        <v>6430370</v>
      </c>
      <c r="G1916" s="32">
        <v>28692527</v>
      </c>
      <c r="H1916" t="s">
        <v>750</v>
      </c>
    </row>
    <row r="1917" spans="1:8" hidden="1" x14ac:dyDescent="0.3">
      <c r="A1917" s="28">
        <v>14309</v>
      </c>
      <c r="B1917" s="49">
        <v>45126.445833333331</v>
      </c>
      <c r="C1917" s="18">
        <v>45126</v>
      </c>
      <c r="D1917" t="s">
        <v>103</v>
      </c>
      <c r="E1917" s="32">
        <v>7500000</v>
      </c>
      <c r="F1917" s="32">
        <v>0</v>
      </c>
      <c r="G1917" s="32">
        <v>35122897</v>
      </c>
      <c r="H1917" t="s">
        <v>219</v>
      </c>
    </row>
    <row r="1918" spans="1:8" hidden="1" x14ac:dyDescent="0.3">
      <c r="A1918" s="28">
        <v>14308</v>
      </c>
      <c r="B1918" s="49">
        <v>45126.445138888892</v>
      </c>
      <c r="C1918" s="18">
        <v>45126</v>
      </c>
      <c r="D1918" t="s">
        <v>104</v>
      </c>
      <c r="E1918" s="32">
        <v>0</v>
      </c>
      <c r="F1918" s="32">
        <v>65175</v>
      </c>
      <c r="G1918" s="32">
        <v>27622897</v>
      </c>
      <c r="H1918" t="s">
        <v>752</v>
      </c>
    </row>
    <row r="1919" spans="1:8" hidden="1" x14ac:dyDescent="0.3">
      <c r="A1919" s="28">
        <v>14307</v>
      </c>
      <c r="B1919" s="49">
        <v>45126.405555555553</v>
      </c>
      <c r="C1919" s="18">
        <v>45126</v>
      </c>
      <c r="D1919" t="s">
        <v>103</v>
      </c>
      <c r="E1919" s="32">
        <v>700700</v>
      </c>
      <c r="F1919" s="32">
        <v>0</v>
      </c>
      <c r="G1919" s="32">
        <v>27688072</v>
      </c>
      <c r="H1919" t="s">
        <v>753</v>
      </c>
    </row>
    <row r="1920" spans="1:8" hidden="1" x14ac:dyDescent="0.3">
      <c r="A1920" s="28">
        <v>14306</v>
      </c>
      <c r="B1920" s="49">
        <v>45125.613888888889</v>
      </c>
      <c r="C1920" s="18">
        <v>45125</v>
      </c>
      <c r="D1920" t="s">
        <v>103</v>
      </c>
      <c r="E1920" s="32">
        <v>7271000</v>
      </c>
      <c r="F1920" s="32">
        <v>0</v>
      </c>
      <c r="G1920" s="32">
        <v>26987372</v>
      </c>
      <c r="H1920" t="s">
        <v>754</v>
      </c>
    </row>
    <row r="1921" spans="1:8" hidden="1" x14ac:dyDescent="0.3">
      <c r="A1921" s="28">
        <v>14301</v>
      </c>
      <c r="B1921" s="49">
        <v>45124.837500000001</v>
      </c>
      <c r="C1921" s="18">
        <v>45124</v>
      </c>
      <c r="D1921" t="s">
        <v>104</v>
      </c>
      <c r="E1921" s="32">
        <v>0</v>
      </c>
      <c r="F1921" s="32">
        <v>348050</v>
      </c>
      <c r="G1921" s="32">
        <v>19716372</v>
      </c>
      <c r="H1921" t="s">
        <v>755</v>
      </c>
    </row>
    <row r="1922" spans="1:8" hidden="1" x14ac:dyDescent="0.3">
      <c r="A1922" s="28">
        <v>14300</v>
      </c>
      <c r="B1922" s="49">
        <v>45124.811805555553</v>
      </c>
      <c r="C1922" s="18">
        <v>45124</v>
      </c>
      <c r="D1922" t="s">
        <v>104</v>
      </c>
      <c r="E1922" s="32">
        <v>0</v>
      </c>
      <c r="F1922" s="32">
        <v>762530</v>
      </c>
      <c r="G1922" s="32">
        <v>20064422</v>
      </c>
      <c r="H1922" t="s">
        <v>756</v>
      </c>
    </row>
    <row r="1923" spans="1:8" hidden="1" x14ac:dyDescent="0.3">
      <c r="A1923" s="28">
        <v>14299</v>
      </c>
      <c r="B1923" s="49">
        <v>45124.811805555553</v>
      </c>
      <c r="C1923" s="18">
        <v>45124</v>
      </c>
      <c r="D1923" t="s">
        <v>104</v>
      </c>
      <c r="E1923" s="32">
        <v>0</v>
      </c>
      <c r="F1923" s="32">
        <v>570790</v>
      </c>
      <c r="G1923" s="32">
        <v>20826952</v>
      </c>
      <c r="H1923" t="s">
        <v>756</v>
      </c>
    </row>
    <row r="1924" spans="1:8" hidden="1" x14ac:dyDescent="0.3">
      <c r="A1924" s="28">
        <v>14298</v>
      </c>
      <c r="B1924" s="49">
        <v>45124.811805555553</v>
      </c>
      <c r="C1924" s="18">
        <v>45124</v>
      </c>
      <c r="D1924" t="s">
        <v>104</v>
      </c>
      <c r="E1924" s="32">
        <v>0</v>
      </c>
      <c r="F1924" s="32">
        <v>1132360</v>
      </c>
      <c r="G1924" s="32">
        <v>21397742</v>
      </c>
      <c r="H1924" t="s">
        <v>756</v>
      </c>
    </row>
    <row r="1925" spans="1:8" hidden="1" x14ac:dyDescent="0.3">
      <c r="A1925" s="28">
        <v>14297</v>
      </c>
      <c r="B1925" s="49">
        <v>45124.811805555553</v>
      </c>
      <c r="C1925" s="18">
        <v>45124</v>
      </c>
      <c r="D1925" t="s">
        <v>104</v>
      </c>
      <c r="E1925" s="32">
        <v>0</v>
      </c>
      <c r="F1925" s="32">
        <v>846100</v>
      </c>
      <c r="G1925" s="32">
        <v>22530102</v>
      </c>
      <c r="H1925" t="s">
        <v>756</v>
      </c>
    </row>
    <row r="1926" spans="1:8" hidden="1" x14ac:dyDescent="0.3">
      <c r="A1926" s="28">
        <v>14296</v>
      </c>
      <c r="B1926" s="49">
        <v>45124.807638888888</v>
      </c>
      <c r="C1926" s="18">
        <v>45124</v>
      </c>
      <c r="D1926" t="s">
        <v>104</v>
      </c>
      <c r="E1926" s="32">
        <v>0</v>
      </c>
      <c r="F1926" s="32">
        <v>99000</v>
      </c>
      <c r="G1926" s="32">
        <v>23376202</v>
      </c>
      <c r="H1926" t="s">
        <v>757</v>
      </c>
    </row>
    <row r="1927" spans="1:8" hidden="1" x14ac:dyDescent="0.3">
      <c r="A1927" s="28">
        <v>14294</v>
      </c>
      <c r="B1927" s="49">
        <v>45124.800694444442</v>
      </c>
      <c r="C1927" s="18">
        <v>45124</v>
      </c>
      <c r="D1927" t="s">
        <v>104</v>
      </c>
      <c r="E1927" s="32">
        <v>0</v>
      </c>
      <c r="F1927" s="32">
        <v>684420</v>
      </c>
      <c r="G1927" s="32">
        <v>23475202</v>
      </c>
      <c r="H1927" t="s">
        <v>758</v>
      </c>
    </row>
    <row r="1928" spans="1:8" hidden="1" x14ac:dyDescent="0.3">
      <c r="A1928" s="28">
        <v>14292</v>
      </c>
      <c r="B1928" s="49">
        <v>45124.76458333333</v>
      </c>
      <c r="C1928" s="18">
        <v>45124</v>
      </c>
      <c r="D1928" t="s">
        <v>104</v>
      </c>
      <c r="E1928" s="32">
        <v>0</v>
      </c>
      <c r="F1928" s="32">
        <v>12574227</v>
      </c>
      <c r="G1928" s="32">
        <v>24159622</v>
      </c>
      <c r="H1928" t="s">
        <v>759</v>
      </c>
    </row>
    <row r="1929" spans="1:8" hidden="1" x14ac:dyDescent="0.3">
      <c r="A1929" s="28">
        <v>14291</v>
      </c>
      <c r="B1929" s="49">
        <v>45124.725694444445</v>
      </c>
      <c r="C1929" s="18">
        <v>45124</v>
      </c>
      <c r="D1929" t="s">
        <v>104</v>
      </c>
      <c r="E1929" s="32">
        <v>0</v>
      </c>
      <c r="F1929" s="32">
        <v>284931</v>
      </c>
      <c r="G1929" s="32">
        <v>36733849</v>
      </c>
      <c r="H1929" t="s">
        <v>748</v>
      </c>
    </row>
    <row r="1930" spans="1:8" hidden="1" x14ac:dyDescent="0.3">
      <c r="A1930" s="28">
        <v>14290</v>
      </c>
      <c r="B1930" s="49">
        <v>45124.684027777781</v>
      </c>
      <c r="C1930" s="18">
        <v>45124</v>
      </c>
      <c r="D1930" t="s">
        <v>104</v>
      </c>
      <c r="E1930" s="32">
        <v>0</v>
      </c>
      <c r="F1930" s="32">
        <v>433872</v>
      </c>
      <c r="G1930" s="32">
        <v>37018780</v>
      </c>
      <c r="H1930" t="s">
        <v>748</v>
      </c>
    </row>
    <row r="1931" spans="1:8" hidden="1" x14ac:dyDescent="0.3">
      <c r="A1931" s="28">
        <v>14289</v>
      </c>
      <c r="B1931" s="49">
        <v>45124.621527777781</v>
      </c>
      <c r="C1931" s="18">
        <v>45124</v>
      </c>
      <c r="D1931" t="s">
        <v>103</v>
      </c>
      <c r="E1931" s="32">
        <v>891000</v>
      </c>
      <c r="F1931" s="32">
        <v>0</v>
      </c>
      <c r="G1931" s="32">
        <v>37452652</v>
      </c>
      <c r="H1931" t="s">
        <v>760</v>
      </c>
    </row>
    <row r="1932" spans="1:8" hidden="1" x14ac:dyDescent="0.3">
      <c r="A1932" s="28">
        <v>14288</v>
      </c>
      <c r="B1932" s="49">
        <v>45124.621527777781</v>
      </c>
      <c r="C1932" s="18">
        <v>45124</v>
      </c>
      <c r="D1932" t="s">
        <v>103</v>
      </c>
      <c r="E1932" s="32">
        <v>1228700</v>
      </c>
      <c r="F1932" s="32">
        <v>0</v>
      </c>
      <c r="G1932" s="32">
        <v>36561652</v>
      </c>
      <c r="H1932" t="s">
        <v>760</v>
      </c>
    </row>
    <row r="1933" spans="1:8" hidden="1" x14ac:dyDescent="0.3">
      <c r="A1933" s="28">
        <v>14287</v>
      </c>
      <c r="B1933" s="49">
        <v>45124.621527777781</v>
      </c>
      <c r="C1933" s="18">
        <v>45124</v>
      </c>
      <c r="D1933" t="s">
        <v>103</v>
      </c>
      <c r="E1933" s="32">
        <v>4049100</v>
      </c>
      <c r="F1933" s="32">
        <v>0</v>
      </c>
      <c r="G1933" s="32">
        <v>35332952</v>
      </c>
      <c r="H1933" t="s">
        <v>760</v>
      </c>
    </row>
    <row r="1934" spans="1:8" hidden="1" x14ac:dyDescent="0.3">
      <c r="A1934" s="28">
        <v>14286</v>
      </c>
      <c r="B1934" s="49">
        <v>45124.49722222222</v>
      </c>
      <c r="C1934" s="18">
        <v>45124</v>
      </c>
      <c r="D1934" t="s">
        <v>103</v>
      </c>
      <c r="E1934" s="32">
        <v>183700</v>
      </c>
      <c r="F1934" s="32">
        <v>0</v>
      </c>
      <c r="G1934" s="32">
        <v>31283852</v>
      </c>
      <c r="H1934" t="s">
        <v>761</v>
      </c>
    </row>
    <row r="1935" spans="1:8" hidden="1" x14ac:dyDescent="0.3">
      <c r="A1935" s="28">
        <v>14284</v>
      </c>
      <c r="B1935" s="49">
        <v>45121.806250000001</v>
      </c>
      <c r="C1935" s="18">
        <v>45121</v>
      </c>
      <c r="D1935" t="s">
        <v>104</v>
      </c>
      <c r="E1935" s="32">
        <v>0</v>
      </c>
      <c r="F1935" s="32">
        <v>189634</v>
      </c>
      <c r="G1935" s="32">
        <v>31100152</v>
      </c>
      <c r="H1935" t="s">
        <v>762</v>
      </c>
    </row>
    <row r="1936" spans="1:8" hidden="1" x14ac:dyDescent="0.3">
      <c r="A1936" s="28">
        <v>14276</v>
      </c>
      <c r="B1936" s="49">
        <v>45121.59097222222</v>
      </c>
      <c r="C1936" s="18">
        <v>45121</v>
      </c>
      <c r="D1936" t="s">
        <v>103</v>
      </c>
      <c r="E1936" s="32">
        <v>1339800</v>
      </c>
      <c r="F1936" s="32">
        <v>0</v>
      </c>
      <c r="G1936" s="32">
        <v>31289786</v>
      </c>
      <c r="H1936" t="s">
        <v>731</v>
      </c>
    </row>
    <row r="1937" spans="1:8" hidden="1" x14ac:dyDescent="0.3">
      <c r="A1937" s="28">
        <v>14275</v>
      </c>
      <c r="B1937" s="49">
        <v>45121.518055555556</v>
      </c>
      <c r="C1937" s="18">
        <v>45121</v>
      </c>
      <c r="D1937" t="s">
        <v>103</v>
      </c>
      <c r="E1937" s="32">
        <v>2825900</v>
      </c>
      <c r="F1937" s="32">
        <v>0</v>
      </c>
      <c r="G1937" s="32">
        <v>29949986</v>
      </c>
      <c r="H1937" t="s">
        <v>763</v>
      </c>
    </row>
    <row r="1938" spans="1:8" hidden="1" x14ac:dyDescent="0.3">
      <c r="A1938" s="28">
        <v>14274</v>
      </c>
      <c r="B1938" s="49">
        <v>45121.500694444447</v>
      </c>
      <c r="C1938" s="18">
        <v>45121</v>
      </c>
      <c r="D1938" t="s">
        <v>103</v>
      </c>
      <c r="E1938" s="32">
        <v>1261972</v>
      </c>
      <c r="F1938" s="32">
        <v>0</v>
      </c>
      <c r="G1938" s="32">
        <v>27124086</v>
      </c>
      <c r="H1938" t="s">
        <v>764</v>
      </c>
    </row>
    <row r="1939" spans="1:8" hidden="1" x14ac:dyDescent="0.3">
      <c r="A1939" s="28">
        <v>14273</v>
      </c>
      <c r="B1939" s="49">
        <v>45121.500694444447</v>
      </c>
      <c r="C1939" s="18">
        <v>45121</v>
      </c>
      <c r="D1939" t="s">
        <v>103</v>
      </c>
      <c r="E1939" s="32">
        <v>4587738</v>
      </c>
      <c r="F1939" s="32">
        <v>0</v>
      </c>
      <c r="G1939" s="32">
        <v>25862114</v>
      </c>
      <c r="H1939" t="s">
        <v>764</v>
      </c>
    </row>
    <row r="1940" spans="1:8" hidden="1" x14ac:dyDescent="0.3">
      <c r="A1940" s="28">
        <v>14270</v>
      </c>
      <c r="B1940" s="49">
        <v>45121.47152777778</v>
      </c>
      <c r="C1940" s="18">
        <v>45121</v>
      </c>
      <c r="D1940" t="s">
        <v>103</v>
      </c>
      <c r="E1940" s="32">
        <v>884400</v>
      </c>
      <c r="F1940" s="32">
        <v>0</v>
      </c>
      <c r="G1940" s="32">
        <v>21274376</v>
      </c>
      <c r="H1940" t="s">
        <v>765</v>
      </c>
    </row>
    <row r="1941" spans="1:8" hidden="1" x14ac:dyDescent="0.3">
      <c r="A1941" s="28">
        <v>14269</v>
      </c>
      <c r="B1941" s="49">
        <v>45121.47152777778</v>
      </c>
      <c r="C1941" s="18">
        <v>45121</v>
      </c>
      <c r="D1941" t="s">
        <v>103</v>
      </c>
      <c r="E1941" s="32">
        <v>1394800</v>
      </c>
      <c r="F1941" s="32">
        <v>0</v>
      </c>
      <c r="G1941" s="32">
        <v>20389976</v>
      </c>
      <c r="H1941" t="s">
        <v>765</v>
      </c>
    </row>
    <row r="1942" spans="1:8" hidden="1" x14ac:dyDescent="0.3">
      <c r="A1942" s="28">
        <v>14268</v>
      </c>
      <c r="B1942" s="49">
        <v>45121.470833333333</v>
      </c>
      <c r="C1942" s="18">
        <v>45121</v>
      </c>
      <c r="D1942" t="s">
        <v>103</v>
      </c>
      <c r="E1942" s="32">
        <v>91300</v>
      </c>
      <c r="F1942" s="32">
        <v>0</v>
      </c>
      <c r="G1942" s="32">
        <v>18995176</v>
      </c>
      <c r="H1942" t="s">
        <v>765</v>
      </c>
    </row>
    <row r="1943" spans="1:8" hidden="1" x14ac:dyDescent="0.3">
      <c r="A1943" s="28">
        <v>14267</v>
      </c>
      <c r="B1943" s="49">
        <v>45121.40625</v>
      </c>
      <c r="C1943" s="18">
        <v>45121</v>
      </c>
      <c r="D1943" t="s">
        <v>103</v>
      </c>
      <c r="E1943" s="32">
        <v>434500</v>
      </c>
      <c r="F1943" s="32">
        <v>0</v>
      </c>
      <c r="G1943" s="32">
        <v>18903876</v>
      </c>
      <c r="H1943" t="s">
        <v>766</v>
      </c>
    </row>
    <row r="1944" spans="1:8" hidden="1" x14ac:dyDescent="0.3">
      <c r="A1944" s="28">
        <v>14266</v>
      </c>
      <c r="B1944" s="49">
        <v>45121.405555555553</v>
      </c>
      <c r="C1944" s="18">
        <v>45121</v>
      </c>
      <c r="D1944" t="s">
        <v>103</v>
      </c>
      <c r="E1944" s="32">
        <v>7000000</v>
      </c>
      <c r="F1944" s="32">
        <v>0</v>
      </c>
      <c r="G1944" s="32">
        <v>18469376</v>
      </c>
      <c r="H1944" t="s">
        <v>751</v>
      </c>
    </row>
    <row r="1945" spans="1:8" hidden="1" x14ac:dyDescent="0.3">
      <c r="A1945" s="28">
        <v>14263</v>
      </c>
      <c r="B1945" s="49">
        <v>45121.390277777777</v>
      </c>
      <c r="C1945" s="18">
        <v>45121</v>
      </c>
      <c r="D1945" t="s">
        <v>103</v>
      </c>
      <c r="E1945" s="32">
        <v>792000</v>
      </c>
      <c r="F1945" s="32">
        <v>0</v>
      </c>
      <c r="G1945" s="32">
        <v>11469376</v>
      </c>
      <c r="H1945" t="s">
        <v>767</v>
      </c>
    </row>
    <row r="1946" spans="1:8" hidden="1" x14ac:dyDescent="0.3">
      <c r="A1946" s="28">
        <v>14262</v>
      </c>
      <c r="B1946" s="49">
        <v>45121.390277777777</v>
      </c>
      <c r="C1946" s="18">
        <v>45121</v>
      </c>
      <c r="D1946" t="s">
        <v>103</v>
      </c>
      <c r="E1946" s="32">
        <v>79200</v>
      </c>
      <c r="F1946" s="32">
        <v>0</v>
      </c>
      <c r="G1946" s="32">
        <v>10677376</v>
      </c>
      <c r="H1946" t="s">
        <v>767</v>
      </c>
    </row>
    <row r="1947" spans="1:8" hidden="1" x14ac:dyDescent="0.3">
      <c r="A1947" s="28">
        <v>14260</v>
      </c>
      <c r="B1947" s="49">
        <v>45120.692361111112</v>
      </c>
      <c r="C1947" s="18">
        <v>45120</v>
      </c>
      <c r="D1947" t="s">
        <v>103</v>
      </c>
      <c r="E1947" s="32">
        <v>80300</v>
      </c>
      <c r="F1947" s="32">
        <v>0</v>
      </c>
      <c r="G1947" s="32">
        <v>10598176</v>
      </c>
      <c r="H1947" t="s">
        <v>768</v>
      </c>
    </row>
    <row r="1948" spans="1:8" hidden="1" x14ac:dyDescent="0.3">
      <c r="A1948" s="28">
        <v>14252</v>
      </c>
      <c r="B1948" s="49">
        <v>45120.382638888892</v>
      </c>
      <c r="C1948" s="18">
        <v>45120</v>
      </c>
      <c r="D1948" t="s">
        <v>103</v>
      </c>
      <c r="E1948" s="32">
        <v>1185800</v>
      </c>
      <c r="F1948" s="32">
        <v>0</v>
      </c>
      <c r="G1948" s="32">
        <v>10517876</v>
      </c>
      <c r="H1948" t="s">
        <v>732</v>
      </c>
    </row>
    <row r="1949" spans="1:8" hidden="1" x14ac:dyDescent="0.3">
      <c r="A1949" s="28">
        <v>14251</v>
      </c>
      <c r="B1949" s="49">
        <v>45119.806250000001</v>
      </c>
      <c r="C1949" s="18">
        <v>45119</v>
      </c>
      <c r="D1949" t="s">
        <v>104</v>
      </c>
      <c r="E1949" s="32">
        <v>0</v>
      </c>
      <c r="F1949" s="32">
        <v>5408</v>
      </c>
      <c r="G1949" s="32">
        <v>9332076</v>
      </c>
      <c r="H1949" t="s">
        <v>762</v>
      </c>
    </row>
    <row r="1950" spans="1:8" hidden="1" x14ac:dyDescent="0.3">
      <c r="A1950" s="28">
        <v>14250</v>
      </c>
      <c r="B1950" s="49">
        <v>45119.651388888888</v>
      </c>
      <c r="C1950" s="18">
        <v>45119</v>
      </c>
      <c r="D1950" t="s">
        <v>104</v>
      </c>
      <c r="E1950" s="32">
        <v>0</v>
      </c>
      <c r="F1950" s="32">
        <v>28080</v>
      </c>
      <c r="G1950" s="32">
        <v>9337484</v>
      </c>
      <c r="H1950" t="s">
        <v>769</v>
      </c>
    </row>
    <row r="1951" spans="1:8" hidden="1" x14ac:dyDescent="0.3">
      <c r="A1951" s="28">
        <v>14246</v>
      </c>
      <c r="B1951" s="49">
        <v>45119.588888888888</v>
      </c>
      <c r="C1951" s="18">
        <v>45119</v>
      </c>
      <c r="D1951" t="s">
        <v>103</v>
      </c>
      <c r="E1951" s="32">
        <v>587400</v>
      </c>
      <c r="F1951" s="32">
        <v>0</v>
      </c>
      <c r="G1951" s="32">
        <v>9365564</v>
      </c>
      <c r="H1951" t="s">
        <v>770</v>
      </c>
    </row>
    <row r="1952" spans="1:8" hidden="1" x14ac:dyDescent="0.3">
      <c r="A1952" s="28">
        <v>14243</v>
      </c>
      <c r="B1952" s="49">
        <v>45118.811805555553</v>
      </c>
      <c r="C1952" s="18">
        <v>45118</v>
      </c>
      <c r="D1952" t="s">
        <v>104</v>
      </c>
      <c r="E1952" s="32">
        <v>0</v>
      </c>
      <c r="F1952" s="32">
        <v>35500</v>
      </c>
      <c r="G1952" s="32">
        <v>8778164</v>
      </c>
      <c r="H1952" t="s">
        <v>771</v>
      </c>
    </row>
    <row r="1953" spans="1:8" hidden="1" x14ac:dyDescent="0.3">
      <c r="A1953" s="28">
        <v>14242</v>
      </c>
      <c r="B1953" s="49">
        <v>45118.739583333336</v>
      </c>
      <c r="C1953" s="18">
        <v>45118</v>
      </c>
      <c r="D1953" t="s">
        <v>103</v>
      </c>
      <c r="E1953" s="32">
        <v>1461900</v>
      </c>
      <c r="F1953" s="32">
        <v>0</v>
      </c>
      <c r="G1953" s="32">
        <v>8813664</v>
      </c>
      <c r="H1953" t="s">
        <v>772</v>
      </c>
    </row>
    <row r="1954" spans="1:8" hidden="1" x14ac:dyDescent="0.3">
      <c r="A1954" s="28">
        <v>14241</v>
      </c>
      <c r="B1954" s="49">
        <v>45118.574305555558</v>
      </c>
      <c r="C1954" s="18">
        <v>45118</v>
      </c>
      <c r="D1954" t="s">
        <v>103</v>
      </c>
      <c r="E1954" s="32">
        <v>223300</v>
      </c>
      <c r="F1954" s="32">
        <v>0</v>
      </c>
      <c r="G1954" s="32">
        <v>7351764</v>
      </c>
      <c r="H1954" t="s">
        <v>731</v>
      </c>
    </row>
    <row r="1955" spans="1:8" hidden="1" x14ac:dyDescent="0.3">
      <c r="A1955" s="28">
        <v>14238</v>
      </c>
      <c r="B1955" s="49">
        <v>45118.43472222222</v>
      </c>
      <c r="C1955" s="18">
        <v>45118</v>
      </c>
      <c r="D1955" t="s">
        <v>103</v>
      </c>
      <c r="E1955" s="32">
        <v>2028400</v>
      </c>
      <c r="F1955" s="32">
        <v>0</v>
      </c>
      <c r="G1955" s="32">
        <v>7128464</v>
      </c>
      <c r="H1955" t="s">
        <v>753</v>
      </c>
    </row>
    <row r="1956" spans="1:8" hidden="1" x14ac:dyDescent="0.3">
      <c r="A1956" s="28">
        <v>14237</v>
      </c>
      <c r="B1956" s="49">
        <v>45118.421527777777</v>
      </c>
      <c r="C1956" s="18">
        <v>45118</v>
      </c>
      <c r="D1956" t="s">
        <v>104</v>
      </c>
      <c r="E1956" s="32">
        <v>0</v>
      </c>
      <c r="F1956" s="32">
        <v>491506</v>
      </c>
      <c r="G1956" s="32">
        <v>5100064</v>
      </c>
      <c r="H1956">
        <v>64971601453173</v>
      </c>
    </row>
    <row r="1957" spans="1:8" hidden="1" x14ac:dyDescent="0.3">
      <c r="A1957" s="28">
        <v>14229</v>
      </c>
      <c r="B1957" s="49">
        <v>45117.614583333336</v>
      </c>
      <c r="C1957" s="18">
        <v>45117</v>
      </c>
      <c r="D1957" t="s">
        <v>104</v>
      </c>
      <c r="E1957" s="32">
        <v>0</v>
      </c>
      <c r="F1957" s="32">
        <v>11000000</v>
      </c>
      <c r="G1957" s="32">
        <v>5591570</v>
      </c>
      <c r="H1957" t="s">
        <v>773</v>
      </c>
    </row>
    <row r="1958" spans="1:8" hidden="1" x14ac:dyDescent="0.3">
      <c r="A1958" s="28">
        <v>14228</v>
      </c>
      <c r="B1958" s="49">
        <v>45117.612500000003</v>
      </c>
      <c r="C1958" s="18">
        <v>45117</v>
      </c>
      <c r="D1958" t="s">
        <v>104</v>
      </c>
      <c r="E1958" s="32">
        <v>0</v>
      </c>
      <c r="F1958" s="32">
        <v>112700</v>
      </c>
      <c r="G1958" s="32">
        <v>16591570</v>
      </c>
      <c r="H1958" t="s">
        <v>774</v>
      </c>
    </row>
    <row r="1959" spans="1:8" hidden="1" x14ac:dyDescent="0.3">
      <c r="A1959" s="28">
        <v>14222</v>
      </c>
      <c r="B1959" s="49">
        <v>45117.474305555559</v>
      </c>
      <c r="C1959" s="18">
        <v>45117</v>
      </c>
      <c r="D1959" t="s">
        <v>104</v>
      </c>
      <c r="E1959" s="32">
        <v>0</v>
      </c>
      <c r="F1959" s="32">
        <v>80165</v>
      </c>
      <c r="G1959" s="32">
        <v>16704270</v>
      </c>
      <c r="H1959" t="s">
        <v>748</v>
      </c>
    </row>
    <row r="1960" spans="1:8" hidden="1" x14ac:dyDescent="0.3">
      <c r="A1960" s="28">
        <v>14221</v>
      </c>
      <c r="B1960" s="49">
        <v>45117.434027777781</v>
      </c>
      <c r="C1960" s="18">
        <v>45117</v>
      </c>
      <c r="D1960" t="s">
        <v>103</v>
      </c>
      <c r="E1960" s="32">
        <v>1326600</v>
      </c>
      <c r="F1960" s="32">
        <v>0</v>
      </c>
      <c r="G1960" s="32">
        <v>16784435</v>
      </c>
      <c r="H1960" t="s">
        <v>775</v>
      </c>
    </row>
    <row r="1961" spans="1:8" hidden="1" x14ac:dyDescent="0.3">
      <c r="A1961" s="28">
        <v>14220</v>
      </c>
      <c r="B1961" s="49">
        <v>45117.393750000003</v>
      </c>
      <c r="C1961" s="18">
        <v>45117</v>
      </c>
      <c r="D1961" t="s">
        <v>104</v>
      </c>
      <c r="E1961" s="32">
        <v>0</v>
      </c>
      <c r="F1961" s="32">
        <v>345030</v>
      </c>
      <c r="G1961" s="32">
        <v>15457835</v>
      </c>
      <c r="H1961" t="s">
        <v>776</v>
      </c>
    </row>
    <row r="1962" spans="1:8" hidden="1" x14ac:dyDescent="0.3">
      <c r="A1962" s="28">
        <v>14219</v>
      </c>
      <c r="B1962" s="49">
        <v>45117.393055555556</v>
      </c>
      <c r="C1962" s="18">
        <v>45117</v>
      </c>
      <c r="D1962" t="s">
        <v>104</v>
      </c>
      <c r="E1962" s="32">
        <v>0</v>
      </c>
      <c r="F1962" s="32">
        <v>18610</v>
      </c>
      <c r="G1962" s="32">
        <v>15802865</v>
      </c>
      <c r="H1962" t="s">
        <v>777</v>
      </c>
    </row>
    <row r="1963" spans="1:8" hidden="1" x14ac:dyDescent="0.3">
      <c r="A1963" s="28">
        <v>14218</v>
      </c>
      <c r="B1963" s="49">
        <v>45117.392361111109</v>
      </c>
      <c r="C1963" s="18">
        <v>45117</v>
      </c>
      <c r="D1963" t="s">
        <v>104</v>
      </c>
      <c r="E1963" s="32">
        <v>0</v>
      </c>
      <c r="F1963" s="32">
        <v>3432420</v>
      </c>
      <c r="G1963" s="32">
        <v>15821475</v>
      </c>
      <c r="H1963" t="s">
        <v>778</v>
      </c>
    </row>
    <row r="1964" spans="1:8" hidden="1" x14ac:dyDescent="0.3">
      <c r="A1964" s="28">
        <v>14216</v>
      </c>
      <c r="B1964" s="49">
        <v>45114.584027777775</v>
      </c>
      <c r="C1964" s="18">
        <v>45114</v>
      </c>
      <c r="D1964" t="s">
        <v>103</v>
      </c>
      <c r="E1964" s="32">
        <v>953700</v>
      </c>
      <c r="F1964" s="32">
        <v>0</v>
      </c>
      <c r="G1964" s="32">
        <v>19253895</v>
      </c>
      <c r="H1964" t="s">
        <v>779</v>
      </c>
    </row>
    <row r="1965" spans="1:8" hidden="1" x14ac:dyDescent="0.3">
      <c r="A1965" s="28">
        <v>14215</v>
      </c>
      <c r="B1965" s="49">
        <v>45114.584027777775</v>
      </c>
      <c r="C1965" s="18">
        <v>45114</v>
      </c>
      <c r="D1965" t="s">
        <v>103</v>
      </c>
      <c r="E1965" s="32">
        <v>788700</v>
      </c>
      <c r="F1965" s="32">
        <v>0</v>
      </c>
      <c r="G1965" s="32">
        <v>18300195</v>
      </c>
      <c r="H1965" t="s">
        <v>779</v>
      </c>
    </row>
    <row r="1966" spans="1:8" hidden="1" x14ac:dyDescent="0.3">
      <c r="A1966" s="28">
        <v>14214</v>
      </c>
      <c r="B1966" s="49">
        <v>45114.584027777775</v>
      </c>
      <c r="C1966" s="18">
        <v>45114</v>
      </c>
      <c r="D1966" t="s">
        <v>103</v>
      </c>
      <c r="E1966" s="32">
        <v>2070200</v>
      </c>
      <c r="F1966" s="32">
        <v>0</v>
      </c>
      <c r="G1966" s="32">
        <v>17511495</v>
      </c>
      <c r="H1966" t="s">
        <v>779</v>
      </c>
    </row>
    <row r="1967" spans="1:8" hidden="1" x14ac:dyDescent="0.3">
      <c r="A1967" s="28">
        <v>14213</v>
      </c>
      <c r="B1967" s="49">
        <v>45114.584027777775</v>
      </c>
      <c r="C1967" s="18">
        <v>45114</v>
      </c>
      <c r="D1967" t="s">
        <v>103</v>
      </c>
      <c r="E1967" s="32">
        <v>1796300</v>
      </c>
      <c r="F1967" s="32">
        <v>0</v>
      </c>
      <c r="G1967" s="32">
        <v>15441295</v>
      </c>
      <c r="H1967" t="s">
        <v>779</v>
      </c>
    </row>
    <row r="1968" spans="1:8" hidden="1" x14ac:dyDescent="0.3">
      <c r="A1968" s="28">
        <v>14212</v>
      </c>
      <c r="B1968" s="49">
        <v>45114.584027777775</v>
      </c>
      <c r="C1968" s="18">
        <v>45114</v>
      </c>
      <c r="D1968" t="s">
        <v>103</v>
      </c>
      <c r="E1968" s="32">
        <v>440000</v>
      </c>
      <c r="F1968" s="32">
        <v>0</v>
      </c>
      <c r="G1968" s="32">
        <v>13644995</v>
      </c>
      <c r="H1968" t="s">
        <v>779</v>
      </c>
    </row>
    <row r="1969" spans="1:8" hidden="1" x14ac:dyDescent="0.3">
      <c r="A1969" s="28">
        <v>14209</v>
      </c>
      <c r="B1969" s="49">
        <v>45113.726388888892</v>
      </c>
      <c r="C1969" s="18">
        <v>45113</v>
      </c>
      <c r="D1969" t="s">
        <v>103</v>
      </c>
      <c r="E1969" s="32">
        <v>240900</v>
      </c>
      <c r="F1969" s="32">
        <v>0</v>
      </c>
      <c r="G1969" s="32">
        <v>13204995</v>
      </c>
      <c r="H1969" t="s">
        <v>744</v>
      </c>
    </row>
    <row r="1970" spans="1:8" hidden="1" x14ac:dyDescent="0.3">
      <c r="A1970" s="28">
        <v>14208</v>
      </c>
      <c r="B1970" s="49">
        <v>45113.599999999999</v>
      </c>
      <c r="C1970" s="18">
        <v>45113</v>
      </c>
      <c r="D1970" t="s">
        <v>103</v>
      </c>
      <c r="E1970" s="32">
        <v>151800</v>
      </c>
      <c r="F1970" s="32">
        <v>0</v>
      </c>
      <c r="G1970" s="32">
        <v>12964095</v>
      </c>
      <c r="H1970" t="s">
        <v>780</v>
      </c>
    </row>
    <row r="1971" spans="1:8" hidden="1" x14ac:dyDescent="0.3">
      <c r="A1971" s="28">
        <v>14207</v>
      </c>
      <c r="B1971" s="49">
        <v>45113.599305555559</v>
      </c>
      <c r="C1971" s="18">
        <v>45113</v>
      </c>
      <c r="D1971" t="s">
        <v>104</v>
      </c>
      <c r="E1971" s="32">
        <v>0</v>
      </c>
      <c r="F1971" s="32">
        <v>151800</v>
      </c>
      <c r="G1971" s="32">
        <v>12812295</v>
      </c>
      <c r="H1971" t="s">
        <v>781</v>
      </c>
    </row>
    <row r="1972" spans="1:8" hidden="1" x14ac:dyDescent="0.3">
      <c r="A1972" s="28">
        <v>14206</v>
      </c>
      <c r="B1972" s="49">
        <v>45113.599305555559</v>
      </c>
      <c r="C1972" s="18">
        <v>45113</v>
      </c>
      <c r="D1972" t="s">
        <v>104</v>
      </c>
      <c r="E1972" s="32">
        <v>0</v>
      </c>
      <c r="F1972" s="32">
        <v>3500</v>
      </c>
      <c r="G1972" s="32">
        <v>12964095</v>
      </c>
      <c r="H1972" t="s">
        <v>782</v>
      </c>
    </row>
    <row r="1973" spans="1:8" hidden="1" x14ac:dyDescent="0.3">
      <c r="A1973" s="28">
        <v>14205</v>
      </c>
      <c r="B1973" s="49">
        <v>45113.585416666669</v>
      </c>
      <c r="C1973" s="18">
        <v>45113</v>
      </c>
      <c r="D1973" t="s">
        <v>103</v>
      </c>
      <c r="E1973" s="32">
        <v>1706650</v>
      </c>
      <c r="F1973" s="32">
        <v>0</v>
      </c>
      <c r="G1973" s="32">
        <v>12967595</v>
      </c>
      <c r="H1973" t="s">
        <v>783</v>
      </c>
    </row>
    <row r="1974" spans="1:8" hidden="1" x14ac:dyDescent="0.3">
      <c r="A1974" s="28">
        <v>14204</v>
      </c>
      <c r="B1974" s="49">
        <v>45113.558333333334</v>
      </c>
      <c r="C1974" s="18">
        <v>45113</v>
      </c>
      <c r="D1974" t="s">
        <v>103</v>
      </c>
      <c r="E1974" s="32">
        <v>519200</v>
      </c>
      <c r="F1974" s="32">
        <v>0</v>
      </c>
      <c r="G1974" s="32">
        <v>11260945</v>
      </c>
      <c r="H1974" t="s">
        <v>784</v>
      </c>
    </row>
    <row r="1975" spans="1:8" hidden="1" x14ac:dyDescent="0.3">
      <c r="A1975" s="28">
        <v>14202</v>
      </c>
      <c r="B1975" s="49">
        <v>45113.449305555558</v>
      </c>
      <c r="C1975" s="18">
        <v>45113</v>
      </c>
      <c r="D1975" t="s">
        <v>103</v>
      </c>
      <c r="E1975" s="32">
        <v>2539900</v>
      </c>
      <c r="F1975" s="32">
        <v>0</v>
      </c>
      <c r="G1975" s="32">
        <v>10741745</v>
      </c>
      <c r="H1975" t="s">
        <v>785</v>
      </c>
    </row>
    <row r="1976" spans="1:8" hidden="1" x14ac:dyDescent="0.3">
      <c r="A1976" s="28">
        <v>14201</v>
      </c>
      <c r="B1976" s="49">
        <v>45112.831250000003</v>
      </c>
      <c r="C1976" s="18">
        <v>45112</v>
      </c>
      <c r="D1976" t="s">
        <v>104</v>
      </c>
      <c r="E1976" s="32">
        <v>0</v>
      </c>
      <c r="F1976" s="32">
        <v>626472</v>
      </c>
      <c r="G1976" s="32">
        <v>8201845</v>
      </c>
      <c r="H1976" t="s">
        <v>786</v>
      </c>
    </row>
    <row r="1977" spans="1:8" hidden="1" x14ac:dyDescent="0.3">
      <c r="A1977" s="28">
        <v>14200</v>
      </c>
      <c r="B1977" s="49">
        <v>45112.800000000003</v>
      </c>
      <c r="C1977" s="18">
        <v>45112</v>
      </c>
      <c r="D1977" t="s">
        <v>104</v>
      </c>
      <c r="E1977" s="32">
        <v>0</v>
      </c>
      <c r="F1977" s="32">
        <v>711920</v>
      </c>
      <c r="G1977" s="32">
        <v>8828317</v>
      </c>
      <c r="H1977" t="s">
        <v>758</v>
      </c>
    </row>
    <row r="1978" spans="1:8" hidden="1" x14ac:dyDescent="0.3">
      <c r="A1978" s="28">
        <v>14195</v>
      </c>
      <c r="B1978" s="49">
        <v>45112.646527777775</v>
      </c>
      <c r="C1978" s="18">
        <v>45112</v>
      </c>
      <c r="D1978" t="s">
        <v>104</v>
      </c>
      <c r="E1978" s="32">
        <v>0</v>
      </c>
      <c r="F1978" s="32">
        <v>8000</v>
      </c>
      <c r="G1978" s="32">
        <v>9540237</v>
      </c>
      <c r="H1978" t="s">
        <v>787</v>
      </c>
    </row>
    <row r="1979" spans="1:8" hidden="1" x14ac:dyDescent="0.3">
      <c r="A1979" s="28">
        <v>14192</v>
      </c>
      <c r="B1979" s="49">
        <v>45112.605555555558</v>
      </c>
      <c r="C1979" s="18">
        <v>45112</v>
      </c>
      <c r="D1979" t="s">
        <v>104</v>
      </c>
      <c r="E1979" s="32">
        <v>0</v>
      </c>
      <c r="F1979" s="32">
        <v>10000000</v>
      </c>
      <c r="G1979" s="32">
        <v>9548237</v>
      </c>
      <c r="H1979" t="s">
        <v>773</v>
      </c>
    </row>
    <row r="1980" spans="1:8" hidden="1" x14ac:dyDescent="0.3">
      <c r="A1980" s="28">
        <v>14190</v>
      </c>
      <c r="B1980" s="49">
        <v>45112.558333333334</v>
      </c>
      <c r="C1980" s="18">
        <v>45112</v>
      </c>
      <c r="D1980" t="s">
        <v>104</v>
      </c>
      <c r="E1980" s="32">
        <v>0</v>
      </c>
      <c r="F1980" s="32">
        <v>4500</v>
      </c>
      <c r="G1980" s="32">
        <v>19548237</v>
      </c>
      <c r="H1980" t="s">
        <v>782</v>
      </c>
    </row>
    <row r="1981" spans="1:8" hidden="1" x14ac:dyDescent="0.3">
      <c r="A1981" s="28">
        <v>14186</v>
      </c>
      <c r="B1981" s="49">
        <v>45112.50277777778</v>
      </c>
      <c r="C1981" s="18">
        <v>45112</v>
      </c>
      <c r="D1981" t="s">
        <v>103</v>
      </c>
      <c r="E1981" s="32">
        <v>416900</v>
      </c>
      <c r="F1981" s="32">
        <v>0</v>
      </c>
      <c r="G1981" s="32">
        <v>19552737</v>
      </c>
      <c r="H1981" t="s">
        <v>788</v>
      </c>
    </row>
    <row r="1982" spans="1:8" hidden="1" x14ac:dyDescent="0.3">
      <c r="A1982" s="28">
        <v>14185</v>
      </c>
      <c r="B1982" s="49">
        <v>45112.445833333331</v>
      </c>
      <c r="C1982" s="18">
        <v>45112</v>
      </c>
      <c r="D1982" t="s">
        <v>103</v>
      </c>
      <c r="E1982" s="32">
        <v>683100</v>
      </c>
      <c r="F1982" s="32">
        <v>0</v>
      </c>
      <c r="G1982" s="32">
        <v>19135837</v>
      </c>
      <c r="H1982" t="s">
        <v>789</v>
      </c>
    </row>
    <row r="1983" spans="1:8" hidden="1" x14ac:dyDescent="0.3">
      <c r="A1983" s="28">
        <v>14184</v>
      </c>
      <c r="B1983" s="49">
        <v>45112.435416666667</v>
      </c>
      <c r="C1983" s="18">
        <v>45112</v>
      </c>
      <c r="D1983" t="s">
        <v>104</v>
      </c>
      <c r="E1983" s="32">
        <v>0</v>
      </c>
      <c r="F1983" s="32">
        <v>52470</v>
      </c>
      <c r="G1983" s="32">
        <v>18452737</v>
      </c>
      <c r="H1983" t="s">
        <v>752</v>
      </c>
    </row>
    <row r="1984" spans="1:8" hidden="1" x14ac:dyDescent="0.3">
      <c r="A1984" s="28">
        <v>14181</v>
      </c>
      <c r="B1984" s="49">
        <v>45112.388888888891</v>
      </c>
      <c r="C1984" s="18">
        <v>45112</v>
      </c>
      <c r="D1984" t="s">
        <v>103</v>
      </c>
      <c r="E1984" s="32">
        <v>3600000</v>
      </c>
      <c r="F1984" s="32">
        <v>0</v>
      </c>
      <c r="G1984" s="32">
        <v>18505207</v>
      </c>
      <c r="H1984" t="s">
        <v>219</v>
      </c>
    </row>
    <row r="1985" spans="1:8" hidden="1" x14ac:dyDescent="0.3">
      <c r="A1985" s="28">
        <v>14178</v>
      </c>
      <c r="B1985" s="49">
        <v>45112.383333333331</v>
      </c>
      <c r="C1985" s="18">
        <v>45112</v>
      </c>
      <c r="D1985" t="s">
        <v>104</v>
      </c>
      <c r="E1985" s="32">
        <v>0</v>
      </c>
      <c r="F1985" s="32">
        <v>776000</v>
      </c>
      <c r="G1985" s="32">
        <v>14905207</v>
      </c>
      <c r="H1985" t="s">
        <v>790</v>
      </c>
    </row>
    <row r="1986" spans="1:8" hidden="1" x14ac:dyDescent="0.3">
      <c r="A1986" s="28">
        <v>14177</v>
      </c>
      <c r="B1986" s="49">
        <v>45112.379861111112</v>
      </c>
      <c r="C1986" s="18">
        <v>45112</v>
      </c>
      <c r="D1986" t="s">
        <v>103</v>
      </c>
      <c r="E1986" s="32">
        <v>700700</v>
      </c>
      <c r="F1986" s="32">
        <v>0</v>
      </c>
      <c r="G1986" s="32">
        <v>15681207</v>
      </c>
      <c r="H1986" t="s">
        <v>753</v>
      </c>
    </row>
    <row r="1987" spans="1:8" hidden="1" x14ac:dyDescent="0.3">
      <c r="A1987" s="28">
        <v>14176</v>
      </c>
      <c r="B1987" s="49">
        <v>45112.37777777778</v>
      </c>
      <c r="C1987" s="18">
        <v>45112</v>
      </c>
      <c r="D1987" t="s">
        <v>104</v>
      </c>
      <c r="E1987" s="32">
        <v>0</v>
      </c>
      <c r="F1987" s="32">
        <v>1299100</v>
      </c>
      <c r="G1987" s="32">
        <v>14980507</v>
      </c>
      <c r="H1987" t="s">
        <v>791</v>
      </c>
    </row>
    <row r="1988" spans="1:8" hidden="1" x14ac:dyDescent="0.3">
      <c r="A1988" s="28">
        <v>14174</v>
      </c>
      <c r="B1988" s="49">
        <v>45111.711805555555</v>
      </c>
      <c r="C1988" s="18">
        <v>45111</v>
      </c>
      <c r="D1988" t="s">
        <v>104</v>
      </c>
      <c r="E1988" s="32">
        <v>0</v>
      </c>
      <c r="F1988" s="32">
        <v>99000</v>
      </c>
      <c r="G1988" s="32">
        <v>16279607</v>
      </c>
      <c r="H1988" t="s">
        <v>792</v>
      </c>
    </row>
    <row r="1989" spans="1:8" hidden="1" x14ac:dyDescent="0.3">
      <c r="A1989" s="28">
        <v>14173</v>
      </c>
      <c r="B1989" s="49">
        <v>45111.65902777778</v>
      </c>
      <c r="C1989" s="18">
        <v>45111</v>
      </c>
      <c r="D1989" t="s">
        <v>103</v>
      </c>
      <c r="E1989" s="32">
        <v>151800</v>
      </c>
      <c r="F1989" s="32">
        <v>0</v>
      </c>
      <c r="G1989" s="32">
        <v>16378607</v>
      </c>
      <c r="H1989" t="s">
        <v>780</v>
      </c>
    </row>
    <row r="1990" spans="1:8" hidden="1" x14ac:dyDescent="0.3">
      <c r="A1990" s="28">
        <v>14172</v>
      </c>
      <c r="B1990" s="49">
        <v>45111.625694444447</v>
      </c>
      <c r="C1990" s="18">
        <v>45111</v>
      </c>
      <c r="D1990" t="s">
        <v>103</v>
      </c>
      <c r="E1990" s="32">
        <v>818400</v>
      </c>
      <c r="F1990" s="32">
        <v>0</v>
      </c>
      <c r="G1990" s="32">
        <v>16226807</v>
      </c>
      <c r="H1990" t="s">
        <v>731</v>
      </c>
    </row>
    <row r="1991" spans="1:8" hidden="1" x14ac:dyDescent="0.3">
      <c r="A1991" s="28">
        <v>14171</v>
      </c>
      <c r="B1991" s="49">
        <v>45111.578472222223</v>
      </c>
      <c r="C1991" s="18">
        <v>45111</v>
      </c>
      <c r="D1991" t="s">
        <v>103</v>
      </c>
      <c r="E1991" s="32">
        <v>151800</v>
      </c>
      <c r="F1991" s="32">
        <v>0</v>
      </c>
      <c r="G1991" s="32">
        <v>15408407</v>
      </c>
      <c r="H1991" t="s">
        <v>793</v>
      </c>
    </row>
    <row r="1992" spans="1:8" hidden="1" x14ac:dyDescent="0.3">
      <c r="A1992" s="28">
        <v>14169</v>
      </c>
      <c r="B1992" s="49">
        <v>45111.460416666669</v>
      </c>
      <c r="C1992" s="18">
        <v>45111</v>
      </c>
      <c r="D1992" t="s">
        <v>103</v>
      </c>
      <c r="E1992" s="32">
        <v>627000</v>
      </c>
      <c r="F1992" s="32">
        <v>0</v>
      </c>
      <c r="G1992" s="32">
        <v>15256607</v>
      </c>
      <c r="H1992" t="s">
        <v>794</v>
      </c>
    </row>
    <row r="1993" spans="1:8" hidden="1" x14ac:dyDescent="0.3">
      <c r="A1993" s="28">
        <v>14168</v>
      </c>
      <c r="B1993" s="49">
        <v>45111.447222222225</v>
      </c>
      <c r="C1993" s="18">
        <v>45111</v>
      </c>
      <c r="D1993" t="s">
        <v>104</v>
      </c>
      <c r="E1993" s="32">
        <v>0</v>
      </c>
      <c r="F1993" s="32">
        <v>440000</v>
      </c>
      <c r="G1993" s="32">
        <v>14629607</v>
      </c>
      <c r="H1993" t="s">
        <v>795</v>
      </c>
    </row>
    <row r="1994" spans="1:8" hidden="1" x14ac:dyDescent="0.3">
      <c r="A1994" s="28">
        <v>14167</v>
      </c>
      <c r="B1994" s="49">
        <v>45111.380555555559</v>
      </c>
      <c r="C1994" s="18">
        <v>45111</v>
      </c>
      <c r="D1994" t="s">
        <v>104</v>
      </c>
      <c r="E1994" s="32">
        <v>0</v>
      </c>
      <c r="F1994" s="32">
        <v>182548</v>
      </c>
      <c r="G1994" s="32">
        <v>15069607</v>
      </c>
      <c r="H1994" t="s">
        <v>796</v>
      </c>
    </row>
    <row r="1995" spans="1:8" hidden="1" x14ac:dyDescent="0.3">
      <c r="A1995" s="28">
        <v>14165</v>
      </c>
      <c r="B1995" s="49">
        <v>45110.619444444441</v>
      </c>
      <c r="C1995" s="18">
        <v>45110</v>
      </c>
      <c r="D1995" t="s">
        <v>103</v>
      </c>
      <c r="E1995" s="32">
        <v>424600</v>
      </c>
      <c r="F1995" s="32">
        <v>0</v>
      </c>
      <c r="G1995" s="32">
        <v>15252155</v>
      </c>
      <c r="H1995" t="s">
        <v>797</v>
      </c>
    </row>
    <row r="1996" spans="1:8" hidden="1" x14ac:dyDescent="0.3">
      <c r="A1996" s="28">
        <v>14164</v>
      </c>
      <c r="B1996" s="49">
        <v>45110.559027777781</v>
      </c>
      <c r="C1996" s="18">
        <v>45110</v>
      </c>
      <c r="D1996" t="s">
        <v>103</v>
      </c>
      <c r="E1996" s="32">
        <v>70400</v>
      </c>
      <c r="F1996" s="32">
        <v>0</v>
      </c>
      <c r="G1996" s="32">
        <v>14827555</v>
      </c>
      <c r="H1996" t="s">
        <v>798</v>
      </c>
    </row>
    <row r="1997" spans="1:8" hidden="1" x14ac:dyDescent="0.3">
      <c r="A1997" s="28">
        <v>14163</v>
      </c>
      <c r="B1997" s="49">
        <v>45110.500694444447</v>
      </c>
      <c r="C1997" s="18">
        <v>45110</v>
      </c>
      <c r="D1997" t="s">
        <v>103</v>
      </c>
      <c r="E1997" s="32">
        <v>1932700</v>
      </c>
      <c r="F1997" s="32">
        <v>0</v>
      </c>
      <c r="G1997" s="32">
        <v>14757155</v>
      </c>
      <c r="H1997" t="s">
        <v>799</v>
      </c>
    </row>
    <row r="1998" spans="1:8" hidden="1" x14ac:dyDescent="0.3">
      <c r="A1998" s="28">
        <v>14161</v>
      </c>
      <c r="B1998" s="49">
        <v>45110.416666666664</v>
      </c>
      <c r="C1998" s="18">
        <v>45110</v>
      </c>
      <c r="D1998" t="s">
        <v>104</v>
      </c>
      <c r="E1998" s="32">
        <v>0</v>
      </c>
      <c r="F1998" s="32">
        <v>39155400</v>
      </c>
      <c r="G1998" s="32">
        <v>12824455</v>
      </c>
      <c r="H1998" t="s">
        <v>800</v>
      </c>
    </row>
    <row r="1999" spans="1:8" hidden="1" x14ac:dyDescent="0.3">
      <c r="A1999" s="28">
        <v>14160</v>
      </c>
      <c r="B1999" s="49">
        <v>45110.413888888892</v>
      </c>
      <c r="C1999" s="18">
        <v>45110</v>
      </c>
      <c r="D1999" t="s">
        <v>104</v>
      </c>
      <c r="E1999" s="32">
        <v>0</v>
      </c>
      <c r="F1999" s="32">
        <v>38265000</v>
      </c>
      <c r="G1999" s="32">
        <v>51979855</v>
      </c>
      <c r="H1999" t="s">
        <v>800</v>
      </c>
    </row>
    <row r="2000" spans="1:8" hidden="1" x14ac:dyDescent="0.3">
      <c r="A2000" s="28">
        <v>14159</v>
      </c>
      <c r="B2000" s="49">
        <v>45110.413194444445</v>
      </c>
      <c r="C2000" s="18">
        <v>45110</v>
      </c>
      <c r="D2000" t="s">
        <v>103</v>
      </c>
      <c r="E2000" s="32">
        <v>70000000</v>
      </c>
      <c r="F2000" s="32">
        <v>0</v>
      </c>
      <c r="G2000" s="32">
        <v>90244855</v>
      </c>
      <c r="H2000" t="s">
        <v>801</v>
      </c>
    </row>
    <row r="2001" spans="1:8" hidden="1" x14ac:dyDescent="0.3">
      <c r="A2001" s="28">
        <v>14156</v>
      </c>
      <c r="B2001" s="49">
        <v>45110.407638888886</v>
      </c>
      <c r="C2001" s="18">
        <v>45110</v>
      </c>
      <c r="D2001" t="s">
        <v>104</v>
      </c>
      <c r="E2001" s="32">
        <v>0</v>
      </c>
      <c r="F2001" s="32">
        <v>278902</v>
      </c>
      <c r="G2001" s="32">
        <v>20244855</v>
      </c>
      <c r="H2001" t="s">
        <v>802</v>
      </c>
    </row>
    <row r="2002" spans="1:8" hidden="1" x14ac:dyDescent="0.3">
      <c r="A2002" s="28">
        <v>14155</v>
      </c>
      <c r="B2002" s="49">
        <v>45110.393055555556</v>
      </c>
      <c r="C2002" s="18">
        <v>45110</v>
      </c>
      <c r="D2002" t="s">
        <v>103</v>
      </c>
      <c r="E2002" s="32">
        <v>2292400</v>
      </c>
      <c r="F2002" s="32">
        <v>0</v>
      </c>
      <c r="G2002" s="32">
        <v>20523757</v>
      </c>
      <c r="H2002" t="s">
        <v>803</v>
      </c>
    </row>
    <row r="2003" spans="1:8" hidden="1" x14ac:dyDescent="0.3">
      <c r="A2003" s="28">
        <v>14154</v>
      </c>
      <c r="B2003" s="49">
        <v>45110.392361111109</v>
      </c>
      <c r="C2003" s="18">
        <v>45110</v>
      </c>
      <c r="D2003" t="s">
        <v>103</v>
      </c>
      <c r="E2003" s="32">
        <v>91300</v>
      </c>
      <c r="F2003" s="32">
        <v>0</v>
      </c>
      <c r="G2003" s="32">
        <v>18231357</v>
      </c>
      <c r="H2003" t="s">
        <v>803</v>
      </c>
    </row>
    <row r="2004" spans="1:8" hidden="1" x14ac:dyDescent="0.3">
      <c r="A2004" s="28">
        <v>14153</v>
      </c>
      <c r="B2004" s="49">
        <v>45107.797222222223</v>
      </c>
      <c r="C2004" s="18">
        <v>45107</v>
      </c>
      <c r="D2004" t="s">
        <v>104</v>
      </c>
      <c r="E2004" s="32">
        <v>0</v>
      </c>
      <c r="F2004" s="32">
        <v>400510</v>
      </c>
      <c r="G2004" s="32">
        <v>18140057</v>
      </c>
      <c r="H2004" t="s">
        <v>804</v>
      </c>
    </row>
    <row r="2005" spans="1:8" hidden="1" x14ac:dyDescent="0.3">
      <c r="A2005" s="28">
        <v>14152</v>
      </c>
      <c r="B2005" s="49">
        <v>45107.759722222225</v>
      </c>
      <c r="C2005" s="18">
        <v>45107</v>
      </c>
      <c r="D2005" t="s">
        <v>103</v>
      </c>
      <c r="E2005" s="32">
        <v>5524200</v>
      </c>
      <c r="F2005" s="32">
        <v>0</v>
      </c>
      <c r="G2005" s="32">
        <v>18540567</v>
      </c>
      <c r="H2005" t="s">
        <v>805</v>
      </c>
    </row>
    <row r="2006" spans="1:8" hidden="1" x14ac:dyDescent="0.3">
      <c r="A2006" s="28">
        <v>14147</v>
      </c>
      <c r="B2006" s="49">
        <v>45107.684027777781</v>
      </c>
      <c r="C2006" s="18">
        <v>45107</v>
      </c>
      <c r="D2006" t="s">
        <v>103</v>
      </c>
      <c r="E2006" s="32">
        <v>603900</v>
      </c>
      <c r="F2006" s="32">
        <v>0</v>
      </c>
      <c r="G2006" s="32">
        <v>13016367</v>
      </c>
      <c r="H2006" t="s">
        <v>806</v>
      </c>
    </row>
    <row r="2007" spans="1:8" hidden="1" x14ac:dyDescent="0.3">
      <c r="A2007" s="28">
        <v>14146</v>
      </c>
      <c r="B2007" s="49">
        <v>45107.63958333333</v>
      </c>
      <c r="C2007" s="18">
        <v>45107</v>
      </c>
      <c r="D2007" t="s">
        <v>103</v>
      </c>
      <c r="E2007" s="32">
        <v>124300</v>
      </c>
      <c r="F2007" s="32">
        <v>0</v>
      </c>
      <c r="G2007" s="32">
        <v>12412467</v>
      </c>
      <c r="H2007" t="s">
        <v>807</v>
      </c>
    </row>
    <row r="2008" spans="1:8" hidden="1" x14ac:dyDescent="0.3">
      <c r="A2008" s="28">
        <v>14145</v>
      </c>
      <c r="B2008" s="49">
        <v>45107.619444444441</v>
      </c>
      <c r="C2008" s="18">
        <v>45107</v>
      </c>
      <c r="D2008" t="s">
        <v>103</v>
      </c>
      <c r="E2008" s="32">
        <v>609792</v>
      </c>
      <c r="F2008" s="32">
        <v>0</v>
      </c>
      <c r="G2008" s="32">
        <v>12288167</v>
      </c>
      <c r="H2008" t="s">
        <v>808</v>
      </c>
    </row>
    <row r="2009" spans="1:8" hidden="1" x14ac:dyDescent="0.3">
      <c r="A2009" s="28">
        <v>14144</v>
      </c>
      <c r="B2009" s="49">
        <v>45107.571527777778</v>
      </c>
      <c r="C2009" s="18">
        <v>45107</v>
      </c>
      <c r="D2009" t="s">
        <v>103</v>
      </c>
      <c r="E2009" s="32">
        <v>119900</v>
      </c>
      <c r="F2009" s="32">
        <v>0</v>
      </c>
      <c r="G2009" s="32">
        <v>11678375</v>
      </c>
      <c r="H2009" t="s">
        <v>809</v>
      </c>
    </row>
    <row r="2010" spans="1:8" hidden="1" x14ac:dyDescent="0.3">
      <c r="A2010" s="28">
        <v>14143</v>
      </c>
      <c r="B2010" s="49">
        <v>45107.544444444444</v>
      </c>
      <c r="C2010" s="18">
        <v>45107</v>
      </c>
      <c r="D2010" t="s">
        <v>104</v>
      </c>
      <c r="E2010" s="32">
        <v>0</v>
      </c>
      <c r="F2010" s="32">
        <v>6600000</v>
      </c>
      <c r="G2010" s="32">
        <v>11558475</v>
      </c>
      <c r="H2010" t="s">
        <v>810</v>
      </c>
    </row>
    <row r="2011" spans="1:8" hidden="1" x14ac:dyDescent="0.3">
      <c r="A2011" s="28">
        <v>14142</v>
      </c>
      <c r="B2011" s="49">
        <v>45107.489583333336</v>
      </c>
      <c r="C2011" s="18">
        <v>45107</v>
      </c>
      <c r="D2011" t="s">
        <v>103</v>
      </c>
      <c r="E2011" s="32">
        <v>775500</v>
      </c>
      <c r="F2011" s="32">
        <v>0</v>
      </c>
      <c r="G2011" s="32">
        <v>18158475</v>
      </c>
      <c r="H2011" t="s">
        <v>811</v>
      </c>
    </row>
    <row r="2012" spans="1:8" hidden="1" x14ac:dyDescent="0.3">
      <c r="A2012" s="28">
        <v>14140</v>
      </c>
      <c r="B2012" s="49">
        <v>45107.461111111108</v>
      </c>
      <c r="C2012" s="18">
        <v>45107</v>
      </c>
      <c r="D2012" t="s">
        <v>103</v>
      </c>
      <c r="E2012" s="32">
        <v>558800</v>
      </c>
      <c r="F2012" s="32">
        <v>0</v>
      </c>
      <c r="G2012" s="32">
        <v>17382975</v>
      </c>
      <c r="H2012" t="s">
        <v>812</v>
      </c>
    </row>
    <row r="2013" spans="1:8" hidden="1" x14ac:dyDescent="0.3">
      <c r="A2013" s="28">
        <v>14139</v>
      </c>
      <c r="B2013" s="49">
        <v>45107.460416666669</v>
      </c>
      <c r="C2013" s="18">
        <v>45107</v>
      </c>
      <c r="D2013" t="s">
        <v>103</v>
      </c>
      <c r="E2013" s="32">
        <v>5339400</v>
      </c>
      <c r="F2013" s="32">
        <v>0</v>
      </c>
      <c r="G2013" s="32">
        <v>16824175</v>
      </c>
      <c r="H2013" t="s">
        <v>812</v>
      </c>
    </row>
    <row r="2014" spans="1:8" hidden="1" x14ac:dyDescent="0.3">
      <c r="A2014" s="28">
        <v>14138</v>
      </c>
      <c r="B2014" s="49">
        <v>45107.460416666669</v>
      </c>
      <c r="C2014" s="18">
        <v>45107</v>
      </c>
      <c r="D2014" t="s">
        <v>103</v>
      </c>
      <c r="E2014" s="32">
        <v>1859000</v>
      </c>
      <c r="F2014" s="32">
        <v>0</v>
      </c>
      <c r="G2014" s="32">
        <v>11484775</v>
      </c>
      <c r="H2014" t="s">
        <v>812</v>
      </c>
    </row>
    <row r="2015" spans="1:8" hidden="1" x14ac:dyDescent="0.3">
      <c r="A2015" s="28">
        <v>14137</v>
      </c>
      <c r="B2015" s="49">
        <v>45107.460416666669</v>
      </c>
      <c r="C2015" s="18">
        <v>45107</v>
      </c>
      <c r="D2015" t="s">
        <v>103</v>
      </c>
      <c r="E2015" s="32">
        <v>308000</v>
      </c>
      <c r="F2015" s="32">
        <v>0</v>
      </c>
      <c r="G2015" s="32">
        <v>9625775</v>
      </c>
      <c r="H2015" t="s">
        <v>812</v>
      </c>
    </row>
    <row r="2016" spans="1:8" hidden="1" x14ac:dyDescent="0.3">
      <c r="A2016" s="28">
        <v>14136</v>
      </c>
      <c r="B2016" s="49">
        <v>45107.44027777778</v>
      </c>
      <c r="C2016" s="18">
        <v>45107</v>
      </c>
      <c r="D2016" t="s">
        <v>103</v>
      </c>
      <c r="E2016" s="32">
        <v>1091200</v>
      </c>
      <c r="F2016" s="32">
        <v>0</v>
      </c>
      <c r="G2016" s="32">
        <v>9317775</v>
      </c>
      <c r="H2016" t="s">
        <v>813</v>
      </c>
    </row>
    <row r="2017" spans="1:8" hidden="1" x14ac:dyDescent="0.3">
      <c r="A2017" s="28">
        <v>14135</v>
      </c>
      <c r="B2017" s="49">
        <v>45107.44027777778</v>
      </c>
      <c r="C2017" s="18">
        <v>45107</v>
      </c>
      <c r="D2017" t="s">
        <v>103</v>
      </c>
      <c r="E2017" s="32">
        <v>480700</v>
      </c>
      <c r="F2017" s="32">
        <v>0</v>
      </c>
      <c r="G2017" s="32">
        <v>8226575</v>
      </c>
      <c r="H2017" t="s">
        <v>813</v>
      </c>
    </row>
    <row r="2018" spans="1:8" hidden="1" x14ac:dyDescent="0.3">
      <c r="A2018" s="28">
        <v>14134</v>
      </c>
      <c r="B2018" s="49">
        <v>45107.436805555553</v>
      </c>
      <c r="C2018" s="18">
        <v>45107</v>
      </c>
      <c r="D2018" t="s">
        <v>103</v>
      </c>
      <c r="E2018" s="32">
        <v>3439700</v>
      </c>
      <c r="F2018" s="32">
        <v>0</v>
      </c>
      <c r="G2018" s="32">
        <v>7745875</v>
      </c>
      <c r="H2018" t="s">
        <v>814</v>
      </c>
    </row>
    <row r="2019" spans="1:8" hidden="1" x14ac:dyDescent="0.3">
      <c r="A2019" s="28">
        <v>14133</v>
      </c>
      <c r="B2019" s="49">
        <v>45107.420138888891</v>
      </c>
      <c r="C2019" s="18">
        <v>45107</v>
      </c>
      <c r="D2019" t="s">
        <v>104</v>
      </c>
      <c r="E2019" s="32">
        <v>0</v>
      </c>
      <c r="F2019" s="32">
        <v>84678210</v>
      </c>
      <c r="G2019" s="32">
        <v>4306175</v>
      </c>
      <c r="H2019" t="s">
        <v>815</v>
      </c>
    </row>
    <row r="2020" spans="1:8" hidden="1" x14ac:dyDescent="0.3">
      <c r="A2020" s="28">
        <v>14132</v>
      </c>
      <c r="B2020" s="49">
        <v>45107.418749999997</v>
      </c>
      <c r="C2020" s="18">
        <v>45107</v>
      </c>
      <c r="D2020" t="s">
        <v>103</v>
      </c>
      <c r="E2020" s="32">
        <v>80000000</v>
      </c>
      <c r="F2020" s="32">
        <v>0</v>
      </c>
      <c r="G2020" s="32">
        <v>88984385</v>
      </c>
      <c r="H2020" t="s">
        <v>801</v>
      </c>
    </row>
    <row r="2021" spans="1:8" hidden="1" x14ac:dyDescent="0.3">
      <c r="A2021" s="28">
        <v>14129</v>
      </c>
      <c r="B2021" s="49">
        <v>45107.406944444447</v>
      </c>
      <c r="C2021" s="18">
        <v>45107</v>
      </c>
      <c r="D2021" t="s">
        <v>103</v>
      </c>
      <c r="E2021" s="32">
        <v>5900000</v>
      </c>
      <c r="F2021" s="32">
        <v>0</v>
      </c>
      <c r="G2021" s="32">
        <v>8984385</v>
      </c>
      <c r="H2021" t="s">
        <v>816</v>
      </c>
    </row>
    <row r="2022" spans="1:8" hidden="1" x14ac:dyDescent="0.3">
      <c r="A2022" s="28">
        <v>14126</v>
      </c>
      <c r="B2022" s="49">
        <v>45107.398611111108</v>
      </c>
      <c r="C2022" s="18">
        <v>45107</v>
      </c>
      <c r="D2022" t="s">
        <v>104</v>
      </c>
      <c r="E2022" s="32">
        <v>0</v>
      </c>
      <c r="F2022" s="32">
        <v>9583290</v>
      </c>
      <c r="G2022" s="32">
        <v>3084385</v>
      </c>
      <c r="H2022" t="s">
        <v>815</v>
      </c>
    </row>
    <row r="2023" spans="1:8" hidden="1" x14ac:dyDescent="0.3">
      <c r="A2023" s="28">
        <v>14125</v>
      </c>
      <c r="B2023" s="49">
        <v>45107.388888888891</v>
      </c>
      <c r="C2023" s="18">
        <v>45107</v>
      </c>
      <c r="D2023" t="s">
        <v>104</v>
      </c>
      <c r="E2023" s="32">
        <v>0</v>
      </c>
      <c r="F2023" s="32">
        <v>227878</v>
      </c>
      <c r="G2023" s="32">
        <v>12667675</v>
      </c>
      <c r="H2023" t="s">
        <v>802</v>
      </c>
    </row>
    <row r="2024" spans="1:8" hidden="1" x14ac:dyDescent="0.3">
      <c r="A2024" s="28">
        <v>14123</v>
      </c>
      <c r="B2024" s="49">
        <v>45107.386805555558</v>
      </c>
      <c r="C2024" s="18">
        <v>45107</v>
      </c>
      <c r="D2024" t="s">
        <v>104</v>
      </c>
      <c r="E2024" s="32">
        <v>0</v>
      </c>
      <c r="F2024" s="32">
        <v>15000000</v>
      </c>
      <c r="G2024" s="32">
        <v>12895553</v>
      </c>
      <c r="H2024" t="s">
        <v>817</v>
      </c>
    </row>
    <row r="2025" spans="1:8" hidden="1" x14ac:dyDescent="0.3">
      <c r="A2025" s="28">
        <v>14121</v>
      </c>
      <c r="B2025" s="49">
        <v>45107.377083333333</v>
      </c>
      <c r="C2025" s="18">
        <v>45107</v>
      </c>
      <c r="D2025" t="s">
        <v>103</v>
      </c>
      <c r="E2025" s="32">
        <v>1291400</v>
      </c>
      <c r="F2025" s="32">
        <v>0</v>
      </c>
      <c r="G2025" s="32">
        <v>27895553</v>
      </c>
      <c r="H2025" t="s">
        <v>818</v>
      </c>
    </row>
    <row r="2026" spans="1:8" hidden="1" x14ac:dyDescent="0.3">
      <c r="A2026" s="28">
        <v>14120</v>
      </c>
      <c r="B2026" s="49">
        <v>45106.69027777778</v>
      </c>
      <c r="C2026" s="18">
        <v>45106</v>
      </c>
      <c r="D2026" t="s">
        <v>104</v>
      </c>
      <c r="E2026" s="32">
        <v>0</v>
      </c>
      <c r="F2026" s="32">
        <v>1442741</v>
      </c>
      <c r="G2026" s="32">
        <v>26604153</v>
      </c>
      <c r="H2026" t="s">
        <v>802</v>
      </c>
    </row>
    <row r="2027" spans="1:8" hidden="1" x14ac:dyDescent="0.3">
      <c r="A2027" s="28">
        <v>14119</v>
      </c>
      <c r="B2027" s="49">
        <v>45106.682638888888</v>
      </c>
      <c r="C2027" s="18">
        <v>45106</v>
      </c>
      <c r="D2027" t="s">
        <v>103</v>
      </c>
      <c r="E2027" s="32">
        <v>1736900</v>
      </c>
      <c r="F2027" s="32">
        <v>0</v>
      </c>
      <c r="G2027" s="32">
        <v>28046894</v>
      </c>
      <c r="H2027" t="s">
        <v>819</v>
      </c>
    </row>
    <row r="2028" spans="1:8" hidden="1" x14ac:dyDescent="0.3">
      <c r="A2028" s="28">
        <v>14118</v>
      </c>
      <c r="B2028" s="49">
        <v>45106.654861111114</v>
      </c>
      <c r="C2028" s="18">
        <v>45106</v>
      </c>
      <c r="D2028" t="s">
        <v>103</v>
      </c>
      <c r="E2028" s="32">
        <v>9000000</v>
      </c>
      <c r="F2028" s="32">
        <v>0</v>
      </c>
      <c r="G2028" s="32">
        <v>26309994</v>
      </c>
      <c r="H2028" t="s">
        <v>820</v>
      </c>
    </row>
    <row r="2029" spans="1:8" hidden="1" x14ac:dyDescent="0.3">
      <c r="A2029" s="28">
        <v>14117</v>
      </c>
      <c r="B2029" s="49">
        <v>45106.609722222223</v>
      </c>
      <c r="C2029" s="18">
        <v>45106</v>
      </c>
      <c r="D2029" t="s">
        <v>103</v>
      </c>
      <c r="E2029" s="32">
        <v>56600</v>
      </c>
      <c r="F2029" s="32">
        <v>0</v>
      </c>
      <c r="G2029" s="32">
        <v>17309994</v>
      </c>
      <c r="H2029" t="s">
        <v>821</v>
      </c>
    </row>
    <row r="2030" spans="1:8" hidden="1" x14ac:dyDescent="0.3">
      <c r="A2030" s="28">
        <v>14116</v>
      </c>
      <c r="B2030" s="49">
        <v>45106.595138888886</v>
      </c>
      <c r="C2030" s="18">
        <v>45106</v>
      </c>
      <c r="D2030" t="s">
        <v>103</v>
      </c>
      <c r="E2030" s="32">
        <v>566000</v>
      </c>
      <c r="F2030" s="32">
        <v>0</v>
      </c>
      <c r="G2030" s="32">
        <v>17253394</v>
      </c>
      <c r="H2030" t="s">
        <v>821</v>
      </c>
    </row>
    <row r="2031" spans="1:8" hidden="1" x14ac:dyDescent="0.3">
      <c r="A2031" s="28">
        <v>14111</v>
      </c>
      <c r="B2031" s="49">
        <v>45106.447222222225</v>
      </c>
      <c r="C2031" s="18">
        <v>45106</v>
      </c>
      <c r="D2031" t="s">
        <v>104</v>
      </c>
      <c r="E2031" s="32">
        <v>0</v>
      </c>
      <c r="F2031" s="32">
        <v>928785</v>
      </c>
      <c r="G2031" s="32">
        <v>16687394</v>
      </c>
      <c r="H2031" t="s">
        <v>822</v>
      </c>
    </row>
    <row r="2032" spans="1:8" hidden="1" x14ac:dyDescent="0.3">
      <c r="A2032" s="28">
        <v>14110</v>
      </c>
      <c r="B2032" s="49">
        <v>45106.434027777781</v>
      </c>
      <c r="C2032" s="18">
        <v>45106</v>
      </c>
      <c r="D2032" t="s">
        <v>103</v>
      </c>
      <c r="E2032" s="32">
        <v>3242800</v>
      </c>
      <c r="F2032" s="32">
        <v>0</v>
      </c>
      <c r="G2032" s="32">
        <v>17616179</v>
      </c>
      <c r="H2032" t="s">
        <v>823</v>
      </c>
    </row>
    <row r="2033" spans="1:8" hidden="1" x14ac:dyDescent="0.3">
      <c r="A2033" s="28">
        <v>14109</v>
      </c>
      <c r="B2033" s="49">
        <v>45106.411805555559</v>
      </c>
      <c r="C2033" s="18">
        <v>45106</v>
      </c>
      <c r="D2033" t="s">
        <v>103</v>
      </c>
      <c r="E2033" s="32">
        <v>1112545</v>
      </c>
      <c r="F2033" s="32">
        <v>0</v>
      </c>
      <c r="G2033" s="32">
        <v>14373379</v>
      </c>
      <c r="H2033" t="s">
        <v>824</v>
      </c>
    </row>
    <row r="2034" spans="1:8" hidden="1" x14ac:dyDescent="0.3">
      <c r="A2034" s="28">
        <v>14108</v>
      </c>
      <c r="B2034" s="49">
        <v>45106.411805555559</v>
      </c>
      <c r="C2034" s="18">
        <v>45106</v>
      </c>
      <c r="D2034" t="s">
        <v>103</v>
      </c>
      <c r="E2034" s="32">
        <v>3093285</v>
      </c>
      <c r="F2034" s="32">
        <v>0</v>
      </c>
      <c r="G2034" s="32">
        <v>13260834</v>
      </c>
      <c r="H2034" t="s">
        <v>824</v>
      </c>
    </row>
    <row r="2035" spans="1:8" hidden="1" x14ac:dyDescent="0.3">
      <c r="A2035" s="28">
        <v>14105</v>
      </c>
      <c r="B2035" s="49">
        <v>45106.381249999999</v>
      </c>
      <c r="C2035" s="18">
        <v>45106</v>
      </c>
      <c r="D2035" t="s">
        <v>104</v>
      </c>
      <c r="E2035" s="32">
        <v>0</v>
      </c>
      <c r="F2035" s="32">
        <v>58840</v>
      </c>
      <c r="G2035" s="32">
        <v>10167549</v>
      </c>
      <c r="H2035" t="s">
        <v>802</v>
      </c>
    </row>
    <row r="2036" spans="1:8" hidden="1" x14ac:dyDescent="0.3">
      <c r="A2036" s="28">
        <v>14103</v>
      </c>
      <c r="B2036" s="49">
        <v>45106.37222222222</v>
      </c>
      <c r="C2036" s="18">
        <v>45106</v>
      </c>
      <c r="D2036" t="s">
        <v>104</v>
      </c>
      <c r="E2036" s="32">
        <v>0</v>
      </c>
      <c r="F2036" s="32">
        <v>40000000</v>
      </c>
      <c r="G2036" s="32">
        <v>10226389</v>
      </c>
      <c r="H2036" t="s">
        <v>817</v>
      </c>
    </row>
    <row r="2037" spans="1:8" hidden="1" x14ac:dyDescent="0.3">
      <c r="A2037" s="28">
        <v>14102</v>
      </c>
      <c r="B2037" s="49">
        <v>45106.370833333334</v>
      </c>
      <c r="C2037" s="18">
        <v>45106</v>
      </c>
      <c r="D2037" t="s">
        <v>104</v>
      </c>
      <c r="E2037" s="32">
        <v>0</v>
      </c>
      <c r="F2037" s="32">
        <v>198000</v>
      </c>
      <c r="G2037" s="32">
        <v>50226389</v>
      </c>
      <c r="H2037" t="s">
        <v>825</v>
      </c>
    </row>
    <row r="2038" spans="1:8" hidden="1" x14ac:dyDescent="0.3">
      <c r="A2038" s="28">
        <v>14101</v>
      </c>
      <c r="B2038" s="49">
        <v>45105.9375</v>
      </c>
      <c r="C2038" s="18">
        <v>45105</v>
      </c>
      <c r="D2038" t="s">
        <v>103</v>
      </c>
      <c r="E2038" s="32">
        <v>113300</v>
      </c>
      <c r="F2038" s="32">
        <v>0</v>
      </c>
      <c r="G2038" s="32">
        <v>50424389</v>
      </c>
      <c r="H2038" t="s">
        <v>821</v>
      </c>
    </row>
    <row r="2039" spans="1:8" hidden="1" x14ac:dyDescent="0.3">
      <c r="A2039" s="28">
        <v>14100</v>
      </c>
      <c r="B2039" s="49">
        <v>45105.664583333331</v>
      </c>
      <c r="C2039" s="18">
        <v>45105</v>
      </c>
      <c r="D2039" t="s">
        <v>103</v>
      </c>
      <c r="E2039" s="32">
        <v>4156900</v>
      </c>
      <c r="F2039" s="32">
        <v>0</v>
      </c>
      <c r="G2039" s="32">
        <v>50311089</v>
      </c>
      <c r="H2039" t="s">
        <v>826</v>
      </c>
    </row>
    <row r="2040" spans="1:8" hidden="1" x14ac:dyDescent="0.3">
      <c r="A2040" s="28">
        <v>14099</v>
      </c>
      <c r="B2040" s="49">
        <v>45105.663888888892</v>
      </c>
      <c r="C2040" s="18">
        <v>45105</v>
      </c>
      <c r="D2040" t="s">
        <v>103</v>
      </c>
      <c r="E2040" s="32">
        <v>91300</v>
      </c>
      <c r="F2040" s="32">
        <v>0</v>
      </c>
      <c r="G2040" s="32">
        <v>46154189</v>
      </c>
      <c r="H2040" t="s">
        <v>827</v>
      </c>
    </row>
    <row r="2041" spans="1:8" hidden="1" x14ac:dyDescent="0.3">
      <c r="A2041" s="28">
        <v>14097</v>
      </c>
      <c r="B2041" s="49">
        <v>45105.616666666669</v>
      </c>
      <c r="C2041" s="18">
        <v>45105</v>
      </c>
      <c r="D2041" t="s">
        <v>104</v>
      </c>
      <c r="E2041" s="32">
        <v>0</v>
      </c>
      <c r="F2041" s="32">
        <v>102370</v>
      </c>
      <c r="G2041" s="32">
        <v>46062889</v>
      </c>
      <c r="H2041" t="s">
        <v>828</v>
      </c>
    </row>
    <row r="2042" spans="1:8" hidden="1" x14ac:dyDescent="0.3">
      <c r="A2042" s="28">
        <v>14096</v>
      </c>
      <c r="B2042" s="49">
        <v>45105.588888888888</v>
      </c>
      <c r="C2042" s="18">
        <v>45105</v>
      </c>
      <c r="D2042" t="s">
        <v>103</v>
      </c>
      <c r="E2042" s="32">
        <v>4222900</v>
      </c>
      <c r="F2042" s="32">
        <v>0</v>
      </c>
      <c r="G2042" s="32">
        <v>46165259</v>
      </c>
      <c r="H2042" t="s">
        <v>829</v>
      </c>
    </row>
    <row r="2043" spans="1:8" hidden="1" x14ac:dyDescent="0.3">
      <c r="A2043" s="28">
        <v>14095</v>
      </c>
      <c r="B2043" s="49">
        <v>45105.490972222222</v>
      </c>
      <c r="C2043" s="18">
        <v>45105</v>
      </c>
      <c r="D2043" t="s">
        <v>103</v>
      </c>
      <c r="E2043" s="32">
        <v>81400</v>
      </c>
      <c r="F2043" s="32">
        <v>0</v>
      </c>
      <c r="G2043" s="32">
        <v>41942359</v>
      </c>
      <c r="H2043" t="s">
        <v>830</v>
      </c>
    </row>
    <row r="2044" spans="1:8" hidden="1" x14ac:dyDescent="0.3">
      <c r="A2044" s="28">
        <v>14094</v>
      </c>
      <c r="B2044" s="49">
        <v>45105.382638888892</v>
      </c>
      <c r="C2044" s="18">
        <v>45105</v>
      </c>
      <c r="D2044" t="s">
        <v>104</v>
      </c>
      <c r="E2044" s="32">
        <v>0</v>
      </c>
      <c r="F2044" s="32">
        <v>69000</v>
      </c>
      <c r="G2044" s="32">
        <v>41860959</v>
      </c>
      <c r="H2044" t="s">
        <v>802</v>
      </c>
    </row>
    <row r="2045" spans="1:8" hidden="1" x14ac:dyDescent="0.3">
      <c r="A2045" s="28">
        <v>14093</v>
      </c>
      <c r="B2045" s="49">
        <v>45105.379166666666</v>
      </c>
      <c r="C2045" s="18">
        <v>45105</v>
      </c>
      <c r="D2045" t="s">
        <v>104</v>
      </c>
      <c r="E2045" s="32">
        <v>0</v>
      </c>
      <c r="F2045" s="32">
        <v>33110</v>
      </c>
      <c r="G2045" s="32">
        <v>41929959</v>
      </c>
      <c r="H2045" t="s">
        <v>831</v>
      </c>
    </row>
    <row r="2046" spans="1:8" hidden="1" x14ac:dyDescent="0.3">
      <c r="A2046" s="28">
        <v>14092</v>
      </c>
      <c r="B2046" s="49">
        <v>45105.367361111108</v>
      </c>
      <c r="C2046" s="18">
        <v>45105</v>
      </c>
      <c r="D2046" t="s">
        <v>103</v>
      </c>
      <c r="E2046" s="32">
        <v>117700</v>
      </c>
      <c r="F2046" s="32">
        <v>0</v>
      </c>
      <c r="G2046" s="32">
        <v>41963069</v>
      </c>
      <c r="H2046" t="s">
        <v>797</v>
      </c>
    </row>
    <row r="2047" spans="1:8" hidden="1" x14ac:dyDescent="0.3">
      <c r="A2047" s="28">
        <v>14091</v>
      </c>
      <c r="B2047" s="49">
        <v>45104.833333333336</v>
      </c>
      <c r="C2047" s="18">
        <v>45104</v>
      </c>
      <c r="D2047" t="s">
        <v>103</v>
      </c>
      <c r="E2047" s="32">
        <v>460900</v>
      </c>
      <c r="F2047" s="32">
        <v>0</v>
      </c>
      <c r="G2047" s="32">
        <v>41845369</v>
      </c>
      <c r="H2047" t="s">
        <v>821</v>
      </c>
    </row>
    <row r="2048" spans="1:8" hidden="1" x14ac:dyDescent="0.3">
      <c r="A2048" s="28">
        <v>14090</v>
      </c>
      <c r="B2048" s="49">
        <v>45104.615972222222</v>
      </c>
      <c r="C2048" s="18">
        <v>45104</v>
      </c>
      <c r="D2048" t="s">
        <v>103</v>
      </c>
      <c r="E2048" s="32">
        <v>468600</v>
      </c>
      <c r="F2048" s="32">
        <v>0</v>
      </c>
      <c r="G2048" s="32">
        <v>41384469</v>
      </c>
      <c r="H2048" t="s">
        <v>832</v>
      </c>
    </row>
    <row r="2049" spans="1:8" hidden="1" x14ac:dyDescent="0.3">
      <c r="A2049" s="28">
        <v>14089</v>
      </c>
      <c r="B2049" s="49">
        <v>45104.60833333333</v>
      </c>
      <c r="C2049" s="18">
        <v>45104</v>
      </c>
      <c r="D2049" t="s">
        <v>103</v>
      </c>
      <c r="E2049" s="32">
        <v>17476800</v>
      </c>
      <c r="F2049" s="32">
        <v>0</v>
      </c>
      <c r="G2049" s="32">
        <v>40915869</v>
      </c>
      <c r="H2049" t="s">
        <v>833</v>
      </c>
    </row>
    <row r="2050" spans="1:8" hidden="1" x14ac:dyDescent="0.3">
      <c r="A2050" s="28">
        <v>14088</v>
      </c>
      <c r="B2050" s="49">
        <v>45104.604166666664</v>
      </c>
      <c r="C2050" s="18">
        <v>45104</v>
      </c>
      <c r="D2050" t="s">
        <v>104</v>
      </c>
      <c r="E2050" s="32">
        <v>0</v>
      </c>
      <c r="F2050" s="32">
        <v>43560</v>
      </c>
      <c r="G2050" s="32">
        <v>23439069</v>
      </c>
      <c r="H2050" t="s">
        <v>831</v>
      </c>
    </row>
    <row r="2051" spans="1:8" hidden="1" x14ac:dyDescent="0.3">
      <c r="A2051" s="28">
        <v>14087</v>
      </c>
      <c r="B2051" s="49">
        <v>45104.589583333334</v>
      </c>
      <c r="C2051" s="18">
        <v>45104</v>
      </c>
      <c r="D2051" t="s">
        <v>103</v>
      </c>
      <c r="E2051" s="32">
        <v>381700</v>
      </c>
      <c r="F2051" s="32">
        <v>0</v>
      </c>
      <c r="G2051" s="32">
        <v>23482629</v>
      </c>
      <c r="H2051" t="s">
        <v>827</v>
      </c>
    </row>
    <row r="2052" spans="1:8" hidden="1" x14ac:dyDescent="0.3">
      <c r="A2052" s="28">
        <v>14086</v>
      </c>
      <c r="B2052" s="49">
        <v>45104.530555555553</v>
      </c>
      <c r="C2052" s="18">
        <v>45104</v>
      </c>
      <c r="D2052" t="s">
        <v>103</v>
      </c>
      <c r="E2052" s="32">
        <v>79200</v>
      </c>
      <c r="F2052" s="32">
        <v>0</v>
      </c>
      <c r="G2052" s="32">
        <v>23100929</v>
      </c>
      <c r="H2052" t="s">
        <v>834</v>
      </c>
    </row>
    <row r="2053" spans="1:8" hidden="1" x14ac:dyDescent="0.3">
      <c r="A2053" s="28">
        <v>14085</v>
      </c>
      <c r="B2053" s="49">
        <v>45104.439583333333</v>
      </c>
      <c r="C2053" s="18">
        <v>45104</v>
      </c>
      <c r="D2053" t="s">
        <v>104</v>
      </c>
      <c r="E2053" s="32">
        <v>0</v>
      </c>
      <c r="F2053" s="32">
        <v>1116053</v>
      </c>
      <c r="G2053" s="32">
        <v>23021729</v>
      </c>
      <c r="H2053" t="s">
        <v>802</v>
      </c>
    </row>
    <row r="2054" spans="1:8" hidden="1" x14ac:dyDescent="0.3">
      <c r="A2054" s="28">
        <v>14082</v>
      </c>
      <c r="B2054" s="49">
        <v>45103.835416666669</v>
      </c>
      <c r="C2054" s="18">
        <v>45103</v>
      </c>
      <c r="D2054" t="s">
        <v>104</v>
      </c>
      <c r="E2054" s="32">
        <v>0</v>
      </c>
      <c r="F2054" s="32">
        <v>440000</v>
      </c>
      <c r="G2054" s="32">
        <v>24137782</v>
      </c>
      <c r="H2054" t="s">
        <v>835</v>
      </c>
    </row>
    <row r="2055" spans="1:8" hidden="1" x14ac:dyDescent="0.3">
      <c r="A2055" s="28">
        <v>14078</v>
      </c>
      <c r="B2055" s="49">
        <v>45103.660416666666</v>
      </c>
      <c r="C2055" s="18">
        <v>45103</v>
      </c>
      <c r="D2055" t="s">
        <v>104</v>
      </c>
      <c r="E2055" s="32">
        <v>0</v>
      </c>
      <c r="F2055" s="32">
        <v>10000000</v>
      </c>
      <c r="G2055" s="32">
        <v>24577782</v>
      </c>
      <c r="H2055" t="s">
        <v>817</v>
      </c>
    </row>
    <row r="2056" spans="1:8" hidden="1" x14ac:dyDescent="0.3">
      <c r="A2056" s="28">
        <v>14077</v>
      </c>
      <c r="B2056" s="49">
        <v>45103.597916666666</v>
      </c>
      <c r="C2056" s="18">
        <v>45103</v>
      </c>
      <c r="D2056" t="s">
        <v>103</v>
      </c>
      <c r="E2056" s="32">
        <v>202400</v>
      </c>
      <c r="F2056" s="32">
        <v>0</v>
      </c>
      <c r="G2056" s="32">
        <v>34577782</v>
      </c>
      <c r="H2056" t="s">
        <v>836</v>
      </c>
    </row>
    <row r="2057" spans="1:8" hidden="1" x14ac:dyDescent="0.3">
      <c r="A2057" s="28">
        <v>14076</v>
      </c>
      <c r="B2057" s="49">
        <v>45103.574999999997</v>
      </c>
      <c r="C2057" s="18">
        <v>45103</v>
      </c>
      <c r="D2057" t="s">
        <v>103</v>
      </c>
      <c r="E2057" s="32">
        <v>766700</v>
      </c>
      <c r="F2057" s="32">
        <v>0</v>
      </c>
      <c r="G2057" s="32">
        <v>34375382</v>
      </c>
      <c r="H2057" t="s">
        <v>837</v>
      </c>
    </row>
    <row r="2058" spans="1:8" hidden="1" x14ac:dyDescent="0.3">
      <c r="A2058" s="28">
        <v>14075</v>
      </c>
      <c r="B2058" s="49">
        <v>45103.573611111111</v>
      </c>
      <c r="C2058" s="18">
        <v>45103</v>
      </c>
      <c r="D2058" t="s">
        <v>103</v>
      </c>
      <c r="E2058" s="32">
        <v>885500</v>
      </c>
      <c r="F2058" s="32">
        <v>0</v>
      </c>
      <c r="G2058" s="32">
        <v>33608682</v>
      </c>
      <c r="H2058" t="s">
        <v>799</v>
      </c>
    </row>
    <row r="2059" spans="1:8" hidden="1" x14ac:dyDescent="0.3">
      <c r="A2059" s="28">
        <v>14073</v>
      </c>
      <c r="B2059" s="49">
        <v>45103.478472222225</v>
      </c>
      <c r="C2059" s="18">
        <v>45103</v>
      </c>
      <c r="D2059" t="s">
        <v>103</v>
      </c>
      <c r="E2059" s="32">
        <v>1509200</v>
      </c>
      <c r="F2059" s="32">
        <v>0</v>
      </c>
      <c r="G2059" s="32">
        <v>32723182</v>
      </c>
      <c r="H2059" t="s">
        <v>821</v>
      </c>
    </row>
    <row r="2060" spans="1:8" hidden="1" x14ac:dyDescent="0.3">
      <c r="A2060" s="28">
        <v>14072</v>
      </c>
      <c r="B2060" s="49">
        <v>45103.467361111114</v>
      </c>
      <c r="C2060" s="18">
        <v>45103</v>
      </c>
      <c r="D2060" t="s">
        <v>104</v>
      </c>
      <c r="E2060" s="32">
        <v>0</v>
      </c>
      <c r="F2060" s="32">
        <v>116898</v>
      </c>
      <c r="G2060" s="32">
        <v>31213982</v>
      </c>
      <c r="H2060" t="s">
        <v>802</v>
      </c>
    </row>
    <row r="2061" spans="1:8" hidden="1" x14ac:dyDescent="0.3">
      <c r="A2061" s="28">
        <v>14071</v>
      </c>
      <c r="B2061" s="49">
        <v>45103.380555555559</v>
      </c>
      <c r="C2061" s="18">
        <v>45103</v>
      </c>
      <c r="D2061" t="s">
        <v>104</v>
      </c>
      <c r="E2061" s="32">
        <v>0</v>
      </c>
      <c r="F2061" s="32">
        <v>130000</v>
      </c>
      <c r="G2061" s="32">
        <v>31330880</v>
      </c>
      <c r="H2061" t="s">
        <v>838</v>
      </c>
    </row>
    <row r="2062" spans="1:8" hidden="1" x14ac:dyDescent="0.3">
      <c r="A2062" s="28">
        <v>14070</v>
      </c>
      <c r="B2062" s="49">
        <v>45103.379166666666</v>
      </c>
      <c r="C2062" s="18">
        <v>45103</v>
      </c>
      <c r="D2062" t="s">
        <v>104</v>
      </c>
      <c r="E2062" s="32">
        <v>0</v>
      </c>
      <c r="F2062" s="32">
        <v>2702237</v>
      </c>
      <c r="G2062" s="32">
        <v>31460880</v>
      </c>
      <c r="H2062" t="s">
        <v>839</v>
      </c>
    </row>
    <row r="2063" spans="1:8" hidden="1" x14ac:dyDescent="0.3">
      <c r="A2063" s="28">
        <v>14067</v>
      </c>
      <c r="B2063" s="49">
        <v>45103.299305555556</v>
      </c>
      <c r="C2063" s="18">
        <v>45103</v>
      </c>
      <c r="D2063" t="s">
        <v>103</v>
      </c>
      <c r="E2063" s="32">
        <v>549030</v>
      </c>
      <c r="F2063" s="32">
        <v>0</v>
      </c>
      <c r="G2063" s="32">
        <v>34163117</v>
      </c>
      <c r="H2063" t="s">
        <v>840</v>
      </c>
    </row>
    <row r="2064" spans="1:8" hidden="1" x14ac:dyDescent="0.3">
      <c r="A2064" s="28">
        <v>14066</v>
      </c>
      <c r="B2064" s="49">
        <v>45100.640277777777</v>
      </c>
      <c r="C2064" s="18">
        <v>45100</v>
      </c>
      <c r="D2064" t="s">
        <v>103</v>
      </c>
      <c r="E2064" s="32">
        <v>543400</v>
      </c>
      <c r="F2064" s="32">
        <v>0</v>
      </c>
      <c r="G2064" s="32">
        <v>33614087</v>
      </c>
      <c r="H2064" t="s">
        <v>841</v>
      </c>
    </row>
    <row r="2065" spans="1:8" hidden="1" x14ac:dyDescent="0.3">
      <c r="A2065" s="28">
        <v>14065</v>
      </c>
      <c r="B2065" s="49">
        <v>45100.635416666664</v>
      </c>
      <c r="C2065" s="18">
        <v>45100</v>
      </c>
      <c r="D2065" t="s">
        <v>103</v>
      </c>
      <c r="E2065" s="32">
        <v>352000</v>
      </c>
      <c r="F2065" s="32">
        <v>0</v>
      </c>
      <c r="G2065" s="32">
        <v>33070687</v>
      </c>
      <c r="H2065" t="s">
        <v>842</v>
      </c>
    </row>
    <row r="2066" spans="1:8" hidden="1" x14ac:dyDescent="0.3">
      <c r="A2066" s="28">
        <v>14064</v>
      </c>
      <c r="B2066" s="49">
        <v>45100.618750000001</v>
      </c>
      <c r="C2066" s="18">
        <v>45100</v>
      </c>
      <c r="D2066" t="s">
        <v>103</v>
      </c>
      <c r="E2066" s="32">
        <v>1496000</v>
      </c>
      <c r="F2066" s="32">
        <v>0</v>
      </c>
      <c r="G2066" s="32">
        <v>32718687</v>
      </c>
      <c r="H2066" t="s">
        <v>843</v>
      </c>
    </row>
    <row r="2067" spans="1:8" hidden="1" x14ac:dyDescent="0.3">
      <c r="A2067" s="28">
        <v>14063</v>
      </c>
      <c r="B2067" s="49">
        <v>45100.606249999997</v>
      </c>
      <c r="C2067" s="18">
        <v>45100</v>
      </c>
      <c r="D2067" t="s">
        <v>103</v>
      </c>
      <c r="E2067" s="32">
        <v>1023000</v>
      </c>
      <c r="F2067" s="32">
        <v>0</v>
      </c>
      <c r="G2067" s="32">
        <v>31222687</v>
      </c>
      <c r="H2067" t="s">
        <v>844</v>
      </c>
    </row>
    <row r="2068" spans="1:8" hidden="1" x14ac:dyDescent="0.3">
      <c r="A2068" s="28">
        <v>14062</v>
      </c>
      <c r="B2068" s="49">
        <v>45100.504166666666</v>
      </c>
      <c r="C2068" s="18">
        <v>45100</v>
      </c>
      <c r="D2068" t="s">
        <v>103</v>
      </c>
      <c r="E2068" s="32">
        <v>1082400</v>
      </c>
      <c r="F2068" s="32">
        <v>0</v>
      </c>
      <c r="G2068" s="32">
        <v>30199687</v>
      </c>
      <c r="H2068" t="s">
        <v>845</v>
      </c>
    </row>
    <row r="2069" spans="1:8" hidden="1" x14ac:dyDescent="0.3">
      <c r="A2069" s="28">
        <v>14061</v>
      </c>
      <c r="B2069" s="49">
        <v>45100.49722222222</v>
      </c>
      <c r="C2069" s="18">
        <v>45100</v>
      </c>
      <c r="D2069" t="s">
        <v>103</v>
      </c>
      <c r="E2069" s="32">
        <v>1504800</v>
      </c>
      <c r="F2069" s="32">
        <v>0</v>
      </c>
      <c r="G2069" s="32">
        <v>29117287</v>
      </c>
      <c r="H2069" t="s">
        <v>846</v>
      </c>
    </row>
    <row r="2070" spans="1:8" hidden="1" x14ac:dyDescent="0.3">
      <c r="A2070" s="28">
        <v>14059</v>
      </c>
      <c r="B2070" s="49">
        <v>45100.387499999997</v>
      </c>
      <c r="C2070" s="18">
        <v>45100</v>
      </c>
      <c r="D2070" t="s">
        <v>104</v>
      </c>
      <c r="E2070" s="32">
        <v>0</v>
      </c>
      <c r="F2070" s="32">
        <v>450000</v>
      </c>
      <c r="G2070" s="32">
        <v>27612487</v>
      </c>
      <c r="H2070" t="s">
        <v>847</v>
      </c>
    </row>
    <row r="2071" spans="1:8" hidden="1" x14ac:dyDescent="0.3">
      <c r="A2071" s="28">
        <v>14056</v>
      </c>
      <c r="B2071" s="49">
        <v>45099.77847222222</v>
      </c>
      <c r="C2071" s="18">
        <v>45099</v>
      </c>
      <c r="D2071" t="s">
        <v>103</v>
      </c>
      <c r="E2071" s="32">
        <v>364100</v>
      </c>
      <c r="F2071" s="32">
        <v>0</v>
      </c>
      <c r="G2071" s="32">
        <v>28062487</v>
      </c>
      <c r="H2071" t="s">
        <v>848</v>
      </c>
    </row>
    <row r="2072" spans="1:8" hidden="1" x14ac:dyDescent="0.3">
      <c r="A2072" s="28">
        <v>14055</v>
      </c>
      <c r="B2072" s="49">
        <v>45099.640972222223</v>
      </c>
      <c r="C2072" s="18">
        <v>45099</v>
      </c>
      <c r="D2072" t="s">
        <v>103</v>
      </c>
      <c r="E2072" s="32">
        <v>8728500</v>
      </c>
      <c r="F2072" s="32">
        <v>0</v>
      </c>
      <c r="G2072" s="32">
        <v>27698387</v>
      </c>
      <c r="H2072" t="s">
        <v>843</v>
      </c>
    </row>
    <row r="2073" spans="1:8" hidden="1" x14ac:dyDescent="0.3">
      <c r="A2073" s="28">
        <v>14054</v>
      </c>
      <c r="B2073" s="49">
        <v>45099.598611111112</v>
      </c>
      <c r="C2073" s="18">
        <v>45099</v>
      </c>
      <c r="D2073" t="s">
        <v>103</v>
      </c>
      <c r="E2073" s="32">
        <v>2750000</v>
      </c>
      <c r="F2073" s="32">
        <v>0</v>
      </c>
      <c r="G2073" s="32">
        <v>18969887</v>
      </c>
      <c r="H2073" t="s">
        <v>849</v>
      </c>
    </row>
    <row r="2074" spans="1:8" hidden="1" x14ac:dyDescent="0.3">
      <c r="A2074" s="28">
        <v>14053</v>
      </c>
      <c r="B2074" s="49">
        <v>45099.480555555558</v>
      </c>
      <c r="C2074" s="18">
        <v>45099</v>
      </c>
      <c r="D2074" t="s">
        <v>104</v>
      </c>
      <c r="E2074" s="32">
        <v>0</v>
      </c>
      <c r="F2074" s="32">
        <v>500000</v>
      </c>
      <c r="G2074" s="32">
        <v>16219887</v>
      </c>
      <c r="H2074" t="s">
        <v>850</v>
      </c>
    </row>
    <row r="2075" spans="1:8" hidden="1" x14ac:dyDescent="0.3">
      <c r="A2075" s="28">
        <v>14051</v>
      </c>
      <c r="B2075" s="49">
        <v>45099.441666666666</v>
      </c>
      <c r="C2075" s="18">
        <v>45099</v>
      </c>
      <c r="D2075" t="s">
        <v>103</v>
      </c>
      <c r="E2075" s="32">
        <v>10000000</v>
      </c>
      <c r="F2075" s="32">
        <v>0</v>
      </c>
      <c r="G2075" s="32">
        <v>16719887</v>
      </c>
      <c r="H2075" t="s">
        <v>851</v>
      </c>
    </row>
    <row r="2076" spans="1:8" hidden="1" x14ac:dyDescent="0.3">
      <c r="A2076" s="28">
        <v>14048</v>
      </c>
      <c r="B2076" s="49">
        <v>45099.42083333333</v>
      </c>
      <c r="C2076" s="18">
        <v>45099</v>
      </c>
      <c r="D2076" t="s">
        <v>104</v>
      </c>
      <c r="E2076" s="32">
        <v>0</v>
      </c>
      <c r="F2076" s="32">
        <v>2200000</v>
      </c>
      <c r="G2076" s="32">
        <v>6719887</v>
      </c>
      <c r="H2076" t="s">
        <v>852</v>
      </c>
    </row>
    <row r="2077" spans="1:8" hidden="1" x14ac:dyDescent="0.3">
      <c r="A2077" s="28">
        <v>14044</v>
      </c>
      <c r="B2077" s="49">
        <v>45098.421527777777</v>
      </c>
      <c r="C2077" s="18">
        <v>45098</v>
      </c>
      <c r="D2077" t="s">
        <v>104</v>
      </c>
      <c r="E2077" s="32">
        <v>0</v>
      </c>
      <c r="F2077" s="32">
        <v>7340420</v>
      </c>
      <c r="G2077" s="32">
        <v>8919887</v>
      </c>
      <c r="H2077" t="s">
        <v>853</v>
      </c>
    </row>
    <row r="2078" spans="1:8" hidden="1" x14ac:dyDescent="0.3">
      <c r="A2078" s="28">
        <v>14043</v>
      </c>
      <c r="B2078" s="49">
        <v>45097.848611111112</v>
      </c>
      <c r="C2078" s="18">
        <v>45097</v>
      </c>
      <c r="D2078" t="s">
        <v>104</v>
      </c>
      <c r="E2078" s="32">
        <v>0</v>
      </c>
      <c r="F2078" s="32">
        <v>598530</v>
      </c>
      <c r="G2078" s="32">
        <v>16260307</v>
      </c>
      <c r="H2078" t="s">
        <v>854</v>
      </c>
    </row>
    <row r="2079" spans="1:8" hidden="1" x14ac:dyDescent="0.3">
      <c r="A2079" s="28">
        <v>14042</v>
      </c>
      <c r="B2079" s="49">
        <v>45097.830555555556</v>
      </c>
      <c r="C2079" s="18">
        <v>45097</v>
      </c>
      <c r="D2079" t="s">
        <v>104</v>
      </c>
      <c r="E2079" s="32">
        <v>0</v>
      </c>
      <c r="F2079" s="32">
        <v>288655</v>
      </c>
      <c r="G2079" s="32">
        <v>16858837</v>
      </c>
      <c r="H2079" t="s">
        <v>855</v>
      </c>
    </row>
    <row r="2080" spans="1:8" hidden="1" x14ac:dyDescent="0.3">
      <c r="A2080" s="28">
        <v>14041</v>
      </c>
      <c r="B2080" s="49">
        <v>45097.820138888892</v>
      </c>
      <c r="C2080" s="18">
        <v>45097</v>
      </c>
      <c r="D2080" t="s">
        <v>104</v>
      </c>
      <c r="E2080" s="32">
        <v>0</v>
      </c>
      <c r="F2080" s="32">
        <v>77429</v>
      </c>
      <c r="G2080" s="32">
        <v>17147492</v>
      </c>
      <c r="H2080" t="s">
        <v>856</v>
      </c>
    </row>
    <row r="2081" spans="1:8" hidden="1" x14ac:dyDescent="0.3">
      <c r="A2081" s="28">
        <v>14040</v>
      </c>
      <c r="B2081" s="49">
        <v>45097.818055555559</v>
      </c>
      <c r="C2081" s="18">
        <v>45097</v>
      </c>
      <c r="D2081" t="s">
        <v>104</v>
      </c>
      <c r="E2081" s="32">
        <v>0</v>
      </c>
      <c r="F2081" s="32">
        <v>1000000</v>
      </c>
      <c r="G2081" s="32">
        <v>17224921</v>
      </c>
      <c r="H2081" t="s">
        <v>857</v>
      </c>
    </row>
    <row r="2082" spans="1:8" hidden="1" x14ac:dyDescent="0.3">
      <c r="A2082" s="28">
        <v>14039</v>
      </c>
      <c r="B2082" s="49">
        <v>45097.761805555558</v>
      </c>
      <c r="C2082" s="18">
        <v>45097</v>
      </c>
      <c r="D2082" t="s">
        <v>103</v>
      </c>
      <c r="E2082" s="32">
        <v>265100</v>
      </c>
      <c r="F2082" s="32">
        <v>0</v>
      </c>
      <c r="G2082" s="32">
        <v>18224921</v>
      </c>
      <c r="H2082" t="s">
        <v>858</v>
      </c>
    </row>
    <row r="2083" spans="1:8" hidden="1" x14ac:dyDescent="0.3">
      <c r="A2083" s="28">
        <v>14038</v>
      </c>
      <c r="B2083" s="49">
        <v>45097.593055555553</v>
      </c>
      <c r="C2083" s="18">
        <v>45097</v>
      </c>
      <c r="D2083" t="s">
        <v>103</v>
      </c>
      <c r="E2083" s="32">
        <v>726000</v>
      </c>
      <c r="F2083" s="32">
        <v>0</v>
      </c>
      <c r="G2083" s="32">
        <v>17959821</v>
      </c>
      <c r="H2083" t="s">
        <v>859</v>
      </c>
    </row>
    <row r="2084" spans="1:8" hidden="1" x14ac:dyDescent="0.3">
      <c r="A2084" s="28">
        <v>14037</v>
      </c>
      <c r="B2084" s="49">
        <v>45097.575694444444</v>
      </c>
      <c r="C2084" s="18">
        <v>45097</v>
      </c>
      <c r="D2084" t="s">
        <v>104</v>
      </c>
      <c r="E2084" s="32">
        <v>0</v>
      </c>
      <c r="F2084" s="32">
        <v>1999050</v>
      </c>
      <c r="G2084" s="32">
        <v>17233821</v>
      </c>
      <c r="H2084" t="s">
        <v>860</v>
      </c>
    </row>
    <row r="2085" spans="1:8" hidden="1" x14ac:dyDescent="0.3">
      <c r="A2085" s="28">
        <v>14036</v>
      </c>
      <c r="B2085" s="49">
        <v>45097.565972222219</v>
      </c>
      <c r="C2085" s="18">
        <v>45097</v>
      </c>
      <c r="D2085" t="s">
        <v>103</v>
      </c>
      <c r="E2085" s="32">
        <v>841500</v>
      </c>
      <c r="F2085" s="32">
        <v>0</v>
      </c>
      <c r="G2085" s="32">
        <v>19232871</v>
      </c>
      <c r="H2085" t="s">
        <v>861</v>
      </c>
    </row>
    <row r="2086" spans="1:8" hidden="1" x14ac:dyDescent="0.3">
      <c r="A2086" s="28">
        <v>14034</v>
      </c>
      <c r="B2086" s="49">
        <v>45097.447222222225</v>
      </c>
      <c r="C2086" s="18">
        <v>45097</v>
      </c>
      <c r="D2086" t="s">
        <v>103</v>
      </c>
      <c r="E2086" s="32">
        <v>269500</v>
      </c>
      <c r="F2086" s="32">
        <v>0</v>
      </c>
      <c r="G2086" s="32">
        <v>18391371</v>
      </c>
      <c r="H2086" t="s">
        <v>862</v>
      </c>
    </row>
    <row r="2087" spans="1:8" hidden="1" x14ac:dyDescent="0.3">
      <c r="A2087" s="28">
        <v>14033</v>
      </c>
      <c r="B2087" s="49">
        <v>45097.420138888891</v>
      </c>
      <c r="C2087" s="18">
        <v>45097</v>
      </c>
      <c r="D2087" t="s">
        <v>104</v>
      </c>
      <c r="E2087" s="32">
        <v>0</v>
      </c>
      <c r="F2087" s="32">
        <v>1090520</v>
      </c>
      <c r="G2087" s="32">
        <v>18121871</v>
      </c>
      <c r="H2087" t="s">
        <v>863</v>
      </c>
    </row>
    <row r="2088" spans="1:8" hidden="1" x14ac:dyDescent="0.3">
      <c r="A2088" s="28">
        <v>14032</v>
      </c>
      <c r="B2088" s="49">
        <v>45096.593055555553</v>
      </c>
      <c r="C2088" s="18">
        <v>45096</v>
      </c>
      <c r="D2088" t="s">
        <v>104</v>
      </c>
      <c r="E2088" s="32">
        <v>0</v>
      </c>
      <c r="F2088" s="32">
        <v>290849</v>
      </c>
      <c r="G2088" s="32">
        <v>19212391</v>
      </c>
      <c r="H2088" t="s">
        <v>864</v>
      </c>
    </row>
    <row r="2089" spans="1:8" hidden="1" x14ac:dyDescent="0.3">
      <c r="A2089" s="28">
        <v>14031</v>
      </c>
      <c r="B2089" s="49">
        <v>45096.48333333333</v>
      </c>
      <c r="C2089" s="18">
        <v>45096</v>
      </c>
      <c r="D2089" t="s">
        <v>103</v>
      </c>
      <c r="E2089" s="32">
        <v>864600</v>
      </c>
      <c r="F2089" s="32">
        <v>0</v>
      </c>
      <c r="G2089" s="32">
        <v>19503240</v>
      </c>
      <c r="H2089" t="s">
        <v>865</v>
      </c>
    </row>
    <row r="2090" spans="1:8" hidden="1" x14ac:dyDescent="0.3">
      <c r="A2090" s="28">
        <v>14030</v>
      </c>
      <c r="B2090" s="49">
        <v>45096.477777777778</v>
      </c>
      <c r="C2090" s="18">
        <v>45096</v>
      </c>
      <c r="D2090" t="s">
        <v>103</v>
      </c>
      <c r="E2090" s="32">
        <v>667700</v>
      </c>
      <c r="F2090" s="32">
        <v>0</v>
      </c>
      <c r="G2090" s="32">
        <v>18638640</v>
      </c>
      <c r="H2090" t="s">
        <v>866</v>
      </c>
    </row>
    <row r="2091" spans="1:8" hidden="1" x14ac:dyDescent="0.3">
      <c r="A2091" s="28">
        <v>14029</v>
      </c>
      <c r="B2091" s="49">
        <v>45096.472222222219</v>
      </c>
      <c r="C2091" s="18">
        <v>45096</v>
      </c>
      <c r="D2091" t="s">
        <v>103</v>
      </c>
      <c r="E2091" s="32">
        <v>563200</v>
      </c>
      <c r="F2091" s="32">
        <v>0</v>
      </c>
      <c r="G2091" s="32">
        <v>17970940</v>
      </c>
      <c r="H2091" t="s">
        <v>867</v>
      </c>
    </row>
    <row r="2092" spans="1:8" hidden="1" x14ac:dyDescent="0.3">
      <c r="A2092" s="28">
        <v>14027</v>
      </c>
      <c r="B2092" s="49">
        <v>45096.465277777781</v>
      </c>
      <c r="C2092" s="18">
        <v>45096</v>
      </c>
      <c r="D2092" t="s">
        <v>103</v>
      </c>
      <c r="E2092" s="32">
        <v>196900</v>
      </c>
      <c r="F2092" s="32">
        <v>0</v>
      </c>
      <c r="G2092" s="32">
        <v>17407740</v>
      </c>
      <c r="H2092" t="s">
        <v>868</v>
      </c>
    </row>
    <row r="2093" spans="1:8" hidden="1" x14ac:dyDescent="0.3">
      <c r="A2093" s="28">
        <v>14026</v>
      </c>
      <c r="B2093" s="49">
        <v>45096.45</v>
      </c>
      <c r="C2093" s="18">
        <v>45096</v>
      </c>
      <c r="D2093" t="s">
        <v>103</v>
      </c>
      <c r="E2093" s="32">
        <v>158400</v>
      </c>
      <c r="F2093" s="32">
        <v>0</v>
      </c>
      <c r="G2093" s="32">
        <v>17210840</v>
      </c>
      <c r="H2093" t="s">
        <v>843</v>
      </c>
    </row>
    <row r="2094" spans="1:8" hidden="1" x14ac:dyDescent="0.3">
      <c r="A2094" s="28">
        <v>14025</v>
      </c>
      <c r="B2094" s="49">
        <v>45096.420138888891</v>
      </c>
      <c r="C2094" s="18">
        <v>45096</v>
      </c>
      <c r="D2094" t="s">
        <v>103</v>
      </c>
      <c r="E2094" s="32">
        <v>302500</v>
      </c>
      <c r="F2094" s="32">
        <v>0</v>
      </c>
      <c r="G2094" s="32">
        <v>17052440</v>
      </c>
      <c r="H2094" t="s">
        <v>869</v>
      </c>
    </row>
    <row r="2095" spans="1:8" hidden="1" x14ac:dyDescent="0.3">
      <c r="A2095" s="28">
        <v>14024</v>
      </c>
      <c r="B2095" s="49">
        <v>45096.383333333331</v>
      </c>
      <c r="C2095" s="18">
        <v>45096</v>
      </c>
      <c r="D2095" t="s">
        <v>104</v>
      </c>
      <c r="E2095" s="32">
        <v>0</v>
      </c>
      <c r="F2095" s="32">
        <v>43260</v>
      </c>
      <c r="G2095" s="32">
        <v>16749940</v>
      </c>
      <c r="H2095" t="s">
        <v>870</v>
      </c>
    </row>
    <row r="2096" spans="1:8" hidden="1" x14ac:dyDescent="0.3">
      <c r="A2096" s="28">
        <v>14020</v>
      </c>
      <c r="B2096" s="49">
        <v>45093.806250000001</v>
      </c>
      <c r="C2096" s="18">
        <v>45093</v>
      </c>
      <c r="D2096" t="s">
        <v>104</v>
      </c>
      <c r="E2096" s="32">
        <v>0</v>
      </c>
      <c r="F2096" s="32">
        <v>204667</v>
      </c>
      <c r="G2096" s="32">
        <v>16793200</v>
      </c>
      <c r="H2096" t="s">
        <v>871</v>
      </c>
    </row>
    <row r="2097" spans="1:8" hidden="1" x14ac:dyDescent="0.3">
      <c r="A2097" s="28">
        <v>14019</v>
      </c>
      <c r="B2097" s="49">
        <v>45093.806250000001</v>
      </c>
      <c r="C2097" s="18">
        <v>45093</v>
      </c>
      <c r="D2097" t="s">
        <v>104</v>
      </c>
      <c r="E2097" s="32">
        <v>0</v>
      </c>
      <c r="F2097" s="32">
        <v>29599</v>
      </c>
      <c r="G2097" s="32">
        <v>16997867</v>
      </c>
      <c r="H2097" t="s">
        <v>871</v>
      </c>
    </row>
    <row r="2098" spans="1:8" hidden="1" x14ac:dyDescent="0.3">
      <c r="A2098" s="28">
        <v>14018</v>
      </c>
      <c r="B2098" s="49">
        <v>45093.792361111111</v>
      </c>
      <c r="C2098" s="18">
        <v>45093</v>
      </c>
      <c r="D2098" t="s">
        <v>104</v>
      </c>
      <c r="E2098" s="32">
        <v>0</v>
      </c>
      <c r="F2098" s="32">
        <v>399690</v>
      </c>
      <c r="G2098" s="32">
        <v>17027466</v>
      </c>
      <c r="H2098" t="s">
        <v>872</v>
      </c>
    </row>
    <row r="2099" spans="1:8" hidden="1" x14ac:dyDescent="0.3">
      <c r="A2099" s="28">
        <v>14017</v>
      </c>
      <c r="B2099" s="49">
        <v>45093.792361111111</v>
      </c>
      <c r="C2099" s="18">
        <v>45093</v>
      </c>
      <c r="D2099" t="s">
        <v>104</v>
      </c>
      <c r="E2099" s="32">
        <v>0</v>
      </c>
      <c r="F2099" s="32">
        <v>332100</v>
      </c>
      <c r="G2099" s="32">
        <v>17427156</v>
      </c>
      <c r="H2099" t="s">
        <v>872</v>
      </c>
    </row>
    <row r="2100" spans="1:8" hidden="1" x14ac:dyDescent="0.3">
      <c r="A2100" s="28">
        <v>14016</v>
      </c>
      <c r="B2100" s="49">
        <v>45093.792361111111</v>
      </c>
      <c r="C2100" s="18">
        <v>45093</v>
      </c>
      <c r="D2100" t="s">
        <v>104</v>
      </c>
      <c r="E2100" s="32">
        <v>0</v>
      </c>
      <c r="F2100" s="32">
        <v>1812130</v>
      </c>
      <c r="G2100" s="32">
        <v>17759256</v>
      </c>
      <c r="H2100" t="s">
        <v>872</v>
      </c>
    </row>
    <row r="2101" spans="1:8" hidden="1" x14ac:dyDescent="0.3">
      <c r="A2101" s="28">
        <v>14015</v>
      </c>
      <c r="B2101" s="49">
        <v>45093.792361111111</v>
      </c>
      <c r="C2101" s="18">
        <v>45093</v>
      </c>
      <c r="D2101" t="s">
        <v>104</v>
      </c>
      <c r="E2101" s="32">
        <v>0</v>
      </c>
      <c r="F2101" s="32">
        <v>640650</v>
      </c>
      <c r="G2101" s="32">
        <v>19571386</v>
      </c>
      <c r="H2101" t="s">
        <v>872</v>
      </c>
    </row>
    <row r="2102" spans="1:8" hidden="1" x14ac:dyDescent="0.3">
      <c r="A2102" s="28">
        <v>14014</v>
      </c>
      <c r="B2102" s="49">
        <v>45093.629861111112</v>
      </c>
      <c r="C2102" s="18">
        <v>45093</v>
      </c>
      <c r="D2102" t="s">
        <v>103</v>
      </c>
      <c r="E2102" s="32">
        <v>1494900</v>
      </c>
      <c r="F2102" s="32">
        <v>0</v>
      </c>
      <c r="G2102" s="32">
        <v>20212036</v>
      </c>
      <c r="H2102" t="s">
        <v>873</v>
      </c>
    </row>
    <row r="2103" spans="1:8" hidden="1" x14ac:dyDescent="0.3">
      <c r="A2103" s="28">
        <v>14013</v>
      </c>
      <c r="B2103" s="49">
        <v>45093.624305555553</v>
      </c>
      <c r="C2103" s="18">
        <v>45093</v>
      </c>
      <c r="D2103" t="s">
        <v>103</v>
      </c>
      <c r="E2103" s="32">
        <v>657800</v>
      </c>
      <c r="F2103" s="32">
        <v>0</v>
      </c>
      <c r="G2103" s="32">
        <v>18717136</v>
      </c>
      <c r="H2103" t="s">
        <v>874</v>
      </c>
    </row>
    <row r="2104" spans="1:8" hidden="1" x14ac:dyDescent="0.3">
      <c r="A2104" s="28">
        <v>14012</v>
      </c>
      <c r="B2104" s="49">
        <v>45093.59652777778</v>
      </c>
      <c r="C2104" s="18">
        <v>45093</v>
      </c>
      <c r="D2104" t="s">
        <v>103</v>
      </c>
      <c r="E2104" s="32">
        <v>2963400</v>
      </c>
      <c r="F2104" s="32">
        <v>0</v>
      </c>
      <c r="G2104" s="32">
        <v>18059336</v>
      </c>
      <c r="H2104" t="s">
        <v>875</v>
      </c>
    </row>
    <row r="2105" spans="1:8" hidden="1" x14ac:dyDescent="0.3">
      <c r="A2105" s="28">
        <v>14011</v>
      </c>
      <c r="B2105" s="49">
        <v>45093.56527777778</v>
      </c>
      <c r="C2105" s="18">
        <v>45093</v>
      </c>
      <c r="D2105" t="s">
        <v>103</v>
      </c>
      <c r="E2105" s="32">
        <v>378400</v>
      </c>
      <c r="F2105" s="32">
        <v>0</v>
      </c>
      <c r="G2105" s="32">
        <v>15095936</v>
      </c>
      <c r="H2105" t="s">
        <v>876</v>
      </c>
    </row>
    <row r="2106" spans="1:8" hidden="1" x14ac:dyDescent="0.3">
      <c r="A2106" s="28">
        <v>14008</v>
      </c>
      <c r="B2106" s="49">
        <v>45093.356249999997</v>
      </c>
      <c r="C2106" s="18">
        <v>45093</v>
      </c>
      <c r="D2106" t="s">
        <v>104</v>
      </c>
      <c r="E2106" s="32">
        <v>0</v>
      </c>
      <c r="F2106" s="32">
        <v>100000000</v>
      </c>
      <c r="G2106" s="32">
        <v>14717536</v>
      </c>
      <c r="H2106" t="s">
        <v>877</v>
      </c>
    </row>
    <row r="2107" spans="1:8" hidden="1" x14ac:dyDescent="0.3">
      <c r="A2107" s="28">
        <v>14002</v>
      </c>
      <c r="B2107" s="49">
        <v>45092.834722222222</v>
      </c>
      <c r="C2107" s="18">
        <v>45092</v>
      </c>
      <c r="D2107" t="s">
        <v>104</v>
      </c>
      <c r="E2107" s="32">
        <v>0</v>
      </c>
      <c r="F2107" s="32">
        <v>410288</v>
      </c>
      <c r="G2107" s="32">
        <v>114717536</v>
      </c>
      <c r="H2107" t="s">
        <v>878</v>
      </c>
    </row>
    <row r="2108" spans="1:8" hidden="1" x14ac:dyDescent="0.3">
      <c r="A2108" s="28">
        <v>14000</v>
      </c>
      <c r="B2108" s="49">
        <v>45092.807638888888</v>
      </c>
      <c r="C2108" s="18">
        <v>45092</v>
      </c>
      <c r="D2108" t="s">
        <v>104</v>
      </c>
      <c r="E2108" s="32">
        <v>0</v>
      </c>
      <c r="F2108" s="32">
        <v>99000</v>
      </c>
      <c r="G2108" s="32">
        <v>115127824</v>
      </c>
      <c r="H2108" t="s">
        <v>879</v>
      </c>
    </row>
    <row r="2109" spans="1:8" hidden="1" x14ac:dyDescent="0.3">
      <c r="A2109" s="28">
        <v>13999</v>
      </c>
      <c r="B2109" s="49">
        <v>45092.800694444442</v>
      </c>
      <c r="C2109" s="18">
        <v>45092</v>
      </c>
      <c r="D2109" t="s">
        <v>104</v>
      </c>
      <c r="E2109" s="32">
        <v>0</v>
      </c>
      <c r="F2109" s="32">
        <v>684420</v>
      </c>
      <c r="G2109" s="32">
        <v>115226824</v>
      </c>
      <c r="H2109" t="s">
        <v>880</v>
      </c>
    </row>
    <row r="2110" spans="1:8" hidden="1" x14ac:dyDescent="0.3">
      <c r="A2110" s="28">
        <v>13997</v>
      </c>
      <c r="B2110" s="49">
        <v>45092.759027777778</v>
      </c>
      <c r="C2110" s="18">
        <v>45092</v>
      </c>
      <c r="D2110" t="s">
        <v>104</v>
      </c>
      <c r="E2110" s="32">
        <v>0</v>
      </c>
      <c r="F2110" s="32">
        <v>16218715</v>
      </c>
      <c r="G2110" s="32">
        <v>115911244</v>
      </c>
      <c r="H2110" t="s">
        <v>881</v>
      </c>
    </row>
    <row r="2111" spans="1:8" hidden="1" x14ac:dyDescent="0.3">
      <c r="A2111" s="28">
        <v>13993</v>
      </c>
      <c r="B2111" s="49">
        <v>45092.700694444444</v>
      </c>
      <c r="C2111" s="18">
        <v>45092</v>
      </c>
      <c r="D2111" t="s">
        <v>104</v>
      </c>
      <c r="E2111" s="32">
        <v>0</v>
      </c>
      <c r="F2111" s="32">
        <v>2527800</v>
      </c>
      <c r="G2111" s="32">
        <v>132129959</v>
      </c>
      <c r="H2111" t="s">
        <v>882</v>
      </c>
    </row>
    <row r="2112" spans="1:8" hidden="1" x14ac:dyDescent="0.3">
      <c r="A2112" s="28">
        <v>13992</v>
      </c>
      <c r="B2112" s="49">
        <v>45092.625694444447</v>
      </c>
      <c r="C2112" s="18">
        <v>45092</v>
      </c>
      <c r="D2112" t="s">
        <v>104</v>
      </c>
      <c r="E2112" s="32">
        <v>0</v>
      </c>
      <c r="F2112" s="32">
        <v>20000</v>
      </c>
      <c r="G2112" s="32">
        <v>134657759</v>
      </c>
      <c r="H2112" t="s">
        <v>883</v>
      </c>
    </row>
    <row r="2113" spans="1:8" hidden="1" x14ac:dyDescent="0.3">
      <c r="A2113" s="28">
        <v>13991</v>
      </c>
      <c r="B2113" s="49">
        <v>45092.620138888888</v>
      </c>
      <c r="C2113" s="18">
        <v>45092</v>
      </c>
      <c r="D2113" t="s">
        <v>103</v>
      </c>
      <c r="E2113" s="32">
        <v>4796000</v>
      </c>
      <c r="F2113" s="32">
        <v>0</v>
      </c>
      <c r="G2113" s="32">
        <v>134677759</v>
      </c>
      <c r="H2113" t="s">
        <v>884</v>
      </c>
    </row>
    <row r="2114" spans="1:8" hidden="1" x14ac:dyDescent="0.3">
      <c r="A2114" s="28">
        <v>13990</v>
      </c>
      <c r="B2114" s="49">
        <v>45092.61041666667</v>
      </c>
      <c r="C2114" s="18">
        <v>45092</v>
      </c>
      <c r="D2114" t="s">
        <v>103</v>
      </c>
      <c r="E2114" s="32">
        <v>2384800</v>
      </c>
      <c r="F2114" s="32">
        <v>0</v>
      </c>
      <c r="G2114" s="32">
        <v>129881759</v>
      </c>
      <c r="H2114" t="s">
        <v>885</v>
      </c>
    </row>
    <row r="2115" spans="1:8" hidden="1" x14ac:dyDescent="0.3">
      <c r="A2115" s="28">
        <v>13987</v>
      </c>
      <c r="B2115" s="49">
        <v>45092.457638888889</v>
      </c>
      <c r="C2115" s="18">
        <v>45092</v>
      </c>
      <c r="D2115" t="s">
        <v>103</v>
      </c>
      <c r="E2115" s="32">
        <v>2926000</v>
      </c>
      <c r="F2115" s="32">
        <v>0</v>
      </c>
      <c r="G2115" s="32">
        <v>127496959</v>
      </c>
      <c r="H2115" t="s">
        <v>886</v>
      </c>
    </row>
    <row r="2116" spans="1:8" hidden="1" x14ac:dyDescent="0.3">
      <c r="A2116" s="28">
        <v>13986</v>
      </c>
      <c r="B2116" s="49">
        <v>45092.457638888889</v>
      </c>
      <c r="C2116" s="18">
        <v>45092</v>
      </c>
      <c r="D2116" t="s">
        <v>103</v>
      </c>
      <c r="E2116" s="32">
        <v>2948000</v>
      </c>
      <c r="F2116" s="32">
        <v>0</v>
      </c>
      <c r="G2116" s="32">
        <v>124570959</v>
      </c>
      <c r="H2116" t="s">
        <v>886</v>
      </c>
    </row>
    <row r="2117" spans="1:8" hidden="1" x14ac:dyDescent="0.3">
      <c r="A2117" s="28">
        <v>13985</v>
      </c>
      <c r="B2117" s="49">
        <v>45092.457638888889</v>
      </c>
      <c r="C2117" s="18">
        <v>45092</v>
      </c>
      <c r="D2117" t="s">
        <v>103</v>
      </c>
      <c r="E2117" s="32">
        <v>2741200</v>
      </c>
      <c r="F2117" s="32">
        <v>0</v>
      </c>
      <c r="G2117" s="32">
        <v>121622959</v>
      </c>
      <c r="H2117" t="s">
        <v>886</v>
      </c>
    </row>
    <row r="2118" spans="1:8" hidden="1" x14ac:dyDescent="0.3">
      <c r="A2118" s="28">
        <v>13984</v>
      </c>
      <c r="B2118" s="49">
        <v>45092.457638888889</v>
      </c>
      <c r="C2118" s="18">
        <v>45092</v>
      </c>
      <c r="D2118" t="s">
        <v>103</v>
      </c>
      <c r="E2118" s="32">
        <v>2937000</v>
      </c>
      <c r="F2118" s="32">
        <v>0</v>
      </c>
      <c r="G2118" s="32">
        <v>118881759</v>
      </c>
      <c r="H2118" t="s">
        <v>886</v>
      </c>
    </row>
    <row r="2119" spans="1:8" hidden="1" x14ac:dyDescent="0.3">
      <c r="A2119" s="28">
        <v>13983</v>
      </c>
      <c r="B2119" s="49">
        <v>45092.457638888889</v>
      </c>
      <c r="C2119" s="18">
        <v>45092</v>
      </c>
      <c r="D2119" t="s">
        <v>103</v>
      </c>
      <c r="E2119" s="32">
        <v>2873200</v>
      </c>
      <c r="F2119" s="32">
        <v>0</v>
      </c>
      <c r="G2119" s="32">
        <v>115944759</v>
      </c>
      <c r="H2119" t="s">
        <v>886</v>
      </c>
    </row>
    <row r="2120" spans="1:8" hidden="1" x14ac:dyDescent="0.3">
      <c r="A2120" s="28">
        <v>13982</v>
      </c>
      <c r="B2120" s="49">
        <v>45092.457638888889</v>
      </c>
      <c r="C2120" s="18">
        <v>45092</v>
      </c>
      <c r="D2120" t="s">
        <v>103</v>
      </c>
      <c r="E2120" s="32">
        <v>5327300</v>
      </c>
      <c r="F2120" s="32">
        <v>0</v>
      </c>
      <c r="G2120" s="32">
        <v>113071559</v>
      </c>
      <c r="H2120" t="s">
        <v>886</v>
      </c>
    </row>
    <row r="2121" spans="1:8" hidden="1" x14ac:dyDescent="0.3">
      <c r="A2121" s="28">
        <v>13981</v>
      </c>
      <c r="B2121" s="49">
        <v>45092.457638888889</v>
      </c>
      <c r="C2121" s="18">
        <v>45092</v>
      </c>
      <c r="D2121" t="s">
        <v>103</v>
      </c>
      <c r="E2121" s="32">
        <v>2217600</v>
      </c>
      <c r="F2121" s="32">
        <v>0</v>
      </c>
      <c r="G2121" s="32">
        <v>107744259</v>
      </c>
      <c r="H2121" t="s">
        <v>886</v>
      </c>
    </row>
    <row r="2122" spans="1:8" hidden="1" x14ac:dyDescent="0.3">
      <c r="A2122" s="28">
        <v>13979</v>
      </c>
      <c r="B2122" s="49">
        <v>45091.584722222222</v>
      </c>
      <c r="C2122" s="18">
        <v>45091</v>
      </c>
      <c r="D2122" t="s">
        <v>104</v>
      </c>
      <c r="E2122" s="32">
        <v>0</v>
      </c>
      <c r="F2122" s="32">
        <v>72573</v>
      </c>
      <c r="G2122" s="32">
        <v>105526659</v>
      </c>
      <c r="H2122" t="s">
        <v>864</v>
      </c>
    </row>
    <row r="2123" spans="1:8" hidden="1" x14ac:dyDescent="0.3">
      <c r="A2123" s="28">
        <v>13978</v>
      </c>
      <c r="B2123" s="49">
        <v>45091.556944444441</v>
      </c>
      <c r="C2123" s="18">
        <v>45091</v>
      </c>
      <c r="D2123" t="s">
        <v>104</v>
      </c>
      <c r="E2123" s="32">
        <v>0</v>
      </c>
      <c r="F2123" s="32">
        <v>242169</v>
      </c>
      <c r="G2123" s="32">
        <v>105599232</v>
      </c>
      <c r="H2123" t="s">
        <v>864</v>
      </c>
    </row>
    <row r="2124" spans="1:8" hidden="1" x14ac:dyDescent="0.3">
      <c r="A2124" s="28">
        <v>13977</v>
      </c>
      <c r="B2124" s="49">
        <v>45091.48333333333</v>
      </c>
      <c r="C2124" s="18">
        <v>45091</v>
      </c>
      <c r="D2124" t="s">
        <v>103</v>
      </c>
      <c r="E2124" s="32">
        <v>1180300</v>
      </c>
      <c r="F2124" s="32">
        <v>0</v>
      </c>
      <c r="G2124" s="32">
        <v>105841401</v>
      </c>
      <c r="H2124" t="s">
        <v>887</v>
      </c>
    </row>
    <row r="2125" spans="1:8" hidden="1" x14ac:dyDescent="0.3">
      <c r="A2125" s="28">
        <v>13976</v>
      </c>
      <c r="B2125" s="49">
        <v>45091.448611111111</v>
      </c>
      <c r="C2125" s="18">
        <v>45091</v>
      </c>
      <c r="D2125" t="s">
        <v>103</v>
      </c>
      <c r="E2125" s="32">
        <v>1097800</v>
      </c>
      <c r="F2125" s="32">
        <v>0</v>
      </c>
      <c r="G2125" s="32">
        <v>104661101</v>
      </c>
      <c r="H2125" t="s">
        <v>846</v>
      </c>
    </row>
    <row r="2126" spans="1:8" hidden="1" x14ac:dyDescent="0.3">
      <c r="A2126" s="28">
        <v>13975</v>
      </c>
      <c r="B2126" s="49">
        <v>45091.356944444444</v>
      </c>
      <c r="C2126" s="18">
        <v>45091</v>
      </c>
      <c r="D2126" t="s">
        <v>103</v>
      </c>
      <c r="E2126" s="32">
        <v>620400</v>
      </c>
      <c r="F2126" s="32">
        <v>0</v>
      </c>
      <c r="G2126" s="32">
        <v>103563301</v>
      </c>
      <c r="H2126" t="s">
        <v>888</v>
      </c>
    </row>
    <row r="2127" spans="1:8" hidden="1" x14ac:dyDescent="0.3">
      <c r="A2127" s="28">
        <v>13973</v>
      </c>
      <c r="B2127" s="49">
        <v>45090.65625</v>
      </c>
      <c r="C2127" s="18">
        <v>45090</v>
      </c>
      <c r="D2127" t="s">
        <v>104</v>
      </c>
      <c r="E2127" s="32">
        <v>0</v>
      </c>
      <c r="F2127" s="32">
        <v>225720</v>
      </c>
      <c r="G2127" s="32">
        <v>102942901</v>
      </c>
      <c r="H2127" t="s">
        <v>889</v>
      </c>
    </row>
    <row r="2128" spans="1:8" hidden="1" x14ac:dyDescent="0.3">
      <c r="A2128" s="28">
        <v>13972</v>
      </c>
      <c r="B2128" s="49">
        <v>45090.647916666669</v>
      </c>
      <c r="C2128" s="18">
        <v>45090</v>
      </c>
      <c r="D2128" t="s">
        <v>104</v>
      </c>
      <c r="E2128" s="32">
        <v>0</v>
      </c>
      <c r="F2128" s="32">
        <v>88000</v>
      </c>
      <c r="G2128" s="32">
        <v>103168621</v>
      </c>
      <c r="H2128" t="s">
        <v>890</v>
      </c>
    </row>
    <row r="2129" spans="1:8" hidden="1" x14ac:dyDescent="0.3">
      <c r="A2129" s="28">
        <v>13966</v>
      </c>
      <c r="B2129" s="49">
        <v>45090.613888888889</v>
      </c>
      <c r="C2129" s="18">
        <v>45090</v>
      </c>
      <c r="D2129" t="s">
        <v>103</v>
      </c>
      <c r="E2129" s="32">
        <v>2930400</v>
      </c>
      <c r="F2129" s="32">
        <v>0</v>
      </c>
      <c r="G2129" s="32">
        <v>103256621</v>
      </c>
      <c r="H2129" t="s">
        <v>891</v>
      </c>
    </row>
    <row r="2130" spans="1:8" hidden="1" x14ac:dyDescent="0.3">
      <c r="A2130" s="28">
        <v>13965</v>
      </c>
      <c r="B2130" s="49">
        <v>45090.500694444447</v>
      </c>
      <c r="C2130" s="18">
        <v>45090</v>
      </c>
      <c r="D2130" t="s">
        <v>103</v>
      </c>
      <c r="E2130" s="32">
        <v>1804507</v>
      </c>
      <c r="F2130" s="32">
        <v>0</v>
      </c>
      <c r="G2130" s="32">
        <v>100326221</v>
      </c>
      <c r="H2130" t="s">
        <v>892</v>
      </c>
    </row>
    <row r="2131" spans="1:8" hidden="1" x14ac:dyDescent="0.3">
      <c r="A2131" s="28">
        <v>13964</v>
      </c>
      <c r="B2131" s="49">
        <v>45090.500694444447</v>
      </c>
      <c r="C2131" s="18">
        <v>45090</v>
      </c>
      <c r="D2131" t="s">
        <v>103</v>
      </c>
      <c r="E2131" s="32">
        <v>1232557</v>
      </c>
      <c r="F2131" s="32">
        <v>0</v>
      </c>
      <c r="G2131" s="32">
        <v>98521714</v>
      </c>
      <c r="H2131" t="s">
        <v>892</v>
      </c>
    </row>
    <row r="2132" spans="1:8" hidden="1" x14ac:dyDescent="0.3">
      <c r="A2132" s="28">
        <v>13963</v>
      </c>
      <c r="B2132" s="49">
        <v>45090.500694444447</v>
      </c>
      <c r="C2132" s="18">
        <v>45090</v>
      </c>
      <c r="D2132" t="s">
        <v>103</v>
      </c>
      <c r="E2132" s="32">
        <v>1787208</v>
      </c>
      <c r="F2132" s="32">
        <v>0</v>
      </c>
      <c r="G2132" s="32">
        <v>97289157</v>
      </c>
      <c r="H2132" t="s">
        <v>892</v>
      </c>
    </row>
    <row r="2133" spans="1:8" hidden="1" x14ac:dyDescent="0.3">
      <c r="A2133" s="28">
        <v>13962</v>
      </c>
      <c r="B2133" s="49">
        <v>45090.482638888891</v>
      </c>
      <c r="C2133" s="18">
        <v>45090</v>
      </c>
      <c r="D2133" t="s">
        <v>104</v>
      </c>
      <c r="E2133" s="32">
        <v>0</v>
      </c>
      <c r="F2133" s="32">
        <v>390000</v>
      </c>
      <c r="G2133" s="32">
        <v>95501949</v>
      </c>
      <c r="H2133" t="s">
        <v>893</v>
      </c>
    </row>
    <row r="2134" spans="1:8" hidden="1" x14ac:dyDescent="0.3">
      <c r="A2134" s="28">
        <v>13960</v>
      </c>
      <c r="B2134" s="49">
        <v>45090.395833333336</v>
      </c>
      <c r="C2134" s="18">
        <v>45090</v>
      </c>
      <c r="D2134" t="s">
        <v>103</v>
      </c>
      <c r="E2134" s="32">
        <v>129800</v>
      </c>
      <c r="F2134" s="32">
        <v>0</v>
      </c>
      <c r="G2134" s="32">
        <v>95891949</v>
      </c>
      <c r="H2134" t="s">
        <v>894</v>
      </c>
    </row>
    <row r="2135" spans="1:8" hidden="1" x14ac:dyDescent="0.3">
      <c r="A2135" s="28">
        <v>13959</v>
      </c>
      <c r="B2135" s="49">
        <v>45090.386111111111</v>
      </c>
      <c r="C2135" s="18">
        <v>45090</v>
      </c>
      <c r="D2135" t="s">
        <v>104</v>
      </c>
      <c r="E2135" s="32">
        <v>0</v>
      </c>
      <c r="F2135" s="32">
        <v>72238</v>
      </c>
      <c r="G2135" s="32">
        <v>95762149</v>
      </c>
      <c r="H2135" t="s">
        <v>864</v>
      </c>
    </row>
    <row r="2136" spans="1:8" hidden="1" x14ac:dyDescent="0.3">
      <c r="A2136" s="28">
        <v>13958</v>
      </c>
      <c r="B2136" s="49">
        <v>45090.384722222225</v>
      </c>
      <c r="C2136" s="18">
        <v>45090</v>
      </c>
      <c r="D2136" t="s">
        <v>104</v>
      </c>
      <c r="E2136" s="32">
        <v>0</v>
      </c>
      <c r="F2136" s="32">
        <v>377266</v>
      </c>
      <c r="G2136" s="32">
        <v>95834387</v>
      </c>
      <c r="H2136" t="s">
        <v>864</v>
      </c>
    </row>
    <row r="2137" spans="1:8" hidden="1" x14ac:dyDescent="0.3">
      <c r="A2137" s="28">
        <v>13957</v>
      </c>
      <c r="B2137" s="49">
        <v>45090.353472222225</v>
      </c>
      <c r="C2137" s="18">
        <v>45090</v>
      </c>
      <c r="D2137" t="s">
        <v>103</v>
      </c>
      <c r="E2137" s="32">
        <v>147900</v>
      </c>
      <c r="F2137" s="32">
        <v>0</v>
      </c>
      <c r="G2137" s="32">
        <v>96211653</v>
      </c>
      <c r="H2137" t="s">
        <v>895</v>
      </c>
    </row>
    <row r="2138" spans="1:8" hidden="1" x14ac:dyDescent="0.3">
      <c r="A2138" s="28">
        <v>13956</v>
      </c>
      <c r="B2138" s="49">
        <v>45090.334722222222</v>
      </c>
      <c r="C2138" s="18">
        <v>45090</v>
      </c>
      <c r="D2138" t="s">
        <v>103</v>
      </c>
      <c r="E2138" s="32">
        <v>1479000</v>
      </c>
      <c r="F2138" s="32">
        <v>0</v>
      </c>
      <c r="G2138" s="32">
        <v>96063753</v>
      </c>
      <c r="H2138" t="s">
        <v>896</v>
      </c>
    </row>
    <row r="2139" spans="1:8" hidden="1" x14ac:dyDescent="0.3">
      <c r="A2139" s="28">
        <v>13955</v>
      </c>
      <c r="B2139" s="49">
        <v>45089.836111111108</v>
      </c>
      <c r="C2139" s="18">
        <v>45089</v>
      </c>
      <c r="D2139" t="s">
        <v>104</v>
      </c>
      <c r="E2139" s="32">
        <v>0</v>
      </c>
      <c r="F2139" s="32">
        <v>35500</v>
      </c>
      <c r="G2139" s="32">
        <v>94584753</v>
      </c>
      <c r="H2139" t="s">
        <v>897</v>
      </c>
    </row>
    <row r="2140" spans="1:8" hidden="1" x14ac:dyDescent="0.3">
      <c r="A2140" s="28">
        <v>13950</v>
      </c>
      <c r="B2140" s="49">
        <v>45089.736111111109</v>
      </c>
      <c r="C2140" s="18">
        <v>45089</v>
      </c>
      <c r="D2140" t="s">
        <v>103</v>
      </c>
      <c r="E2140" s="32">
        <v>610000</v>
      </c>
      <c r="F2140" s="32">
        <v>0</v>
      </c>
      <c r="G2140" s="32">
        <v>94620253</v>
      </c>
      <c r="H2140" t="s">
        <v>898</v>
      </c>
    </row>
    <row r="2141" spans="1:8" hidden="1" x14ac:dyDescent="0.3">
      <c r="A2141" s="28">
        <v>13949</v>
      </c>
      <c r="B2141" s="49">
        <v>45089.736111111109</v>
      </c>
      <c r="C2141" s="18">
        <v>45089</v>
      </c>
      <c r="D2141" t="s">
        <v>103</v>
      </c>
      <c r="E2141" s="32">
        <v>61000</v>
      </c>
      <c r="F2141" s="32">
        <v>0</v>
      </c>
      <c r="G2141" s="32">
        <v>94010253</v>
      </c>
      <c r="H2141" t="s">
        <v>898</v>
      </c>
    </row>
    <row r="2142" spans="1:8" hidden="1" x14ac:dyDescent="0.3">
      <c r="A2142" s="28">
        <v>13948</v>
      </c>
      <c r="B2142" s="49">
        <v>45089.734722222223</v>
      </c>
      <c r="C2142" s="18">
        <v>45089</v>
      </c>
      <c r="D2142" t="s">
        <v>103</v>
      </c>
      <c r="E2142" s="32">
        <v>885000</v>
      </c>
      <c r="F2142" s="32">
        <v>0</v>
      </c>
      <c r="G2142" s="32">
        <v>93949253</v>
      </c>
      <c r="H2142" t="s">
        <v>898</v>
      </c>
    </row>
    <row r="2143" spans="1:8" hidden="1" x14ac:dyDescent="0.3">
      <c r="A2143" s="28">
        <v>13947</v>
      </c>
      <c r="B2143" s="49">
        <v>45089.734722222223</v>
      </c>
      <c r="C2143" s="18">
        <v>45089</v>
      </c>
      <c r="D2143" t="s">
        <v>103</v>
      </c>
      <c r="E2143" s="32">
        <v>88500</v>
      </c>
      <c r="F2143" s="32">
        <v>0</v>
      </c>
      <c r="G2143" s="32">
        <v>93064253</v>
      </c>
      <c r="H2143" t="s">
        <v>898</v>
      </c>
    </row>
    <row r="2144" spans="1:8" hidden="1" x14ac:dyDescent="0.3">
      <c r="A2144" s="28">
        <v>13946</v>
      </c>
      <c r="B2144" s="49">
        <v>45089.614583333336</v>
      </c>
      <c r="C2144" s="18">
        <v>45089</v>
      </c>
      <c r="D2144" t="s">
        <v>103</v>
      </c>
      <c r="E2144" s="32">
        <v>429000</v>
      </c>
      <c r="F2144" s="32">
        <v>0</v>
      </c>
      <c r="G2144" s="32">
        <v>92975753</v>
      </c>
      <c r="H2144" t="s">
        <v>899</v>
      </c>
    </row>
    <row r="2145" spans="1:8" hidden="1" x14ac:dyDescent="0.3">
      <c r="A2145" s="28">
        <v>13945</v>
      </c>
      <c r="B2145" s="49">
        <v>45089.606249999997</v>
      </c>
      <c r="C2145" s="18">
        <v>45089</v>
      </c>
      <c r="D2145" t="s">
        <v>103</v>
      </c>
      <c r="E2145" s="32">
        <v>1591700</v>
      </c>
      <c r="F2145" s="32">
        <v>0</v>
      </c>
      <c r="G2145" s="32">
        <v>92546753</v>
      </c>
      <c r="H2145" t="s">
        <v>900</v>
      </c>
    </row>
    <row r="2146" spans="1:8" hidden="1" x14ac:dyDescent="0.3">
      <c r="A2146" s="28">
        <v>13944</v>
      </c>
      <c r="B2146" s="49">
        <v>45089.580555555556</v>
      </c>
      <c r="C2146" s="18">
        <v>45089</v>
      </c>
      <c r="D2146" t="s">
        <v>103</v>
      </c>
      <c r="E2146" s="32">
        <v>600600</v>
      </c>
      <c r="F2146" s="32">
        <v>0</v>
      </c>
      <c r="G2146" s="32">
        <v>90955053</v>
      </c>
      <c r="H2146" t="s">
        <v>859</v>
      </c>
    </row>
    <row r="2147" spans="1:8" hidden="1" x14ac:dyDescent="0.3">
      <c r="A2147" s="28">
        <v>13943</v>
      </c>
      <c r="B2147" s="49">
        <v>45089.531944444447</v>
      </c>
      <c r="C2147" s="18">
        <v>45089</v>
      </c>
      <c r="D2147" t="s">
        <v>103</v>
      </c>
      <c r="E2147" s="32">
        <v>3221900</v>
      </c>
      <c r="F2147" s="32">
        <v>0</v>
      </c>
      <c r="G2147" s="32">
        <v>90354453</v>
      </c>
      <c r="H2147" t="s">
        <v>858</v>
      </c>
    </row>
    <row r="2148" spans="1:8" hidden="1" x14ac:dyDescent="0.3">
      <c r="A2148" s="28">
        <v>13939</v>
      </c>
      <c r="B2148" s="49">
        <v>45089.44027777778</v>
      </c>
      <c r="C2148" s="18">
        <v>45089</v>
      </c>
      <c r="D2148" t="s">
        <v>103</v>
      </c>
      <c r="E2148" s="32">
        <v>1311200</v>
      </c>
      <c r="F2148" s="32">
        <v>0</v>
      </c>
      <c r="G2148" s="32">
        <v>87132553</v>
      </c>
      <c r="H2148" t="s">
        <v>901</v>
      </c>
    </row>
    <row r="2149" spans="1:8" hidden="1" x14ac:dyDescent="0.3">
      <c r="A2149" s="28">
        <v>13938</v>
      </c>
      <c r="B2149" s="49">
        <v>45089.420138888891</v>
      </c>
      <c r="C2149" s="18">
        <v>45089</v>
      </c>
      <c r="D2149" t="s">
        <v>104</v>
      </c>
      <c r="E2149" s="32">
        <v>0</v>
      </c>
      <c r="F2149" s="32">
        <v>367341</v>
      </c>
      <c r="G2149" s="32">
        <v>85821353</v>
      </c>
      <c r="H2149" t="s">
        <v>902</v>
      </c>
    </row>
    <row r="2150" spans="1:8" hidden="1" x14ac:dyDescent="0.3">
      <c r="A2150" s="28">
        <v>13937</v>
      </c>
      <c r="B2150" s="49">
        <v>45087.066666666666</v>
      </c>
      <c r="C2150" s="18">
        <v>45087</v>
      </c>
      <c r="D2150" t="s">
        <v>103</v>
      </c>
      <c r="E2150" s="32">
        <v>45230</v>
      </c>
      <c r="F2150" s="32">
        <v>0</v>
      </c>
      <c r="G2150" s="32">
        <v>86188694</v>
      </c>
      <c r="H2150" t="s">
        <v>903</v>
      </c>
    </row>
    <row r="2151" spans="1:8" hidden="1" x14ac:dyDescent="0.3">
      <c r="A2151" s="28">
        <v>13934</v>
      </c>
      <c r="B2151" s="49">
        <v>45086.413194444445</v>
      </c>
      <c r="C2151" s="18">
        <v>45086</v>
      </c>
      <c r="D2151" t="s">
        <v>104</v>
      </c>
      <c r="E2151" s="32">
        <v>0</v>
      </c>
      <c r="F2151" s="32">
        <v>250989</v>
      </c>
      <c r="G2151" s="32">
        <v>86143464</v>
      </c>
      <c r="H2151" t="s">
        <v>864</v>
      </c>
    </row>
    <row r="2152" spans="1:8" hidden="1" x14ac:dyDescent="0.3">
      <c r="A2152" s="28">
        <v>13930</v>
      </c>
      <c r="B2152" s="49">
        <v>45085.618750000001</v>
      </c>
      <c r="C2152" s="18">
        <v>45085</v>
      </c>
      <c r="D2152" t="s">
        <v>103</v>
      </c>
      <c r="E2152" s="32">
        <v>2806100</v>
      </c>
      <c r="F2152" s="32">
        <v>0</v>
      </c>
      <c r="G2152" s="32">
        <v>86394453</v>
      </c>
      <c r="H2152" t="s">
        <v>904</v>
      </c>
    </row>
    <row r="2153" spans="1:8" hidden="1" x14ac:dyDescent="0.3">
      <c r="A2153" s="28">
        <v>13928</v>
      </c>
      <c r="B2153" s="49">
        <v>45085.415277777778</v>
      </c>
      <c r="C2153" s="18">
        <v>45085</v>
      </c>
      <c r="D2153" t="s">
        <v>103</v>
      </c>
      <c r="E2153" s="32">
        <v>477000</v>
      </c>
      <c r="F2153" s="32">
        <v>0</v>
      </c>
      <c r="G2153" s="32">
        <v>83588353</v>
      </c>
      <c r="H2153" t="s">
        <v>905</v>
      </c>
    </row>
    <row r="2154" spans="1:8" hidden="1" x14ac:dyDescent="0.3">
      <c r="A2154" s="28">
        <v>13927</v>
      </c>
      <c r="B2154" s="49">
        <v>45085.413194444445</v>
      </c>
      <c r="C2154" s="18">
        <v>45085</v>
      </c>
      <c r="D2154" t="s">
        <v>104</v>
      </c>
      <c r="E2154" s="32">
        <v>0</v>
      </c>
      <c r="F2154" s="32">
        <v>358080</v>
      </c>
      <c r="G2154" s="32">
        <v>83111353</v>
      </c>
      <c r="H2154" t="s">
        <v>906</v>
      </c>
    </row>
    <row r="2155" spans="1:8" hidden="1" x14ac:dyDescent="0.3">
      <c r="A2155" s="28">
        <v>13926</v>
      </c>
      <c r="B2155" s="49">
        <v>45085.412499999999</v>
      </c>
      <c r="C2155" s="18">
        <v>45085</v>
      </c>
      <c r="D2155" t="s">
        <v>103</v>
      </c>
      <c r="E2155" s="32">
        <v>332000</v>
      </c>
      <c r="F2155" s="32">
        <v>0</v>
      </c>
      <c r="G2155" s="32">
        <v>83469433</v>
      </c>
      <c r="H2155" t="s">
        <v>907</v>
      </c>
    </row>
    <row r="2156" spans="1:8" hidden="1" x14ac:dyDescent="0.3">
      <c r="A2156" s="28">
        <v>13925</v>
      </c>
      <c r="B2156" s="49">
        <v>45085.411805555559</v>
      </c>
      <c r="C2156" s="18">
        <v>45085</v>
      </c>
      <c r="D2156" t="s">
        <v>104</v>
      </c>
      <c r="E2156" s="32">
        <v>0</v>
      </c>
      <c r="F2156" s="32">
        <v>3581840</v>
      </c>
      <c r="G2156" s="32">
        <v>83137433</v>
      </c>
      <c r="H2156" t="s">
        <v>908</v>
      </c>
    </row>
    <row r="2157" spans="1:8" hidden="1" x14ac:dyDescent="0.3">
      <c r="A2157" s="28">
        <v>13924</v>
      </c>
      <c r="B2157" s="49">
        <v>45085.410416666666</v>
      </c>
      <c r="C2157" s="18">
        <v>45085</v>
      </c>
      <c r="D2157" t="s">
        <v>103</v>
      </c>
      <c r="E2157" s="32">
        <v>2806100</v>
      </c>
      <c r="F2157" s="32">
        <v>0</v>
      </c>
      <c r="G2157" s="32">
        <v>86719273</v>
      </c>
      <c r="H2157" t="s">
        <v>909</v>
      </c>
    </row>
    <row r="2158" spans="1:8" hidden="1" x14ac:dyDescent="0.3">
      <c r="A2158" s="28">
        <v>13923</v>
      </c>
      <c r="B2158" s="49">
        <v>45085.409722222219</v>
      </c>
      <c r="C2158" s="18">
        <v>45085</v>
      </c>
      <c r="D2158" t="s">
        <v>103</v>
      </c>
      <c r="E2158" s="32">
        <v>132000</v>
      </c>
      <c r="F2158" s="32">
        <v>0</v>
      </c>
      <c r="G2158" s="32">
        <v>83913173</v>
      </c>
      <c r="H2158" t="s">
        <v>907</v>
      </c>
    </row>
    <row r="2159" spans="1:8" hidden="1" x14ac:dyDescent="0.3">
      <c r="A2159" s="28">
        <v>13922</v>
      </c>
      <c r="B2159" s="49">
        <v>45085.404861111114</v>
      </c>
      <c r="C2159" s="18">
        <v>45085</v>
      </c>
      <c r="D2159" t="s">
        <v>103</v>
      </c>
      <c r="E2159" s="32">
        <v>33200</v>
      </c>
      <c r="F2159" s="32">
        <v>0</v>
      </c>
      <c r="G2159" s="32">
        <v>83781173</v>
      </c>
      <c r="H2159" t="s">
        <v>910</v>
      </c>
    </row>
    <row r="2160" spans="1:8" hidden="1" x14ac:dyDescent="0.3">
      <c r="A2160" s="28">
        <v>13921</v>
      </c>
      <c r="B2160" s="49">
        <v>45085.404861111114</v>
      </c>
      <c r="C2160" s="18">
        <v>45085</v>
      </c>
      <c r="D2160" t="s">
        <v>103</v>
      </c>
      <c r="E2160" s="32">
        <v>47700</v>
      </c>
      <c r="F2160" s="32">
        <v>0</v>
      </c>
      <c r="G2160" s="32">
        <v>83747973</v>
      </c>
      <c r="H2160" t="s">
        <v>910</v>
      </c>
    </row>
    <row r="2161" spans="1:8" hidden="1" x14ac:dyDescent="0.3">
      <c r="A2161" s="28">
        <v>13920</v>
      </c>
      <c r="B2161" s="49">
        <v>45085.404861111114</v>
      </c>
      <c r="C2161" s="18">
        <v>45085</v>
      </c>
      <c r="D2161" t="s">
        <v>103</v>
      </c>
      <c r="E2161" s="32">
        <v>13200</v>
      </c>
      <c r="F2161" s="32">
        <v>0</v>
      </c>
      <c r="G2161" s="32">
        <v>83700273</v>
      </c>
      <c r="H2161" t="s">
        <v>910</v>
      </c>
    </row>
    <row r="2162" spans="1:8" hidden="1" x14ac:dyDescent="0.3">
      <c r="A2162" s="28">
        <v>13919</v>
      </c>
      <c r="B2162" s="49">
        <v>45085.384027777778</v>
      </c>
      <c r="C2162" s="18">
        <v>45085</v>
      </c>
      <c r="D2162" t="s">
        <v>104</v>
      </c>
      <c r="E2162" s="32">
        <v>0</v>
      </c>
      <c r="F2162" s="32">
        <v>8000</v>
      </c>
      <c r="G2162" s="32">
        <v>83687073</v>
      </c>
      <c r="H2162" t="s">
        <v>911</v>
      </c>
    </row>
    <row r="2163" spans="1:8" hidden="1" x14ac:dyDescent="0.3">
      <c r="A2163" s="28">
        <v>13918</v>
      </c>
      <c r="B2163" s="49">
        <v>45085.377083333333</v>
      </c>
      <c r="C2163" s="18">
        <v>45085</v>
      </c>
      <c r="D2163" t="s">
        <v>103</v>
      </c>
      <c r="E2163" s="32">
        <v>1336500</v>
      </c>
      <c r="F2163" s="32">
        <v>0</v>
      </c>
      <c r="G2163" s="32">
        <v>83695073</v>
      </c>
      <c r="H2163" t="s">
        <v>912</v>
      </c>
    </row>
    <row r="2164" spans="1:8" hidden="1" x14ac:dyDescent="0.3">
      <c r="A2164" s="28">
        <v>13917</v>
      </c>
      <c r="B2164" s="49">
        <v>45084.792361111111</v>
      </c>
      <c r="C2164" s="18">
        <v>45084</v>
      </c>
      <c r="D2164" t="s">
        <v>103</v>
      </c>
      <c r="E2164" s="32">
        <v>117600</v>
      </c>
      <c r="F2164" s="32">
        <v>0</v>
      </c>
      <c r="G2164" s="32">
        <v>82358573</v>
      </c>
      <c r="H2164" t="s">
        <v>913</v>
      </c>
    </row>
    <row r="2165" spans="1:8" hidden="1" x14ac:dyDescent="0.3">
      <c r="A2165" s="28">
        <v>13916</v>
      </c>
      <c r="B2165" s="49">
        <v>45084.791666666664</v>
      </c>
      <c r="C2165" s="18">
        <v>45084</v>
      </c>
      <c r="D2165" t="s">
        <v>103</v>
      </c>
      <c r="E2165" s="32">
        <v>1176000</v>
      </c>
      <c r="F2165" s="32">
        <v>0</v>
      </c>
      <c r="G2165" s="32">
        <v>82240973</v>
      </c>
      <c r="H2165" t="s">
        <v>913</v>
      </c>
    </row>
    <row r="2166" spans="1:8" hidden="1" x14ac:dyDescent="0.3">
      <c r="A2166" s="28">
        <v>13914</v>
      </c>
      <c r="B2166" s="49">
        <v>45084.491666666669</v>
      </c>
      <c r="C2166" s="18">
        <v>45084</v>
      </c>
      <c r="D2166" t="s">
        <v>103</v>
      </c>
      <c r="E2166" s="32">
        <v>557700</v>
      </c>
      <c r="F2166" s="32">
        <v>0</v>
      </c>
      <c r="G2166" s="32">
        <v>81064973</v>
      </c>
      <c r="H2166" t="s">
        <v>858</v>
      </c>
    </row>
    <row r="2167" spans="1:8" hidden="1" x14ac:dyDescent="0.3">
      <c r="A2167" s="28">
        <v>13912</v>
      </c>
      <c r="B2167" s="49">
        <v>45084.44027777778</v>
      </c>
      <c r="C2167" s="18">
        <v>45084</v>
      </c>
      <c r="D2167" t="s">
        <v>103</v>
      </c>
      <c r="E2167" s="32">
        <v>831600</v>
      </c>
      <c r="F2167" s="32">
        <v>0</v>
      </c>
      <c r="G2167" s="32">
        <v>80507273</v>
      </c>
      <c r="H2167" t="s">
        <v>914</v>
      </c>
    </row>
    <row r="2168" spans="1:8" hidden="1" x14ac:dyDescent="0.3">
      <c r="A2168" s="28">
        <v>13911</v>
      </c>
      <c r="B2168" s="49">
        <v>45084.433333333334</v>
      </c>
      <c r="C2168" s="18">
        <v>45084</v>
      </c>
      <c r="D2168" t="s">
        <v>103</v>
      </c>
      <c r="E2168" s="32">
        <v>3715800</v>
      </c>
      <c r="F2168" s="32">
        <v>0</v>
      </c>
      <c r="G2168" s="32">
        <v>79675673</v>
      </c>
      <c r="H2168" t="s">
        <v>915</v>
      </c>
    </row>
    <row r="2169" spans="1:8" hidden="1" x14ac:dyDescent="0.3">
      <c r="A2169" s="28">
        <v>13910</v>
      </c>
      <c r="B2169" s="49">
        <v>45084.385416666664</v>
      </c>
      <c r="C2169" s="18">
        <v>45084</v>
      </c>
      <c r="D2169" t="s">
        <v>104</v>
      </c>
      <c r="E2169" s="32">
        <v>0</v>
      </c>
      <c r="F2169" s="32">
        <v>39796200</v>
      </c>
      <c r="G2169" s="32">
        <v>75959873</v>
      </c>
      <c r="H2169" t="s">
        <v>916</v>
      </c>
    </row>
    <row r="2170" spans="1:8" hidden="1" x14ac:dyDescent="0.3">
      <c r="A2170" s="28">
        <v>13909</v>
      </c>
      <c r="B2170" s="49">
        <v>45084.384722222225</v>
      </c>
      <c r="C2170" s="18">
        <v>45084</v>
      </c>
      <c r="D2170" t="s">
        <v>104</v>
      </c>
      <c r="E2170" s="32">
        <v>0</v>
      </c>
      <c r="F2170" s="32">
        <v>39493800</v>
      </c>
      <c r="G2170" s="32">
        <v>115756073</v>
      </c>
      <c r="H2170" t="s">
        <v>916</v>
      </c>
    </row>
    <row r="2171" spans="1:8" hidden="1" x14ac:dyDescent="0.3">
      <c r="A2171" s="28">
        <v>13908</v>
      </c>
      <c r="B2171" s="49">
        <v>45084.338194444441</v>
      </c>
      <c r="C2171" s="18">
        <v>45084</v>
      </c>
      <c r="D2171" t="s">
        <v>103</v>
      </c>
      <c r="E2171" s="32">
        <v>100000000</v>
      </c>
      <c r="F2171" s="32">
        <v>0</v>
      </c>
      <c r="G2171" s="32">
        <v>155249873</v>
      </c>
      <c r="H2171" t="s">
        <v>851</v>
      </c>
    </row>
    <row r="2172" spans="1:8" hidden="1" x14ac:dyDescent="0.3">
      <c r="A2172" s="28">
        <v>13906</v>
      </c>
      <c r="B2172" s="49">
        <v>45082.831250000003</v>
      </c>
      <c r="C2172" s="18">
        <v>45082</v>
      </c>
      <c r="D2172" t="s">
        <v>104</v>
      </c>
      <c r="E2172" s="32">
        <v>0</v>
      </c>
      <c r="F2172" s="32">
        <v>626472</v>
      </c>
      <c r="G2172" s="32">
        <v>55249873</v>
      </c>
      <c r="H2172" t="s">
        <v>917</v>
      </c>
    </row>
    <row r="2173" spans="1:8" hidden="1" x14ac:dyDescent="0.3">
      <c r="A2173" s="28">
        <v>13905</v>
      </c>
      <c r="B2173" s="49">
        <v>45082.805555555555</v>
      </c>
      <c r="C2173" s="18">
        <v>45082</v>
      </c>
      <c r="D2173" t="s">
        <v>104</v>
      </c>
      <c r="E2173" s="32">
        <v>0</v>
      </c>
      <c r="F2173" s="32">
        <v>711920</v>
      </c>
      <c r="G2173" s="32">
        <v>55876345</v>
      </c>
      <c r="H2173" t="s">
        <v>880</v>
      </c>
    </row>
    <row r="2174" spans="1:8" hidden="1" x14ac:dyDescent="0.3">
      <c r="A2174" s="28">
        <v>13903</v>
      </c>
      <c r="B2174" s="49">
        <v>45082.606944444444</v>
      </c>
      <c r="C2174" s="18">
        <v>45082</v>
      </c>
      <c r="D2174" t="s">
        <v>103</v>
      </c>
      <c r="E2174" s="32">
        <v>2764300</v>
      </c>
      <c r="F2174" s="32">
        <v>0</v>
      </c>
      <c r="G2174" s="32">
        <v>56588265</v>
      </c>
      <c r="H2174" t="s">
        <v>918</v>
      </c>
    </row>
    <row r="2175" spans="1:8" hidden="1" x14ac:dyDescent="0.3">
      <c r="A2175" s="28">
        <v>13900</v>
      </c>
      <c r="B2175" s="49">
        <v>45082.401388888888</v>
      </c>
      <c r="C2175" s="18">
        <v>45082</v>
      </c>
      <c r="D2175" t="s">
        <v>104</v>
      </c>
      <c r="E2175" s="32">
        <v>0</v>
      </c>
      <c r="F2175" s="32">
        <v>883100</v>
      </c>
      <c r="G2175" s="32">
        <v>53823965</v>
      </c>
      <c r="H2175" t="s">
        <v>919</v>
      </c>
    </row>
    <row r="2176" spans="1:8" hidden="1" x14ac:dyDescent="0.3">
      <c r="A2176" s="28">
        <v>13899</v>
      </c>
      <c r="B2176" s="49">
        <v>45082.400694444441</v>
      </c>
      <c r="C2176" s="18">
        <v>45082</v>
      </c>
      <c r="D2176" t="s">
        <v>103</v>
      </c>
      <c r="E2176" s="32">
        <v>1365100</v>
      </c>
      <c r="F2176" s="32">
        <v>0</v>
      </c>
      <c r="G2176" s="32">
        <v>54707065</v>
      </c>
      <c r="H2176" t="s">
        <v>920</v>
      </c>
    </row>
    <row r="2177" spans="1:8" hidden="1" x14ac:dyDescent="0.3">
      <c r="A2177" s="28">
        <v>13897</v>
      </c>
      <c r="B2177" s="49">
        <v>45079.665972222225</v>
      </c>
      <c r="C2177" s="18">
        <v>45079</v>
      </c>
      <c r="D2177" t="s">
        <v>103</v>
      </c>
      <c r="E2177" s="32">
        <v>4845500</v>
      </c>
      <c r="F2177" s="32">
        <v>0</v>
      </c>
      <c r="G2177" s="32">
        <v>53341965</v>
      </c>
      <c r="H2177" t="s">
        <v>921</v>
      </c>
    </row>
    <row r="2178" spans="1:8" hidden="1" x14ac:dyDescent="0.3">
      <c r="A2178" s="28">
        <v>13896</v>
      </c>
      <c r="B2178" s="49">
        <v>45079.665972222225</v>
      </c>
      <c r="C2178" s="18">
        <v>45079</v>
      </c>
      <c r="D2178" t="s">
        <v>103</v>
      </c>
      <c r="E2178" s="32">
        <v>3089900</v>
      </c>
      <c r="F2178" s="32">
        <v>0</v>
      </c>
      <c r="G2178" s="32">
        <v>48496465</v>
      </c>
      <c r="H2178" t="s">
        <v>921</v>
      </c>
    </row>
    <row r="2179" spans="1:8" hidden="1" x14ac:dyDescent="0.3">
      <c r="A2179" s="28">
        <v>13892</v>
      </c>
      <c r="B2179" s="49">
        <v>45078.71597222222</v>
      </c>
      <c r="C2179" s="18">
        <v>45078</v>
      </c>
      <c r="D2179" t="s">
        <v>104</v>
      </c>
      <c r="E2179" s="32">
        <v>0</v>
      </c>
      <c r="F2179" s="32">
        <v>110000</v>
      </c>
      <c r="G2179" s="32">
        <v>45406565</v>
      </c>
      <c r="H2179" t="s">
        <v>922</v>
      </c>
    </row>
    <row r="2180" spans="1:8" hidden="1" x14ac:dyDescent="0.3">
      <c r="A2180" s="28">
        <v>13891</v>
      </c>
      <c r="B2180" s="49">
        <v>45078.694444444445</v>
      </c>
      <c r="C2180" s="18">
        <v>45078</v>
      </c>
      <c r="D2180" t="s">
        <v>104</v>
      </c>
      <c r="E2180" s="32">
        <v>0</v>
      </c>
      <c r="F2180" s="32">
        <v>3542000</v>
      </c>
      <c r="G2180" s="32">
        <v>45516565</v>
      </c>
      <c r="H2180" t="s">
        <v>923</v>
      </c>
    </row>
    <row r="2181" spans="1:8" hidden="1" x14ac:dyDescent="0.3">
      <c r="A2181" s="28">
        <v>13890</v>
      </c>
      <c r="B2181" s="49">
        <v>45078.586111111108</v>
      </c>
      <c r="C2181" s="18">
        <v>45078</v>
      </c>
      <c r="D2181" t="s">
        <v>103</v>
      </c>
      <c r="E2181" s="32">
        <v>5570400</v>
      </c>
      <c r="F2181" s="32">
        <v>0</v>
      </c>
      <c r="G2181" s="32">
        <v>49058565</v>
      </c>
      <c r="H2181" t="s">
        <v>924</v>
      </c>
    </row>
    <row r="2182" spans="1:8" hidden="1" x14ac:dyDescent="0.3">
      <c r="A2182" s="28">
        <v>13889</v>
      </c>
      <c r="B2182" s="49">
        <v>45078.581944444442</v>
      </c>
      <c r="C2182" s="18">
        <v>45078</v>
      </c>
      <c r="D2182" t="s">
        <v>103</v>
      </c>
      <c r="E2182" s="32">
        <v>8302800</v>
      </c>
      <c r="F2182" s="32">
        <v>0</v>
      </c>
      <c r="G2182" s="32">
        <v>43488165</v>
      </c>
      <c r="H2182" t="s">
        <v>925</v>
      </c>
    </row>
    <row r="2183" spans="1:8" hidden="1" x14ac:dyDescent="0.3">
      <c r="A2183" s="28">
        <v>13888</v>
      </c>
      <c r="B2183" s="49">
        <v>45078.554861111108</v>
      </c>
      <c r="C2183" s="18">
        <v>45078</v>
      </c>
      <c r="D2183" t="s">
        <v>103</v>
      </c>
      <c r="E2183" s="32">
        <v>101200</v>
      </c>
      <c r="F2183" s="32">
        <v>0</v>
      </c>
      <c r="G2183" s="32">
        <v>35185365</v>
      </c>
      <c r="H2183" t="s">
        <v>926</v>
      </c>
    </row>
    <row r="2184" spans="1:8" hidden="1" x14ac:dyDescent="0.3">
      <c r="A2184" s="28">
        <v>13887</v>
      </c>
      <c r="B2184" s="49">
        <v>45078.412499999999</v>
      </c>
      <c r="C2184" s="18">
        <v>45078</v>
      </c>
      <c r="D2184" t="s">
        <v>104</v>
      </c>
      <c r="E2184" s="32">
        <v>0</v>
      </c>
      <c r="F2184" s="32">
        <v>595653</v>
      </c>
      <c r="G2184" s="32">
        <v>35084165</v>
      </c>
      <c r="H2184" t="s">
        <v>864</v>
      </c>
    </row>
    <row r="2185" spans="1:8" hidden="1" x14ac:dyDescent="0.3">
      <c r="A2185" s="28">
        <v>13886</v>
      </c>
      <c r="B2185" s="49">
        <v>45077.963194444441</v>
      </c>
      <c r="C2185" s="18">
        <v>45077</v>
      </c>
      <c r="D2185" t="s">
        <v>103</v>
      </c>
      <c r="E2185" s="32">
        <v>1590600</v>
      </c>
      <c r="F2185" s="32">
        <v>0</v>
      </c>
      <c r="G2185" s="32">
        <v>35679818</v>
      </c>
      <c r="H2185" t="s">
        <v>927</v>
      </c>
    </row>
    <row r="2186" spans="1:8" hidden="1" x14ac:dyDescent="0.3">
      <c r="A2186" s="28">
        <v>13885</v>
      </c>
      <c r="B2186" s="49">
        <v>45077.797222222223</v>
      </c>
      <c r="C2186" s="18">
        <v>45077</v>
      </c>
      <c r="D2186" t="s">
        <v>104</v>
      </c>
      <c r="E2186" s="32">
        <v>0</v>
      </c>
      <c r="F2186" s="32">
        <v>400510</v>
      </c>
      <c r="G2186" s="32">
        <v>34089218</v>
      </c>
      <c r="H2186" t="s">
        <v>880</v>
      </c>
    </row>
    <row r="2187" spans="1:8" hidden="1" x14ac:dyDescent="0.3">
      <c r="A2187" s="28">
        <v>13879</v>
      </c>
      <c r="B2187" s="49">
        <v>45077.736805555556</v>
      </c>
      <c r="C2187" s="18">
        <v>45077</v>
      </c>
      <c r="D2187" t="s">
        <v>103</v>
      </c>
      <c r="E2187" s="32">
        <v>678700</v>
      </c>
      <c r="F2187" s="32">
        <v>0</v>
      </c>
      <c r="G2187" s="32">
        <v>34489728</v>
      </c>
      <c r="H2187" t="s">
        <v>928</v>
      </c>
    </row>
    <row r="2188" spans="1:8" hidden="1" x14ac:dyDescent="0.3">
      <c r="A2188" s="28">
        <v>13878</v>
      </c>
      <c r="B2188" s="49">
        <v>45077.736805555556</v>
      </c>
      <c r="C2188" s="18">
        <v>45077</v>
      </c>
      <c r="D2188" t="s">
        <v>103</v>
      </c>
      <c r="E2188" s="32">
        <v>1163800</v>
      </c>
      <c r="F2188" s="32">
        <v>0</v>
      </c>
      <c r="G2188" s="32">
        <v>33811028</v>
      </c>
      <c r="H2188" t="s">
        <v>928</v>
      </c>
    </row>
    <row r="2189" spans="1:8" hidden="1" x14ac:dyDescent="0.3">
      <c r="A2189" s="28">
        <v>13877</v>
      </c>
      <c r="B2189" s="49">
        <v>45077.709722222222</v>
      </c>
      <c r="C2189" s="18">
        <v>45077</v>
      </c>
      <c r="D2189" t="s">
        <v>103</v>
      </c>
      <c r="E2189" s="32">
        <v>1732500</v>
      </c>
      <c r="F2189" s="32">
        <v>0</v>
      </c>
      <c r="G2189" s="32">
        <v>32647228</v>
      </c>
      <c r="H2189" t="s">
        <v>929</v>
      </c>
    </row>
    <row r="2190" spans="1:8" hidden="1" x14ac:dyDescent="0.3">
      <c r="A2190" s="28">
        <v>13876</v>
      </c>
      <c r="B2190" s="49">
        <v>45077.688194444447</v>
      </c>
      <c r="C2190" s="18">
        <v>45077</v>
      </c>
      <c r="D2190" t="s">
        <v>103</v>
      </c>
      <c r="E2190" s="32">
        <v>3710300</v>
      </c>
      <c r="F2190" s="32">
        <v>0</v>
      </c>
      <c r="G2190" s="32">
        <v>30914728</v>
      </c>
      <c r="H2190" t="s">
        <v>930</v>
      </c>
    </row>
    <row r="2191" spans="1:8" hidden="1" x14ac:dyDescent="0.3">
      <c r="A2191" s="28">
        <v>13875</v>
      </c>
      <c r="B2191" s="49">
        <v>45077.593055555553</v>
      </c>
      <c r="C2191" s="18">
        <v>45077</v>
      </c>
      <c r="D2191" t="s">
        <v>103</v>
      </c>
      <c r="E2191" s="32">
        <v>1666118</v>
      </c>
      <c r="F2191" s="32">
        <v>0</v>
      </c>
      <c r="G2191" s="32">
        <v>27204428</v>
      </c>
      <c r="H2191" t="s">
        <v>931</v>
      </c>
    </row>
    <row r="2192" spans="1:8" hidden="1" x14ac:dyDescent="0.3">
      <c r="A2192" s="28">
        <v>13874</v>
      </c>
      <c r="B2192" s="49">
        <v>45077.586111111108</v>
      </c>
      <c r="C2192" s="18">
        <v>45077</v>
      </c>
      <c r="D2192" t="s">
        <v>103</v>
      </c>
      <c r="E2192" s="32">
        <v>246400</v>
      </c>
      <c r="F2192" s="32">
        <v>0</v>
      </c>
      <c r="G2192" s="32">
        <v>25538310</v>
      </c>
      <c r="H2192" t="s">
        <v>932</v>
      </c>
    </row>
    <row r="2193" spans="1:8" hidden="1" x14ac:dyDescent="0.3">
      <c r="A2193" s="28">
        <v>13873</v>
      </c>
      <c r="B2193" s="49">
        <v>45077.578472222223</v>
      </c>
      <c r="C2193" s="18">
        <v>45077</v>
      </c>
      <c r="D2193" t="s">
        <v>103</v>
      </c>
      <c r="E2193" s="32">
        <v>836000</v>
      </c>
      <c r="F2193" s="32">
        <v>0</v>
      </c>
      <c r="G2193" s="32">
        <v>25291910</v>
      </c>
      <c r="H2193" t="s">
        <v>933</v>
      </c>
    </row>
    <row r="2194" spans="1:8" hidden="1" x14ac:dyDescent="0.3">
      <c r="A2194" s="28">
        <v>13872</v>
      </c>
      <c r="B2194" s="49">
        <v>45077.546527777777</v>
      </c>
      <c r="C2194" s="18">
        <v>45077</v>
      </c>
      <c r="D2194" t="s">
        <v>103</v>
      </c>
      <c r="E2194" s="32">
        <v>325600</v>
      </c>
      <c r="F2194" s="32">
        <v>0</v>
      </c>
      <c r="G2194" s="32">
        <v>24455910</v>
      </c>
      <c r="H2194" t="s">
        <v>859</v>
      </c>
    </row>
    <row r="2195" spans="1:8" hidden="1" x14ac:dyDescent="0.3">
      <c r="A2195" s="28">
        <v>13871</v>
      </c>
      <c r="B2195" s="49">
        <v>45077.51458333333</v>
      </c>
      <c r="C2195" s="18">
        <v>45077</v>
      </c>
      <c r="D2195" t="s">
        <v>103</v>
      </c>
      <c r="E2195" s="32">
        <v>1107700</v>
      </c>
      <c r="F2195" s="32">
        <v>0</v>
      </c>
      <c r="G2195" s="32">
        <v>24130310</v>
      </c>
      <c r="H2195" t="s">
        <v>934</v>
      </c>
    </row>
    <row r="2196" spans="1:8" hidden="1" x14ac:dyDescent="0.3">
      <c r="A2196" s="28">
        <v>13870</v>
      </c>
      <c r="B2196" s="49">
        <v>45077.51458333333</v>
      </c>
      <c r="C2196" s="18">
        <v>45077</v>
      </c>
      <c r="D2196" t="s">
        <v>103</v>
      </c>
      <c r="E2196" s="32">
        <v>337700</v>
      </c>
      <c r="F2196" s="32">
        <v>0</v>
      </c>
      <c r="G2196" s="32">
        <v>23022610</v>
      </c>
      <c r="H2196" t="s">
        <v>934</v>
      </c>
    </row>
    <row r="2197" spans="1:8" hidden="1" x14ac:dyDescent="0.3">
      <c r="A2197" s="28">
        <v>13869</v>
      </c>
      <c r="B2197" s="49">
        <v>45077.51458333333</v>
      </c>
      <c r="C2197" s="18">
        <v>45077</v>
      </c>
      <c r="D2197" t="s">
        <v>103</v>
      </c>
      <c r="E2197" s="32">
        <v>1155000</v>
      </c>
      <c r="F2197" s="32">
        <v>0</v>
      </c>
      <c r="G2197" s="32">
        <v>22684910</v>
      </c>
      <c r="H2197" t="s">
        <v>934</v>
      </c>
    </row>
    <row r="2198" spans="1:8" hidden="1" x14ac:dyDescent="0.3">
      <c r="A2198" s="28">
        <v>13867</v>
      </c>
      <c r="B2198" s="49">
        <v>45077.464583333334</v>
      </c>
      <c r="C2198" s="18">
        <v>45077</v>
      </c>
      <c r="D2198" t="s">
        <v>103</v>
      </c>
      <c r="E2198" s="32">
        <v>1058200</v>
      </c>
      <c r="F2198" s="32">
        <v>0</v>
      </c>
      <c r="G2198" s="32">
        <v>21529910</v>
      </c>
      <c r="H2198" t="s">
        <v>935</v>
      </c>
    </row>
    <row r="2199" spans="1:8" hidden="1" x14ac:dyDescent="0.3">
      <c r="A2199" s="28">
        <v>13866</v>
      </c>
      <c r="B2199" s="49">
        <v>45077.459722222222</v>
      </c>
      <c r="C2199" s="18">
        <v>45077</v>
      </c>
      <c r="D2199" t="s">
        <v>103</v>
      </c>
      <c r="E2199" s="32">
        <v>742500</v>
      </c>
      <c r="F2199" s="32">
        <v>0</v>
      </c>
      <c r="G2199" s="32">
        <v>20471710</v>
      </c>
      <c r="H2199" t="s">
        <v>934</v>
      </c>
    </row>
    <row r="2200" spans="1:8" hidden="1" x14ac:dyDescent="0.3">
      <c r="A2200" s="28">
        <v>13865</v>
      </c>
      <c r="B2200" s="49">
        <v>45077.430555555555</v>
      </c>
      <c r="C2200" s="18">
        <v>45077</v>
      </c>
      <c r="D2200" t="s">
        <v>103</v>
      </c>
      <c r="E2200" s="32">
        <v>875600</v>
      </c>
      <c r="F2200" s="32">
        <v>0</v>
      </c>
      <c r="G2200" s="32">
        <v>19729210</v>
      </c>
      <c r="H2200" t="s">
        <v>936</v>
      </c>
    </row>
    <row r="2201" spans="1:8" hidden="1" x14ac:dyDescent="0.3">
      <c r="A2201" s="28">
        <v>13864</v>
      </c>
      <c r="B2201" s="49">
        <v>45077.416666666664</v>
      </c>
      <c r="C2201" s="18">
        <v>45077</v>
      </c>
      <c r="D2201" t="s">
        <v>104</v>
      </c>
      <c r="E2201" s="32">
        <v>0</v>
      </c>
      <c r="F2201" s="32">
        <v>64007740</v>
      </c>
      <c r="G2201" s="32">
        <v>18853610</v>
      </c>
      <c r="H2201" t="s">
        <v>937</v>
      </c>
    </row>
    <row r="2202" spans="1:8" hidden="1" x14ac:dyDescent="0.3">
      <c r="A2202" s="28">
        <v>13863</v>
      </c>
      <c r="B2202" s="49">
        <v>45076.78402777778</v>
      </c>
      <c r="C2202" s="18">
        <v>45076</v>
      </c>
      <c r="D2202" t="s">
        <v>103</v>
      </c>
      <c r="E2202" s="32">
        <v>28900</v>
      </c>
      <c r="F2202" s="32">
        <v>0</v>
      </c>
      <c r="G2202" s="32">
        <v>82861350</v>
      </c>
      <c r="H2202" t="s">
        <v>913</v>
      </c>
    </row>
    <row r="2203" spans="1:8" hidden="1" x14ac:dyDescent="0.3">
      <c r="A2203" s="28">
        <v>13862</v>
      </c>
      <c r="B2203" s="49">
        <v>45076.783333333333</v>
      </c>
      <c r="C2203" s="18">
        <v>45076</v>
      </c>
      <c r="D2203" t="s">
        <v>103</v>
      </c>
      <c r="E2203" s="32">
        <v>289000</v>
      </c>
      <c r="F2203" s="32">
        <v>0</v>
      </c>
      <c r="G2203" s="32">
        <v>82832450</v>
      </c>
      <c r="H2203" t="s">
        <v>913</v>
      </c>
    </row>
    <row r="2204" spans="1:8" hidden="1" x14ac:dyDescent="0.3">
      <c r="A2204" s="28">
        <v>13861</v>
      </c>
      <c r="B2204" s="49">
        <v>45076.727083333331</v>
      </c>
      <c r="C2204" s="18">
        <v>45076</v>
      </c>
      <c r="D2204" t="s">
        <v>103</v>
      </c>
      <c r="E2204" s="32">
        <v>2087800</v>
      </c>
      <c r="F2204" s="32">
        <v>0</v>
      </c>
      <c r="G2204" s="32">
        <v>82543450</v>
      </c>
      <c r="H2204" t="s">
        <v>938</v>
      </c>
    </row>
    <row r="2205" spans="1:8" hidden="1" x14ac:dyDescent="0.3">
      <c r="A2205" s="28">
        <v>13860</v>
      </c>
      <c r="B2205" s="49">
        <v>45076.727083333331</v>
      </c>
      <c r="C2205" s="18">
        <v>45076</v>
      </c>
      <c r="D2205" t="s">
        <v>103</v>
      </c>
      <c r="E2205" s="32">
        <v>1083500</v>
      </c>
      <c r="F2205" s="32">
        <v>0</v>
      </c>
      <c r="G2205" s="32">
        <v>80455650</v>
      </c>
      <c r="H2205" t="s">
        <v>938</v>
      </c>
    </row>
    <row r="2206" spans="1:8" hidden="1" x14ac:dyDescent="0.3">
      <c r="A2206" s="28">
        <v>13857</v>
      </c>
      <c r="B2206" s="49">
        <v>45076.57708333333</v>
      </c>
      <c r="C2206" s="18">
        <v>45076</v>
      </c>
      <c r="D2206" t="s">
        <v>103</v>
      </c>
      <c r="E2206" s="32">
        <v>1094500</v>
      </c>
      <c r="F2206" s="32">
        <v>0</v>
      </c>
      <c r="G2206" s="32">
        <v>79372150</v>
      </c>
      <c r="H2206" t="s">
        <v>939</v>
      </c>
    </row>
    <row r="2207" spans="1:8" hidden="1" x14ac:dyDescent="0.3">
      <c r="A2207" s="28">
        <v>13856</v>
      </c>
      <c r="B2207" s="49">
        <v>45076.570833333331</v>
      </c>
      <c r="C2207" s="18">
        <v>45076</v>
      </c>
      <c r="D2207" t="s">
        <v>103</v>
      </c>
      <c r="E2207" s="32">
        <v>140800</v>
      </c>
      <c r="F2207" s="32">
        <v>0</v>
      </c>
      <c r="G2207" s="32">
        <v>78277650</v>
      </c>
      <c r="H2207" t="s">
        <v>867</v>
      </c>
    </row>
    <row r="2208" spans="1:8" hidden="1" x14ac:dyDescent="0.3">
      <c r="A2208" s="28">
        <v>13853</v>
      </c>
      <c r="B2208" s="49">
        <v>45076.456250000003</v>
      </c>
      <c r="C2208" s="18">
        <v>45076</v>
      </c>
      <c r="D2208" t="s">
        <v>103</v>
      </c>
      <c r="E2208" s="32">
        <v>77000</v>
      </c>
      <c r="F2208" s="32">
        <v>0</v>
      </c>
      <c r="G2208" s="32">
        <v>78136850</v>
      </c>
      <c r="H2208" t="s">
        <v>940</v>
      </c>
    </row>
    <row r="2209" spans="1:8" hidden="1" x14ac:dyDescent="0.3">
      <c r="A2209" s="28">
        <v>13852</v>
      </c>
      <c r="B2209" s="49">
        <v>45076.45208333333</v>
      </c>
      <c r="C2209" s="18">
        <v>45076</v>
      </c>
      <c r="D2209" t="s">
        <v>104</v>
      </c>
      <c r="E2209" s="32">
        <v>0</v>
      </c>
      <c r="F2209" s="32">
        <v>198000</v>
      </c>
      <c r="G2209" s="32">
        <v>78059850</v>
      </c>
      <c r="H2209" t="s">
        <v>941</v>
      </c>
    </row>
    <row r="2210" spans="1:8" hidden="1" x14ac:dyDescent="0.3">
      <c r="A2210" s="28">
        <v>13851</v>
      </c>
      <c r="B2210" s="49">
        <v>45076.45</v>
      </c>
      <c r="C2210" s="18">
        <v>45076</v>
      </c>
      <c r="D2210" t="s">
        <v>103</v>
      </c>
      <c r="E2210" s="32">
        <v>273900</v>
      </c>
      <c r="F2210" s="32">
        <v>0</v>
      </c>
      <c r="G2210" s="32">
        <v>78257850</v>
      </c>
      <c r="H2210" t="s">
        <v>858</v>
      </c>
    </row>
    <row r="2211" spans="1:8" hidden="1" x14ac:dyDescent="0.3">
      <c r="A2211" s="28">
        <v>13850</v>
      </c>
      <c r="B2211" s="49">
        <v>45076.431250000001</v>
      </c>
      <c r="C2211" s="18">
        <v>45076</v>
      </c>
      <c r="D2211" t="s">
        <v>103</v>
      </c>
      <c r="E2211" s="32">
        <v>770000</v>
      </c>
      <c r="F2211" s="32">
        <v>0</v>
      </c>
      <c r="G2211" s="32">
        <v>77983950</v>
      </c>
      <c r="H2211" t="s">
        <v>942</v>
      </c>
    </row>
    <row r="2212" spans="1:8" hidden="1" x14ac:dyDescent="0.3">
      <c r="A2212" s="28">
        <v>13849</v>
      </c>
      <c r="B2212" s="49">
        <v>45076.413194444445</v>
      </c>
      <c r="C2212" s="18">
        <v>45076</v>
      </c>
      <c r="D2212" t="s">
        <v>103</v>
      </c>
      <c r="E2212" s="32">
        <v>8011618</v>
      </c>
      <c r="F2212" s="32">
        <v>0</v>
      </c>
      <c r="G2212" s="32">
        <v>77213950</v>
      </c>
      <c r="H2212" t="s">
        <v>892</v>
      </c>
    </row>
    <row r="2213" spans="1:8" hidden="1" x14ac:dyDescent="0.3">
      <c r="A2213" s="28">
        <v>13848</v>
      </c>
      <c r="B2213" s="49">
        <v>45076.413194444445</v>
      </c>
      <c r="C2213" s="18">
        <v>45076</v>
      </c>
      <c r="D2213" t="s">
        <v>103</v>
      </c>
      <c r="E2213" s="32">
        <v>3611175</v>
      </c>
      <c r="F2213" s="32">
        <v>0</v>
      </c>
      <c r="G2213" s="32">
        <v>69202332</v>
      </c>
      <c r="H2213" t="s">
        <v>892</v>
      </c>
    </row>
    <row r="2214" spans="1:8" hidden="1" x14ac:dyDescent="0.3">
      <c r="A2214" s="28">
        <v>13847</v>
      </c>
      <c r="B2214" s="49">
        <v>45076.413194444445</v>
      </c>
      <c r="C2214" s="18">
        <v>45076</v>
      </c>
      <c r="D2214" t="s">
        <v>103</v>
      </c>
      <c r="E2214" s="32">
        <v>4495569</v>
      </c>
      <c r="F2214" s="32">
        <v>0</v>
      </c>
      <c r="G2214" s="32">
        <v>65591157</v>
      </c>
      <c r="H2214" t="s">
        <v>892</v>
      </c>
    </row>
    <row r="2215" spans="1:8" hidden="1" x14ac:dyDescent="0.3">
      <c r="A2215" s="28">
        <v>13846</v>
      </c>
      <c r="B2215" s="49">
        <v>45076.393750000003</v>
      </c>
      <c r="C2215" s="18">
        <v>45076</v>
      </c>
      <c r="D2215" t="s">
        <v>104</v>
      </c>
      <c r="E2215" s="32">
        <v>0</v>
      </c>
      <c r="F2215" s="32">
        <v>6600000</v>
      </c>
      <c r="G2215" s="32">
        <v>61095588</v>
      </c>
      <c r="H2215" t="s">
        <v>943</v>
      </c>
    </row>
    <row r="2216" spans="1:8" hidden="1" x14ac:dyDescent="0.3">
      <c r="A2216" s="28">
        <v>13845</v>
      </c>
      <c r="B2216" s="49">
        <v>45076.385416666664</v>
      </c>
      <c r="C2216" s="18">
        <v>45076</v>
      </c>
      <c r="D2216" t="s">
        <v>103</v>
      </c>
      <c r="E2216" s="32">
        <v>2225300</v>
      </c>
      <c r="F2216" s="32">
        <v>0</v>
      </c>
      <c r="G2216" s="32">
        <v>67695588</v>
      </c>
      <c r="H2216" t="s">
        <v>912</v>
      </c>
    </row>
    <row r="2217" spans="1:8" hidden="1" x14ac:dyDescent="0.3">
      <c r="A2217" s="28">
        <v>13843</v>
      </c>
      <c r="B2217" s="49">
        <v>45072.691666666666</v>
      </c>
      <c r="C2217" s="18">
        <v>45072</v>
      </c>
      <c r="D2217" t="s">
        <v>103</v>
      </c>
      <c r="E2217" s="32">
        <v>276100</v>
      </c>
      <c r="F2217" s="32">
        <v>0</v>
      </c>
      <c r="G2217" s="32">
        <v>65470288</v>
      </c>
      <c r="H2217" t="s">
        <v>944</v>
      </c>
    </row>
    <row r="2218" spans="1:8" hidden="1" x14ac:dyDescent="0.3">
      <c r="A2218" s="28">
        <v>13842</v>
      </c>
      <c r="B2218" s="49">
        <v>45072.6</v>
      </c>
      <c r="C2218" s="18">
        <v>45072</v>
      </c>
      <c r="D2218" t="s">
        <v>103</v>
      </c>
      <c r="E2218" s="32">
        <v>517000</v>
      </c>
      <c r="F2218" s="32">
        <v>0</v>
      </c>
      <c r="G2218" s="32">
        <v>65194188</v>
      </c>
      <c r="H2218" t="s">
        <v>945</v>
      </c>
    </row>
    <row r="2219" spans="1:8" hidden="1" x14ac:dyDescent="0.3">
      <c r="A2219" s="28">
        <v>13841</v>
      </c>
      <c r="B2219" s="49">
        <v>45072.57916666667</v>
      </c>
      <c r="C2219" s="18">
        <v>45072</v>
      </c>
      <c r="D2219" t="s">
        <v>104</v>
      </c>
      <c r="E2219" s="32">
        <v>0</v>
      </c>
      <c r="F2219" s="32">
        <v>287834</v>
      </c>
      <c r="G2219" s="32">
        <v>64677188</v>
      </c>
      <c r="H2219" t="s">
        <v>864</v>
      </c>
    </row>
    <row r="2220" spans="1:8" hidden="1" x14ac:dyDescent="0.3">
      <c r="A2220" s="28">
        <v>13840</v>
      </c>
      <c r="B2220" s="49">
        <v>45072.493055555555</v>
      </c>
      <c r="C2220" s="18">
        <v>45072</v>
      </c>
      <c r="D2220" t="s">
        <v>103</v>
      </c>
      <c r="E2220" s="32">
        <v>2330900</v>
      </c>
      <c r="F2220" s="32">
        <v>0</v>
      </c>
      <c r="G2220" s="32">
        <v>64965022</v>
      </c>
      <c r="H2220" t="s">
        <v>924</v>
      </c>
    </row>
    <row r="2221" spans="1:8" hidden="1" x14ac:dyDescent="0.3">
      <c r="A2221" s="28">
        <v>13836</v>
      </c>
      <c r="B2221" s="49">
        <v>45071.833333333336</v>
      </c>
      <c r="C2221" s="18">
        <v>45071</v>
      </c>
      <c r="D2221" t="s">
        <v>104</v>
      </c>
      <c r="E2221" s="32">
        <v>0</v>
      </c>
      <c r="F2221" s="32">
        <v>440000</v>
      </c>
      <c r="G2221" s="32">
        <v>62634122</v>
      </c>
      <c r="H2221" t="s">
        <v>946</v>
      </c>
    </row>
    <row r="2222" spans="1:8" hidden="1" x14ac:dyDescent="0.3">
      <c r="A2222" s="28">
        <v>13833</v>
      </c>
      <c r="B2222" s="49">
        <v>45071.661805555559</v>
      </c>
      <c r="C2222" s="18">
        <v>45071</v>
      </c>
      <c r="D2222" t="s">
        <v>103</v>
      </c>
      <c r="E2222" s="32">
        <v>157300</v>
      </c>
      <c r="F2222" s="32">
        <v>0</v>
      </c>
      <c r="G2222" s="32">
        <v>63074122</v>
      </c>
      <c r="H2222" t="s">
        <v>947</v>
      </c>
    </row>
    <row r="2223" spans="1:8" hidden="1" x14ac:dyDescent="0.3">
      <c r="A2223" s="28">
        <v>13832</v>
      </c>
      <c r="B2223" s="49">
        <v>45071.658333333333</v>
      </c>
      <c r="C2223" s="18">
        <v>45071</v>
      </c>
      <c r="D2223" t="s">
        <v>103</v>
      </c>
      <c r="E2223" s="32">
        <v>72600</v>
      </c>
      <c r="F2223" s="32">
        <v>0</v>
      </c>
      <c r="G2223" s="32">
        <v>62916822</v>
      </c>
      <c r="H2223" t="s">
        <v>947</v>
      </c>
    </row>
    <row r="2224" spans="1:8" hidden="1" x14ac:dyDescent="0.3">
      <c r="A2224" s="28">
        <v>13831</v>
      </c>
      <c r="B2224" s="49">
        <v>45071.658333333333</v>
      </c>
      <c r="C2224" s="18">
        <v>45071</v>
      </c>
      <c r="D2224" t="s">
        <v>103</v>
      </c>
      <c r="E2224" s="32">
        <v>700700</v>
      </c>
      <c r="F2224" s="32">
        <v>0</v>
      </c>
      <c r="G2224" s="32">
        <v>62844222</v>
      </c>
      <c r="H2224" t="s">
        <v>947</v>
      </c>
    </row>
    <row r="2225" spans="1:8" hidden="1" x14ac:dyDescent="0.3">
      <c r="A2225" s="28">
        <v>13830</v>
      </c>
      <c r="B2225" s="49">
        <v>45071.658333333333</v>
      </c>
      <c r="C2225" s="18">
        <v>45071</v>
      </c>
      <c r="D2225" t="s">
        <v>103</v>
      </c>
      <c r="E2225" s="32">
        <v>167200</v>
      </c>
      <c r="F2225" s="32">
        <v>0</v>
      </c>
      <c r="G2225" s="32">
        <v>62143522</v>
      </c>
      <c r="H2225" t="s">
        <v>947</v>
      </c>
    </row>
    <row r="2226" spans="1:8" hidden="1" x14ac:dyDescent="0.3">
      <c r="A2226" s="28">
        <v>13829</v>
      </c>
      <c r="B2226" s="49">
        <v>45071.645138888889</v>
      </c>
      <c r="C2226" s="18">
        <v>45071</v>
      </c>
      <c r="D2226" t="s">
        <v>103</v>
      </c>
      <c r="E2226" s="32">
        <v>2141700</v>
      </c>
      <c r="F2226" s="32">
        <v>0</v>
      </c>
      <c r="G2226" s="32">
        <v>61976322</v>
      </c>
      <c r="H2226" t="s">
        <v>842</v>
      </c>
    </row>
    <row r="2227" spans="1:8" hidden="1" x14ac:dyDescent="0.3">
      <c r="A2227" s="28">
        <v>13828</v>
      </c>
      <c r="B2227" s="49">
        <v>45071.597222222219</v>
      </c>
      <c r="C2227" s="18">
        <v>45071</v>
      </c>
      <c r="D2227" t="s">
        <v>103</v>
      </c>
      <c r="E2227" s="32">
        <v>822800</v>
      </c>
      <c r="F2227" s="32">
        <v>0</v>
      </c>
      <c r="G2227" s="32">
        <v>59834622</v>
      </c>
      <c r="H2227" t="s">
        <v>876</v>
      </c>
    </row>
    <row r="2228" spans="1:8" hidden="1" x14ac:dyDescent="0.3">
      <c r="A2228" s="28">
        <v>13827</v>
      </c>
      <c r="B2228" s="49">
        <v>45071.568749999999</v>
      </c>
      <c r="C2228" s="18">
        <v>45071</v>
      </c>
      <c r="D2228" t="s">
        <v>103</v>
      </c>
      <c r="E2228" s="32">
        <v>999900</v>
      </c>
      <c r="F2228" s="32">
        <v>0</v>
      </c>
      <c r="G2228" s="32">
        <v>59011822</v>
      </c>
      <c r="H2228" t="s">
        <v>948</v>
      </c>
    </row>
    <row r="2229" spans="1:8" hidden="1" x14ac:dyDescent="0.3">
      <c r="A2229" s="28">
        <v>13826</v>
      </c>
      <c r="B2229" s="49">
        <v>45071.47152777778</v>
      </c>
      <c r="C2229" s="18">
        <v>45071</v>
      </c>
      <c r="D2229" t="s">
        <v>103</v>
      </c>
      <c r="E2229" s="32">
        <v>147400</v>
      </c>
      <c r="F2229" s="32">
        <v>0</v>
      </c>
      <c r="G2229" s="32">
        <v>58011922</v>
      </c>
      <c r="H2229" t="s">
        <v>949</v>
      </c>
    </row>
    <row r="2230" spans="1:8" hidden="1" x14ac:dyDescent="0.3">
      <c r="A2230" s="28">
        <v>13825</v>
      </c>
      <c r="B2230" s="49">
        <v>45071.455555555556</v>
      </c>
      <c r="C2230" s="18">
        <v>45071</v>
      </c>
      <c r="D2230" t="s">
        <v>103</v>
      </c>
      <c r="E2230" s="32">
        <v>3264800</v>
      </c>
      <c r="F2230" s="32">
        <v>0</v>
      </c>
      <c r="G2230" s="32">
        <v>57864522</v>
      </c>
      <c r="H2230" t="s">
        <v>950</v>
      </c>
    </row>
    <row r="2231" spans="1:8" hidden="1" x14ac:dyDescent="0.3">
      <c r="A2231" s="28">
        <v>13824</v>
      </c>
      <c r="B2231" s="49">
        <v>45071.445833333331</v>
      </c>
      <c r="C2231" s="18">
        <v>45071</v>
      </c>
      <c r="D2231" t="s">
        <v>104</v>
      </c>
      <c r="E2231" s="32">
        <v>0</v>
      </c>
      <c r="F2231" s="32">
        <v>130000</v>
      </c>
      <c r="G2231" s="32">
        <v>54599722</v>
      </c>
      <c r="H2231" t="s">
        <v>951</v>
      </c>
    </row>
    <row r="2232" spans="1:8" hidden="1" x14ac:dyDescent="0.3">
      <c r="A2232" s="28">
        <v>13823</v>
      </c>
      <c r="B2232" s="49">
        <v>45071.444444444445</v>
      </c>
      <c r="C2232" s="18">
        <v>45071</v>
      </c>
      <c r="D2232" t="s">
        <v>104</v>
      </c>
      <c r="E2232" s="32">
        <v>0</v>
      </c>
      <c r="F2232" s="32">
        <v>450000</v>
      </c>
      <c r="G2232" s="32">
        <v>54729722</v>
      </c>
      <c r="H2232" t="s">
        <v>847</v>
      </c>
    </row>
    <row r="2233" spans="1:8" hidden="1" x14ac:dyDescent="0.3">
      <c r="A2233" s="28">
        <v>13822</v>
      </c>
      <c r="B2233" s="49">
        <v>45071.418749999997</v>
      </c>
      <c r="C2233" s="18">
        <v>45071</v>
      </c>
      <c r="D2233" t="s">
        <v>103</v>
      </c>
      <c r="E2233" s="32">
        <v>306900</v>
      </c>
      <c r="F2233" s="32">
        <v>0</v>
      </c>
      <c r="G2233" s="32">
        <v>55179722</v>
      </c>
      <c r="H2233" t="s">
        <v>884</v>
      </c>
    </row>
    <row r="2234" spans="1:8" hidden="1" x14ac:dyDescent="0.3">
      <c r="A2234" s="28">
        <v>13821</v>
      </c>
      <c r="B2234" s="49">
        <v>45071.418749999997</v>
      </c>
      <c r="C2234" s="18">
        <v>45071</v>
      </c>
      <c r="D2234" t="s">
        <v>103</v>
      </c>
      <c r="E2234" s="32">
        <v>2563000</v>
      </c>
      <c r="F2234" s="32">
        <v>0</v>
      </c>
      <c r="G2234" s="32">
        <v>54872822</v>
      </c>
      <c r="H2234" t="s">
        <v>884</v>
      </c>
    </row>
    <row r="2235" spans="1:8" hidden="1" x14ac:dyDescent="0.3">
      <c r="A2235" s="28">
        <v>13820</v>
      </c>
      <c r="B2235" s="49">
        <v>45071.418055555558</v>
      </c>
      <c r="C2235" s="18">
        <v>45071</v>
      </c>
      <c r="D2235" t="s">
        <v>103</v>
      </c>
      <c r="E2235" s="32">
        <v>745800</v>
      </c>
      <c r="F2235" s="32">
        <v>0</v>
      </c>
      <c r="G2235" s="32">
        <v>52309822</v>
      </c>
      <c r="H2235" t="s">
        <v>884</v>
      </c>
    </row>
    <row r="2236" spans="1:8" hidden="1" x14ac:dyDescent="0.3">
      <c r="A2236" s="28">
        <v>13819</v>
      </c>
      <c r="B2236" s="49">
        <v>45071.418055555558</v>
      </c>
      <c r="C2236" s="18">
        <v>45071</v>
      </c>
      <c r="D2236" t="s">
        <v>103</v>
      </c>
      <c r="E2236" s="32">
        <v>372900</v>
      </c>
      <c r="F2236" s="32">
        <v>0</v>
      </c>
      <c r="G2236" s="32">
        <v>51564022</v>
      </c>
      <c r="H2236" t="s">
        <v>884</v>
      </c>
    </row>
    <row r="2237" spans="1:8" hidden="1" x14ac:dyDescent="0.3">
      <c r="A2237" s="28">
        <v>13818</v>
      </c>
      <c r="B2237" s="49">
        <v>45071.418055555558</v>
      </c>
      <c r="C2237" s="18">
        <v>45071</v>
      </c>
      <c r="D2237" t="s">
        <v>103</v>
      </c>
      <c r="E2237" s="32">
        <v>264000</v>
      </c>
      <c r="F2237" s="32">
        <v>0</v>
      </c>
      <c r="G2237" s="32">
        <v>51191122</v>
      </c>
      <c r="H2237" t="s">
        <v>884</v>
      </c>
    </row>
    <row r="2238" spans="1:8" hidden="1" x14ac:dyDescent="0.3">
      <c r="A2238" s="28">
        <v>13817</v>
      </c>
      <c r="B2238" s="49">
        <v>45071.418055555558</v>
      </c>
      <c r="C2238" s="18">
        <v>45071</v>
      </c>
      <c r="D2238" t="s">
        <v>103</v>
      </c>
      <c r="E2238" s="32">
        <v>97900</v>
      </c>
      <c r="F2238" s="32">
        <v>0</v>
      </c>
      <c r="G2238" s="32">
        <v>50927122</v>
      </c>
      <c r="H2238" t="s">
        <v>884</v>
      </c>
    </row>
    <row r="2239" spans="1:8" hidden="1" x14ac:dyDescent="0.3">
      <c r="A2239" s="28">
        <v>13816</v>
      </c>
      <c r="B2239" s="49">
        <v>45071.417361111111</v>
      </c>
      <c r="C2239" s="18">
        <v>45071</v>
      </c>
      <c r="D2239" t="s">
        <v>103</v>
      </c>
      <c r="E2239" s="32">
        <v>214500</v>
      </c>
      <c r="F2239" s="32">
        <v>0</v>
      </c>
      <c r="G2239" s="32">
        <v>50829222</v>
      </c>
      <c r="H2239" t="s">
        <v>884</v>
      </c>
    </row>
    <row r="2240" spans="1:8" hidden="1" x14ac:dyDescent="0.3">
      <c r="A2240" s="28">
        <v>13815</v>
      </c>
      <c r="B2240" s="49">
        <v>45070.70416666667</v>
      </c>
      <c r="C2240" s="18">
        <v>45070</v>
      </c>
      <c r="D2240" t="s">
        <v>104</v>
      </c>
      <c r="E2240" s="32">
        <v>0</v>
      </c>
      <c r="F2240" s="32">
        <v>30156980</v>
      </c>
      <c r="G2240" s="32">
        <v>50614722</v>
      </c>
      <c r="H2240" t="s">
        <v>952</v>
      </c>
    </row>
    <row r="2241" spans="1:8" hidden="1" x14ac:dyDescent="0.3">
      <c r="A2241" s="28">
        <v>13814</v>
      </c>
      <c r="B2241" s="49">
        <v>45070.703472222223</v>
      </c>
      <c r="C2241" s="18">
        <v>45070</v>
      </c>
      <c r="D2241" t="s">
        <v>104</v>
      </c>
      <c r="E2241" s="32">
        <v>0</v>
      </c>
      <c r="F2241" s="32">
        <v>9254070</v>
      </c>
      <c r="G2241" s="32">
        <v>80771702</v>
      </c>
      <c r="H2241" t="s">
        <v>952</v>
      </c>
    </row>
    <row r="2242" spans="1:8" hidden="1" x14ac:dyDescent="0.3">
      <c r="A2242" s="28">
        <v>13813</v>
      </c>
      <c r="B2242" s="49">
        <v>45070.702777777777</v>
      </c>
      <c r="C2242" s="18">
        <v>45070</v>
      </c>
      <c r="D2242" t="s">
        <v>104</v>
      </c>
      <c r="E2242" s="32">
        <v>0</v>
      </c>
      <c r="F2242" s="32">
        <v>2288000</v>
      </c>
      <c r="G2242" s="32">
        <v>90025772</v>
      </c>
      <c r="H2242" t="s">
        <v>953</v>
      </c>
    </row>
    <row r="2243" spans="1:8" hidden="1" x14ac:dyDescent="0.3">
      <c r="A2243" s="28">
        <v>13812</v>
      </c>
      <c r="B2243" s="49">
        <v>45070.597222222219</v>
      </c>
      <c r="C2243" s="18">
        <v>45070</v>
      </c>
      <c r="D2243" t="s">
        <v>103</v>
      </c>
      <c r="E2243" s="32">
        <v>167200</v>
      </c>
      <c r="F2243" s="32">
        <v>0</v>
      </c>
      <c r="G2243" s="32">
        <v>92313772</v>
      </c>
      <c r="H2243" t="s">
        <v>861</v>
      </c>
    </row>
    <row r="2244" spans="1:8" hidden="1" x14ac:dyDescent="0.3">
      <c r="A2244" s="28">
        <v>13811</v>
      </c>
      <c r="B2244" s="49">
        <v>45070.558333333334</v>
      </c>
      <c r="C2244" s="18">
        <v>45070</v>
      </c>
      <c r="D2244" t="s">
        <v>103</v>
      </c>
      <c r="E2244" s="32">
        <v>1455300</v>
      </c>
      <c r="F2244" s="32">
        <v>0</v>
      </c>
      <c r="G2244" s="32">
        <v>92146572</v>
      </c>
      <c r="H2244" t="s">
        <v>859</v>
      </c>
    </row>
    <row r="2245" spans="1:8" hidden="1" x14ac:dyDescent="0.3">
      <c r="A2245" s="28">
        <v>13810</v>
      </c>
      <c r="B2245" s="49">
        <v>45070.558333333334</v>
      </c>
      <c r="C2245" s="18">
        <v>45070</v>
      </c>
      <c r="D2245" t="s">
        <v>103</v>
      </c>
      <c r="E2245" s="32">
        <v>815100</v>
      </c>
      <c r="F2245" s="32">
        <v>0</v>
      </c>
      <c r="G2245" s="32">
        <v>90691272</v>
      </c>
      <c r="H2245" t="s">
        <v>859</v>
      </c>
    </row>
    <row r="2246" spans="1:8" hidden="1" x14ac:dyDescent="0.3">
      <c r="A2246" s="28">
        <v>13807</v>
      </c>
      <c r="B2246" s="49">
        <v>45070.441666666666</v>
      </c>
      <c r="C2246" s="18">
        <v>45070</v>
      </c>
      <c r="D2246" t="s">
        <v>103</v>
      </c>
      <c r="E2246" s="32">
        <v>57400</v>
      </c>
      <c r="F2246" s="32">
        <v>0</v>
      </c>
      <c r="G2246" s="32">
        <v>89876172</v>
      </c>
      <c r="H2246" t="s">
        <v>954</v>
      </c>
    </row>
    <row r="2247" spans="1:8" hidden="1" x14ac:dyDescent="0.3">
      <c r="A2247" s="28">
        <v>13806</v>
      </c>
      <c r="B2247" s="49">
        <v>45070.436805555553</v>
      </c>
      <c r="C2247" s="18">
        <v>45070</v>
      </c>
      <c r="D2247" t="s">
        <v>103</v>
      </c>
      <c r="E2247" s="32">
        <v>574000</v>
      </c>
      <c r="F2247" s="32">
        <v>0</v>
      </c>
      <c r="G2247" s="32">
        <v>89818772</v>
      </c>
      <c r="H2247" t="s">
        <v>954</v>
      </c>
    </row>
    <row r="2248" spans="1:8" hidden="1" x14ac:dyDescent="0.3">
      <c r="A2248" s="28">
        <v>13802</v>
      </c>
      <c r="B2248" s="49">
        <v>45069.720833333333</v>
      </c>
      <c r="C2248" s="18">
        <v>45069</v>
      </c>
      <c r="D2248" t="s">
        <v>104</v>
      </c>
      <c r="E2248" s="32">
        <v>0</v>
      </c>
      <c r="F2248" s="32">
        <v>2255248</v>
      </c>
      <c r="G2248" s="32">
        <v>89244772</v>
      </c>
      <c r="H2248" t="s">
        <v>955</v>
      </c>
    </row>
    <row r="2249" spans="1:8" hidden="1" x14ac:dyDescent="0.3">
      <c r="A2249" s="28">
        <v>13799</v>
      </c>
      <c r="B2249" s="49">
        <v>45069.594444444447</v>
      </c>
      <c r="C2249" s="18">
        <v>45069</v>
      </c>
      <c r="D2249" t="s">
        <v>103</v>
      </c>
      <c r="E2249" s="32">
        <v>358600</v>
      </c>
      <c r="F2249" s="32">
        <v>0</v>
      </c>
      <c r="G2249" s="32">
        <v>91500020</v>
      </c>
      <c r="H2249" t="s">
        <v>858</v>
      </c>
    </row>
    <row r="2250" spans="1:8" hidden="1" x14ac:dyDescent="0.3">
      <c r="A2250" s="28">
        <v>13798</v>
      </c>
      <c r="B2250" s="49">
        <v>45069.57916666667</v>
      </c>
      <c r="C2250" s="18">
        <v>45069</v>
      </c>
      <c r="D2250" t="s">
        <v>103</v>
      </c>
      <c r="E2250" s="32">
        <v>1753400</v>
      </c>
      <c r="F2250" s="32">
        <v>0</v>
      </c>
      <c r="G2250" s="32">
        <v>91141420</v>
      </c>
      <c r="H2250" t="s">
        <v>844</v>
      </c>
    </row>
    <row r="2251" spans="1:8" hidden="1" x14ac:dyDescent="0.3">
      <c r="A2251" s="28">
        <v>13797</v>
      </c>
      <c r="B2251" s="49">
        <v>45069.553472222222</v>
      </c>
      <c r="C2251" s="18">
        <v>45069</v>
      </c>
      <c r="D2251" t="s">
        <v>104</v>
      </c>
      <c r="E2251" s="32">
        <v>0</v>
      </c>
      <c r="F2251" s="32">
        <v>131215</v>
      </c>
      <c r="G2251" s="32">
        <v>89388020</v>
      </c>
      <c r="H2251" t="s">
        <v>864</v>
      </c>
    </row>
    <row r="2252" spans="1:8" hidden="1" x14ac:dyDescent="0.3">
      <c r="A2252" s="28">
        <v>13795</v>
      </c>
      <c r="B2252" s="49">
        <v>45069.463888888888</v>
      </c>
      <c r="C2252" s="18">
        <v>45069</v>
      </c>
      <c r="D2252" t="s">
        <v>104</v>
      </c>
      <c r="E2252" s="32">
        <v>0</v>
      </c>
      <c r="F2252" s="32">
        <v>99000</v>
      </c>
      <c r="G2252" s="32">
        <v>89519235</v>
      </c>
      <c r="H2252" t="s">
        <v>956</v>
      </c>
    </row>
    <row r="2253" spans="1:8" hidden="1" x14ac:dyDescent="0.3">
      <c r="A2253" s="28">
        <v>13794</v>
      </c>
      <c r="B2253" s="49">
        <v>45069.455555555556</v>
      </c>
      <c r="C2253" s="18">
        <v>45069</v>
      </c>
      <c r="D2253" t="s">
        <v>104</v>
      </c>
      <c r="E2253" s="32">
        <v>0</v>
      </c>
      <c r="F2253" s="32">
        <v>107250</v>
      </c>
      <c r="G2253" s="32">
        <v>89618235</v>
      </c>
      <c r="H2253" t="s">
        <v>889</v>
      </c>
    </row>
    <row r="2254" spans="1:8" hidden="1" x14ac:dyDescent="0.3">
      <c r="A2254" s="28">
        <v>13791</v>
      </c>
      <c r="B2254" s="49">
        <v>45069.433333333334</v>
      </c>
      <c r="C2254" s="18">
        <v>45069</v>
      </c>
      <c r="D2254" t="s">
        <v>103</v>
      </c>
      <c r="E2254" s="32">
        <v>50000000</v>
      </c>
      <c r="F2254" s="32">
        <v>0</v>
      </c>
      <c r="G2254" s="32">
        <v>89725485</v>
      </c>
      <c r="H2254" t="s">
        <v>957</v>
      </c>
    </row>
    <row r="2255" spans="1:8" hidden="1" x14ac:dyDescent="0.3">
      <c r="A2255" s="28">
        <v>13790</v>
      </c>
      <c r="B2255" s="49">
        <v>45069.419444444444</v>
      </c>
      <c r="C2255" s="18">
        <v>45069</v>
      </c>
      <c r="D2255" t="s">
        <v>104</v>
      </c>
      <c r="E2255" s="32">
        <v>0</v>
      </c>
      <c r="F2255" s="32">
        <v>39843000</v>
      </c>
      <c r="G2255" s="32">
        <v>39725485</v>
      </c>
      <c r="H2255" t="s">
        <v>958</v>
      </c>
    </row>
    <row r="2256" spans="1:8" hidden="1" x14ac:dyDescent="0.3">
      <c r="A2256" s="28">
        <v>13789</v>
      </c>
      <c r="B2256" s="49">
        <v>45069.386805555558</v>
      </c>
      <c r="C2256" s="18">
        <v>45069</v>
      </c>
      <c r="D2256" t="s">
        <v>104</v>
      </c>
      <c r="E2256" s="32">
        <v>0</v>
      </c>
      <c r="F2256" s="32">
        <v>100000000</v>
      </c>
      <c r="G2256" s="32">
        <v>79568485</v>
      </c>
      <c r="H2256" t="s">
        <v>959</v>
      </c>
    </row>
    <row r="2257" spans="1:8" hidden="1" x14ac:dyDescent="0.3">
      <c r="A2257" s="28">
        <v>13788</v>
      </c>
      <c r="B2257" s="49">
        <v>45069.377083333333</v>
      </c>
      <c r="C2257" s="18">
        <v>45069</v>
      </c>
      <c r="D2257" t="s">
        <v>104</v>
      </c>
      <c r="E2257" s="32">
        <v>0</v>
      </c>
      <c r="F2257" s="32">
        <v>1054870</v>
      </c>
      <c r="G2257" s="32">
        <v>179568485</v>
      </c>
      <c r="H2257" t="s">
        <v>864</v>
      </c>
    </row>
    <row r="2258" spans="1:8" hidden="1" x14ac:dyDescent="0.3">
      <c r="A2258" s="28">
        <v>13787</v>
      </c>
      <c r="B2258" s="49">
        <v>45068.87777777778</v>
      </c>
      <c r="C2258" s="18">
        <v>45068</v>
      </c>
      <c r="D2258" t="s">
        <v>104</v>
      </c>
      <c r="E2258" s="32">
        <v>0</v>
      </c>
      <c r="F2258" s="32">
        <v>598530</v>
      </c>
      <c r="G2258" s="32">
        <v>180623355</v>
      </c>
      <c r="H2258" t="s">
        <v>854</v>
      </c>
    </row>
    <row r="2259" spans="1:8" hidden="1" x14ac:dyDescent="0.3">
      <c r="A2259" s="28">
        <v>13786</v>
      </c>
      <c r="B2259" s="49">
        <v>45068.84652777778</v>
      </c>
      <c r="C2259" s="18">
        <v>45068</v>
      </c>
      <c r="D2259" t="s">
        <v>104</v>
      </c>
      <c r="E2259" s="32">
        <v>0</v>
      </c>
      <c r="F2259" s="32">
        <v>281893</v>
      </c>
      <c r="G2259" s="32">
        <v>181221885</v>
      </c>
      <c r="H2259" t="s">
        <v>855</v>
      </c>
    </row>
    <row r="2260" spans="1:8" hidden="1" x14ac:dyDescent="0.3">
      <c r="A2260" s="28">
        <v>13785</v>
      </c>
      <c r="B2260" s="49">
        <v>45068.823611111111</v>
      </c>
      <c r="C2260" s="18">
        <v>45068</v>
      </c>
      <c r="D2260" t="s">
        <v>104</v>
      </c>
      <c r="E2260" s="32">
        <v>0</v>
      </c>
      <c r="F2260" s="32">
        <v>77429</v>
      </c>
      <c r="G2260" s="32">
        <v>181503778</v>
      </c>
      <c r="H2260" t="s">
        <v>960</v>
      </c>
    </row>
    <row r="2261" spans="1:8" hidden="1" x14ac:dyDescent="0.3">
      <c r="A2261" s="28">
        <v>13784</v>
      </c>
      <c r="B2261" s="49">
        <v>45068.819444444445</v>
      </c>
      <c r="C2261" s="18">
        <v>45068</v>
      </c>
      <c r="D2261" t="s">
        <v>104</v>
      </c>
      <c r="E2261" s="32">
        <v>0</v>
      </c>
      <c r="F2261" s="32">
        <v>1000000</v>
      </c>
      <c r="G2261" s="32">
        <v>181581207</v>
      </c>
      <c r="H2261" t="s">
        <v>961</v>
      </c>
    </row>
    <row r="2262" spans="1:8" hidden="1" x14ac:dyDescent="0.3">
      <c r="A2262" s="28">
        <v>13781</v>
      </c>
      <c r="B2262" s="49">
        <v>45068.555555555555</v>
      </c>
      <c r="C2262" s="18">
        <v>45068</v>
      </c>
      <c r="D2262" t="s">
        <v>103</v>
      </c>
      <c r="E2262" s="32">
        <v>1658800</v>
      </c>
      <c r="F2262" s="32">
        <v>0</v>
      </c>
      <c r="G2262" s="32">
        <v>182581207</v>
      </c>
      <c r="H2262" t="s">
        <v>859</v>
      </c>
    </row>
    <row r="2263" spans="1:8" hidden="1" x14ac:dyDescent="0.3">
      <c r="A2263" s="28">
        <v>13780</v>
      </c>
      <c r="B2263" s="49">
        <v>45068.555555555555</v>
      </c>
      <c r="C2263" s="18">
        <v>45068</v>
      </c>
      <c r="D2263" t="s">
        <v>103</v>
      </c>
      <c r="E2263" s="32">
        <v>247500</v>
      </c>
      <c r="F2263" s="32">
        <v>0</v>
      </c>
      <c r="G2263" s="32">
        <v>180922407</v>
      </c>
      <c r="H2263" t="s">
        <v>859</v>
      </c>
    </row>
    <row r="2264" spans="1:8" hidden="1" x14ac:dyDescent="0.3">
      <c r="A2264" s="28">
        <v>13779</v>
      </c>
      <c r="B2264" s="49">
        <v>45068.54583333333</v>
      </c>
      <c r="C2264" s="18">
        <v>45068</v>
      </c>
      <c r="D2264" t="s">
        <v>104</v>
      </c>
      <c r="E2264" s="32">
        <v>0</v>
      </c>
      <c r="F2264" s="32">
        <v>29590</v>
      </c>
      <c r="G2264" s="32">
        <v>180674907</v>
      </c>
      <c r="H2264" t="s">
        <v>962</v>
      </c>
    </row>
    <row r="2265" spans="1:8" hidden="1" x14ac:dyDescent="0.3">
      <c r="A2265" s="28">
        <v>13777</v>
      </c>
      <c r="B2265" s="49">
        <v>45068.453472222223</v>
      </c>
      <c r="C2265" s="18">
        <v>45068</v>
      </c>
      <c r="D2265" t="s">
        <v>103</v>
      </c>
      <c r="E2265" s="32">
        <v>89100</v>
      </c>
      <c r="F2265" s="32">
        <v>0</v>
      </c>
      <c r="G2265" s="32">
        <v>180704497</v>
      </c>
      <c r="H2265" t="s">
        <v>843</v>
      </c>
    </row>
    <row r="2266" spans="1:8" hidden="1" x14ac:dyDescent="0.3">
      <c r="A2266" s="28">
        <v>13776</v>
      </c>
      <c r="B2266" s="49">
        <v>45068.426388888889</v>
      </c>
      <c r="C2266" s="18">
        <v>45068</v>
      </c>
      <c r="D2266" t="s">
        <v>104</v>
      </c>
      <c r="E2266" s="32">
        <v>0</v>
      </c>
      <c r="F2266" s="32">
        <v>1055342</v>
      </c>
      <c r="G2266" s="32">
        <v>180615397</v>
      </c>
      <c r="H2266" t="s">
        <v>863</v>
      </c>
    </row>
    <row r="2267" spans="1:8" hidden="1" x14ac:dyDescent="0.3">
      <c r="A2267" s="28">
        <v>13775</v>
      </c>
      <c r="B2267" s="49">
        <v>45068.359027777777</v>
      </c>
      <c r="C2267" s="18">
        <v>45068</v>
      </c>
      <c r="D2267" t="s">
        <v>103</v>
      </c>
      <c r="E2267" s="32">
        <v>101920420</v>
      </c>
      <c r="F2267" s="32">
        <v>0</v>
      </c>
      <c r="G2267" s="32">
        <v>181670739</v>
      </c>
      <c r="H2267" t="s">
        <v>963</v>
      </c>
    </row>
    <row r="2268" spans="1:8" hidden="1" x14ac:dyDescent="0.3">
      <c r="A2268" s="28">
        <v>13773</v>
      </c>
      <c r="B2268" s="49">
        <v>45065.711111111108</v>
      </c>
      <c r="C2268" s="18">
        <v>45065</v>
      </c>
      <c r="D2268" t="s">
        <v>103</v>
      </c>
      <c r="E2268" s="32">
        <v>861300</v>
      </c>
      <c r="F2268" s="32">
        <v>0</v>
      </c>
      <c r="G2268" s="32">
        <v>79750319</v>
      </c>
      <c r="H2268" t="s">
        <v>964</v>
      </c>
    </row>
    <row r="2269" spans="1:8" hidden="1" x14ac:dyDescent="0.3">
      <c r="A2269" s="28">
        <v>13772</v>
      </c>
      <c r="B2269" s="49">
        <v>45065.586805555555</v>
      </c>
      <c r="C2269" s="18">
        <v>45065</v>
      </c>
      <c r="D2269" t="s">
        <v>104</v>
      </c>
      <c r="E2269" s="32">
        <v>0</v>
      </c>
      <c r="F2269" s="32">
        <v>61408</v>
      </c>
      <c r="G2269" s="32">
        <v>78889019</v>
      </c>
      <c r="H2269" t="s">
        <v>864</v>
      </c>
    </row>
    <row r="2270" spans="1:8" hidden="1" x14ac:dyDescent="0.3">
      <c r="A2270" s="28">
        <v>13771</v>
      </c>
      <c r="B2270" s="49">
        <v>45065.540277777778</v>
      </c>
      <c r="C2270" s="18">
        <v>45065</v>
      </c>
      <c r="D2270" t="s">
        <v>104</v>
      </c>
      <c r="E2270" s="32">
        <v>0</v>
      </c>
      <c r="F2270" s="32">
        <v>8000</v>
      </c>
      <c r="G2270" s="32">
        <v>78950427</v>
      </c>
      <c r="H2270" t="s">
        <v>911</v>
      </c>
    </row>
    <row r="2271" spans="1:8" hidden="1" x14ac:dyDescent="0.3">
      <c r="A2271" s="28">
        <v>13770</v>
      </c>
      <c r="B2271" s="49">
        <v>45065.467361111114</v>
      </c>
      <c r="C2271" s="18">
        <v>45065</v>
      </c>
      <c r="D2271" t="s">
        <v>103</v>
      </c>
      <c r="E2271" s="32">
        <v>679800</v>
      </c>
      <c r="F2271" s="32">
        <v>0</v>
      </c>
      <c r="G2271" s="32">
        <v>78958427</v>
      </c>
      <c r="H2271" t="s">
        <v>965</v>
      </c>
    </row>
    <row r="2272" spans="1:8" hidden="1" x14ac:dyDescent="0.3">
      <c r="A2272" s="28">
        <v>13769</v>
      </c>
      <c r="B2272" s="49">
        <v>45065.4375</v>
      </c>
      <c r="C2272" s="18">
        <v>45065</v>
      </c>
      <c r="D2272" t="s">
        <v>104</v>
      </c>
      <c r="E2272" s="32">
        <v>0</v>
      </c>
      <c r="F2272" s="32">
        <v>8502710</v>
      </c>
      <c r="G2272" s="32">
        <v>78278627</v>
      </c>
      <c r="H2272" t="s">
        <v>853</v>
      </c>
    </row>
    <row r="2273" spans="1:8" hidden="1" x14ac:dyDescent="0.3">
      <c r="A2273" s="28">
        <v>13767</v>
      </c>
      <c r="B2273" s="49">
        <v>45064.625694444447</v>
      </c>
      <c r="C2273" s="18">
        <v>45064</v>
      </c>
      <c r="D2273" t="s">
        <v>104</v>
      </c>
      <c r="E2273" s="32">
        <v>0</v>
      </c>
      <c r="F2273" s="32">
        <v>2345030</v>
      </c>
      <c r="G2273" s="32">
        <v>86781337</v>
      </c>
      <c r="H2273" t="s">
        <v>860</v>
      </c>
    </row>
    <row r="2274" spans="1:8" hidden="1" x14ac:dyDescent="0.3">
      <c r="A2274" s="28">
        <v>13766</v>
      </c>
      <c r="B2274" s="49">
        <v>45064.617361111108</v>
      </c>
      <c r="C2274" s="18">
        <v>45064</v>
      </c>
      <c r="D2274" t="s">
        <v>103</v>
      </c>
      <c r="E2274" s="32">
        <v>458700</v>
      </c>
      <c r="F2274" s="32">
        <v>0</v>
      </c>
      <c r="G2274" s="32">
        <v>89126367</v>
      </c>
      <c r="H2274" t="s">
        <v>966</v>
      </c>
    </row>
    <row r="2275" spans="1:8" hidden="1" x14ac:dyDescent="0.3">
      <c r="A2275" s="28">
        <v>13765</v>
      </c>
      <c r="B2275" s="49">
        <v>45064.584027777775</v>
      </c>
      <c r="C2275" s="18">
        <v>45064</v>
      </c>
      <c r="D2275" t="s">
        <v>103</v>
      </c>
      <c r="E2275" s="32">
        <v>1952500</v>
      </c>
      <c r="F2275" s="32">
        <v>0</v>
      </c>
      <c r="G2275" s="32">
        <v>88667667</v>
      </c>
      <c r="H2275" t="s">
        <v>844</v>
      </c>
    </row>
    <row r="2276" spans="1:8" hidden="1" x14ac:dyDescent="0.3">
      <c r="A2276" s="28">
        <v>13762</v>
      </c>
      <c r="B2276" s="49">
        <v>45064.461805555555</v>
      </c>
      <c r="C2276" s="18">
        <v>45064</v>
      </c>
      <c r="D2276" t="s">
        <v>104</v>
      </c>
      <c r="E2276" s="32">
        <v>0</v>
      </c>
      <c r="F2276" s="32">
        <v>330000</v>
      </c>
      <c r="G2276" s="32">
        <v>86715167</v>
      </c>
      <c r="H2276" t="s">
        <v>967</v>
      </c>
    </row>
    <row r="2277" spans="1:8" hidden="1" x14ac:dyDescent="0.3">
      <c r="A2277" s="28">
        <v>13761</v>
      </c>
      <c r="B2277" s="49">
        <v>45064.426388888889</v>
      </c>
      <c r="C2277" s="18">
        <v>45064</v>
      </c>
      <c r="D2277" t="s">
        <v>104</v>
      </c>
      <c r="E2277" s="32">
        <v>0</v>
      </c>
      <c r="F2277" s="32">
        <v>8000</v>
      </c>
      <c r="G2277" s="32">
        <v>87045167</v>
      </c>
      <c r="H2277" t="s">
        <v>911</v>
      </c>
    </row>
    <row r="2278" spans="1:8" hidden="1" x14ac:dyDescent="0.3">
      <c r="A2278" s="28">
        <v>13760</v>
      </c>
      <c r="B2278" s="49">
        <v>45064.424305555556</v>
      </c>
      <c r="C2278" s="18">
        <v>45064</v>
      </c>
      <c r="D2278" t="s">
        <v>104</v>
      </c>
      <c r="E2278" s="32">
        <v>0</v>
      </c>
      <c r="F2278" s="32">
        <v>8000</v>
      </c>
      <c r="G2278" s="32">
        <v>87053167</v>
      </c>
      <c r="H2278" t="s">
        <v>911</v>
      </c>
    </row>
    <row r="2279" spans="1:8" hidden="1" x14ac:dyDescent="0.3">
      <c r="A2279" s="28">
        <v>13759</v>
      </c>
      <c r="B2279" s="49">
        <v>45064.42291666667</v>
      </c>
      <c r="C2279" s="18">
        <v>45064</v>
      </c>
      <c r="D2279" t="s">
        <v>104</v>
      </c>
      <c r="E2279" s="32">
        <v>0</v>
      </c>
      <c r="F2279" s="32">
        <v>65762</v>
      </c>
      <c r="G2279" s="32">
        <v>87061167</v>
      </c>
      <c r="H2279" t="s">
        <v>864</v>
      </c>
    </row>
    <row r="2280" spans="1:8" hidden="1" x14ac:dyDescent="0.3">
      <c r="A2280" s="28">
        <v>13758</v>
      </c>
      <c r="B2280" s="49">
        <v>45064.376388888886</v>
      </c>
      <c r="C2280" s="18">
        <v>45064</v>
      </c>
      <c r="D2280" t="s">
        <v>104</v>
      </c>
      <c r="E2280" s="32">
        <v>0</v>
      </c>
      <c r="F2280" s="32">
        <v>4008300</v>
      </c>
      <c r="G2280" s="32">
        <v>87126929</v>
      </c>
      <c r="H2280" t="s">
        <v>968</v>
      </c>
    </row>
    <row r="2281" spans="1:8" hidden="1" x14ac:dyDescent="0.3">
      <c r="A2281" s="28">
        <v>13757</v>
      </c>
      <c r="B2281" s="49">
        <v>45064.376388888886</v>
      </c>
      <c r="C2281" s="18">
        <v>45064</v>
      </c>
      <c r="D2281" t="s">
        <v>104</v>
      </c>
      <c r="E2281" s="32">
        <v>0</v>
      </c>
      <c r="F2281" s="32">
        <v>834045</v>
      </c>
      <c r="G2281" s="32">
        <v>91135229</v>
      </c>
      <c r="H2281" t="s">
        <v>969</v>
      </c>
    </row>
    <row r="2282" spans="1:8" hidden="1" x14ac:dyDescent="0.3">
      <c r="A2282" s="28">
        <v>13756</v>
      </c>
      <c r="B2282" s="49">
        <v>45063.727083333331</v>
      </c>
      <c r="C2282" s="18">
        <v>45063</v>
      </c>
      <c r="D2282" t="s">
        <v>104</v>
      </c>
      <c r="E2282" s="32">
        <v>0</v>
      </c>
      <c r="F2282" s="32">
        <v>154440</v>
      </c>
      <c r="G2282" s="32">
        <v>91969274</v>
      </c>
      <c r="H2282" t="s">
        <v>889</v>
      </c>
    </row>
    <row r="2283" spans="1:8" hidden="1" x14ac:dyDescent="0.3">
      <c r="A2283" s="28">
        <v>13755</v>
      </c>
      <c r="B2283" s="49">
        <v>45063.585416666669</v>
      </c>
      <c r="C2283" s="18">
        <v>45063</v>
      </c>
      <c r="D2283" t="s">
        <v>103</v>
      </c>
      <c r="E2283" s="32">
        <v>1502600</v>
      </c>
      <c r="F2283" s="32">
        <v>0</v>
      </c>
      <c r="G2283" s="32">
        <v>92123714</v>
      </c>
      <c r="H2283" t="s">
        <v>970</v>
      </c>
    </row>
    <row r="2284" spans="1:8" hidden="1" x14ac:dyDescent="0.3">
      <c r="A2284" s="28">
        <v>13754</v>
      </c>
      <c r="B2284" s="49">
        <v>45063.492361111108</v>
      </c>
      <c r="C2284" s="18">
        <v>45063</v>
      </c>
      <c r="D2284" t="s">
        <v>103</v>
      </c>
      <c r="E2284" s="32">
        <v>992200</v>
      </c>
      <c r="F2284" s="32">
        <v>0</v>
      </c>
      <c r="G2284" s="32">
        <v>90621114</v>
      </c>
      <c r="H2284" t="s">
        <v>971</v>
      </c>
    </row>
    <row r="2285" spans="1:8" hidden="1" x14ac:dyDescent="0.3">
      <c r="A2285" s="28">
        <v>13753</v>
      </c>
      <c r="B2285" s="49">
        <v>45063.44027777778</v>
      </c>
      <c r="C2285" s="18">
        <v>45063</v>
      </c>
      <c r="D2285" t="s">
        <v>103</v>
      </c>
      <c r="E2285" s="32">
        <v>1425600</v>
      </c>
      <c r="F2285" s="32">
        <v>0</v>
      </c>
      <c r="G2285" s="32">
        <v>89628914</v>
      </c>
      <c r="H2285" t="s">
        <v>972</v>
      </c>
    </row>
    <row r="2286" spans="1:8" hidden="1" x14ac:dyDescent="0.3">
      <c r="A2286" s="28">
        <v>13752</v>
      </c>
      <c r="B2286" s="49">
        <v>45063.44027777778</v>
      </c>
      <c r="C2286" s="18">
        <v>45063</v>
      </c>
      <c r="D2286" t="s">
        <v>104</v>
      </c>
      <c r="E2286" s="32">
        <v>0</v>
      </c>
      <c r="F2286" s="32">
        <v>8000</v>
      </c>
      <c r="G2286" s="32">
        <v>88203314</v>
      </c>
      <c r="H2286" t="s">
        <v>911</v>
      </c>
    </row>
    <row r="2287" spans="1:8" hidden="1" x14ac:dyDescent="0.3">
      <c r="A2287" s="28">
        <v>13751</v>
      </c>
      <c r="B2287" s="49">
        <v>45063.379861111112</v>
      </c>
      <c r="C2287" s="18">
        <v>45063</v>
      </c>
      <c r="D2287" t="s">
        <v>104</v>
      </c>
      <c r="E2287" s="32">
        <v>0</v>
      </c>
      <c r="F2287" s="32">
        <v>3385898</v>
      </c>
      <c r="G2287" s="32">
        <v>88211314</v>
      </c>
      <c r="H2287" t="s">
        <v>864</v>
      </c>
    </row>
    <row r="2288" spans="1:8" hidden="1" x14ac:dyDescent="0.3">
      <c r="A2288" s="28">
        <v>13750</v>
      </c>
      <c r="B2288" s="49">
        <v>45062.792361111111</v>
      </c>
      <c r="C2288" s="18">
        <v>45062</v>
      </c>
      <c r="D2288" t="s">
        <v>104</v>
      </c>
      <c r="E2288" s="32">
        <v>0</v>
      </c>
      <c r="F2288" s="32">
        <v>942760</v>
      </c>
      <c r="G2288" s="32">
        <v>91597212</v>
      </c>
      <c r="H2288" t="s">
        <v>872</v>
      </c>
    </row>
    <row r="2289" spans="1:8" hidden="1" x14ac:dyDescent="0.3">
      <c r="A2289" s="28">
        <v>13749</v>
      </c>
      <c r="B2289" s="49">
        <v>45062.792361111111</v>
      </c>
      <c r="C2289" s="18">
        <v>45062</v>
      </c>
      <c r="D2289" t="s">
        <v>104</v>
      </c>
      <c r="E2289" s="32">
        <v>0</v>
      </c>
      <c r="F2289" s="32">
        <v>322326</v>
      </c>
      <c r="G2289" s="32">
        <v>92539972</v>
      </c>
      <c r="H2289" t="s">
        <v>872</v>
      </c>
    </row>
    <row r="2290" spans="1:8" hidden="1" x14ac:dyDescent="0.3">
      <c r="A2290" s="28">
        <v>13748</v>
      </c>
      <c r="B2290" s="49">
        <v>45062.792361111111</v>
      </c>
      <c r="C2290" s="18">
        <v>45062</v>
      </c>
      <c r="D2290" t="s">
        <v>104</v>
      </c>
      <c r="E2290" s="32">
        <v>0</v>
      </c>
      <c r="F2290" s="32">
        <v>1248660</v>
      </c>
      <c r="G2290" s="32">
        <v>92862298</v>
      </c>
      <c r="H2290" t="s">
        <v>872</v>
      </c>
    </row>
    <row r="2291" spans="1:8" hidden="1" x14ac:dyDescent="0.3">
      <c r="A2291" s="28">
        <v>13747</v>
      </c>
      <c r="B2291" s="49">
        <v>45062.792361111111</v>
      </c>
      <c r="C2291" s="18">
        <v>45062</v>
      </c>
      <c r="D2291" t="s">
        <v>104</v>
      </c>
      <c r="E2291" s="32">
        <v>0</v>
      </c>
      <c r="F2291" s="32">
        <v>323947</v>
      </c>
      <c r="G2291" s="32">
        <v>94110958</v>
      </c>
      <c r="H2291" t="s">
        <v>872</v>
      </c>
    </row>
    <row r="2292" spans="1:8" hidden="1" x14ac:dyDescent="0.3">
      <c r="A2292" s="28">
        <v>13746</v>
      </c>
      <c r="B2292" s="49">
        <v>45062.674305555556</v>
      </c>
      <c r="C2292" s="18">
        <v>45062</v>
      </c>
      <c r="D2292" t="s">
        <v>104</v>
      </c>
      <c r="E2292" s="32">
        <v>0</v>
      </c>
      <c r="F2292" s="32">
        <v>29590</v>
      </c>
      <c r="G2292" s="32">
        <v>94434905</v>
      </c>
      <c r="H2292" t="s">
        <v>962</v>
      </c>
    </row>
    <row r="2293" spans="1:8" hidden="1" x14ac:dyDescent="0.3">
      <c r="A2293" s="28">
        <v>13745</v>
      </c>
      <c r="B2293" s="49">
        <v>45062.619444444441</v>
      </c>
      <c r="C2293" s="18">
        <v>45062</v>
      </c>
      <c r="D2293" t="s">
        <v>103</v>
      </c>
      <c r="E2293" s="32">
        <v>249700</v>
      </c>
      <c r="F2293" s="32">
        <v>0</v>
      </c>
      <c r="G2293" s="32">
        <v>94464495</v>
      </c>
      <c r="H2293" t="s">
        <v>858</v>
      </c>
    </row>
    <row r="2294" spans="1:8" hidden="1" x14ac:dyDescent="0.3">
      <c r="A2294" s="28">
        <v>13744</v>
      </c>
      <c r="B2294" s="49">
        <v>45062.613888888889</v>
      </c>
      <c r="C2294" s="18">
        <v>45062</v>
      </c>
      <c r="D2294" t="s">
        <v>103</v>
      </c>
      <c r="E2294" s="32">
        <v>8769200</v>
      </c>
      <c r="F2294" s="32">
        <v>0</v>
      </c>
      <c r="G2294" s="32">
        <v>94214795</v>
      </c>
      <c r="H2294" t="s">
        <v>973</v>
      </c>
    </row>
    <row r="2295" spans="1:8" hidden="1" x14ac:dyDescent="0.3">
      <c r="A2295" s="28">
        <v>13743</v>
      </c>
      <c r="B2295" s="49">
        <v>45062.603472222225</v>
      </c>
      <c r="C2295" s="18">
        <v>45062</v>
      </c>
      <c r="D2295" t="s">
        <v>103</v>
      </c>
      <c r="E2295" s="32">
        <v>2107600</v>
      </c>
      <c r="F2295" s="32">
        <v>0</v>
      </c>
      <c r="G2295" s="32">
        <v>85445595</v>
      </c>
      <c r="H2295" t="s">
        <v>844</v>
      </c>
    </row>
    <row r="2296" spans="1:8" hidden="1" x14ac:dyDescent="0.3">
      <c r="A2296" s="28">
        <v>13742</v>
      </c>
      <c r="B2296" s="49">
        <v>45062.603472222225</v>
      </c>
      <c r="C2296" s="18">
        <v>45062</v>
      </c>
      <c r="D2296" t="s">
        <v>103</v>
      </c>
      <c r="E2296" s="32">
        <v>1370600</v>
      </c>
      <c r="F2296" s="32">
        <v>0</v>
      </c>
      <c r="G2296" s="32">
        <v>83337995</v>
      </c>
      <c r="H2296" t="s">
        <v>844</v>
      </c>
    </row>
    <row r="2297" spans="1:8" hidden="1" x14ac:dyDescent="0.3">
      <c r="A2297" s="28">
        <v>13739</v>
      </c>
      <c r="B2297" s="49">
        <v>45062.400694444441</v>
      </c>
      <c r="C2297" s="18">
        <v>45062</v>
      </c>
      <c r="D2297" t="s">
        <v>104</v>
      </c>
      <c r="E2297" s="32">
        <v>0</v>
      </c>
      <c r="F2297" s="32">
        <v>20000</v>
      </c>
      <c r="G2297" s="32">
        <v>81967395</v>
      </c>
      <c r="H2297" t="s">
        <v>883</v>
      </c>
    </row>
    <row r="2298" spans="1:8" hidden="1" x14ac:dyDescent="0.3">
      <c r="A2298" s="28">
        <v>13738</v>
      </c>
      <c r="B2298" s="49">
        <v>45062.386805555558</v>
      </c>
      <c r="C2298" s="18">
        <v>45062</v>
      </c>
      <c r="D2298" t="s">
        <v>104</v>
      </c>
      <c r="E2298" s="32">
        <v>0</v>
      </c>
      <c r="F2298" s="32">
        <v>142801</v>
      </c>
      <c r="G2298" s="32">
        <v>81987395</v>
      </c>
      <c r="H2298" t="s">
        <v>864</v>
      </c>
    </row>
    <row r="2299" spans="1:8" hidden="1" x14ac:dyDescent="0.3">
      <c r="A2299" s="28">
        <v>13737</v>
      </c>
      <c r="B2299" s="49">
        <v>45062.385416666664</v>
      </c>
      <c r="C2299" s="18">
        <v>45062</v>
      </c>
      <c r="D2299" t="s">
        <v>104</v>
      </c>
      <c r="E2299" s="32">
        <v>0</v>
      </c>
      <c r="F2299" s="32">
        <v>158879</v>
      </c>
      <c r="G2299" s="32">
        <v>82130196</v>
      </c>
      <c r="H2299" t="s">
        <v>864</v>
      </c>
    </row>
    <row r="2300" spans="1:8" hidden="1" x14ac:dyDescent="0.3">
      <c r="A2300" s="28">
        <v>13736</v>
      </c>
      <c r="B2300" s="49">
        <v>45061.856944444444</v>
      </c>
      <c r="C2300" s="18">
        <v>45061</v>
      </c>
      <c r="D2300" t="s">
        <v>104</v>
      </c>
      <c r="E2300" s="32">
        <v>0</v>
      </c>
      <c r="F2300" s="32">
        <v>568947</v>
      </c>
      <c r="G2300" s="32">
        <v>82289075</v>
      </c>
      <c r="H2300" t="s">
        <v>878</v>
      </c>
    </row>
    <row r="2301" spans="1:8" hidden="1" x14ac:dyDescent="0.3">
      <c r="A2301" s="28">
        <v>13734</v>
      </c>
      <c r="B2301" s="49">
        <v>45061.806944444441</v>
      </c>
      <c r="C2301" s="18">
        <v>45061</v>
      </c>
      <c r="D2301" t="s">
        <v>104</v>
      </c>
      <c r="E2301" s="32">
        <v>0</v>
      </c>
      <c r="F2301" s="32">
        <v>409859</v>
      </c>
      <c r="G2301" s="32">
        <v>82858022</v>
      </c>
      <c r="H2301" t="s">
        <v>871</v>
      </c>
    </row>
    <row r="2302" spans="1:8" hidden="1" x14ac:dyDescent="0.3">
      <c r="A2302" s="28">
        <v>13733</v>
      </c>
      <c r="B2302" s="49">
        <v>45061.806944444441</v>
      </c>
      <c r="C2302" s="18">
        <v>45061</v>
      </c>
      <c r="D2302" t="s">
        <v>104</v>
      </c>
      <c r="E2302" s="32">
        <v>0</v>
      </c>
      <c r="F2302" s="32">
        <v>60909</v>
      </c>
      <c r="G2302" s="32">
        <v>83267881</v>
      </c>
      <c r="H2302" t="s">
        <v>871</v>
      </c>
    </row>
    <row r="2303" spans="1:8" hidden="1" x14ac:dyDescent="0.3">
      <c r="A2303" s="28">
        <v>13732</v>
      </c>
      <c r="B2303" s="49">
        <v>45061.806944444441</v>
      </c>
      <c r="C2303" s="18">
        <v>45061</v>
      </c>
      <c r="D2303" t="s">
        <v>104</v>
      </c>
      <c r="E2303" s="32">
        <v>0</v>
      </c>
      <c r="F2303" s="32">
        <v>99000</v>
      </c>
      <c r="G2303" s="32">
        <v>83328790</v>
      </c>
      <c r="H2303" t="s">
        <v>879</v>
      </c>
    </row>
    <row r="2304" spans="1:8" hidden="1" x14ac:dyDescent="0.3">
      <c r="A2304" s="28">
        <v>13731</v>
      </c>
      <c r="B2304" s="49">
        <v>45061.800694444442</v>
      </c>
      <c r="C2304" s="18">
        <v>45061</v>
      </c>
      <c r="D2304" t="s">
        <v>104</v>
      </c>
      <c r="E2304" s="32">
        <v>0</v>
      </c>
      <c r="F2304" s="32">
        <v>616110</v>
      </c>
      <c r="G2304" s="32">
        <v>83427790</v>
      </c>
      <c r="H2304" t="s">
        <v>880</v>
      </c>
    </row>
    <row r="2305" spans="1:8" hidden="1" x14ac:dyDescent="0.3">
      <c r="A2305" s="28">
        <v>13729</v>
      </c>
      <c r="B2305" s="49">
        <v>45061.774305555555</v>
      </c>
      <c r="C2305" s="18">
        <v>45061</v>
      </c>
      <c r="D2305" t="s">
        <v>104</v>
      </c>
      <c r="E2305" s="32">
        <v>0</v>
      </c>
      <c r="F2305" s="32">
        <v>19401270</v>
      </c>
      <c r="G2305" s="32">
        <v>84043900</v>
      </c>
      <c r="H2305" t="s">
        <v>881</v>
      </c>
    </row>
    <row r="2306" spans="1:8" hidden="1" x14ac:dyDescent="0.3">
      <c r="A2306" s="28">
        <v>13728</v>
      </c>
      <c r="B2306" s="49">
        <v>45061.724305555559</v>
      </c>
      <c r="C2306" s="18">
        <v>45061</v>
      </c>
      <c r="D2306" t="s">
        <v>103</v>
      </c>
      <c r="E2306" s="32">
        <v>469700</v>
      </c>
      <c r="F2306" s="32">
        <v>0</v>
      </c>
      <c r="G2306" s="32">
        <v>103445170</v>
      </c>
      <c r="H2306" t="s">
        <v>928</v>
      </c>
    </row>
    <row r="2307" spans="1:8" hidden="1" x14ac:dyDescent="0.3">
      <c r="A2307" s="28">
        <v>13727</v>
      </c>
      <c r="B2307" s="49">
        <v>45061.723611111112</v>
      </c>
      <c r="C2307" s="18">
        <v>45061</v>
      </c>
      <c r="D2307" t="s">
        <v>103</v>
      </c>
      <c r="E2307" s="32">
        <v>222200</v>
      </c>
      <c r="F2307" s="32">
        <v>0</v>
      </c>
      <c r="G2307" s="32">
        <v>102975470</v>
      </c>
      <c r="H2307" t="s">
        <v>928</v>
      </c>
    </row>
    <row r="2308" spans="1:8" hidden="1" x14ac:dyDescent="0.3">
      <c r="A2308" s="28">
        <v>13726</v>
      </c>
      <c r="B2308" s="49">
        <v>45061.723611111112</v>
      </c>
      <c r="C2308" s="18">
        <v>45061</v>
      </c>
      <c r="D2308" t="s">
        <v>103</v>
      </c>
      <c r="E2308" s="32">
        <v>749100</v>
      </c>
      <c r="F2308" s="32">
        <v>0</v>
      </c>
      <c r="G2308" s="32">
        <v>102753270</v>
      </c>
      <c r="H2308" t="s">
        <v>928</v>
      </c>
    </row>
    <row r="2309" spans="1:8" hidden="1" x14ac:dyDescent="0.3">
      <c r="A2309" s="28">
        <v>13725</v>
      </c>
      <c r="B2309" s="49">
        <v>45061.723611111112</v>
      </c>
      <c r="C2309" s="18">
        <v>45061</v>
      </c>
      <c r="D2309" t="s">
        <v>103</v>
      </c>
      <c r="E2309" s="32">
        <v>1317800</v>
      </c>
      <c r="F2309" s="32">
        <v>0</v>
      </c>
      <c r="G2309" s="32">
        <v>102004170</v>
      </c>
      <c r="H2309" t="s">
        <v>928</v>
      </c>
    </row>
    <row r="2310" spans="1:8" hidden="1" x14ac:dyDescent="0.3">
      <c r="A2310" s="28">
        <v>13724</v>
      </c>
      <c r="B2310" s="49">
        <v>45061.640972222223</v>
      </c>
      <c r="C2310" s="18">
        <v>45061</v>
      </c>
      <c r="D2310" t="s">
        <v>104</v>
      </c>
      <c r="E2310" s="32">
        <v>0</v>
      </c>
      <c r="F2310" s="32">
        <v>49462</v>
      </c>
      <c r="G2310" s="32">
        <v>100686370</v>
      </c>
      <c r="H2310" t="s">
        <v>864</v>
      </c>
    </row>
    <row r="2311" spans="1:8" hidden="1" x14ac:dyDescent="0.3">
      <c r="A2311" s="28">
        <v>13717</v>
      </c>
      <c r="B2311" s="49">
        <v>45061.626388888886</v>
      </c>
      <c r="C2311" s="18">
        <v>45061</v>
      </c>
      <c r="D2311" t="s">
        <v>103</v>
      </c>
      <c r="E2311" s="32">
        <v>423500</v>
      </c>
      <c r="F2311" s="32">
        <v>0</v>
      </c>
      <c r="G2311" s="32">
        <v>100735832</v>
      </c>
      <c r="H2311" t="s">
        <v>899</v>
      </c>
    </row>
    <row r="2312" spans="1:8" hidden="1" x14ac:dyDescent="0.3">
      <c r="A2312" s="28">
        <v>13711</v>
      </c>
      <c r="B2312" s="49">
        <v>45061.472916666666</v>
      </c>
      <c r="C2312" s="18">
        <v>45061</v>
      </c>
      <c r="D2312" t="s">
        <v>103</v>
      </c>
      <c r="E2312" s="32">
        <v>4153600</v>
      </c>
      <c r="F2312" s="32">
        <v>0</v>
      </c>
      <c r="G2312" s="32">
        <v>100312332</v>
      </c>
      <c r="H2312" t="s">
        <v>886</v>
      </c>
    </row>
    <row r="2313" spans="1:8" hidden="1" x14ac:dyDescent="0.3">
      <c r="A2313" s="28">
        <v>13710</v>
      </c>
      <c r="B2313" s="49">
        <v>45061.472916666666</v>
      </c>
      <c r="C2313" s="18">
        <v>45061</v>
      </c>
      <c r="D2313" t="s">
        <v>103</v>
      </c>
      <c r="E2313" s="32">
        <v>3515600</v>
      </c>
      <c r="F2313" s="32">
        <v>0</v>
      </c>
      <c r="G2313" s="32">
        <v>96158732</v>
      </c>
      <c r="H2313" t="s">
        <v>886</v>
      </c>
    </row>
    <row r="2314" spans="1:8" hidden="1" x14ac:dyDescent="0.3">
      <c r="A2314" s="28">
        <v>13709</v>
      </c>
      <c r="B2314" s="49">
        <v>45061.449305555558</v>
      </c>
      <c r="C2314" s="18">
        <v>45061</v>
      </c>
      <c r="D2314" t="s">
        <v>104</v>
      </c>
      <c r="E2314" s="32">
        <v>0</v>
      </c>
      <c r="F2314" s="32">
        <v>32230</v>
      </c>
      <c r="G2314" s="32">
        <v>92643132</v>
      </c>
      <c r="H2314" t="s">
        <v>974</v>
      </c>
    </row>
    <row r="2315" spans="1:8" hidden="1" x14ac:dyDescent="0.3">
      <c r="A2315" s="28">
        <v>13708</v>
      </c>
      <c r="B2315" s="49">
        <v>45061.438888888886</v>
      </c>
      <c r="C2315" s="18">
        <v>45061</v>
      </c>
      <c r="D2315" t="s">
        <v>103</v>
      </c>
      <c r="E2315" s="32">
        <v>674500</v>
      </c>
      <c r="F2315" s="32">
        <v>0</v>
      </c>
      <c r="G2315" s="32">
        <v>92675362</v>
      </c>
      <c r="H2315" t="s">
        <v>898</v>
      </c>
    </row>
    <row r="2316" spans="1:8" hidden="1" x14ac:dyDescent="0.3">
      <c r="A2316" s="28">
        <v>13707</v>
      </c>
      <c r="B2316" s="49">
        <v>45061.438888888886</v>
      </c>
      <c r="C2316" s="18">
        <v>45061</v>
      </c>
      <c r="D2316" t="s">
        <v>103</v>
      </c>
      <c r="E2316" s="32">
        <v>67450</v>
      </c>
      <c r="F2316" s="32">
        <v>0</v>
      </c>
      <c r="G2316" s="32">
        <v>92000862</v>
      </c>
      <c r="H2316" t="s">
        <v>898</v>
      </c>
    </row>
    <row r="2317" spans="1:8" hidden="1" x14ac:dyDescent="0.3">
      <c r="A2317" s="28">
        <v>13706</v>
      </c>
      <c r="B2317" s="49">
        <v>45061.4375</v>
      </c>
      <c r="C2317" s="18">
        <v>45061</v>
      </c>
      <c r="D2317" t="s">
        <v>103</v>
      </c>
      <c r="E2317" s="32">
        <v>878000</v>
      </c>
      <c r="F2317" s="32">
        <v>0</v>
      </c>
      <c r="G2317" s="32">
        <v>91933412</v>
      </c>
      <c r="H2317" t="s">
        <v>898</v>
      </c>
    </row>
    <row r="2318" spans="1:8" hidden="1" x14ac:dyDescent="0.3">
      <c r="A2318" s="28">
        <v>13705</v>
      </c>
      <c r="B2318" s="49">
        <v>45061.436805555553</v>
      </c>
      <c r="C2318" s="18">
        <v>45061</v>
      </c>
      <c r="D2318" t="s">
        <v>103</v>
      </c>
      <c r="E2318" s="32">
        <v>87800</v>
      </c>
      <c r="F2318" s="32">
        <v>0</v>
      </c>
      <c r="G2318" s="32">
        <v>91055412</v>
      </c>
      <c r="H2318" t="s">
        <v>898</v>
      </c>
    </row>
    <row r="2319" spans="1:8" hidden="1" x14ac:dyDescent="0.3">
      <c r="A2319" s="28">
        <v>13704</v>
      </c>
      <c r="B2319" s="49">
        <v>45061.436805555553</v>
      </c>
      <c r="C2319" s="18">
        <v>45061</v>
      </c>
      <c r="D2319" t="s">
        <v>103</v>
      </c>
      <c r="E2319" s="32">
        <v>800500</v>
      </c>
      <c r="F2319" s="32">
        <v>0</v>
      </c>
      <c r="G2319" s="32">
        <v>90967612</v>
      </c>
      <c r="H2319" t="s">
        <v>898</v>
      </c>
    </row>
    <row r="2320" spans="1:8" hidden="1" x14ac:dyDescent="0.3">
      <c r="A2320" s="28">
        <v>13703</v>
      </c>
      <c r="B2320" s="49">
        <v>45061.436111111114</v>
      </c>
      <c r="C2320" s="18">
        <v>45061</v>
      </c>
      <c r="D2320" t="s">
        <v>103</v>
      </c>
      <c r="E2320" s="32">
        <v>80050</v>
      </c>
      <c r="F2320" s="32">
        <v>0</v>
      </c>
      <c r="G2320" s="32">
        <v>90167112</v>
      </c>
      <c r="H2320" t="s">
        <v>898</v>
      </c>
    </row>
    <row r="2321" spans="1:8" hidden="1" x14ac:dyDescent="0.3">
      <c r="A2321" s="28">
        <v>13702</v>
      </c>
      <c r="B2321" s="49">
        <v>45061.436111111114</v>
      </c>
      <c r="C2321" s="18">
        <v>45061</v>
      </c>
      <c r="D2321" t="s">
        <v>103</v>
      </c>
      <c r="E2321" s="32">
        <v>776000</v>
      </c>
      <c r="F2321" s="32">
        <v>0</v>
      </c>
      <c r="G2321" s="32">
        <v>90087062</v>
      </c>
      <c r="H2321" t="s">
        <v>898</v>
      </c>
    </row>
    <row r="2322" spans="1:8" hidden="1" x14ac:dyDescent="0.3">
      <c r="A2322" s="28">
        <v>13701</v>
      </c>
      <c r="B2322" s="49">
        <v>45061.436111111114</v>
      </c>
      <c r="C2322" s="18">
        <v>45061</v>
      </c>
      <c r="D2322" t="s">
        <v>103</v>
      </c>
      <c r="E2322" s="32">
        <v>77600</v>
      </c>
      <c r="F2322" s="32">
        <v>0</v>
      </c>
      <c r="G2322" s="32">
        <v>89311062</v>
      </c>
      <c r="H2322" t="s">
        <v>898</v>
      </c>
    </row>
    <row r="2323" spans="1:8" hidden="1" x14ac:dyDescent="0.3">
      <c r="A2323" s="28">
        <v>13700</v>
      </c>
      <c r="B2323" s="49">
        <v>45061.436111111114</v>
      </c>
      <c r="C2323" s="18">
        <v>45061</v>
      </c>
      <c r="D2323" t="s">
        <v>103</v>
      </c>
      <c r="E2323" s="32">
        <v>886500</v>
      </c>
      <c r="F2323" s="32">
        <v>0</v>
      </c>
      <c r="G2323" s="32">
        <v>89233462</v>
      </c>
      <c r="H2323" t="s">
        <v>898</v>
      </c>
    </row>
    <row r="2324" spans="1:8" hidden="1" x14ac:dyDescent="0.3">
      <c r="A2324" s="28">
        <v>13699</v>
      </c>
      <c r="B2324" s="49">
        <v>45061.436111111114</v>
      </c>
      <c r="C2324" s="18">
        <v>45061</v>
      </c>
      <c r="D2324" t="s">
        <v>103</v>
      </c>
      <c r="E2324" s="32">
        <v>88650</v>
      </c>
      <c r="F2324" s="32">
        <v>0</v>
      </c>
      <c r="G2324" s="32">
        <v>88346962</v>
      </c>
      <c r="H2324" t="s">
        <v>898</v>
      </c>
    </row>
    <row r="2325" spans="1:8" hidden="1" x14ac:dyDescent="0.3">
      <c r="A2325" s="28">
        <v>13698</v>
      </c>
      <c r="B2325" s="49">
        <v>45061.436111111114</v>
      </c>
      <c r="C2325" s="18">
        <v>45061</v>
      </c>
      <c r="D2325" t="s">
        <v>103</v>
      </c>
      <c r="E2325" s="32">
        <v>799500</v>
      </c>
      <c r="F2325" s="32">
        <v>0</v>
      </c>
      <c r="G2325" s="32">
        <v>88258312</v>
      </c>
      <c r="H2325" t="s">
        <v>898</v>
      </c>
    </row>
    <row r="2326" spans="1:8" hidden="1" x14ac:dyDescent="0.3">
      <c r="A2326" s="28">
        <v>13697</v>
      </c>
      <c r="B2326" s="49">
        <v>45061.435416666667</v>
      </c>
      <c r="C2326" s="18">
        <v>45061</v>
      </c>
      <c r="D2326" t="s">
        <v>103</v>
      </c>
      <c r="E2326" s="32">
        <v>79950</v>
      </c>
      <c r="F2326" s="32">
        <v>0</v>
      </c>
      <c r="G2326" s="32">
        <v>87458812</v>
      </c>
      <c r="H2326" t="s">
        <v>898</v>
      </c>
    </row>
    <row r="2327" spans="1:8" hidden="1" x14ac:dyDescent="0.3">
      <c r="A2327" s="28">
        <v>13696</v>
      </c>
      <c r="B2327" s="49">
        <v>45061.43472222222</v>
      </c>
      <c r="C2327" s="18">
        <v>45061</v>
      </c>
      <c r="D2327" t="s">
        <v>103</v>
      </c>
      <c r="E2327" s="32">
        <v>576400</v>
      </c>
      <c r="F2327" s="32">
        <v>0</v>
      </c>
      <c r="G2327" s="32">
        <v>87378862</v>
      </c>
      <c r="H2327" t="s">
        <v>975</v>
      </c>
    </row>
    <row r="2328" spans="1:8" hidden="1" x14ac:dyDescent="0.3">
      <c r="A2328" s="28">
        <v>13695</v>
      </c>
      <c r="B2328" s="49">
        <v>45058.740972222222</v>
      </c>
      <c r="C2328" s="18">
        <v>45058</v>
      </c>
      <c r="D2328" t="s">
        <v>103</v>
      </c>
      <c r="E2328" s="32">
        <v>5374600</v>
      </c>
      <c r="F2328" s="32">
        <v>0</v>
      </c>
      <c r="G2328" s="32">
        <v>86802462</v>
      </c>
      <c r="H2328" t="s">
        <v>976</v>
      </c>
    </row>
    <row r="2329" spans="1:8" hidden="1" x14ac:dyDescent="0.3">
      <c r="A2329" s="28">
        <v>13694</v>
      </c>
      <c r="B2329" s="49">
        <v>45058.64166666667</v>
      </c>
      <c r="C2329" s="18">
        <v>45058</v>
      </c>
      <c r="D2329" t="s">
        <v>103</v>
      </c>
      <c r="E2329" s="32">
        <v>185900</v>
      </c>
      <c r="F2329" s="32">
        <v>0</v>
      </c>
      <c r="G2329" s="32">
        <v>81427862</v>
      </c>
      <c r="H2329" t="s">
        <v>862</v>
      </c>
    </row>
    <row r="2330" spans="1:8" hidden="1" x14ac:dyDescent="0.3">
      <c r="A2330" s="28">
        <v>13693</v>
      </c>
      <c r="B2330" s="49">
        <v>45058.544444444444</v>
      </c>
      <c r="C2330" s="18">
        <v>45058</v>
      </c>
      <c r="D2330" t="s">
        <v>104</v>
      </c>
      <c r="E2330" s="32">
        <v>0</v>
      </c>
      <c r="F2330" s="32">
        <v>287834</v>
      </c>
      <c r="G2330" s="32">
        <v>81241962</v>
      </c>
      <c r="H2330" t="s">
        <v>864</v>
      </c>
    </row>
    <row r="2331" spans="1:8" hidden="1" x14ac:dyDescent="0.3">
      <c r="A2331" s="28">
        <v>13692</v>
      </c>
      <c r="B2331" s="49">
        <v>45057.810416666667</v>
      </c>
      <c r="C2331" s="18">
        <v>45057</v>
      </c>
      <c r="D2331" t="s">
        <v>104</v>
      </c>
      <c r="E2331" s="32">
        <v>0</v>
      </c>
      <c r="F2331" s="32">
        <v>35500</v>
      </c>
      <c r="G2331" s="32">
        <v>81529796</v>
      </c>
      <c r="H2331" t="s">
        <v>977</v>
      </c>
    </row>
    <row r="2332" spans="1:8" hidden="1" x14ac:dyDescent="0.3">
      <c r="A2332" s="28">
        <v>13691</v>
      </c>
      <c r="B2332" s="49">
        <v>45057.707638888889</v>
      </c>
      <c r="C2332" s="18">
        <v>45057</v>
      </c>
      <c r="D2332" t="s">
        <v>104</v>
      </c>
      <c r="E2332" s="32">
        <v>0</v>
      </c>
      <c r="F2332" s="32">
        <v>8000</v>
      </c>
      <c r="G2332" s="32">
        <v>81565296</v>
      </c>
      <c r="H2332" t="s">
        <v>911</v>
      </c>
    </row>
    <row r="2333" spans="1:8" hidden="1" x14ac:dyDescent="0.3">
      <c r="A2333" s="28">
        <v>13690</v>
      </c>
      <c r="B2333" s="49">
        <v>45057.655555555553</v>
      </c>
      <c r="C2333" s="18">
        <v>45057</v>
      </c>
      <c r="D2333" t="s">
        <v>104</v>
      </c>
      <c r="E2333" s="32">
        <v>0</v>
      </c>
      <c r="F2333" s="32">
        <v>1518000</v>
      </c>
      <c r="G2333" s="32">
        <v>81573296</v>
      </c>
      <c r="H2333" t="s">
        <v>923</v>
      </c>
    </row>
    <row r="2334" spans="1:8" hidden="1" x14ac:dyDescent="0.3">
      <c r="A2334" s="28">
        <v>13689</v>
      </c>
      <c r="B2334" s="49">
        <v>45057.587500000001</v>
      </c>
      <c r="C2334" s="18">
        <v>45057</v>
      </c>
      <c r="D2334" t="s">
        <v>104</v>
      </c>
      <c r="E2334" s="32">
        <v>0</v>
      </c>
      <c r="F2334" s="32">
        <v>116675</v>
      </c>
      <c r="G2334" s="32">
        <v>83091296</v>
      </c>
      <c r="H2334" t="s">
        <v>864</v>
      </c>
    </row>
    <row r="2335" spans="1:8" hidden="1" x14ac:dyDescent="0.3">
      <c r="A2335" s="28">
        <v>13688</v>
      </c>
      <c r="B2335" s="49">
        <v>45057.585416666669</v>
      </c>
      <c r="C2335" s="18">
        <v>45057</v>
      </c>
      <c r="D2335" t="s">
        <v>104</v>
      </c>
      <c r="E2335" s="32">
        <v>0</v>
      </c>
      <c r="F2335" s="32">
        <v>70290</v>
      </c>
      <c r="G2335" s="32">
        <v>83207971</v>
      </c>
      <c r="H2335" t="s">
        <v>889</v>
      </c>
    </row>
    <row r="2336" spans="1:8" hidden="1" x14ac:dyDescent="0.3">
      <c r="A2336" s="28">
        <v>13686</v>
      </c>
      <c r="B2336" s="49">
        <v>45057.419444444444</v>
      </c>
      <c r="C2336" s="18">
        <v>45057</v>
      </c>
      <c r="D2336" t="s">
        <v>104</v>
      </c>
      <c r="E2336" s="32">
        <v>0</v>
      </c>
      <c r="F2336" s="32">
        <v>350958</v>
      </c>
      <c r="G2336" s="32">
        <v>83278261</v>
      </c>
      <c r="H2336" t="s">
        <v>902</v>
      </c>
    </row>
    <row r="2337" spans="1:8" hidden="1" x14ac:dyDescent="0.3">
      <c r="A2337" s="28">
        <v>13685</v>
      </c>
      <c r="B2337" s="49">
        <v>45057.392361111109</v>
      </c>
      <c r="C2337" s="18">
        <v>45057</v>
      </c>
      <c r="D2337" t="s">
        <v>104</v>
      </c>
      <c r="E2337" s="32">
        <v>0</v>
      </c>
      <c r="F2337" s="32">
        <v>8000</v>
      </c>
      <c r="G2337" s="32">
        <v>83629219</v>
      </c>
      <c r="H2337" t="s">
        <v>911</v>
      </c>
    </row>
    <row r="2338" spans="1:8" hidden="1" x14ac:dyDescent="0.3">
      <c r="A2338" s="28">
        <v>13676</v>
      </c>
      <c r="B2338" s="49">
        <v>45056.606944444444</v>
      </c>
      <c r="C2338" s="18">
        <v>45056</v>
      </c>
      <c r="D2338" t="s">
        <v>103</v>
      </c>
      <c r="E2338" s="32">
        <v>653400</v>
      </c>
      <c r="F2338" s="32">
        <v>0</v>
      </c>
      <c r="G2338" s="32">
        <v>83637219</v>
      </c>
      <c r="H2338" t="s">
        <v>846</v>
      </c>
    </row>
    <row r="2339" spans="1:8" hidden="1" x14ac:dyDescent="0.3">
      <c r="A2339" s="28">
        <v>13674</v>
      </c>
      <c r="B2339" s="49">
        <v>45056.539583333331</v>
      </c>
      <c r="C2339" s="18">
        <v>45056</v>
      </c>
      <c r="D2339" t="s">
        <v>103</v>
      </c>
      <c r="E2339" s="32">
        <v>4818000</v>
      </c>
      <c r="F2339" s="32">
        <v>0</v>
      </c>
      <c r="G2339" s="32">
        <v>82983819</v>
      </c>
      <c r="H2339" t="s">
        <v>978</v>
      </c>
    </row>
    <row r="2340" spans="1:8" hidden="1" x14ac:dyDescent="0.3">
      <c r="A2340" s="28">
        <v>13672</v>
      </c>
      <c r="B2340" s="49">
        <v>45056.463194444441</v>
      </c>
      <c r="C2340" s="18">
        <v>45056</v>
      </c>
      <c r="D2340" t="s">
        <v>104</v>
      </c>
      <c r="E2340" s="32">
        <v>0</v>
      </c>
      <c r="F2340" s="32">
        <v>225533</v>
      </c>
      <c r="G2340" s="32">
        <v>78165819</v>
      </c>
      <c r="H2340" t="s">
        <v>864</v>
      </c>
    </row>
    <row r="2341" spans="1:8" hidden="1" x14ac:dyDescent="0.3">
      <c r="A2341" s="28">
        <v>13670</v>
      </c>
      <c r="B2341" s="49">
        <v>45056.406944444447</v>
      </c>
      <c r="C2341" s="18">
        <v>45056</v>
      </c>
      <c r="D2341" t="s">
        <v>103</v>
      </c>
      <c r="E2341" s="32">
        <v>2489300</v>
      </c>
      <c r="F2341" s="32">
        <v>0</v>
      </c>
      <c r="G2341" s="32">
        <v>78391352</v>
      </c>
      <c r="H2341" t="s">
        <v>900</v>
      </c>
    </row>
    <row r="2342" spans="1:8" hidden="1" x14ac:dyDescent="0.3">
      <c r="A2342" s="28">
        <v>13669</v>
      </c>
      <c r="B2342" s="49">
        <v>45056.38958333333</v>
      </c>
      <c r="C2342" s="18">
        <v>45056</v>
      </c>
      <c r="D2342" t="s">
        <v>104</v>
      </c>
      <c r="E2342" s="32">
        <v>0</v>
      </c>
      <c r="F2342" s="32">
        <v>10000000</v>
      </c>
      <c r="G2342" s="32">
        <v>75902052</v>
      </c>
      <c r="H2342" t="s">
        <v>979</v>
      </c>
    </row>
    <row r="2343" spans="1:8" hidden="1" x14ac:dyDescent="0.3">
      <c r="A2343" s="28">
        <v>13668</v>
      </c>
      <c r="B2343" s="49">
        <v>45055.712500000001</v>
      </c>
      <c r="C2343" s="18">
        <v>45055</v>
      </c>
      <c r="D2343" t="s">
        <v>104</v>
      </c>
      <c r="E2343" s="32">
        <v>0</v>
      </c>
      <c r="F2343" s="32">
        <v>201752</v>
      </c>
      <c r="G2343" s="32">
        <v>85902052</v>
      </c>
      <c r="H2343" t="s">
        <v>864</v>
      </c>
    </row>
    <row r="2344" spans="1:8" hidden="1" x14ac:dyDescent="0.3">
      <c r="A2344" s="28">
        <v>13667</v>
      </c>
      <c r="B2344" s="49">
        <v>45055.65</v>
      </c>
      <c r="C2344" s="18">
        <v>45055</v>
      </c>
      <c r="D2344" t="s">
        <v>104</v>
      </c>
      <c r="E2344" s="32">
        <v>0</v>
      </c>
      <c r="F2344" s="32">
        <v>116339</v>
      </c>
      <c r="G2344" s="32">
        <v>86103804</v>
      </c>
      <c r="H2344" t="s">
        <v>864</v>
      </c>
    </row>
    <row r="2345" spans="1:8" hidden="1" x14ac:dyDescent="0.3">
      <c r="A2345" s="28">
        <v>13666</v>
      </c>
      <c r="B2345" s="49">
        <v>45055.606944444444</v>
      </c>
      <c r="C2345" s="18">
        <v>45055</v>
      </c>
      <c r="D2345" t="s">
        <v>103</v>
      </c>
      <c r="E2345" s="32">
        <v>50000000</v>
      </c>
      <c r="F2345" s="32">
        <v>0</v>
      </c>
      <c r="G2345" s="32">
        <v>86220143</v>
      </c>
      <c r="H2345" t="s">
        <v>851</v>
      </c>
    </row>
    <row r="2346" spans="1:8" hidden="1" x14ac:dyDescent="0.3">
      <c r="A2346" s="28">
        <v>13663</v>
      </c>
      <c r="B2346" s="49">
        <v>45055.576388888891</v>
      </c>
      <c r="C2346" s="18">
        <v>45055</v>
      </c>
      <c r="D2346" t="s">
        <v>103</v>
      </c>
      <c r="E2346" s="32">
        <v>9545800</v>
      </c>
      <c r="F2346" s="32">
        <v>0</v>
      </c>
      <c r="G2346" s="32">
        <v>36220143</v>
      </c>
      <c r="H2346" t="s">
        <v>980</v>
      </c>
    </row>
    <row r="2347" spans="1:8" hidden="1" x14ac:dyDescent="0.3">
      <c r="A2347" s="28">
        <v>13660</v>
      </c>
      <c r="B2347" s="49">
        <v>45055.385416666664</v>
      </c>
      <c r="C2347" s="18">
        <v>45055</v>
      </c>
      <c r="D2347" t="s">
        <v>103</v>
      </c>
      <c r="E2347" s="32">
        <v>946000</v>
      </c>
      <c r="F2347" s="32">
        <v>0</v>
      </c>
      <c r="G2347" s="32">
        <v>26674343</v>
      </c>
      <c r="H2347" t="s">
        <v>912</v>
      </c>
    </row>
    <row r="2348" spans="1:8" hidden="1" x14ac:dyDescent="0.3">
      <c r="A2348" s="28">
        <v>13659</v>
      </c>
      <c r="B2348" s="49">
        <v>45054.831250000003</v>
      </c>
      <c r="C2348" s="18">
        <v>45054</v>
      </c>
      <c r="D2348" t="s">
        <v>104</v>
      </c>
      <c r="E2348" s="32">
        <v>0</v>
      </c>
      <c r="F2348" s="32">
        <v>626472</v>
      </c>
      <c r="G2348" s="32">
        <v>25728343</v>
      </c>
      <c r="H2348" t="s">
        <v>981</v>
      </c>
    </row>
    <row r="2349" spans="1:8" hidden="1" x14ac:dyDescent="0.3">
      <c r="A2349" s="28">
        <v>13658</v>
      </c>
      <c r="B2349" s="49">
        <v>45054.79791666667</v>
      </c>
      <c r="C2349" s="18">
        <v>45054</v>
      </c>
      <c r="D2349" t="s">
        <v>104</v>
      </c>
      <c r="E2349" s="32">
        <v>0</v>
      </c>
      <c r="F2349" s="32">
        <v>711920</v>
      </c>
      <c r="G2349" s="32">
        <v>26354815</v>
      </c>
      <c r="H2349" t="s">
        <v>880</v>
      </c>
    </row>
    <row r="2350" spans="1:8" hidden="1" x14ac:dyDescent="0.3">
      <c r="A2350" s="28">
        <v>13655</v>
      </c>
      <c r="B2350" s="49">
        <v>45054.59097222222</v>
      </c>
      <c r="C2350" s="18">
        <v>45054</v>
      </c>
      <c r="D2350" t="s">
        <v>104</v>
      </c>
      <c r="E2350" s="32">
        <v>0</v>
      </c>
      <c r="F2350" s="32">
        <v>1734090</v>
      </c>
      <c r="G2350" s="32">
        <v>27066735</v>
      </c>
      <c r="H2350" t="s">
        <v>906</v>
      </c>
    </row>
    <row r="2351" spans="1:8" hidden="1" x14ac:dyDescent="0.3">
      <c r="A2351" s="28">
        <v>13654</v>
      </c>
      <c r="B2351" s="49">
        <v>45054.588888888888</v>
      </c>
      <c r="C2351" s="18">
        <v>45054</v>
      </c>
      <c r="D2351" t="s">
        <v>104</v>
      </c>
      <c r="E2351" s="32">
        <v>0</v>
      </c>
      <c r="F2351" s="32">
        <v>14000000</v>
      </c>
      <c r="G2351" s="32">
        <v>28800825</v>
      </c>
      <c r="H2351" t="s">
        <v>982</v>
      </c>
    </row>
    <row r="2352" spans="1:8" hidden="1" x14ac:dyDescent="0.3">
      <c r="A2352" s="28">
        <v>13653</v>
      </c>
      <c r="B2352" s="49">
        <v>45054.588888888888</v>
      </c>
      <c r="C2352" s="18">
        <v>45054</v>
      </c>
      <c r="D2352" t="s">
        <v>104</v>
      </c>
      <c r="E2352" s="32">
        <v>0</v>
      </c>
      <c r="F2352" s="32">
        <v>3341390</v>
      </c>
      <c r="G2352" s="32">
        <v>42800825</v>
      </c>
      <c r="H2352" t="s">
        <v>908</v>
      </c>
    </row>
    <row r="2353" spans="1:8" hidden="1" x14ac:dyDescent="0.3">
      <c r="A2353" s="28">
        <v>13652</v>
      </c>
      <c r="B2353" s="49">
        <v>45054.584722222222</v>
      </c>
      <c r="C2353" s="18">
        <v>45054</v>
      </c>
      <c r="D2353" t="s">
        <v>103</v>
      </c>
      <c r="E2353" s="32">
        <v>339900</v>
      </c>
      <c r="F2353" s="32">
        <v>0</v>
      </c>
      <c r="G2353" s="32">
        <v>46142215</v>
      </c>
      <c r="H2353" t="s">
        <v>867</v>
      </c>
    </row>
    <row r="2354" spans="1:8" hidden="1" x14ac:dyDescent="0.3">
      <c r="A2354" s="28">
        <v>13649</v>
      </c>
      <c r="B2354" s="49">
        <v>45054.535416666666</v>
      </c>
      <c r="C2354" s="18">
        <v>45054</v>
      </c>
      <c r="D2354" t="s">
        <v>103</v>
      </c>
      <c r="E2354" s="32">
        <v>292600</v>
      </c>
      <c r="F2354" s="32">
        <v>0</v>
      </c>
      <c r="G2354" s="32">
        <v>45802315</v>
      </c>
      <c r="H2354" t="s">
        <v>858</v>
      </c>
    </row>
    <row r="2355" spans="1:8" hidden="1" x14ac:dyDescent="0.3">
      <c r="A2355" s="28">
        <v>13648</v>
      </c>
      <c r="B2355" s="49">
        <v>45054.50277777778</v>
      </c>
      <c r="C2355" s="18">
        <v>45054</v>
      </c>
      <c r="D2355" t="s">
        <v>103</v>
      </c>
      <c r="E2355" s="32">
        <v>213400</v>
      </c>
      <c r="F2355" s="32">
        <v>0</v>
      </c>
      <c r="G2355" s="32">
        <v>45509715</v>
      </c>
      <c r="H2355" t="s">
        <v>866</v>
      </c>
    </row>
    <row r="2356" spans="1:8" hidden="1" x14ac:dyDescent="0.3">
      <c r="A2356" s="28">
        <v>13647</v>
      </c>
      <c r="B2356" s="49">
        <v>45054.397916666669</v>
      </c>
      <c r="C2356" s="18">
        <v>45054</v>
      </c>
      <c r="D2356" t="s">
        <v>104</v>
      </c>
      <c r="E2356" s="32">
        <v>0</v>
      </c>
      <c r="F2356" s="32">
        <v>40140000</v>
      </c>
      <c r="G2356" s="32">
        <v>45296315</v>
      </c>
      <c r="H2356" t="s">
        <v>983</v>
      </c>
    </row>
    <row r="2357" spans="1:8" hidden="1" x14ac:dyDescent="0.3">
      <c r="A2357" s="28">
        <v>13646</v>
      </c>
      <c r="B2357" s="49">
        <v>45050.71597222222</v>
      </c>
      <c r="C2357" s="18">
        <v>45050</v>
      </c>
      <c r="D2357" t="s">
        <v>103</v>
      </c>
      <c r="E2357" s="32">
        <v>6227100</v>
      </c>
      <c r="F2357" s="32">
        <v>0</v>
      </c>
      <c r="G2357" s="32">
        <v>85436315</v>
      </c>
      <c r="H2357" t="s">
        <v>924</v>
      </c>
    </row>
    <row r="2358" spans="1:8" hidden="1" x14ac:dyDescent="0.3">
      <c r="A2358" s="28">
        <v>13645</v>
      </c>
      <c r="B2358" s="49">
        <v>45050.640277777777</v>
      </c>
      <c r="C2358" s="18">
        <v>45050</v>
      </c>
      <c r="D2358" t="s">
        <v>103</v>
      </c>
      <c r="E2358" s="32">
        <v>260700</v>
      </c>
      <c r="F2358" s="32">
        <v>0</v>
      </c>
      <c r="G2358" s="32">
        <v>79209215</v>
      </c>
      <c r="H2358" t="s">
        <v>984</v>
      </c>
    </row>
    <row r="2359" spans="1:8" hidden="1" x14ac:dyDescent="0.3">
      <c r="A2359" s="28">
        <v>13644</v>
      </c>
      <c r="B2359" s="49">
        <v>45050.617361111108</v>
      </c>
      <c r="C2359" s="18">
        <v>45050</v>
      </c>
      <c r="D2359" t="s">
        <v>103</v>
      </c>
      <c r="E2359" s="32">
        <v>718300</v>
      </c>
      <c r="F2359" s="32">
        <v>0</v>
      </c>
      <c r="G2359" s="32">
        <v>78948515</v>
      </c>
      <c r="H2359" t="s">
        <v>846</v>
      </c>
    </row>
    <row r="2360" spans="1:8" hidden="1" x14ac:dyDescent="0.3">
      <c r="A2360" s="28">
        <v>13643</v>
      </c>
      <c r="B2360" s="49">
        <v>45050.597916666666</v>
      </c>
      <c r="C2360" s="18">
        <v>45050</v>
      </c>
      <c r="D2360" t="s">
        <v>103</v>
      </c>
      <c r="E2360" s="32">
        <v>1116500</v>
      </c>
      <c r="F2360" s="32">
        <v>0</v>
      </c>
      <c r="G2360" s="32">
        <v>78230215</v>
      </c>
      <c r="H2360" t="s">
        <v>985</v>
      </c>
    </row>
    <row r="2361" spans="1:8" hidden="1" x14ac:dyDescent="0.3">
      <c r="A2361" s="28">
        <v>13642</v>
      </c>
      <c r="B2361" s="49">
        <v>45050.561111111114</v>
      </c>
      <c r="C2361" s="18">
        <v>45050</v>
      </c>
      <c r="D2361" t="s">
        <v>103</v>
      </c>
      <c r="E2361" s="32">
        <v>990000</v>
      </c>
      <c r="F2361" s="32">
        <v>0</v>
      </c>
      <c r="G2361" s="32">
        <v>77113715</v>
      </c>
      <c r="H2361" t="s">
        <v>986</v>
      </c>
    </row>
    <row r="2362" spans="1:8" hidden="1" x14ac:dyDescent="0.3">
      <c r="A2362" s="28">
        <v>13641</v>
      </c>
      <c r="B2362" s="49">
        <v>45050.52847222222</v>
      </c>
      <c r="C2362" s="18">
        <v>45050</v>
      </c>
      <c r="D2362" t="s">
        <v>103</v>
      </c>
      <c r="E2362" s="32">
        <v>358600</v>
      </c>
      <c r="F2362" s="32">
        <v>0</v>
      </c>
      <c r="G2362" s="32">
        <v>76123715</v>
      </c>
      <c r="H2362" t="s">
        <v>987</v>
      </c>
    </row>
    <row r="2363" spans="1:8" hidden="1" x14ac:dyDescent="0.3">
      <c r="A2363" s="28">
        <v>13640</v>
      </c>
      <c r="B2363" s="49">
        <v>45050.481249999997</v>
      </c>
      <c r="C2363" s="18">
        <v>45050</v>
      </c>
      <c r="D2363" t="s">
        <v>103</v>
      </c>
      <c r="E2363" s="32">
        <v>4449500</v>
      </c>
      <c r="F2363" s="32">
        <v>0</v>
      </c>
      <c r="G2363" s="32">
        <v>75765115</v>
      </c>
      <c r="H2363" t="s">
        <v>918</v>
      </c>
    </row>
    <row r="2364" spans="1:8" hidden="1" x14ac:dyDescent="0.3">
      <c r="A2364" s="28">
        <v>13638</v>
      </c>
      <c r="B2364" s="49">
        <v>45050.467361111114</v>
      </c>
      <c r="C2364" s="18">
        <v>45050</v>
      </c>
      <c r="D2364" t="s">
        <v>104</v>
      </c>
      <c r="E2364" s="32">
        <v>0</v>
      </c>
      <c r="F2364" s="32">
        <v>500000</v>
      </c>
      <c r="G2364" s="32">
        <v>71315615</v>
      </c>
      <c r="H2364" t="s">
        <v>988</v>
      </c>
    </row>
    <row r="2365" spans="1:8" hidden="1" x14ac:dyDescent="0.3">
      <c r="A2365" s="28">
        <v>13637</v>
      </c>
      <c r="B2365" s="49">
        <v>45050.457638888889</v>
      </c>
      <c r="C2365" s="18">
        <v>45050</v>
      </c>
      <c r="D2365" t="s">
        <v>103</v>
      </c>
      <c r="E2365" s="32">
        <v>1786400</v>
      </c>
      <c r="F2365" s="32">
        <v>0</v>
      </c>
      <c r="G2365" s="32">
        <v>71815615</v>
      </c>
      <c r="H2365" t="s">
        <v>921</v>
      </c>
    </row>
    <row r="2366" spans="1:8" hidden="1" x14ac:dyDescent="0.3">
      <c r="A2366" s="28">
        <v>13636</v>
      </c>
      <c r="B2366" s="49">
        <v>45050.457638888889</v>
      </c>
      <c r="C2366" s="18">
        <v>45050</v>
      </c>
      <c r="D2366" t="s">
        <v>103</v>
      </c>
      <c r="E2366" s="32">
        <v>4379100</v>
      </c>
      <c r="F2366" s="32">
        <v>0</v>
      </c>
      <c r="G2366" s="32">
        <v>70029215</v>
      </c>
      <c r="H2366" t="s">
        <v>921</v>
      </c>
    </row>
    <row r="2367" spans="1:8" hidden="1" x14ac:dyDescent="0.3">
      <c r="A2367" s="28">
        <v>13635</v>
      </c>
      <c r="B2367" s="49">
        <v>45050.451388888891</v>
      </c>
      <c r="C2367" s="18">
        <v>45050</v>
      </c>
      <c r="D2367" t="s">
        <v>104</v>
      </c>
      <c r="E2367" s="32">
        <v>0</v>
      </c>
      <c r="F2367" s="32">
        <v>216490</v>
      </c>
      <c r="G2367" s="32">
        <v>65650115</v>
      </c>
      <c r="H2367" t="s">
        <v>864</v>
      </c>
    </row>
    <row r="2368" spans="1:8" hidden="1" x14ac:dyDescent="0.3">
      <c r="A2368" s="28">
        <v>13634</v>
      </c>
      <c r="B2368" s="49">
        <v>45050.418055555558</v>
      </c>
      <c r="C2368" s="18">
        <v>45050</v>
      </c>
      <c r="D2368" t="s">
        <v>104</v>
      </c>
      <c r="E2368" s="32">
        <v>0</v>
      </c>
      <c r="F2368" s="32">
        <v>750400</v>
      </c>
      <c r="G2368" s="32">
        <v>65866605</v>
      </c>
      <c r="H2368" t="s">
        <v>989</v>
      </c>
    </row>
    <row r="2369" spans="1:8" hidden="1" x14ac:dyDescent="0.3">
      <c r="A2369" s="28">
        <v>13633</v>
      </c>
      <c r="B2369" s="49">
        <v>45049.723611111112</v>
      </c>
      <c r="C2369" s="18">
        <v>45049</v>
      </c>
      <c r="D2369" t="s">
        <v>104</v>
      </c>
      <c r="E2369" s="32">
        <v>0</v>
      </c>
      <c r="F2369" s="32">
        <v>440000</v>
      </c>
      <c r="G2369" s="32">
        <v>66617005</v>
      </c>
      <c r="H2369" t="s">
        <v>990</v>
      </c>
    </row>
    <row r="2370" spans="1:8" hidden="1" x14ac:dyDescent="0.3">
      <c r="A2370" s="28">
        <v>13632</v>
      </c>
      <c r="B2370" s="49">
        <v>45049.571527777778</v>
      </c>
      <c r="C2370" s="18">
        <v>45049</v>
      </c>
      <c r="D2370" t="s">
        <v>103</v>
      </c>
      <c r="E2370" s="32">
        <v>859000</v>
      </c>
      <c r="F2370" s="32">
        <v>0</v>
      </c>
      <c r="G2370" s="32">
        <v>67057005</v>
      </c>
      <c r="H2370" t="s">
        <v>898</v>
      </c>
    </row>
    <row r="2371" spans="1:8" hidden="1" x14ac:dyDescent="0.3">
      <c r="A2371" s="28">
        <v>13631</v>
      </c>
      <c r="B2371" s="49">
        <v>45049.571527777778</v>
      </c>
      <c r="C2371" s="18">
        <v>45049</v>
      </c>
      <c r="D2371" t="s">
        <v>103</v>
      </c>
      <c r="E2371" s="32">
        <v>85900</v>
      </c>
      <c r="F2371" s="32">
        <v>0</v>
      </c>
      <c r="G2371" s="32">
        <v>66198005</v>
      </c>
      <c r="H2371" t="s">
        <v>898</v>
      </c>
    </row>
    <row r="2372" spans="1:8" hidden="1" x14ac:dyDescent="0.3">
      <c r="A2372" s="28">
        <v>13630</v>
      </c>
      <c r="B2372" s="49">
        <v>45049.47152777778</v>
      </c>
      <c r="C2372" s="18">
        <v>45049</v>
      </c>
      <c r="D2372" t="s">
        <v>104</v>
      </c>
      <c r="E2372" s="32">
        <v>0</v>
      </c>
      <c r="F2372" s="32">
        <v>78210</v>
      </c>
      <c r="G2372" s="32">
        <v>66112105</v>
      </c>
      <c r="H2372" t="s">
        <v>889</v>
      </c>
    </row>
    <row r="2373" spans="1:8" hidden="1" x14ac:dyDescent="0.3">
      <c r="A2373" s="28">
        <v>13628</v>
      </c>
      <c r="B2373" s="49">
        <v>45048.797222222223</v>
      </c>
      <c r="C2373" s="18">
        <v>45048</v>
      </c>
      <c r="D2373" t="s">
        <v>104</v>
      </c>
      <c r="E2373" s="32">
        <v>0</v>
      </c>
      <c r="F2373" s="32">
        <v>400510</v>
      </c>
      <c r="G2373" s="32">
        <v>66190315</v>
      </c>
      <c r="H2373" t="s">
        <v>880</v>
      </c>
    </row>
    <row r="2374" spans="1:8" hidden="1" x14ac:dyDescent="0.3">
      <c r="A2374" s="28">
        <v>13627</v>
      </c>
      <c r="B2374" s="49">
        <v>45048.791666666664</v>
      </c>
      <c r="C2374" s="18">
        <v>45048</v>
      </c>
      <c r="D2374" t="s">
        <v>103</v>
      </c>
      <c r="E2374" s="32">
        <v>4138478</v>
      </c>
      <c r="F2374" s="32">
        <v>0</v>
      </c>
      <c r="G2374" s="32">
        <v>66590825</v>
      </c>
      <c r="H2374" t="s">
        <v>892</v>
      </c>
    </row>
    <row r="2375" spans="1:8" hidden="1" x14ac:dyDescent="0.3">
      <c r="A2375" s="28">
        <v>13626</v>
      </c>
      <c r="B2375" s="49">
        <v>45048.791666666664</v>
      </c>
      <c r="C2375" s="18">
        <v>45048</v>
      </c>
      <c r="D2375" t="s">
        <v>103</v>
      </c>
      <c r="E2375" s="32">
        <v>2601344</v>
      </c>
      <c r="F2375" s="32">
        <v>0</v>
      </c>
      <c r="G2375" s="32">
        <v>62452347</v>
      </c>
      <c r="H2375" t="s">
        <v>892</v>
      </c>
    </row>
    <row r="2376" spans="1:8" hidden="1" x14ac:dyDescent="0.3">
      <c r="A2376" s="28">
        <v>13625</v>
      </c>
      <c r="B2376" s="49">
        <v>45048.791666666664</v>
      </c>
      <c r="C2376" s="18">
        <v>45048</v>
      </c>
      <c r="D2376" t="s">
        <v>103</v>
      </c>
      <c r="E2376" s="32">
        <v>1337102</v>
      </c>
      <c r="F2376" s="32">
        <v>0</v>
      </c>
      <c r="G2376" s="32">
        <v>59851003</v>
      </c>
      <c r="H2376" t="s">
        <v>892</v>
      </c>
    </row>
    <row r="2377" spans="1:8" hidden="1" x14ac:dyDescent="0.3">
      <c r="A2377" s="28">
        <v>13623</v>
      </c>
      <c r="B2377" s="49">
        <v>45048.654861111114</v>
      </c>
      <c r="C2377" s="18">
        <v>45048</v>
      </c>
      <c r="D2377" t="s">
        <v>104</v>
      </c>
      <c r="E2377" s="32">
        <v>0</v>
      </c>
      <c r="F2377" s="32">
        <v>80190</v>
      </c>
      <c r="G2377" s="32">
        <v>58513901</v>
      </c>
      <c r="H2377" t="s">
        <v>962</v>
      </c>
    </row>
    <row r="2378" spans="1:8" hidden="1" x14ac:dyDescent="0.3">
      <c r="A2378" s="28">
        <v>13622</v>
      </c>
      <c r="B2378" s="49">
        <v>45048.644444444442</v>
      </c>
      <c r="C2378" s="18">
        <v>45048</v>
      </c>
      <c r="D2378" t="s">
        <v>103</v>
      </c>
      <c r="E2378" s="32">
        <v>6678100</v>
      </c>
      <c r="F2378" s="32">
        <v>0</v>
      </c>
      <c r="G2378" s="32">
        <v>58594091</v>
      </c>
      <c r="H2378" t="s">
        <v>929</v>
      </c>
    </row>
    <row r="2379" spans="1:8" hidden="1" x14ac:dyDescent="0.3">
      <c r="A2379" s="28">
        <v>13619</v>
      </c>
      <c r="B2379" s="49">
        <v>45048.449305555558</v>
      </c>
      <c r="C2379" s="18">
        <v>45048</v>
      </c>
      <c r="D2379" t="s">
        <v>104</v>
      </c>
      <c r="E2379" s="32">
        <v>0</v>
      </c>
      <c r="F2379" s="32">
        <v>96131</v>
      </c>
      <c r="G2379" s="32">
        <v>51915991</v>
      </c>
      <c r="H2379" t="s">
        <v>864</v>
      </c>
    </row>
    <row r="2380" spans="1:8" hidden="1" x14ac:dyDescent="0.3">
      <c r="A2380" s="28">
        <v>13618</v>
      </c>
      <c r="B2380" s="49">
        <v>45048.449305555558</v>
      </c>
      <c r="C2380" s="18">
        <v>45048</v>
      </c>
      <c r="D2380" t="s">
        <v>103</v>
      </c>
      <c r="E2380" s="32">
        <v>2041600</v>
      </c>
      <c r="F2380" s="32">
        <v>0</v>
      </c>
      <c r="G2380" s="32">
        <v>52012122</v>
      </c>
      <c r="H2380" t="s">
        <v>964</v>
      </c>
    </row>
    <row r="2381" spans="1:8" hidden="1" x14ac:dyDescent="0.3">
      <c r="A2381" s="28">
        <v>13612</v>
      </c>
      <c r="B2381" s="49">
        <v>45044.736805555556</v>
      </c>
      <c r="C2381" s="18">
        <v>45044</v>
      </c>
      <c r="D2381" t="s">
        <v>103</v>
      </c>
      <c r="E2381" s="32">
        <v>290400</v>
      </c>
      <c r="F2381" s="32">
        <v>0</v>
      </c>
      <c r="G2381" s="32">
        <v>49970522</v>
      </c>
      <c r="H2381" t="s">
        <v>927</v>
      </c>
    </row>
    <row r="2382" spans="1:8" hidden="1" x14ac:dyDescent="0.3">
      <c r="A2382" s="28">
        <v>13611</v>
      </c>
      <c r="B2382" s="49">
        <v>45044.720833333333</v>
      </c>
      <c r="C2382" s="18">
        <v>45044</v>
      </c>
      <c r="D2382" t="s">
        <v>103</v>
      </c>
      <c r="E2382" s="32">
        <v>243100</v>
      </c>
      <c r="F2382" s="32">
        <v>0</v>
      </c>
      <c r="G2382" s="32">
        <v>49680122</v>
      </c>
      <c r="H2382" t="s">
        <v>991</v>
      </c>
    </row>
    <row r="2383" spans="1:8" hidden="1" x14ac:dyDescent="0.3">
      <c r="A2383" s="28">
        <v>13610</v>
      </c>
      <c r="B2383" s="49">
        <v>45044.720138888886</v>
      </c>
      <c r="C2383" s="18">
        <v>45044</v>
      </c>
      <c r="D2383" t="s">
        <v>104</v>
      </c>
      <c r="E2383" s="32">
        <v>0</v>
      </c>
      <c r="F2383" s="32">
        <v>3300000</v>
      </c>
      <c r="G2383" s="32">
        <v>49437022</v>
      </c>
      <c r="H2383" t="s">
        <v>992</v>
      </c>
    </row>
    <row r="2384" spans="1:8" hidden="1" x14ac:dyDescent="0.3">
      <c r="A2384" s="28">
        <v>13609</v>
      </c>
      <c r="B2384" s="49">
        <v>45044.627083333333</v>
      </c>
      <c r="C2384" s="18">
        <v>45044</v>
      </c>
      <c r="D2384" t="s">
        <v>103</v>
      </c>
      <c r="E2384" s="32">
        <v>147400</v>
      </c>
      <c r="F2384" s="32">
        <v>0</v>
      </c>
      <c r="G2384" s="32">
        <v>52737022</v>
      </c>
      <c r="H2384" t="s">
        <v>933</v>
      </c>
    </row>
    <row r="2385" spans="1:8" hidden="1" x14ac:dyDescent="0.3">
      <c r="A2385" s="28">
        <v>13608</v>
      </c>
      <c r="B2385" s="49">
        <v>45044.625</v>
      </c>
      <c r="C2385" s="18">
        <v>45044</v>
      </c>
      <c r="D2385" t="s">
        <v>103</v>
      </c>
      <c r="E2385" s="32">
        <v>1303500</v>
      </c>
      <c r="F2385" s="32">
        <v>0</v>
      </c>
      <c r="G2385" s="32">
        <v>52589622</v>
      </c>
      <c r="H2385" t="s">
        <v>934</v>
      </c>
    </row>
    <row r="2386" spans="1:8" hidden="1" x14ac:dyDescent="0.3">
      <c r="A2386" s="28">
        <v>13607</v>
      </c>
      <c r="B2386" s="49">
        <v>45044.625</v>
      </c>
      <c r="C2386" s="18">
        <v>45044</v>
      </c>
      <c r="D2386" t="s">
        <v>103</v>
      </c>
      <c r="E2386" s="32">
        <v>1817200</v>
      </c>
      <c r="F2386" s="32">
        <v>0</v>
      </c>
      <c r="G2386" s="32">
        <v>51286122</v>
      </c>
      <c r="H2386" t="s">
        <v>934</v>
      </c>
    </row>
    <row r="2387" spans="1:8" hidden="1" x14ac:dyDescent="0.3">
      <c r="A2387" s="28">
        <v>13606</v>
      </c>
      <c r="B2387" s="49">
        <v>45044.625</v>
      </c>
      <c r="C2387" s="18">
        <v>45044</v>
      </c>
      <c r="D2387" t="s">
        <v>103</v>
      </c>
      <c r="E2387" s="32">
        <v>1074700</v>
      </c>
      <c r="F2387" s="32">
        <v>0</v>
      </c>
      <c r="G2387" s="32">
        <v>49468922</v>
      </c>
      <c r="H2387" t="s">
        <v>934</v>
      </c>
    </row>
    <row r="2388" spans="1:8" hidden="1" x14ac:dyDescent="0.3">
      <c r="A2388" s="28">
        <v>13605</v>
      </c>
      <c r="B2388" s="49">
        <v>45044.609027777777</v>
      </c>
      <c r="C2388" s="18">
        <v>45044</v>
      </c>
      <c r="D2388" t="s">
        <v>103</v>
      </c>
      <c r="E2388" s="32">
        <v>740300</v>
      </c>
      <c r="F2388" s="32">
        <v>0</v>
      </c>
      <c r="G2388" s="32">
        <v>48394222</v>
      </c>
      <c r="H2388" t="s">
        <v>944</v>
      </c>
    </row>
    <row r="2389" spans="1:8" hidden="1" x14ac:dyDescent="0.3">
      <c r="A2389" s="28">
        <v>13604</v>
      </c>
      <c r="B2389" s="49">
        <v>45044.60833333333</v>
      </c>
      <c r="C2389" s="18">
        <v>45044</v>
      </c>
      <c r="D2389" t="s">
        <v>103</v>
      </c>
      <c r="E2389" s="32">
        <v>961400</v>
      </c>
      <c r="F2389" s="32">
        <v>0</v>
      </c>
      <c r="G2389" s="32">
        <v>47653922</v>
      </c>
      <c r="H2389" t="s">
        <v>934</v>
      </c>
    </row>
    <row r="2390" spans="1:8" hidden="1" x14ac:dyDescent="0.3">
      <c r="A2390" s="28">
        <v>13603</v>
      </c>
      <c r="B2390" s="49">
        <v>45044.607638888891</v>
      </c>
      <c r="C2390" s="18">
        <v>45044</v>
      </c>
      <c r="D2390" t="s">
        <v>103</v>
      </c>
      <c r="E2390" s="32">
        <v>529100</v>
      </c>
      <c r="F2390" s="32">
        <v>0</v>
      </c>
      <c r="G2390" s="32">
        <v>46692522</v>
      </c>
      <c r="H2390" t="s">
        <v>993</v>
      </c>
    </row>
    <row r="2391" spans="1:8" hidden="1" x14ac:dyDescent="0.3">
      <c r="A2391" s="28">
        <v>13602</v>
      </c>
      <c r="B2391" s="49">
        <v>45044.599305555559</v>
      </c>
      <c r="C2391" s="18">
        <v>45044</v>
      </c>
      <c r="D2391" t="s">
        <v>103</v>
      </c>
      <c r="E2391" s="32">
        <v>2093300</v>
      </c>
      <c r="F2391" s="32">
        <v>0</v>
      </c>
      <c r="G2391" s="32">
        <v>46163422</v>
      </c>
      <c r="H2391" t="s">
        <v>994</v>
      </c>
    </row>
    <row r="2392" spans="1:8" hidden="1" x14ac:dyDescent="0.3">
      <c r="A2392" s="28">
        <v>13601</v>
      </c>
      <c r="B2392" s="49">
        <v>45044.597916666666</v>
      </c>
      <c r="C2392" s="18">
        <v>45044</v>
      </c>
      <c r="D2392" t="s">
        <v>103</v>
      </c>
      <c r="E2392" s="32">
        <v>226600</v>
      </c>
      <c r="F2392" s="32">
        <v>0</v>
      </c>
      <c r="G2392" s="32">
        <v>44070122</v>
      </c>
      <c r="H2392" t="s">
        <v>939</v>
      </c>
    </row>
    <row r="2393" spans="1:8" hidden="1" x14ac:dyDescent="0.3">
      <c r="A2393" s="28">
        <v>13600</v>
      </c>
      <c r="B2393" s="49">
        <v>45044.580555555556</v>
      </c>
      <c r="C2393" s="18">
        <v>45044</v>
      </c>
      <c r="D2393" t="s">
        <v>104</v>
      </c>
      <c r="E2393" s="32">
        <v>0</v>
      </c>
      <c r="F2393" s="32">
        <v>127617</v>
      </c>
      <c r="G2393" s="32">
        <v>43843522</v>
      </c>
      <c r="H2393" t="s">
        <v>864</v>
      </c>
    </row>
    <row r="2394" spans="1:8" hidden="1" x14ac:dyDescent="0.3">
      <c r="A2394" s="28">
        <v>13599</v>
      </c>
      <c r="B2394" s="49">
        <v>45044.573611111111</v>
      </c>
      <c r="C2394" s="18">
        <v>45044</v>
      </c>
      <c r="D2394" t="s">
        <v>103</v>
      </c>
      <c r="E2394" s="32">
        <v>2071300</v>
      </c>
      <c r="F2394" s="32">
        <v>0</v>
      </c>
      <c r="G2394" s="32">
        <v>43971139</v>
      </c>
      <c r="H2394" t="s">
        <v>936</v>
      </c>
    </row>
    <row r="2395" spans="1:8" hidden="1" x14ac:dyDescent="0.3">
      <c r="A2395" s="28">
        <v>13597</v>
      </c>
      <c r="B2395" s="49">
        <v>45044.484722222223</v>
      </c>
      <c r="C2395" s="18">
        <v>45044</v>
      </c>
      <c r="D2395" t="s">
        <v>103</v>
      </c>
      <c r="E2395" s="32">
        <v>2800600</v>
      </c>
      <c r="F2395" s="32">
        <v>0</v>
      </c>
      <c r="G2395" s="32">
        <v>41899839</v>
      </c>
      <c r="H2395" t="s">
        <v>885</v>
      </c>
    </row>
    <row r="2396" spans="1:8" hidden="1" x14ac:dyDescent="0.3">
      <c r="A2396" s="28">
        <v>13596</v>
      </c>
      <c r="B2396" s="49">
        <v>45044.440972222219</v>
      </c>
      <c r="C2396" s="18">
        <v>45044</v>
      </c>
      <c r="D2396" t="s">
        <v>103</v>
      </c>
      <c r="E2396" s="32">
        <v>317900</v>
      </c>
      <c r="F2396" s="32">
        <v>0</v>
      </c>
      <c r="G2396" s="32">
        <v>39099239</v>
      </c>
      <c r="H2396" t="s">
        <v>950</v>
      </c>
    </row>
    <row r="2397" spans="1:8" hidden="1" x14ac:dyDescent="0.3">
      <c r="A2397" s="28">
        <v>13595</v>
      </c>
      <c r="B2397" s="49">
        <v>45044.44027777778</v>
      </c>
      <c r="C2397" s="18">
        <v>45044</v>
      </c>
      <c r="D2397" t="s">
        <v>103</v>
      </c>
      <c r="E2397" s="32">
        <v>2861100</v>
      </c>
      <c r="F2397" s="32">
        <v>0</v>
      </c>
      <c r="G2397" s="32">
        <v>38781339</v>
      </c>
      <c r="H2397" t="s">
        <v>995</v>
      </c>
    </row>
    <row r="2398" spans="1:8" hidden="1" x14ac:dyDescent="0.3">
      <c r="A2398" s="28">
        <v>13594</v>
      </c>
      <c r="B2398" s="49">
        <v>45044.436111111114</v>
      </c>
      <c r="C2398" s="18">
        <v>45044</v>
      </c>
      <c r="D2398" t="s">
        <v>103</v>
      </c>
      <c r="E2398" s="32">
        <v>555500</v>
      </c>
      <c r="F2398" s="32">
        <v>0</v>
      </c>
      <c r="G2398" s="32">
        <v>35920239</v>
      </c>
      <c r="H2398" t="s">
        <v>950</v>
      </c>
    </row>
    <row r="2399" spans="1:8" hidden="1" x14ac:dyDescent="0.3">
      <c r="A2399" s="28">
        <v>13593</v>
      </c>
      <c r="B2399" s="49">
        <v>45044.436111111114</v>
      </c>
      <c r="C2399" s="18">
        <v>45044</v>
      </c>
      <c r="D2399" t="s">
        <v>103</v>
      </c>
      <c r="E2399" s="32">
        <v>844800</v>
      </c>
      <c r="F2399" s="32">
        <v>0</v>
      </c>
      <c r="G2399" s="32">
        <v>35364739</v>
      </c>
      <c r="H2399" t="s">
        <v>950</v>
      </c>
    </row>
    <row r="2400" spans="1:8" hidden="1" x14ac:dyDescent="0.3">
      <c r="A2400" s="28">
        <v>13592</v>
      </c>
      <c r="B2400" s="49">
        <v>45044.436111111114</v>
      </c>
      <c r="C2400" s="18">
        <v>45044</v>
      </c>
      <c r="D2400" t="s">
        <v>103</v>
      </c>
      <c r="E2400" s="32">
        <v>6031300</v>
      </c>
      <c r="F2400" s="32">
        <v>0</v>
      </c>
      <c r="G2400" s="32">
        <v>34519939</v>
      </c>
      <c r="H2400" t="s">
        <v>950</v>
      </c>
    </row>
    <row r="2401" spans="1:8" hidden="1" x14ac:dyDescent="0.3">
      <c r="A2401" s="28">
        <v>13591</v>
      </c>
      <c r="B2401" s="49">
        <v>45044.386111111111</v>
      </c>
      <c r="C2401" s="18">
        <v>45044</v>
      </c>
      <c r="D2401" t="s">
        <v>103</v>
      </c>
      <c r="E2401" s="32">
        <v>2765400</v>
      </c>
      <c r="F2401" s="32">
        <v>0</v>
      </c>
      <c r="G2401" s="32">
        <v>28488639</v>
      </c>
      <c r="H2401" t="s">
        <v>859</v>
      </c>
    </row>
    <row r="2402" spans="1:8" hidden="1" x14ac:dyDescent="0.3">
      <c r="A2402" s="28">
        <v>13590</v>
      </c>
      <c r="B2402" s="49">
        <v>45044.361111111109</v>
      </c>
      <c r="C2402" s="18">
        <v>45044</v>
      </c>
      <c r="D2402" t="s">
        <v>104</v>
      </c>
      <c r="E2402" s="32">
        <v>0</v>
      </c>
      <c r="F2402" s="32">
        <v>198000</v>
      </c>
      <c r="G2402" s="32">
        <v>25723239</v>
      </c>
      <c r="H2402" t="s">
        <v>996</v>
      </c>
    </row>
    <row r="2403" spans="1:8" hidden="1" x14ac:dyDescent="0.3">
      <c r="A2403" s="28">
        <v>13589</v>
      </c>
      <c r="B2403" s="49">
        <v>45044.356944444444</v>
      </c>
      <c r="C2403" s="18">
        <v>45044</v>
      </c>
      <c r="D2403" t="s">
        <v>104</v>
      </c>
      <c r="E2403" s="32">
        <v>0</v>
      </c>
      <c r="F2403" s="32">
        <v>750000</v>
      </c>
      <c r="G2403" s="32">
        <v>25921239</v>
      </c>
      <c r="H2403" t="s">
        <v>997</v>
      </c>
    </row>
    <row r="2404" spans="1:8" hidden="1" x14ac:dyDescent="0.3">
      <c r="A2404" s="28">
        <v>13588</v>
      </c>
      <c r="B2404" s="49">
        <v>45043.785416666666</v>
      </c>
      <c r="C2404" s="18">
        <v>45043</v>
      </c>
      <c r="D2404" t="s">
        <v>104</v>
      </c>
      <c r="E2404" s="32">
        <v>0</v>
      </c>
      <c r="F2404" s="32">
        <v>600000</v>
      </c>
      <c r="G2404" s="32">
        <v>26671239</v>
      </c>
      <c r="H2404" t="s">
        <v>998</v>
      </c>
    </row>
    <row r="2405" spans="1:8" hidden="1" x14ac:dyDescent="0.3">
      <c r="A2405" s="28">
        <v>13587</v>
      </c>
      <c r="B2405" s="49">
        <v>45043.703472222223</v>
      </c>
      <c r="C2405" s="18">
        <v>45043</v>
      </c>
      <c r="D2405" t="s">
        <v>103</v>
      </c>
      <c r="E2405" s="32">
        <v>1557600</v>
      </c>
      <c r="F2405" s="32">
        <v>0</v>
      </c>
      <c r="G2405" s="32">
        <v>27271239</v>
      </c>
      <c r="H2405" t="s">
        <v>938</v>
      </c>
    </row>
    <row r="2406" spans="1:8" hidden="1" x14ac:dyDescent="0.3">
      <c r="A2406" s="28">
        <v>13586</v>
      </c>
      <c r="B2406" s="49">
        <v>45043.703472222223</v>
      </c>
      <c r="C2406" s="18">
        <v>45043</v>
      </c>
      <c r="D2406" t="s">
        <v>103</v>
      </c>
      <c r="E2406" s="32">
        <v>473000</v>
      </c>
      <c r="F2406" s="32">
        <v>0</v>
      </c>
      <c r="G2406" s="32">
        <v>25713639</v>
      </c>
      <c r="H2406" t="s">
        <v>938</v>
      </c>
    </row>
    <row r="2407" spans="1:8" hidden="1" x14ac:dyDescent="0.3">
      <c r="A2407" s="28">
        <v>13585</v>
      </c>
      <c r="B2407" s="49">
        <v>45043.703472222223</v>
      </c>
      <c r="C2407" s="18">
        <v>45043</v>
      </c>
      <c r="D2407" t="s">
        <v>103</v>
      </c>
      <c r="E2407" s="32">
        <v>784300</v>
      </c>
      <c r="F2407" s="32">
        <v>0</v>
      </c>
      <c r="G2407" s="32">
        <v>25240639</v>
      </c>
      <c r="H2407" t="s">
        <v>938</v>
      </c>
    </row>
    <row r="2408" spans="1:8" hidden="1" x14ac:dyDescent="0.3">
      <c r="A2408" s="28">
        <v>13584</v>
      </c>
      <c r="B2408" s="49">
        <v>45043.703472222223</v>
      </c>
      <c r="C2408" s="18">
        <v>45043</v>
      </c>
      <c r="D2408" t="s">
        <v>103</v>
      </c>
      <c r="E2408" s="32">
        <v>2090000</v>
      </c>
      <c r="F2408" s="32">
        <v>0</v>
      </c>
      <c r="G2408" s="32">
        <v>24456339</v>
      </c>
      <c r="H2408" t="s">
        <v>938</v>
      </c>
    </row>
    <row r="2409" spans="1:8" hidden="1" x14ac:dyDescent="0.3">
      <c r="A2409" s="28">
        <v>13580</v>
      </c>
      <c r="B2409" s="49">
        <v>45043.472222222219</v>
      </c>
      <c r="C2409" s="18">
        <v>45043</v>
      </c>
      <c r="D2409" t="s">
        <v>104</v>
      </c>
      <c r="E2409" s="32">
        <v>0</v>
      </c>
      <c r="F2409" s="32">
        <v>1072500</v>
      </c>
      <c r="G2409" s="32">
        <v>22366339</v>
      </c>
      <c r="H2409" t="s">
        <v>999</v>
      </c>
    </row>
    <row r="2410" spans="1:8" hidden="1" x14ac:dyDescent="0.3">
      <c r="A2410" s="28">
        <v>13579</v>
      </c>
      <c r="B2410" s="49">
        <v>45043.458333333336</v>
      </c>
      <c r="C2410" s="18">
        <v>45043</v>
      </c>
      <c r="D2410" t="s">
        <v>103</v>
      </c>
      <c r="E2410" s="32">
        <v>2389200</v>
      </c>
      <c r="F2410" s="32">
        <v>0</v>
      </c>
      <c r="G2410" s="32">
        <v>23438839</v>
      </c>
      <c r="H2410" t="s">
        <v>935</v>
      </c>
    </row>
    <row r="2411" spans="1:8" hidden="1" x14ac:dyDescent="0.3">
      <c r="A2411" s="28">
        <v>13578</v>
      </c>
      <c r="B2411" s="49">
        <v>45043.458333333336</v>
      </c>
      <c r="C2411" s="18">
        <v>45043</v>
      </c>
      <c r="D2411" t="s">
        <v>103</v>
      </c>
      <c r="E2411" s="32">
        <v>3727900</v>
      </c>
      <c r="F2411" s="32">
        <v>0</v>
      </c>
      <c r="G2411" s="32">
        <v>21049639</v>
      </c>
      <c r="H2411" t="s">
        <v>935</v>
      </c>
    </row>
    <row r="2412" spans="1:8" hidden="1" x14ac:dyDescent="0.3">
      <c r="A2412" s="28">
        <v>13577</v>
      </c>
      <c r="B2412" s="49">
        <v>45043.458333333336</v>
      </c>
      <c r="C2412" s="18">
        <v>45043</v>
      </c>
      <c r="D2412" t="s">
        <v>103</v>
      </c>
      <c r="E2412" s="32">
        <v>2141700</v>
      </c>
      <c r="F2412" s="32">
        <v>0</v>
      </c>
      <c r="G2412" s="32">
        <v>17321739</v>
      </c>
      <c r="H2412" t="s">
        <v>935</v>
      </c>
    </row>
    <row r="2413" spans="1:8" hidden="1" x14ac:dyDescent="0.3">
      <c r="A2413" s="28">
        <v>13576</v>
      </c>
      <c r="B2413" s="49">
        <v>45043.442361111112</v>
      </c>
      <c r="C2413" s="18">
        <v>45043</v>
      </c>
      <c r="D2413" t="s">
        <v>104</v>
      </c>
      <c r="E2413" s="32">
        <v>0</v>
      </c>
      <c r="F2413" s="32">
        <v>87120</v>
      </c>
      <c r="G2413" s="32">
        <v>15180039</v>
      </c>
      <c r="H2413" t="s">
        <v>962</v>
      </c>
    </row>
    <row r="2414" spans="1:8" hidden="1" x14ac:dyDescent="0.3">
      <c r="A2414" s="28">
        <v>13575</v>
      </c>
      <c r="B2414" s="49">
        <v>45043.420138888891</v>
      </c>
      <c r="C2414" s="18">
        <v>45043</v>
      </c>
      <c r="D2414" t="s">
        <v>104</v>
      </c>
      <c r="E2414" s="32">
        <v>0</v>
      </c>
      <c r="F2414" s="32">
        <v>39999000</v>
      </c>
      <c r="G2414" s="32">
        <v>15267159</v>
      </c>
      <c r="H2414" t="s">
        <v>1000</v>
      </c>
    </row>
    <row r="2415" spans="1:8" hidden="1" x14ac:dyDescent="0.3">
      <c r="A2415" s="28">
        <v>13574</v>
      </c>
      <c r="B2415" s="49">
        <v>45043.419444444444</v>
      </c>
      <c r="C2415" s="18">
        <v>45043</v>
      </c>
      <c r="D2415" t="s">
        <v>104</v>
      </c>
      <c r="E2415" s="32">
        <v>0</v>
      </c>
      <c r="F2415" s="32">
        <v>130000</v>
      </c>
      <c r="G2415" s="32">
        <v>55266159</v>
      </c>
      <c r="H2415" t="s">
        <v>1001</v>
      </c>
    </row>
    <row r="2416" spans="1:8" hidden="1" x14ac:dyDescent="0.3">
      <c r="A2416" s="28">
        <v>13573</v>
      </c>
      <c r="B2416" s="49">
        <v>45043.418055555558</v>
      </c>
      <c r="C2416" s="18">
        <v>45043</v>
      </c>
      <c r="D2416" t="s">
        <v>104</v>
      </c>
      <c r="E2416" s="32">
        <v>0</v>
      </c>
      <c r="F2416" s="32">
        <v>87757</v>
      </c>
      <c r="G2416" s="32">
        <v>55396159</v>
      </c>
      <c r="H2416" t="s">
        <v>864</v>
      </c>
    </row>
    <row r="2417" spans="1:8" hidden="1" x14ac:dyDescent="0.3">
      <c r="A2417" s="28">
        <v>13570</v>
      </c>
      <c r="B2417" s="49">
        <v>45042.661805555559</v>
      </c>
      <c r="C2417" s="18">
        <v>45042</v>
      </c>
      <c r="D2417" t="s">
        <v>103</v>
      </c>
      <c r="E2417" s="32">
        <v>732600</v>
      </c>
      <c r="F2417" s="32">
        <v>0</v>
      </c>
      <c r="G2417" s="32">
        <v>55483916</v>
      </c>
      <c r="H2417" t="s">
        <v>849</v>
      </c>
    </row>
    <row r="2418" spans="1:8" hidden="1" x14ac:dyDescent="0.3">
      <c r="A2418" s="28">
        <v>13569</v>
      </c>
      <c r="B2418" s="49">
        <v>45042.602083333331</v>
      </c>
      <c r="C2418" s="18">
        <v>45042</v>
      </c>
      <c r="D2418" t="s">
        <v>103</v>
      </c>
      <c r="E2418" s="32">
        <v>3482600</v>
      </c>
      <c r="F2418" s="32">
        <v>0</v>
      </c>
      <c r="G2418" s="32">
        <v>54751316</v>
      </c>
      <c r="H2418" t="s">
        <v>1002</v>
      </c>
    </row>
    <row r="2419" spans="1:8" hidden="1" x14ac:dyDescent="0.3">
      <c r="A2419" s="28">
        <v>13568</v>
      </c>
      <c r="B2419" s="49">
        <v>45042.481944444444</v>
      </c>
      <c r="C2419" s="18">
        <v>45042</v>
      </c>
      <c r="D2419" t="s">
        <v>103</v>
      </c>
      <c r="E2419" s="32">
        <v>360800</v>
      </c>
      <c r="F2419" s="32">
        <v>0</v>
      </c>
      <c r="G2419" s="32">
        <v>51268716</v>
      </c>
      <c r="H2419" t="s">
        <v>932</v>
      </c>
    </row>
    <row r="2420" spans="1:8" hidden="1" x14ac:dyDescent="0.3">
      <c r="A2420" s="28">
        <v>13565</v>
      </c>
      <c r="B2420" s="49">
        <v>45042.453472222223</v>
      </c>
      <c r="C2420" s="18">
        <v>45042</v>
      </c>
      <c r="D2420" t="s">
        <v>104</v>
      </c>
      <c r="E2420" s="32">
        <v>0</v>
      </c>
      <c r="F2420" s="32">
        <v>6600000</v>
      </c>
      <c r="G2420" s="32">
        <v>50907916</v>
      </c>
      <c r="H2420" t="s">
        <v>1003</v>
      </c>
    </row>
    <row r="2421" spans="1:8" hidden="1" x14ac:dyDescent="0.3">
      <c r="A2421" s="28">
        <v>13564</v>
      </c>
      <c r="B2421" s="49">
        <v>45042.366666666669</v>
      </c>
      <c r="C2421" s="18">
        <v>45042</v>
      </c>
      <c r="D2421" t="s">
        <v>104</v>
      </c>
      <c r="E2421" s="32">
        <v>0</v>
      </c>
      <c r="F2421" s="32">
        <v>880000</v>
      </c>
      <c r="G2421" s="32">
        <v>57507916</v>
      </c>
      <c r="H2421" t="s">
        <v>1004</v>
      </c>
    </row>
    <row r="2422" spans="1:8" hidden="1" x14ac:dyDescent="0.3">
      <c r="A2422" s="28">
        <v>13561</v>
      </c>
      <c r="B2422" s="49">
        <v>45041.834027777775</v>
      </c>
      <c r="C2422" s="18">
        <v>45041</v>
      </c>
      <c r="D2422" t="s">
        <v>104</v>
      </c>
      <c r="E2422" s="32">
        <v>0</v>
      </c>
      <c r="F2422" s="32">
        <v>440000</v>
      </c>
      <c r="G2422" s="32">
        <v>58387916</v>
      </c>
      <c r="H2422" t="s">
        <v>946</v>
      </c>
    </row>
    <row r="2423" spans="1:8" hidden="1" x14ac:dyDescent="0.3">
      <c r="A2423" s="28">
        <v>13559</v>
      </c>
      <c r="B2423" s="49">
        <v>45041.640972222223</v>
      </c>
      <c r="C2423" s="18">
        <v>45041</v>
      </c>
      <c r="D2423" t="s">
        <v>103</v>
      </c>
      <c r="E2423" s="32">
        <v>3883000</v>
      </c>
      <c r="F2423" s="32">
        <v>0</v>
      </c>
      <c r="G2423" s="32">
        <v>58827916</v>
      </c>
      <c r="H2423" t="s">
        <v>842</v>
      </c>
    </row>
    <row r="2424" spans="1:8" hidden="1" x14ac:dyDescent="0.3">
      <c r="A2424" s="28">
        <v>13557</v>
      </c>
      <c r="B2424" s="49">
        <v>45041.618055555555</v>
      </c>
      <c r="C2424" s="18">
        <v>45041</v>
      </c>
      <c r="D2424" t="s">
        <v>104</v>
      </c>
      <c r="E2424" s="32">
        <v>0</v>
      </c>
      <c r="F2424" s="32">
        <v>37878410</v>
      </c>
      <c r="G2424" s="32">
        <v>54944916</v>
      </c>
      <c r="H2424" t="s">
        <v>952</v>
      </c>
    </row>
    <row r="2425" spans="1:8" hidden="1" x14ac:dyDescent="0.3">
      <c r="A2425" s="28">
        <v>13556</v>
      </c>
      <c r="B2425" s="49">
        <v>45041.617361111108</v>
      </c>
      <c r="C2425" s="18">
        <v>45041</v>
      </c>
      <c r="D2425" t="s">
        <v>104</v>
      </c>
      <c r="E2425" s="32">
        <v>0</v>
      </c>
      <c r="F2425" s="32">
        <v>10109280</v>
      </c>
      <c r="G2425" s="32">
        <v>92823326</v>
      </c>
      <c r="H2425" t="s">
        <v>952</v>
      </c>
    </row>
    <row r="2426" spans="1:8" hidden="1" x14ac:dyDescent="0.3">
      <c r="A2426" s="28">
        <v>13555</v>
      </c>
      <c r="B2426" s="49">
        <v>45041.617361111108</v>
      </c>
      <c r="C2426" s="18">
        <v>45041</v>
      </c>
      <c r="D2426" t="s">
        <v>103</v>
      </c>
      <c r="E2426" s="32">
        <v>430100</v>
      </c>
      <c r="F2426" s="32">
        <v>0</v>
      </c>
      <c r="G2426" s="32">
        <v>102932606</v>
      </c>
      <c r="H2426" t="s">
        <v>858</v>
      </c>
    </row>
    <row r="2427" spans="1:8" hidden="1" x14ac:dyDescent="0.3">
      <c r="A2427" s="28">
        <v>13554</v>
      </c>
      <c r="B2427" s="49">
        <v>45041.600694444445</v>
      </c>
      <c r="C2427" s="18">
        <v>45041</v>
      </c>
      <c r="D2427" t="s">
        <v>104</v>
      </c>
      <c r="E2427" s="32">
        <v>0</v>
      </c>
      <c r="F2427" s="32">
        <v>544500</v>
      </c>
      <c r="G2427" s="32">
        <v>102502506</v>
      </c>
      <c r="H2427" t="s">
        <v>1005</v>
      </c>
    </row>
    <row r="2428" spans="1:8" hidden="1" x14ac:dyDescent="0.3">
      <c r="A2428" s="28">
        <v>13553</v>
      </c>
      <c r="B2428" s="49">
        <v>45041.597222222219</v>
      </c>
      <c r="C2428" s="18">
        <v>45041</v>
      </c>
      <c r="D2428" t="s">
        <v>103</v>
      </c>
      <c r="E2428" s="32">
        <v>81400</v>
      </c>
      <c r="F2428" s="32">
        <v>0</v>
      </c>
      <c r="G2428" s="32">
        <v>103047006</v>
      </c>
      <c r="H2428" t="s">
        <v>947</v>
      </c>
    </row>
    <row r="2429" spans="1:8" hidden="1" x14ac:dyDescent="0.3">
      <c r="A2429" s="28">
        <v>13552</v>
      </c>
      <c r="B2429" s="49">
        <v>45041.597222222219</v>
      </c>
      <c r="C2429" s="18">
        <v>45041</v>
      </c>
      <c r="D2429" t="s">
        <v>103</v>
      </c>
      <c r="E2429" s="32">
        <v>237600</v>
      </c>
      <c r="F2429" s="32">
        <v>0</v>
      </c>
      <c r="G2429" s="32">
        <v>102965606</v>
      </c>
      <c r="H2429" t="s">
        <v>947</v>
      </c>
    </row>
    <row r="2430" spans="1:8" hidden="1" x14ac:dyDescent="0.3">
      <c r="A2430" s="28">
        <v>13551</v>
      </c>
      <c r="B2430" s="49">
        <v>45041.597222222219</v>
      </c>
      <c r="C2430" s="18">
        <v>45041</v>
      </c>
      <c r="D2430" t="s">
        <v>103</v>
      </c>
      <c r="E2430" s="32">
        <v>1156100</v>
      </c>
      <c r="F2430" s="32">
        <v>0</v>
      </c>
      <c r="G2430" s="32">
        <v>102728006</v>
      </c>
      <c r="H2430" t="s">
        <v>947</v>
      </c>
    </row>
    <row r="2431" spans="1:8" hidden="1" x14ac:dyDescent="0.3">
      <c r="A2431" s="28">
        <v>13550</v>
      </c>
      <c r="B2431" s="49">
        <v>45041.597222222219</v>
      </c>
      <c r="C2431" s="18">
        <v>45041</v>
      </c>
      <c r="D2431" t="s">
        <v>103</v>
      </c>
      <c r="E2431" s="32">
        <v>400400</v>
      </c>
      <c r="F2431" s="32">
        <v>0</v>
      </c>
      <c r="G2431" s="32">
        <v>101571906</v>
      </c>
      <c r="H2431" t="s">
        <v>947</v>
      </c>
    </row>
    <row r="2432" spans="1:8" hidden="1" x14ac:dyDescent="0.3">
      <c r="A2432" s="28">
        <v>13549</v>
      </c>
      <c r="B2432" s="49">
        <v>45041.597222222219</v>
      </c>
      <c r="C2432" s="18">
        <v>45041</v>
      </c>
      <c r="D2432" t="s">
        <v>103</v>
      </c>
      <c r="E2432" s="32">
        <v>301400</v>
      </c>
      <c r="F2432" s="32">
        <v>0</v>
      </c>
      <c r="G2432" s="32">
        <v>101171506</v>
      </c>
      <c r="H2432" t="s">
        <v>947</v>
      </c>
    </row>
    <row r="2433" spans="1:8" hidden="1" x14ac:dyDescent="0.3">
      <c r="A2433" s="28">
        <v>13548</v>
      </c>
      <c r="B2433" s="49">
        <v>45041.479166666664</v>
      </c>
      <c r="C2433" s="18">
        <v>45041</v>
      </c>
      <c r="D2433" t="s">
        <v>103</v>
      </c>
      <c r="E2433" s="32">
        <v>1448700</v>
      </c>
      <c r="F2433" s="32">
        <v>0</v>
      </c>
      <c r="G2433" s="32">
        <v>100870106</v>
      </c>
      <c r="H2433" t="s">
        <v>1006</v>
      </c>
    </row>
    <row r="2434" spans="1:8" hidden="1" x14ac:dyDescent="0.3">
      <c r="A2434" s="28">
        <v>13546</v>
      </c>
      <c r="B2434" s="49">
        <v>45041.447222222225</v>
      </c>
      <c r="C2434" s="18">
        <v>45041</v>
      </c>
      <c r="D2434" t="s">
        <v>103</v>
      </c>
      <c r="E2434" s="32">
        <v>171600</v>
      </c>
      <c r="F2434" s="32">
        <v>0</v>
      </c>
      <c r="G2434" s="32">
        <v>99421406</v>
      </c>
      <c r="H2434" t="s">
        <v>1007</v>
      </c>
    </row>
    <row r="2435" spans="1:8" hidden="1" x14ac:dyDescent="0.3">
      <c r="A2435" s="28">
        <v>13545</v>
      </c>
      <c r="B2435" s="49">
        <v>45041.419444444444</v>
      </c>
      <c r="C2435" s="18">
        <v>45041</v>
      </c>
      <c r="D2435" t="s">
        <v>103</v>
      </c>
      <c r="E2435" s="32">
        <v>2647700</v>
      </c>
      <c r="F2435" s="32">
        <v>0</v>
      </c>
      <c r="G2435" s="32">
        <v>99249806</v>
      </c>
      <c r="H2435" t="s">
        <v>1008</v>
      </c>
    </row>
    <row r="2436" spans="1:8" hidden="1" x14ac:dyDescent="0.3">
      <c r="A2436" s="28">
        <v>13544</v>
      </c>
      <c r="B2436" s="49">
        <v>45041.393055555556</v>
      </c>
      <c r="C2436" s="18">
        <v>45041</v>
      </c>
      <c r="D2436" t="s">
        <v>104</v>
      </c>
      <c r="E2436" s="32">
        <v>0</v>
      </c>
      <c r="F2436" s="32">
        <v>450000</v>
      </c>
      <c r="G2436" s="32">
        <v>96602106</v>
      </c>
      <c r="H2436" t="s">
        <v>847</v>
      </c>
    </row>
    <row r="2437" spans="1:8" hidden="1" x14ac:dyDescent="0.3">
      <c r="A2437" s="28">
        <v>13543</v>
      </c>
      <c r="B2437" s="49">
        <v>45040.70416666667</v>
      </c>
      <c r="C2437" s="18">
        <v>45040</v>
      </c>
      <c r="D2437" t="s">
        <v>104</v>
      </c>
      <c r="E2437" s="32">
        <v>0</v>
      </c>
      <c r="F2437" s="32">
        <v>105510</v>
      </c>
      <c r="G2437" s="32">
        <v>97052106</v>
      </c>
      <c r="H2437" t="s">
        <v>864</v>
      </c>
    </row>
    <row r="2438" spans="1:8" hidden="1" x14ac:dyDescent="0.3">
      <c r="A2438" s="28">
        <v>13539</v>
      </c>
      <c r="B2438" s="49">
        <v>45040.406944444447</v>
      </c>
      <c r="C2438" s="18">
        <v>45040</v>
      </c>
      <c r="D2438" t="s">
        <v>103</v>
      </c>
      <c r="E2438" s="32">
        <v>102300</v>
      </c>
      <c r="F2438" s="32">
        <v>0</v>
      </c>
      <c r="G2438" s="32">
        <v>97157616</v>
      </c>
      <c r="H2438" t="s">
        <v>1009</v>
      </c>
    </row>
    <row r="2439" spans="1:8" hidden="1" x14ac:dyDescent="0.3">
      <c r="A2439" s="28">
        <v>13538</v>
      </c>
      <c r="B2439" s="49">
        <v>45040.404861111114</v>
      </c>
      <c r="C2439" s="18">
        <v>45040</v>
      </c>
      <c r="D2439" t="s">
        <v>103</v>
      </c>
      <c r="E2439" s="32">
        <v>696300</v>
      </c>
      <c r="F2439" s="32">
        <v>0</v>
      </c>
      <c r="G2439" s="32">
        <v>97055316</v>
      </c>
      <c r="H2439" t="s">
        <v>867</v>
      </c>
    </row>
    <row r="2440" spans="1:8" hidden="1" x14ac:dyDescent="0.3">
      <c r="A2440" s="28">
        <v>13534</v>
      </c>
      <c r="B2440" s="49">
        <v>45037.672222222223</v>
      </c>
      <c r="C2440" s="18">
        <v>45037</v>
      </c>
      <c r="D2440" t="s">
        <v>103</v>
      </c>
      <c r="E2440" s="32">
        <v>5716120</v>
      </c>
      <c r="F2440" s="32">
        <v>0</v>
      </c>
      <c r="G2440" s="32">
        <v>96359016</v>
      </c>
      <c r="H2440" t="s">
        <v>1010</v>
      </c>
    </row>
    <row r="2441" spans="1:8" hidden="1" x14ac:dyDescent="0.3">
      <c r="A2441" s="28">
        <v>13533</v>
      </c>
      <c r="B2441" s="49">
        <v>45037.623611111114</v>
      </c>
      <c r="C2441" s="18">
        <v>45037</v>
      </c>
      <c r="D2441" t="s">
        <v>103</v>
      </c>
      <c r="E2441" s="32">
        <v>346090</v>
      </c>
      <c r="F2441" s="32">
        <v>0</v>
      </c>
      <c r="G2441" s="32">
        <v>90642896</v>
      </c>
      <c r="H2441" t="s">
        <v>1011</v>
      </c>
    </row>
    <row r="2442" spans="1:8" hidden="1" x14ac:dyDescent="0.3">
      <c r="A2442" s="28">
        <v>13532</v>
      </c>
      <c r="B2442" s="49">
        <v>45037.566666666666</v>
      </c>
      <c r="C2442" s="18">
        <v>45037</v>
      </c>
      <c r="D2442" t="s">
        <v>103</v>
      </c>
      <c r="E2442" s="32">
        <v>3718000</v>
      </c>
      <c r="F2442" s="32">
        <v>0</v>
      </c>
      <c r="G2442" s="32">
        <v>90296806</v>
      </c>
      <c r="H2442" t="s">
        <v>924</v>
      </c>
    </row>
    <row r="2443" spans="1:8" hidden="1" x14ac:dyDescent="0.3">
      <c r="A2443" s="28">
        <v>13530</v>
      </c>
      <c r="B2443" s="49">
        <v>45037.478472222225</v>
      </c>
      <c r="C2443" s="18">
        <v>45037</v>
      </c>
      <c r="D2443" t="s">
        <v>104</v>
      </c>
      <c r="E2443" s="32">
        <v>0</v>
      </c>
      <c r="F2443" s="32">
        <v>24435060</v>
      </c>
      <c r="G2443" s="32">
        <v>86578806</v>
      </c>
      <c r="H2443" t="s">
        <v>1012</v>
      </c>
    </row>
    <row r="2444" spans="1:8" hidden="1" x14ac:dyDescent="0.3">
      <c r="A2444" s="28">
        <v>13529</v>
      </c>
      <c r="B2444" s="49">
        <v>45037.473611111112</v>
      </c>
      <c r="C2444" s="18">
        <v>45037</v>
      </c>
      <c r="D2444" t="s">
        <v>104</v>
      </c>
      <c r="E2444" s="32">
        <v>0</v>
      </c>
      <c r="F2444" s="32">
        <v>267360</v>
      </c>
      <c r="G2444" s="32">
        <v>111013866</v>
      </c>
      <c r="H2444" t="s">
        <v>1013</v>
      </c>
    </row>
    <row r="2445" spans="1:8" hidden="1" x14ac:dyDescent="0.3">
      <c r="A2445" s="28">
        <v>13528</v>
      </c>
      <c r="B2445" s="49">
        <v>45037.428472222222</v>
      </c>
      <c r="C2445" s="18">
        <v>45037</v>
      </c>
      <c r="D2445" t="s">
        <v>103</v>
      </c>
      <c r="E2445" s="32">
        <v>669900</v>
      </c>
      <c r="F2445" s="32">
        <v>0</v>
      </c>
      <c r="G2445" s="32">
        <v>111281226</v>
      </c>
      <c r="H2445" t="s">
        <v>866</v>
      </c>
    </row>
    <row r="2446" spans="1:8" hidden="1" x14ac:dyDescent="0.3">
      <c r="A2446" s="28">
        <v>13527</v>
      </c>
      <c r="B2446" s="49">
        <v>45037.422222222223</v>
      </c>
      <c r="C2446" s="18">
        <v>45037</v>
      </c>
      <c r="D2446" t="s">
        <v>104</v>
      </c>
      <c r="E2446" s="32">
        <v>0</v>
      </c>
      <c r="F2446" s="32">
        <v>2317439</v>
      </c>
      <c r="G2446" s="32">
        <v>110611326</v>
      </c>
      <c r="H2446" t="s">
        <v>1014</v>
      </c>
    </row>
    <row r="2447" spans="1:8" hidden="1" x14ac:dyDescent="0.3">
      <c r="A2447" s="28">
        <v>13526</v>
      </c>
      <c r="B2447" s="49">
        <v>45036.850694444445</v>
      </c>
      <c r="C2447" s="18">
        <v>45036</v>
      </c>
      <c r="D2447" t="s">
        <v>104</v>
      </c>
      <c r="E2447" s="32">
        <v>0</v>
      </c>
      <c r="F2447" s="32">
        <v>598530</v>
      </c>
      <c r="G2447" s="32">
        <v>112928765</v>
      </c>
      <c r="H2447" t="s">
        <v>854</v>
      </c>
    </row>
    <row r="2448" spans="1:8" hidden="1" x14ac:dyDescent="0.3">
      <c r="A2448" s="28">
        <v>13525</v>
      </c>
      <c r="B2448" s="49">
        <v>45036.82916666667</v>
      </c>
      <c r="C2448" s="18">
        <v>45036</v>
      </c>
      <c r="D2448" t="s">
        <v>104</v>
      </c>
      <c r="E2448" s="32">
        <v>0</v>
      </c>
      <c r="F2448" s="32">
        <v>284477</v>
      </c>
      <c r="G2448" s="32">
        <v>113527295</v>
      </c>
      <c r="H2448" t="s">
        <v>855</v>
      </c>
    </row>
    <row r="2449" spans="1:8" hidden="1" x14ac:dyDescent="0.3">
      <c r="A2449" s="28">
        <v>13524</v>
      </c>
      <c r="B2449" s="49">
        <v>45036.820138888892</v>
      </c>
      <c r="C2449" s="18">
        <v>45036</v>
      </c>
      <c r="D2449" t="s">
        <v>104</v>
      </c>
      <c r="E2449" s="32">
        <v>0</v>
      </c>
      <c r="F2449" s="32">
        <v>77429</v>
      </c>
      <c r="G2449" s="32">
        <v>113811772</v>
      </c>
      <c r="H2449" t="s">
        <v>1015</v>
      </c>
    </row>
    <row r="2450" spans="1:8" hidden="1" x14ac:dyDescent="0.3">
      <c r="A2450" s="28">
        <v>13523</v>
      </c>
      <c r="B2450" s="49">
        <v>45036.815972222219</v>
      </c>
      <c r="C2450" s="18">
        <v>45036</v>
      </c>
      <c r="D2450" t="s">
        <v>104</v>
      </c>
      <c r="E2450" s="32">
        <v>0</v>
      </c>
      <c r="F2450" s="32">
        <v>1000000</v>
      </c>
      <c r="G2450" s="32">
        <v>113889201</v>
      </c>
      <c r="H2450" t="s">
        <v>1016</v>
      </c>
    </row>
    <row r="2451" spans="1:8" hidden="1" x14ac:dyDescent="0.3">
      <c r="A2451" s="28">
        <v>13522</v>
      </c>
      <c r="B2451" s="49">
        <v>45036.753472222219</v>
      </c>
      <c r="C2451" s="18">
        <v>45036</v>
      </c>
      <c r="D2451" t="s">
        <v>103</v>
      </c>
      <c r="E2451" s="32">
        <v>379500</v>
      </c>
      <c r="F2451" s="32">
        <v>0</v>
      </c>
      <c r="G2451" s="32">
        <v>114889201</v>
      </c>
      <c r="H2451" t="s">
        <v>1017</v>
      </c>
    </row>
    <row r="2452" spans="1:8" hidden="1" x14ac:dyDescent="0.3">
      <c r="A2452" s="28">
        <v>13521</v>
      </c>
      <c r="B2452" s="49">
        <v>45036.70208333333</v>
      </c>
      <c r="C2452" s="18">
        <v>45036</v>
      </c>
      <c r="D2452" t="s">
        <v>104</v>
      </c>
      <c r="E2452" s="32">
        <v>0</v>
      </c>
      <c r="F2452" s="32">
        <v>9278120</v>
      </c>
      <c r="G2452" s="32">
        <v>114509701</v>
      </c>
      <c r="H2452" t="s">
        <v>853</v>
      </c>
    </row>
    <row r="2453" spans="1:8" hidden="1" x14ac:dyDescent="0.3">
      <c r="A2453" s="28">
        <v>13520</v>
      </c>
      <c r="B2453" s="49">
        <v>45036.7</v>
      </c>
      <c r="C2453" s="18">
        <v>45036</v>
      </c>
      <c r="D2453" t="s">
        <v>103</v>
      </c>
      <c r="E2453" s="32">
        <v>575300</v>
      </c>
      <c r="F2453" s="32">
        <v>0</v>
      </c>
      <c r="G2453" s="32">
        <v>123787821</v>
      </c>
      <c r="H2453" t="s">
        <v>1018</v>
      </c>
    </row>
    <row r="2454" spans="1:8" hidden="1" x14ac:dyDescent="0.3">
      <c r="A2454" s="28">
        <v>13519</v>
      </c>
      <c r="B2454" s="49">
        <v>45036.664583333331</v>
      </c>
      <c r="C2454" s="18">
        <v>45036</v>
      </c>
      <c r="D2454" t="s">
        <v>103</v>
      </c>
      <c r="E2454" s="32">
        <v>911900</v>
      </c>
      <c r="F2454" s="32">
        <v>0</v>
      </c>
      <c r="G2454" s="32">
        <v>123212521</v>
      </c>
      <c r="H2454" t="s">
        <v>1019</v>
      </c>
    </row>
    <row r="2455" spans="1:8" hidden="1" x14ac:dyDescent="0.3">
      <c r="A2455" s="28">
        <v>13518</v>
      </c>
      <c r="B2455" s="49">
        <v>45036.63958333333</v>
      </c>
      <c r="C2455" s="18">
        <v>45036</v>
      </c>
      <c r="D2455" t="s">
        <v>103</v>
      </c>
      <c r="E2455" s="32">
        <v>218900</v>
      </c>
      <c r="F2455" s="32">
        <v>0</v>
      </c>
      <c r="G2455" s="32">
        <v>122300621</v>
      </c>
      <c r="H2455" t="s">
        <v>1020</v>
      </c>
    </row>
    <row r="2456" spans="1:8" hidden="1" x14ac:dyDescent="0.3">
      <c r="A2456" s="28">
        <v>13517</v>
      </c>
      <c r="B2456" s="49">
        <v>45036.631944444445</v>
      </c>
      <c r="C2456" s="18">
        <v>45036</v>
      </c>
      <c r="D2456" t="s">
        <v>103</v>
      </c>
      <c r="E2456" s="32">
        <v>235400</v>
      </c>
      <c r="F2456" s="32">
        <v>0</v>
      </c>
      <c r="G2456" s="32">
        <v>122081721</v>
      </c>
      <c r="H2456" t="s">
        <v>939</v>
      </c>
    </row>
    <row r="2457" spans="1:8" hidden="1" x14ac:dyDescent="0.3">
      <c r="A2457" s="28">
        <v>13516</v>
      </c>
      <c r="B2457" s="49">
        <v>45036.5</v>
      </c>
      <c r="C2457" s="18">
        <v>45036</v>
      </c>
      <c r="D2457" t="s">
        <v>103</v>
      </c>
      <c r="E2457" s="32">
        <v>283800</v>
      </c>
      <c r="F2457" s="32">
        <v>0</v>
      </c>
      <c r="G2457" s="32">
        <v>121846321</v>
      </c>
      <c r="H2457" t="s">
        <v>1021</v>
      </c>
    </row>
    <row r="2458" spans="1:8" hidden="1" x14ac:dyDescent="0.3">
      <c r="A2458" s="28">
        <v>13514</v>
      </c>
      <c r="B2458" s="49">
        <v>45036.45208333333</v>
      </c>
      <c r="C2458" s="18">
        <v>45036</v>
      </c>
      <c r="D2458" t="s">
        <v>103</v>
      </c>
      <c r="E2458" s="32">
        <v>70100</v>
      </c>
      <c r="F2458" s="32">
        <v>0</v>
      </c>
      <c r="G2458" s="32">
        <v>121562521</v>
      </c>
      <c r="H2458" t="s">
        <v>910</v>
      </c>
    </row>
    <row r="2459" spans="1:8" hidden="1" x14ac:dyDescent="0.3">
      <c r="A2459" s="28">
        <v>13513</v>
      </c>
      <c r="B2459" s="49">
        <v>45036.451388888891</v>
      </c>
      <c r="C2459" s="18">
        <v>45036</v>
      </c>
      <c r="D2459" t="s">
        <v>103</v>
      </c>
      <c r="E2459" s="32">
        <v>701000</v>
      </c>
      <c r="F2459" s="32">
        <v>0</v>
      </c>
      <c r="G2459" s="32">
        <v>121492421</v>
      </c>
      <c r="H2459" t="s">
        <v>905</v>
      </c>
    </row>
    <row r="2460" spans="1:8" hidden="1" x14ac:dyDescent="0.3">
      <c r="A2460" s="28">
        <v>13512</v>
      </c>
      <c r="B2460" s="49">
        <v>45036.440972222219</v>
      </c>
      <c r="C2460" s="18">
        <v>45036</v>
      </c>
      <c r="D2460" t="s">
        <v>103</v>
      </c>
      <c r="E2460" s="32">
        <v>21200</v>
      </c>
      <c r="F2460" s="32">
        <v>0</v>
      </c>
      <c r="G2460" s="32">
        <v>120791421</v>
      </c>
      <c r="H2460" t="s">
        <v>1022</v>
      </c>
    </row>
    <row r="2461" spans="1:8" hidden="1" x14ac:dyDescent="0.3">
      <c r="A2461" s="28">
        <v>13511</v>
      </c>
      <c r="B2461" s="49">
        <v>45036.440972222219</v>
      </c>
      <c r="C2461" s="18">
        <v>45036</v>
      </c>
      <c r="D2461" t="s">
        <v>103</v>
      </c>
      <c r="E2461" s="32">
        <v>212000</v>
      </c>
      <c r="F2461" s="32">
        <v>0</v>
      </c>
      <c r="G2461" s="32">
        <v>120770221</v>
      </c>
      <c r="H2461" t="s">
        <v>1022</v>
      </c>
    </row>
    <row r="2462" spans="1:8" hidden="1" x14ac:dyDescent="0.3">
      <c r="A2462" s="28">
        <v>13510</v>
      </c>
      <c r="B2462" s="49">
        <v>45036.420138888891</v>
      </c>
      <c r="C2462" s="18">
        <v>45036</v>
      </c>
      <c r="D2462" t="s">
        <v>104</v>
      </c>
      <c r="E2462" s="32">
        <v>0</v>
      </c>
      <c r="F2462" s="32">
        <v>1090520</v>
      </c>
      <c r="G2462" s="32">
        <v>120558221</v>
      </c>
      <c r="H2462" t="s">
        <v>863</v>
      </c>
    </row>
    <row r="2463" spans="1:8" hidden="1" x14ac:dyDescent="0.3">
      <c r="A2463" s="28">
        <v>13509</v>
      </c>
      <c r="B2463" s="49">
        <v>45036.376388888886</v>
      </c>
      <c r="C2463" s="18">
        <v>45036</v>
      </c>
      <c r="D2463" t="s">
        <v>103</v>
      </c>
      <c r="E2463" s="32">
        <v>669900</v>
      </c>
      <c r="F2463" s="32">
        <v>0</v>
      </c>
      <c r="G2463" s="32">
        <v>121648741</v>
      </c>
      <c r="H2463" t="s">
        <v>1023</v>
      </c>
    </row>
    <row r="2464" spans="1:8" hidden="1" x14ac:dyDescent="0.3">
      <c r="A2464" s="28">
        <v>13508</v>
      </c>
      <c r="B2464" s="49">
        <v>45035.805555555555</v>
      </c>
      <c r="C2464" s="18">
        <v>45035</v>
      </c>
      <c r="D2464" t="s">
        <v>104</v>
      </c>
      <c r="E2464" s="32">
        <v>0</v>
      </c>
      <c r="F2464" s="32">
        <v>11027</v>
      </c>
      <c r="G2464" s="32">
        <v>120978841</v>
      </c>
      <c r="H2464" t="s">
        <v>871</v>
      </c>
    </row>
    <row r="2465" spans="1:8" hidden="1" x14ac:dyDescent="0.3">
      <c r="A2465" s="28">
        <v>13506</v>
      </c>
      <c r="B2465" s="49">
        <v>45035.709027777775</v>
      </c>
      <c r="C2465" s="18">
        <v>45035</v>
      </c>
      <c r="D2465" t="s">
        <v>103</v>
      </c>
      <c r="E2465" s="32">
        <v>3236200</v>
      </c>
      <c r="F2465" s="32">
        <v>0</v>
      </c>
      <c r="G2465" s="32">
        <v>120989868</v>
      </c>
      <c r="H2465" t="s">
        <v>995</v>
      </c>
    </row>
    <row r="2466" spans="1:8" hidden="1" x14ac:dyDescent="0.3">
      <c r="A2466" s="28">
        <v>13505</v>
      </c>
      <c r="B2466" s="49">
        <v>45035.617361111108</v>
      </c>
      <c r="C2466" s="18">
        <v>45035</v>
      </c>
      <c r="D2466" t="s">
        <v>103</v>
      </c>
      <c r="E2466" s="32">
        <v>4748700</v>
      </c>
      <c r="F2466" s="32">
        <v>0</v>
      </c>
      <c r="G2466" s="32">
        <v>117753668</v>
      </c>
      <c r="H2466" t="s">
        <v>1024</v>
      </c>
    </row>
    <row r="2467" spans="1:8" hidden="1" x14ac:dyDescent="0.3">
      <c r="A2467" s="28">
        <v>13503</v>
      </c>
      <c r="B2467" s="49">
        <v>45035.413888888892</v>
      </c>
      <c r="C2467" s="18">
        <v>45035</v>
      </c>
      <c r="D2467" t="s">
        <v>104</v>
      </c>
      <c r="E2467" s="32">
        <v>0</v>
      </c>
      <c r="F2467" s="32">
        <v>720000</v>
      </c>
      <c r="G2467" s="32">
        <v>113004968</v>
      </c>
      <c r="H2467" t="s">
        <v>1025</v>
      </c>
    </row>
    <row r="2468" spans="1:8" hidden="1" x14ac:dyDescent="0.3">
      <c r="A2468" s="28">
        <v>13501</v>
      </c>
      <c r="B2468" s="49">
        <v>45034.70416666667</v>
      </c>
      <c r="C2468" s="18">
        <v>45034</v>
      </c>
      <c r="D2468" t="s">
        <v>104</v>
      </c>
      <c r="E2468" s="32">
        <v>0</v>
      </c>
      <c r="F2468" s="32">
        <v>1187080</v>
      </c>
      <c r="G2468" s="32">
        <v>113724968</v>
      </c>
      <c r="H2468" t="s">
        <v>860</v>
      </c>
    </row>
    <row r="2469" spans="1:8" hidden="1" x14ac:dyDescent="0.3">
      <c r="A2469" s="28">
        <v>13500</v>
      </c>
      <c r="B2469" s="49">
        <v>45034.702777777777</v>
      </c>
      <c r="C2469" s="18">
        <v>45034</v>
      </c>
      <c r="D2469" t="s">
        <v>104</v>
      </c>
      <c r="E2469" s="32">
        <v>0</v>
      </c>
      <c r="F2469" s="32">
        <v>233237</v>
      </c>
      <c r="G2469" s="32">
        <v>114912048</v>
      </c>
      <c r="H2469" t="s">
        <v>864</v>
      </c>
    </row>
    <row r="2470" spans="1:8" hidden="1" x14ac:dyDescent="0.3">
      <c r="A2470" s="28">
        <v>13499</v>
      </c>
      <c r="B2470" s="49">
        <v>45034.554861111108</v>
      </c>
      <c r="C2470" s="18">
        <v>45034</v>
      </c>
      <c r="D2470" t="s">
        <v>103</v>
      </c>
      <c r="E2470" s="32">
        <v>512600</v>
      </c>
      <c r="F2470" s="32">
        <v>0</v>
      </c>
      <c r="G2470" s="32">
        <v>115145285</v>
      </c>
      <c r="H2470" t="s">
        <v>867</v>
      </c>
    </row>
    <row r="2471" spans="1:8" hidden="1" x14ac:dyDescent="0.3">
      <c r="A2471" s="28">
        <v>13498</v>
      </c>
      <c r="B2471" s="49">
        <v>45034.5</v>
      </c>
      <c r="C2471" s="18">
        <v>45034</v>
      </c>
      <c r="D2471" t="s">
        <v>103</v>
      </c>
      <c r="E2471" s="32">
        <v>1224300</v>
      </c>
      <c r="F2471" s="32">
        <v>0</v>
      </c>
      <c r="G2471" s="32">
        <v>114632685</v>
      </c>
      <c r="H2471" t="s">
        <v>1026</v>
      </c>
    </row>
    <row r="2472" spans="1:8" hidden="1" x14ac:dyDescent="0.3">
      <c r="A2472" s="28">
        <v>13496</v>
      </c>
      <c r="B2472" s="49">
        <v>45034.384722222225</v>
      </c>
      <c r="C2472" s="18">
        <v>45034</v>
      </c>
      <c r="D2472" t="s">
        <v>103</v>
      </c>
      <c r="E2472" s="32">
        <v>1398100</v>
      </c>
      <c r="F2472" s="32">
        <v>0</v>
      </c>
      <c r="G2472" s="32">
        <v>113408385</v>
      </c>
      <c r="H2472" t="s">
        <v>912</v>
      </c>
    </row>
    <row r="2473" spans="1:8" hidden="1" x14ac:dyDescent="0.3">
      <c r="A2473" s="28">
        <v>13495</v>
      </c>
      <c r="B2473" s="49">
        <v>45033.836111111108</v>
      </c>
      <c r="C2473" s="18">
        <v>45033</v>
      </c>
      <c r="D2473" t="s">
        <v>104</v>
      </c>
      <c r="E2473" s="32">
        <v>0</v>
      </c>
      <c r="F2473" s="32">
        <v>434256</v>
      </c>
      <c r="G2473" s="32">
        <v>112010285</v>
      </c>
      <c r="H2473" t="s">
        <v>878</v>
      </c>
    </row>
    <row r="2474" spans="1:8" hidden="1" x14ac:dyDescent="0.3">
      <c r="A2474" s="28">
        <v>13494</v>
      </c>
      <c r="B2474" s="49">
        <v>45033.811805555553</v>
      </c>
      <c r="C2474" s="18">
        <v>45033</v>
      </c>
      <c r="D2474" t="s">
        <v>104</v>
      </c>
      <c r="E2474" s="32">
        <v>0</v>
      </c>
      <c r="F2474" s="32">
        <v>878153</v>
      </c>
      <c r="G2474" s="32">
        <v>112444541</v>
      </c>
      <c r="H2474" t="s">
        <v>872</v>
      </c>
    </row>
    <row r="2475" spans="1:8" hidden="1" x14ac:dyDescent="0.3">
      <c r="A2475" s="28">
        <v>13493</v>
      </c>
      <c r="B2475" s="49">
        <v>45033.811805555553</v>
      </c>
      <c r="C2475" s="18">
        <v>45033</v>
      </c>
      <c r="D2475" t="s">
        <v>104</v>
      </c>
      <c r="E2475" s="32">
        <v>0</v>
      </c>
      <c r="F2475" s="32">
        <v>636470</v>
      </c>
      <c r="G2475" s="32">
        <v>113322694</v>
      </c>
      <c r="H2475" t="s">
        <v>872</v>
      </c>
    </row>
    <row r="2476" spans="1:8" hidden="1" x14ac:dyDescent="0.3">
      <c r="A2476" s="28">
        <v>13492</v>
      </c>
      <c r="B2476" s="49">
        <v>45033.811805555553</v>
      </c>
      <c r="C2476" s="18">
        <v>45033</v>
      </c>
      <c r="D2476" t="s">
        <v>104</v>
      </c>
      <c r="E2476" s="32">
        <v>0</v>
      </c>
      <c r="F2476" s="32">
        <v>116060</v>
      </c>
      <c r="G2476" s="32">
        <v>113959164</v>
      </c>
      <c r="H2476" t="s">
        <v>872</v>
      </c>
    </row>
    <row r="2477" spans="1:8" hidden="1" x14ac:dyDescent="0.3">
      <c r="A2477" s="28">
        <v>13491</v>
      </c>
      <c r="B2477" s="49">
        <v>45033.811805555553</v>
      </c>
      <c r="C2477" s="18">
        <v>45033</v>
      </c>
      <c r="D2477" t="s">
        <v>104</v>
      </c>
      <c r="E2477" s="32">
        <v>0</v>
      </c>
      <c r="F2477" s="32">
        <v>790549</v>
      </c>
      <c r="G2477" s="32">
        <v>114075224</v>
      </c>
      <c r="H2477" t="s">
        <v>872</v>
      </c>
    </row>
    <row r="2478" spans="1:8" hidden="1" x14ac:dyDescent="0.3">
      <c r="A2478" s="28">
        <v>13490</v>
      </c>
      <c r="B2478" s="49">
        <v>45033.809027777781</v>
      </c>
      <c r="C2478" s="18">
        <v>45033</v>
      </c>
      <c r="D2478" t="s">
        <v>104</v>
      </c>
      <c r="E2478" s="32">
        <v>0</v>
      </c>
      <c r="F2478" s="32">
        <v>82500</v>
      </c>
      <c r="G2478" s="32">
        <v>114865773</v>
      </c>
      <c r="H2478" t="s">
        <v>879</v>
      </c>
    </row>
    <row r="2479" spans="1:8" hidden="1" x14ac:dyDescent="0.3">
      <c r="A2479" s="28">
        <v>13488</v>
      </c>
      <c r="B2479" s="49">
        <v>45033.762499999997</v>
      </c>
      <c r="C2479" s="18">
        <v>45033</v>
      </c>
      <c r="D2479" t="s">
        <v>104</v>
      </c>
      <c r="E2479" s="32">
        <v>0</v>
      </c>
      <c r="F2479" s="32">
        <v>19554016</v>
      </c>
      <c r="G2479" s="32">
        <v>114948273</v>
      </c>
      <c r="H2479" t="s">
        <v>881</v>
      </c>
    </row>
    <row r="2480" spans="1:8" hidden="1" x14ac:dyDescent="0.3">
      <c r="A2480" s="28">
        <v>13486</v>
      </c>
      <c r="B2480" s="49">
        <v>45033.696527777778</v>
      </c>
      <c r="C2480" s="18">
        <v>45033</v>
      </c>
      <c r="D2480" t="s">
        <v>104</v>
      </c>
      <c r="E2480" s="32">
        <v>0</v>
      </c>
      <c r="F2480" s="32">
        <v>278902</v>
      </c>
      <c r="G2480" s="32">
        <v>134502289</v>
      </c>
      <c r="H2480" t="s">
        <v>864</v>
      </c>
    </row>
    <row r="2481" spans="1:8" hidden="1" x14ac:dyDescent="0.3">
      <c r="A2481" s="28">
        <v>13485</v>
      </c>
      <c r="B2481" s="49">
        <v>45033.654861111114</v>
      </c>
      <c r="C2481" s="18">
        <v>45033</v>
      </c>
      <c r="D2481" t="s">
        <v>103</v>
      </c>
      <c r="E2481" s="32">
        <v>1731115</v>
      </c>
      <c r="F2481" s="32">
        <v>0</v>
      </c>
      <c r="G2481" s="32">
        <v>134781191</v>
      </c>
      <c r="H2481" t="s">
        <v>931</v>
      </c>
    </row>
    <row r="2482" spans="1:8" hidden="1" x14ac:dyDescent="0.3">
      <c r="A2482" s="28">
        <v>13484</v>
      </c>
      <c r="B2482" s="49">
        <v>45033.606249999997</v>
      </c>
      <c r="C2482" s="18">
        <v>45033</v>
      </c>
      <c r="D2482" t="s">
        <v>103</v>
      </c>
      <c r="E2482" s="32">
        <v>264000</v>
      </c>
      <c r="F2482" s="32">
        <v>0</v>
      </c>
      <c r="G2482" s="32">
        <v>133050076</v>
      </c>
      <c r="H2482" t="s">
        <v>858</v>
      </c>
    </row>
    <row r="2483" spans="1:8" hidden="1" x14ac:dyDescent="0.3">
      <c r="A2483" s="28">
        <v>13483</v>
      </c>
      <c r="B2483" s="49">
        <v>45033.490277777775</v>
      </c>
      <c r="C2483" s="18">
        <v>45033</v>
      </c>
      <c r="D2483" t="s">
        <v>103</v>
      </c>
      <c r="E2483" s="32">
        <v>12282600</v>
      </c>
      <c r="F2483" s="32">
        <v>0</v>
      </c>
      <c r="G2483" s="32">
        <v>132786076</v>
      </c>
      <c r="H2483" t="s">
        <v>935</v>
      </c>
    </row>
    <row r="2484" spans="1:8" hidden="1" x14ac:dyDescent="0.3">
      <c r="A2484" s="28">
        <v>13482</v>
      </c>
      <c r="B2484" s="49">
        <v>45033.487500000003</v>
      </c>
      <c r="C2484" s="18">
        <v>45033</v>
      </c>
      <c r="D2484" t="s">
        <v>104</v>
      </c>
      <c r="E2484" s="32">
        <v>0</v>
      </c>
      <c r="F2484" s="32">
        <v>20000</v>
      </c>
      <c r="G2484" s="32">
        <v>120503476</v>
      </c>
      <c r="H2484" t="s">
        <v>883</v>
      </c>
    </row>
    <row r="2485" spans="1:8" hidden="1" x14ac:dyDescent="0.3">
      <c r="A2485" s="28">
        <v>13479</v>
      </c>
      <c r="B2485" s="49">
        <v>45033.426388888889</v>
      </c>
      <c r="C2485" s="18">
        <v>45033</v>
      </c>
      <c r="D2485" t="s">
        <v>103</v>
      </c>
      <c r="E2485" s="32">
        <v>424600</v>
      </c>
      <c r="F2485" s="32">
        <v>0</v>
      </c>
      <c r="G2485" s="32">
        <v>120523476</v>
      </c>
      <c r="H2485" t="s">
        <v>1009</v>
      </c>
    </row>
    <row r="2486" spans="1:8" hidden="1" x14ac:dyDescent="0.3">
      <c r="A2486" s="28">
        <v>13478</v>
      </c>
      <c r="B2486" s="49">
        <v>45033.388194444444</v>
      </c>
      <c r="C2486" s="18">
        <v>45033</v>
      </c>
      <c r="D2486" t="s">
        <v>104</v>
      </c>
      <c r="E2486" s="32">
        <v>0</v>
      </c>
      <c r="F2486" s="32">
        <v>26274000</v>
      </c>
      <c r="G2486" s="32">
        <v>120098876</v>
      </c>
      <c r="H2486" t="s">
        <v>983</v>
      </c>
    </row>
    <row r="2487" spans="1:8" hidden="1" x14ac:dyDescent="0.3">
      <c r="A2487" s="28">
        <v>13477</v>
      </c>
      <c r="B2487" s="49">
        <v>45033.387499999997</v>
      </c>
      <c r="C2487" s="18">
        <v>45033</v>
      </c>
      <c r="D2487" t="s">
        <v>104</v>
      </c>
      <c r="E2487" s="32">
        <v>0</v>
      </c>
      <c r="F2487" s="32">
        <v>13119000</v>
      </c>
      <c r="G2487" s="32">
        <v>146372876</v>
      </c>
      <c r="H2487" t="s">
        <v>983</v>
      </c>
    </row>
    <row r="2488" spans="1:8" hidden="1" x14ac:dyDescent="0.3">
      <c r="A2488" s="28">
        <v>13474</v>
      </c>
      <c r="B2488" s="49">
        <v>45030.806250000001</v>
      </c>
      <c r="C2488" s="18">
        <v>45030</v>
      </c>
      <c r="D2488" t="s">
        <v>104</v>
      </c>
      <c r="E2488" s="32">
        <v>0</v>
      </c>
      <c r="F2488" s="32">
        <v>1302057</v>
      </c>
      <c r="G2488" s="32">
        <v>159491876</v>
      </c>
      <c r="H2488" t="s">
        <v>871</v>
      </c>
    </row>
    <row r="2489" spans="1:8" hidden="1" x14ac:dyDescent="0.3">
      <c r="A2489" s="28">
        <v>13473</v>
      </c>
      <c r="B2489" s="49">
        <v>45030.806250000001</v>
      </c>
      <c r="C2489" s="18">
        <v>45030</v>
      </c>
      <c r="D2489" t="s">
        <v>104</v>
      </c>
      <c r="E2489" s="32">
        <v>0</v>
      </c>
      <c r="F2489" s="32">
        <v>176447</v>
      </c>
      <c r="G2489" s="32">
        <v>160793933</v>
      </c>
      <c r="H2489" t="s">
        <v>871</v>
      </c>
    </row>
    <row r="2490" spans="1:8" hidden="1" x14ac:dyDescent="0.3">
      <c r="A2490" s="28">
        <v>13472</v>
      </c>
      <c r="B2490" s="49">
        <v>45030.765972222223</v>
      </c>
      <c r="C2490" s="18">
        <v>45030</v>
      </c>
      <c r="D2490" t="s">
        <v>103</v>
      </c>
      <c r="E2490" s="32">
        <v>4403300</v>
      </c>
      <c r="F2490" s="32">
        <v>0</v>
      </c>
      <c r="G2490" s="32">
        <v>160970380</v>
      </c>
      <c r="H2490" t="s">
        <v>1027</v>
      </c>
    </row>
    <row r="2491" spans="1:8" hidden="1" x14ac:dyDescent="0.3">
      <c r="A2491" s="28">
        <v>13471</v>
      </c>
      <c r="B2491" s="49">
        <v>45030.765972222223</v>
      </c>
      <c r="C2491" s="18">
        <v>45030</v>
      </c>
      <c r="D2491" t="s">
        <v>103</v>
      </c>
      <c r="E2491" s="32">
        <v>3835700</v>
      </c>
      <c r="F2491" s="32">
        <v>0</v>
      </c>
      <c r="G2491" s="32">
        <v>156567080</v>
      </c>
      <c r="H2491" t="s">
        <v>1027</v>
      </c>
    </row>
    <row r="2492" spans="1:8" hidden="1" x14ac:dyDescent="0.3">
      <c r="A2492" s="28">
        <v>13470</v>
      </c>
      <c r="B2492" s="49">
        <v>45030.765972222223</v>
      </c>
      <c r="C2492" s="18">
        <v>45030</v>
      </c>
      <c r="D2492" t="s">
        <v>103</v>
      </c>
      <c r="E2492" s="32">
        <v>4255900</v>
      </c>
      <c r="F2492" s="32">
        <v>0</v>
      </c>
      <c r="G2492" s="32">
        <v>152731380</v>
      </c>
      <c r="H2492" t="s">
        <v>1027</v>
      </c>
    </row>
    <row r="2493" spans="1:8" hidden="1" x14ac:dyDescent="0.3">
      <c r="A2493" s="28">
        <v>13469</v>
      </c>
      <c r="B2493" s="49">
        <v>45030.664583333331</v>
      </c>
      <c r="C2493" s="18">
        <v>45030</v>
      </c>
      <c r="D2493" t="s">
        <v>104</v>
      </c>
      <c r="E2493" s="32">
        <v>0</v>
      </c>
      <c r="F2493" s="32">
        <v>174844</v>
      </c>
      <c r="G2493" s="32">
        <v>148475480</v>
      </c>
      <c r="H2493" t="s">
        <v>864</v>
      </c>
    </row>
    <row r="2494" spans="1:8" hidden="1" x14ac:dyDescent="0.3">
      <c r="A2494" s="28">
        <v>13468</v>
      </c>
      <c r="B2494" s="49">
        <v>45030.590277777781</v>
      </c>
      <c r="C2494" s="18">
        <v>45030</v>
      </c>
      <c r="D2494" t="s">
        <v>103</v>
      </c>
      <c r="E2494" s="32">
        <v>374000</v>
      </c>
      <c r="F2494" s="32">
        <v>0</v>
      </c>
      <c r="G2494" s="32">
        <v>148650324</v>
      </c>
      <c r="H2494" t="s">
        <v>949</v>
      </c>
    </row>
    <row r="2495" spans="1:8" hidden="1" x14ac:dyDescent="0.3">
      <c r="A2495" s="28">
        <v>13467</v>
      </c>
      <c r="B2495" s="49">
        <v>45030.554861111108</v>
      </c>
      <c r="C2495" s="18">
        <v>45030</v>
      </c>
      <c r="D2495" t="s">
        <v>103</v>
      </c>
      <c r="E2495" s="32">
        <v>1596100</v>
      </c>
      <c r="F2495" s="32">
        <v>0</v>
      </c>
      <c r="G2495" s="32">
        <v>148276324</v>
      </c>
      <c r="H2495" t="s">
        <v>1028</v>
      </c>
    </row>
    <row r="2496" spans="1:8" hidden="1" x14ac:dyDescent="0.3">
      <c r="A2496" s="28">
        <v>13466</v>
      </c>
      <c r="B2496" s="49">
        <v>45030.431250000001</v>
      </c>
      <c r="C2496" s="18">
        <v>45030</v>
      </c>
      <c r="D2496" t="s">
        <v>103</v>
      </c>
      <c r="E2496" s="32">
        <v>1511400</v>
      </c>
      <c r="F2496" s="32">
        <v>0</v>
      </c>
      <c r="G2496" s="32">
        <v>146680224</v>
      </c>
      <c r="H2496" t="s">
        <v>1029</v>
      </c>
    </row>
    <row r="2497" spans="1:8" hidden="1" x14ac:dyDescent="0.3">
      <c r="A2497" s="28">
        <v>13465</v>
      </c>
      <c r="B2497" s="49">
        <v>45030.383333333331</v>
      </c>
      <c r="C2497" s="18">
        <v>45030</v>
      </c>
      <c r="D2497" t="s">
        <v>104</v>
      </c>
      <c r="E2497" s="32">
        <v>0</v>
      </c>
      <c r="F2497" s="32">
        <v>465358</v>
      </c>
      <c r="G2497" s="32">
        <v>145168824</v>
      </c>
      <c r="H2497" t="s">
        <v>864</v>
      </c>
    </row>
    <row r="2498" spans="1:8" hidden="1" x14ac:dyDescent="0.3">
      <c r="A2498" s="28">
        <v>13464</v>
      </c>
      <c r="B2498" s="49">
        <v>45030.334027777775</v>
      </c>
      <c r="C2498" s="18">
        <v>45030</v>
      </c>
      <c r="D2498" t="s">
        <v>103</v>
      </c>
      <c r="E2498" s="32">
        <v>482900</v>
      </c>
      <c r="F2498" s="32">
        <v>0</v>
      </c>
      <c r="G2498" s="32">
        <v>145634182</v>
      </c>
      <c r="H2498" t="s">
        <v>1030</v>
      </c>
    </row>
    <row r="2499" spans="1:8" hidden="1" x14ac:dyDescent="0.3">
      <c r="A2499" s="28">
        <v>13463</v>
      </c>
      <c r="B2499" s="49">
        <v>45030.334027777775</v>
      </c>
      <c r="C2499" s="18">
        <v>45030</v>
      </c>
      <c r="D2499" t="s">
        <v>103</v>
      </c>
      <c r="E2499" s="32">
        <v>2200000</v>
      </c>
      <c r="F2499" s="32">
        <v>0</v>
      </c>
      <c r="G2499" s="32">
        <v>145151282</v>
      </c>
      <c r="H2499" t="s">
        <v>1030</v>
      </c>
    </row>
    <row r="2500" spans="1:8" hidden="1" x14ac:dyDescent="0.3">
      <c r="A2500" s="28">
        <v>13462</v>
      </c>
      <c r="B2500" s="49">
        <v>45029.715277777781</v>
      </c>
      <c r="C2500" s="18">
        <v>45029</v>
      </c>
      <c r="D2500" t="s">
        <v>103</v>
      </c>
      <c r="E2500" s="32">
        <v>4918700</v>
      </c>
      <c r="F2500" s="32">
        <v>0</v>
      </c>
      <c r="G2500" s="32">
        <v>142951282</v>
      </c>
      <c r="H2500" t="s">
        <v>1018</v>
      </c>
    </row>
    <row r="2501" spans="1:8" hidden="1" x14ac:dyDescent="0.3">
      <c r="A2501" s="28">
        <v>13458</v>
      </c>
      <c r="B2501" s="49">
        <v>45029.475694444445</v>
      </c>
      <c r="C2501" s="18">
        <v>45029</v>
      </c>
      <c r="D2501" t="s">
        <v>104</v>
      </c>
      <c r="E2501" s="32">
        <v>0</v>
      </c>
      <c r="F2501" s="32">
        <v>8000</v>
      </c>
      <c r="G2501" s="32">
        <v>138032582</v>
      </c>
      <c r="H2501" t="s">
        <v>911</v>
      </c>
    </row>
    <row r="2502" spans="1:8" hidden="1" x14ac:dyDescent="0.3">
      <c r="A2502" s="28">
        <v>13456</v>
      </c>
      <c r="B2502" s="49">
        <v>45029.449305555558</v>
      </c>
      <c r="C2502" s="18">
        <v>45029</v>
      </c>
      <c r="D2502" t="s">
        <v>104</v>
      </c>
      <c r="E2502" s="32">
        <v>0</v>
      </c>
      <c r="F2502" s="32">
        <v>2685000</v>
      </c>
      <c r="G2502" s="32">
        <v>138040582</v>
      </c>
      <c r="H2502" t="s">
        <v>1031</v>
      </c>
    </row>
    <row r="2503" spans="1:8" hidden="1" x14ac:dyDescent="0.3">
      <c r="A2503" s="28">
        <v>13455</v>
      </c>
      <c r="B2503" s="49">
        <v>45029.410416666666</v>
      </c>
      <c r="C2503" s="18">
        <v>45029</v>
      </c>
      <c r="D2503" t="s">
        <v>103</v>
      </c>
      <c r="E2503" s="32">
        <v>44076874</v>
      </c>
      <c r="F2503" s="32">
        <v>0</v>
      </c>
      <c r="G2503" s="32">
        <v>140725582</v>
      </c>
      <c r="H2503" t="s">
        <v>892</v>
      </c>
    </row>
    <row r="2504" spans="1:8" hidden="1" x14ac:dyDescent="0.3">
      <c r="A2504" s="28">
        <v>13454</v>
      </c>
      <c r="B2504" s="49">
        <v>45029.410416666666</v>
      </c>
      <c r="C2504" s="18">
        <v>45029</v>
      </c>
      <c r="D2504" t="s">
        <v>103</v>
      </c>
      <c r="E2504" s="32">
        <v>4373414</v>
      </c>
      <c r="F2504" s="32">
        <v>0</v>
      </c>
      <c r="G2504" s="32">
        <v>96648708</v>
      </c>
      <c r="H2504" t="s">
        <v>892</v>
      </c>
    </row>
    <row r="2505" spans="1:8" hidden="1" x14ac:dyDescent="0.3">
      <c r="A2505" s="28">
        <v>13453</v>
      </c>
      <c r="B2505" s="49">
        <v>45029.410416666666</v>
      </c>
      <c r="C2505" s="18">
        <v>45029</v>
      </c>
      <c r="D2505" t="s">
        <v>103</v>
      </c>
      <c r="E2505" s="32">
        <v>18304563</v>
      </c>
      <c r="F2505" s="32">
        <v>0</v>
      </c>
      <c r="G2505" s="32">
        <v>92275294</v>
      </c>
      <c r="H2505" t="s">
        <v>892</v>
      </c>
    </row>
    <row r="2506" spans="1:8" hidden="1" x14ac:dyDescent="0.3">
      <c r="A2506" s="28">
        <v>13452</v>
      </c>
      <c r="B2506" s="49">
        <v>45029.385416666664</v>
      </c>
      <c r="C2506" s="18">
        <v>45029</v>
      </c>
      <c r="D2506" t="s">
        <v>104</v>
      </c>
      <c r="E2506" s="32">
        <v>0</v>
      </c>
      <c r="F2506" s="32">
        <v>380169</v>
      </c>
      <c r="G2506" s="32">
        <v>73970731</v>
      </c>
      <c r="H2506" t="s">
        <v>864</v>
      </c>
    </row>
    <row r="2507" spans="1:8" hidden="1" x14ac:dyDescent="0.3">
      <c r="A2507" s="28">
        <v>13450</v>
      </c>
      <c r="B2507" s="49">
        <v>45029.384027777778</v>
      </c>
      <c r="C2507" s="18">
        <v>45029</v>
      </c>
      <c r="D2507" t="s">
        <v>104</v>
      </c>
      <c r="E2507" s="32">
        <v>0</v>
      </c>
      <c r="F2507" s="32">
        <v>43320</v>
      </c>
      <c r="G2507" s="32">
        <v>74350900</v>
      </c>
      <c r="H2507" t="s">
        <v>864</v>
      </c>
    </row>
    <row r="2508" spans="1:8" hidden="1" x14ac:dyDescent="0.3">
      <c r="A2508" s="28">
        <v>13447</v>
      </c>
      <c r="B2508" s="49">
        <v>45028.623611111114</v>
      </c>
      <c r="C2508" s="18">
        <v>45028</v>
      </c>
      <c r="D2508" t="s">
        <v>104</v>
      </c>
      <c r="E2508" s="32">
        <v>0</v>
      </c>
      <c r="F2508" s="32">
        <v>13261800</v>
      </c>
      <c r="G2508" s="32">
        <v>74394220</v>
      </c>
      <c r="H2508" t="s">
        <v>983</v>
      </c>
    </row>
    <row r="2509" spans="1:8" hidden="1" x14ac:dyDescent="0.3">
      <c r="A2509" s="28">
        <v>13446</v>
      </c>
      <c r="B2509" s="49">
        <v>45028.616666666669</v>
      </c>
      <c r="C2509" s="18">
        <v>45028</v>
      </c>
      <c r="D2509" t="s">
        <v>104</v>
      </c>
      <c r="E2509" s="32">
        <v>0</v>
      </c>
      <c r="F2509" s="32">
        <v>229920</v>
      </c>
      <c r="G2509" s="32">
        <v>87656020</v>
      </c>
      <c r="H2509" t="s">
        <v>1032</v>
      </c>
    </row>
    <row r="2510" spans="1:8" hidden="1" x14ac:dyDescent="0.3">
      <c r="A2510" s="28">
        <v>13445</v>
      </c>
      <c r="B2510" s="49">
        <v>45028.491666666669</v>
      </c>
      <c r="C2510" s="18">
        <v>45028</v>
      </c>
      <c r="D2510" t="s">
        <v>103</v>
      </c>
      <c r="E2510" s="32">
        <v>2798400</v>
      </c>
      <c r="F2510" s="32">
        <v>0</v>
      </c>
      <c r="G2510" s="32">
        <v>87885940</v>
      </c>
      <c r="H2510" t="s">
        <v>1033</v>
      </c>
    </row>
    <row r="2511" spans="1:8" hidden="1" x14ac:dyDescent="0.3">
      <c r="A2511" s="28">
        <v>13443</v>
      </c>
      <c r="B2511" s="49">
        <v>45028.442361111112</v>
      </c>
      <c r="C2511" s="18">
        <v>45028</v>
      </c>
      <c r="D2511" t="s">
        <v>103</v>
      </c>
      <c r="E2511" s="32">
        <v>614900</v>
      </c>
      <c r="F2511" s="32">
        <v>0</v>
      </c>
      <c r="G2511" s="32">
        <v>85087540</v>
      </c>
      <c r="H2511" t="s">
        <v>858</v>
      </c>
    </row>
    <row r="2512" spans="1:8" hidden="1" x14ac:dyDescent="0.3">
      <c r="A2512" s="28">
        <v>13442</v>
      </c>
      <c r="B2512" s="49">
        <v>45028.399305555555</v>
      </c>
      <c r="C2512" s="18">
        <v>45028</v>
      </c>
      <c r="D2512" t="s">
        <v>104</v>
      </c>
      <c r="E2512" s="32">
        <v>0</v>
      </c>
      <c r="F2512" s="32">
        <v>374251</v>
      </c>
      <c r="G2512" s="32">
        <v>84472640</v>
      </c>
      <c r="H2512" t="s">
        <v>864</v>
      </c>
    </row>
    <row r="2513" spans="1:8" hidden="1" x14ac:dyDescent="0.3">
      <c r="A2513" s="28">
        <v>13441</v>
      </c>
      <c r="B2513" s="49">
        <v>45027.811805555553</v>
      </c>
      <c r="C2513" s="18">
        <v>45027</v>
      </c>
      <c r="D2513" t="s">
        <v>104</v>
      </c>
      <c r="E2513" s="32">
        <v>0</v>
      </c>
      <c r="F2513" s="32">
        <v>35500</v>
      </c>
      <c r="G2513" s="32">
        <v>84846891</v>
      </c>
      <c r="H2513" t="s">
        <v>1034</v>
      </c>
    </row>
    <row r="2514" spans="1:8" hidden="1" x14ac:dyDescent="0.3">
      <c r="A2514" s="28">
        <v>13440</v>
      </c>
      <c r="B2514" s="49">
        <v>45027.570833333331</v>
      </c>
      <c r="C2514" s="18">
        <v>45027</v>
      </c>
      <c r="D2514" t="s">
        <v>104</v>
      </c>
      <c r="E2514" s="32">
        <v>0</v>
      </c>
      <c r="F2514" s="32">
        <v>1072500</v>
      </c>
      <c r="G2514" s="32">
        <v>84882391</v>
      </c>
      <c r="H2514" t="s">
        <v>999</v>
      </c>
    </row>
    <row r="2515" spans="1:8" hidden="1" x14ac:dyDescent="0.3">
      <c r="A2515" s="28">
        <v>13439</v>
      </c>
      <c r="B2515" s="49">
        <v>45027.563888888886</v>
      </c>
      <c r="C2515" s="18">
        <v>45027</v>
      </c>
      <c r="D2515" t="s">
        <v>103</v>
      </c>
      <c r="E2515" s="32">
        <v>2846800</v>
      </c>
      <c r="F2515" s="32">
        <v>0</v>
      </c>
      <c r="G2515" s="32">
        <v>85954891</v>
      </c>
      <c r="H2515" t="s">
        <v>1035</v>
      </c>
    </row>
    <row r="2516" spans="1:8" hidden="1" x14ac:dyDescent="0.3">
      <c r="A2516" s="28">
        <v>13438</v>
      </c>
      <c r="B2516" s="49">
        <v>45027.425694444442</v>
      </c>
      <c r="C2516" s="18">
        <v>45027</v>
      </c>
      <c r="D2516" t="s">
        <v>104</v>
      </c>
      <c r="E2516" s="32">
        <v>0</v>
      </c>
      <c r="F2516" s="32">
        <v>91300</v>
      </c>
      <c r="G2516" s="32">
        <v>83108091</v>
      </c>
      <c r="H2516" t="s">
        <v>1036</v>
      </c>
    </row>
    <row r="2517" spans="1:8" hidden="1" x14ac:dyDescent="0.3">
      <c r="A2517" s="28">
        <v>13437</v>
      </c>
      <c r="B2517" s="49">
        <v>45027.420138888891</v>
      </c>
      <c r="C2517" s="18">
        <v>45027</v>
      </c>
      <c r="D2517" t="s">
        <v>104</v>
      </c>
      <c r="E2517" s="32">
        <v>0</v>
      </c>
      <c r="F2517" s="32">
        <v>362657</v>
      </c>
      <c r="G2517" s="32">
        <v>83199391</v>
      </c>
      <c r="H2517" t="s">
        <v>902</v>
      </c>
    </row>
    <row r="2518" spans="1:8" hidden="1" x14ac:dyDescent="0.3">
      <c r="A2518" s="28">
        <v>13432</v>
      </c>
      <c r="B2518" s="49">
        <v>45026.70416666667</v>
      </c>
      <c r="C2518" s="18">
        <v>45026</v>
      </c>
      <c r="D2518" t="s">
        <v>103</v>
      </c>
      <c r="E2518" s="32">
        <v>337700</v>
      </c>
      <c r="F2518" s="32">
        <v>0</v>
      </c>
      <c r="G2518" s="32">
        <v>83562048</v>
      </c>
      <c r="H2518" t="s">
        <v>862</v>
      </c>
    </row>
    <row r="2519" spans="1:8" hidden="1" x14ac:dyDescent="0.3">
      <c r="A2519" s="28">
        <v>13431</v>
      </c>
      <c r="B2519" s="49">
        <v>45026.70416666667</v>
      </c>
      <c r="C2519" s="18">
        <v>45026</v>
      </c>
      <c r="D2519" t="s">
        <v>103</v>
      </c>
      <c r="E2519" s="32">
        <v>463100</v>
      </c>
      <c r="F2519" s="32">
        <v>0</v>
      </c>
      <c r="G2519" s="32">
        <v>83224348</v>
      </c>
      <c r="H2519" t="s">
        <v>862</v>
      </c>
    </row>
    <row r="2520" spans="1:8" hidden="1" x14ac:dyDescent="0.3">
      <c r="A2520" s="28">
        <v>13428</v>
      </c>
      <c r="B2520" s="49">
        <v>45026.658333333333</v>
      </c>
      <c r="C2520" s="18">
        <v>45026</v>
      </c>
      <c r="D2520" t="s">
        <v>103</v>
      </c>
      <c r="E2520" s="32">
        <v>2591600</v>
      </c>
      <c r="F2520" s="32">
        <v>0</v>
      </c>
      <c r="G2520" s="32">
        <v>82761248</v>
      </c>
      <c r="H2520" t="s">
        <v>900</v>
      </c>
    </row>
    <row r="2521" spans="1:8" hidden="1" x14ac:dyDescent="0.3">
      <c r="A2521" s="28">
        <v>13427</v>
      </c>
      <c r="B2521" s="49">
        <v>45026.625694444447</v>
      </c>
      <c r="C2521" s="18">
        <v>45026</v>
      </c>
      <c r="D2521" t="s">
        <v>103</v>
      </c>
      <c r="E2521" s="32">
        <v>183700</v>
      </c>
      <c r="F2521" s="32">
        <v>0</v>
      </c>
      <c r="G2521" s="32">
        <v>80169648</v>
      </c>
      <c r="H2521" t="s">
        <v>844</v>
      </c>
    </row>
    <row r="2522" spans="1:8" hidden="1" x14ac:dyDescent="0.3">
      <c r="A2522" s="28">
        <v>13423</v>
      </c>
      <c r="B2522" s="49">
        <v>45023.660416666666</v>
      </c>
      <c r="C2522" s="18">
        <v>45023</v>
      </c>
      <c r="D2522" t="s">
        <v>103</v>
      </c>
      <c r="E2522" s="32">
        <v>15004000</v>
      </c>
      <c r="F2522" s="32">
        <v>0</v>
      </c>
      <c r="G2522" s="32">
        <v>79985948</v>
      </c>
      <c r="H2522" t="s">
        <v>1037</v>
      </c>
    </row>
    <row r="2523" spans="1:8" hidden="1" x14ac:dyDescent="0.3">
      <c r="A2523" s="28">
        <v>13421</v>
      </c>
      <c r="B2523" s="49">
        <v>45023.435416666667</v>
      </c>
      <c r="C2523" s="18">
        <v>45023</v>
      </c>
      <c r="D2523" t="s">
        <v>104</v>
      </c>
      <c r="E2523" s="32">
        <v>0</v>
      </c>
      <c r="F2523" s="32">
        <v>430299</v>
      </c>
      <c r="G2523" s="32">
        <v>64981948</v>
      </c>
      <c r="H2523" t="s">
        <v>864</v>
      </c>
    </row>
    <row r="2524" spans="1:8" hidden="1" x14ac:dyDescent="0.3">
      <c r="A2524" s="28">
        <v>13420</v>
      </c>
      <c r="B2524" s="49">
        <v>45022.683333333334</v>
      </c>
      <c r="C2524" s="18">
        <v>45022</v>
      </c>
      <c r="D2524" t="s">
        <v>103</v>
      </c>
      <c r="E2524" s="32">
        <v>1498200</v>
      </c>
      <c r="F2524" s="32">
        <v>0</v>
      </c>
      <c r="G2524" s="32">
        <v>65412247</v>
      </c>
      <c r="H2524" t="s">
        <v>859</v>
      </c>
    </row>
    <row r="2525" spans="1:8" hidden="1" x14ac:dyDescent="0.3">
      <c r="A2525" s="28">
        <v>13419</v>
      </c>
      <c r="B2525" s="49">
        <v>45022.505555555559</v>
      </c>
      <c r="C2525" s="18">
        <v>45022</v>
      </c>
      <c r="D2525" t="s">
        <v>103</v>
      </c>
      <c r="E2525" s="32">
        <v>1646700</v>
      </c>
      <c r="F2525" s="32">
        <v>0</v>
      </c>
      <c r="G2525" s="32">
        <v>63914047</v>
      </c>
      <c r="H2525" t="s">
        <v>1038</v>
      </c>
    </row>
    <row r="2526" spans="1:8" hidden="1" x14ac:dyDescent="0.3">
      <c r="A2526" s="28">
        <v>13416</v>
      </c>
      <c r="B2526" s="49">
        <v>45022.357638888891</v>
      </c>
      <c r="C2526" s="18">
        <v>45022</v>
      </c>
      <c r="D2526" t="s">
        <v>104</v>
      </c>
      <c r="E2526" s="32">
        <v>0</v>
      </c>
      <c r="F2526" s="32">
        <v>154570</v>
      </c>
      <c r="G2526" s="32">
        <v>62267347</v>
      </c>
      <c r="H2526" t="s">
        <v>906</v>
      </c>
    </row>
    <row r="2527" spans="1:8" hidden="1" x14ac:dyDescent="0.3">
      <c r="A2527" s="28">
        <v>13415</v>
      </c>
      <c r="B2527" s="49">
        <v>45022.356249999997</v>
      </c>
      <c r="C2527" s="18">
        <v>45022</v>
      </c>
      <c r="D2527" t="s">
        <v>104</v>
      </c>
      <c r="E2527" s="32">
        <v>0</v>
      </c>
      <c r="F2527" s="32">
        <v>1537640</v>
      </c>
      <c r="G2527" s="32">
        <v>62421917</v>
      </c>
      <c r="H2527" t="s">
        <v>1039</v>
      </c>
    </row>
    <row r="2528" spans="1:8" hidden="1" x14ac:dyDescent="0.3">
      <c r="A2528" s="28">
        <v>13414</v>
      </c>
      <c r="B2528" s="49">
        <v>45021.830555555556</v>
      </c>
      <c r="C2528" s="18">
        <v>45021</v>
      </c>
      <c r="D2528" t="s">
        <v>104</v>
      </c>
      <c r="E2528" s="32">
        <v>0</v>
      </c>
      <c r="F2528" s="32">
        <v>626472</v>
      </c>
      <c r="G2528" s="32">
        <v>63959557</v>
      </c>
      <c r="H2528" t="s">
        <v>1040</v>
      </c>
    </row>
    <row r="2529" spans="1:8" hidden="1" x14ac:dyDescent="0.3">
      <c r="A2529" s="28">
        <v>13413</v>
      </c>
      <c r="B2529" s="49">
        <v>45021.79791666667</v>
      </c>
      <c r="C2529" s="18">
        <v>45021</v>
      </c>
      <c r="D2529" t="s">
        <v>104</v>
      </c>
      <c r="E2529" s="32">
        <v>0</v>
      </c>
      <c r="F2529" s="32">
        <v>711920</v>
      </c>
      <c r="G2529" s="32">
        <v>64586029</v>
      </c>
      <c r="H2529" t="s">
        <v>880</v>
      </c>
    </row>
    <row r="2530" spans="1:8" hidden="1" x14ac:dyDescent="0.3">
      <c r="A2530" s="28">
        <v>13410</v>
      </c>
      <c r="B2530" s="49">
        <v>45021.489583333336</v>
      </c>
      <c r="C2530" s="18">
        <v>45021</v>
      </c>
      <c r="D2530" t="s">
        <v>103</v>
      </c>
      <c r="E2530" s="32">
        <v>371800</v>
      </c>
      <c r="F2530" s="32">
        <v>0</v>
      </c>
      <c r="G2530" s="32">
        <v>65297949</v>
      </c>
      <c r="H2530" t="s">
        <v>866</v>
      </c>
    </row>
    <row r="2531" spans="1:8" hidden="1" x14ac:dyDescent="0.3">
      <c r="A2531" s="28">
        <v>13409</v>
      </c>
      <c r="B2531" s="49">
        <v>45021.408333333333</v>
      </c>
      <c r="C2531" s="18">
        <v>45021</v>
      </c>
      <c r="D2531" t="s">
        <v>104</v>
      </c>
      <c r="E2531" s="32">
        <v>0</v>
      </c>
      <c r="F2531" s="32">
        <v>800500</v>
      </c>
      <c r="G2531" s="32">
        <v>64926149</v>
      </c>
      <c r="H2531" t="s">
        <v>1041</v>
      </c>
    </row>
    <row r="2532" spans="1:8" hidden="1" x14ac:dyDescent="0.3">
      <c r="A2532" s="28">
        <v>13408</v>
      </c>
      <c r="B2532" s="49">
        <v>45021.313888888886</v>
      </c>
      <c r="C2532" s="18">
        <v>45021</v>
      </c>
      <c r="D2532" t="s">
        <v>103</v>
      </c>
      <c r="E2532" s="32">
        <v>415800</v>
      </c>
      <c r="F2532" s="32">
        <v>0</v>
      </c>
      <c r="G2532" s="32">
        <v>65726649</v>
      </c>
      <c r="H2532" t="s">
        <v>954</v>
      </c>
    </row>
    <row r="2533" spans="1:8" hidden="1" x14ac:dyDescent="0.3">
      <c r="A2533" s="28">
        <v>13407</v>
      </c>
      <c r="B2533" s="49">
        <v>45020.668055555558</v>
      </c>
      <c r="C2533" s="18">
        <v>45020</v>
      </c>
      <c r="D2533" t="s">
        <v>103</v>
      </c>
      <c r="E2533" s="32">
        <v>4831200</v>
      </c>
      <c r="F2533" s="32">
        <v>0</v>
      </c>
      <c r="G2533" s="32">
        <v>65310849</v>
      </c>
      <c r="H2533" t="s">
        <v>918</v>
      </c>
    </row>
    <row r="2534" spans="1:8" hidden="1" x14ac:dyDescent="0.3">
      <c r="A2534" s="28">
        <v>13406</v>
      </c>
      <c r="B2534" s="49">
        <v>45020.668055555558</v>
      </c>
      <c r="C2534" s="18">
        <v>45020</v>
      </c>
      <c r="D2534" t="s">
        <v>103</v>
      </c>
      <c r="E2534" s="32">
        <v>4950000</v>
      </c>
      <c r="F2534" s="32">
        <v>0</v>
      </c>
      <c r="G2534" s="32">
        <v>60479649</v>
      </c>
      <c r="H2534" t="s">
        <v>918</v>
      </c>
    </row>
    <row r="2535" spans="1:8" hidden="1" x14ac:dyDescent="0.3">
      <c r="A2535" s="28">
        <v>13400</v>
      </c>
      <c r="B2535" s="49">
        <v>45020.585416666669</v>
      </c>
      <c r="C2535" s="18">
        <v>45020</v>
      </c>
      <c r="D2535" t="s">
        <v>104</v>
      </c>
      <c r="E2535" s="32">
        <v>0</v>
      </c>
      <c r="F2535" s="32">
        <v>97020</v>
      </c>
      <c r="G2535" s="32">
        <v>55529649</v>
      </c>
      <c r="H2535" t="s">
        <v>889</v>
      </c>
    </row>
    <row r="2536" spans="1:8" hidden="1" x14ac:dyDescent="0.3">
      <c r="A2536" s="28">
        <v>13399</v>
      </c>
      <c r="B2536" s="49">
        <v>45020.582638888889</v>
      </c>
      <c r="C2536" s="18">
        <v>45020</v>
      </c>
      <c r="D2536" t="s">
        <v>103</v>
      </c>
      <c r="E2536" s="32">
        <v>401500</v>
      </c>
      <c r="F2536" s="32">
        <v>0</v>
      </c>
      <c r="G2536" s="32">
        <v>55626669</v>
      </c>
      <c r="H2536" t="s">
        <v>918</v>
      </c>
    </row>
    <row r="2537" spans="1:8" hidden="1" x14ac:dyDescent="0.3">
      <c r="A2537" s="28">
        <v>13398</v>
      </c>
      <c r="B2537" s="49">
        <v>45020.582638888889</v>
      </c>
      <c r="C2537" s="18">
        <v>45020</v>
      </c>
      <c r="D2537" t="s">
        <v>103</v>
      </c>
      <c r="E2537" s="32">
        <v>222400</v>
      </c>
      <c r="F2537" s="32">
        <v>0</v>
      </c>
      <c r="G2537" s="32">
        <v>55225169</v>
      </c>
      <c r="H2537" t="s">
        <v>918</v>
      </c>
    </row>
    <row r="2538" spans="1:8" hidden="1" x14ac:dyDescent="0.3">
      <c r="A2538" s="28">
        <v>13397</v>
      </c>
      <c r="B2538" s="49">
        <v>45020.576388888891</v>
      </c>
      <c r="C2538" s="18">
        <v>45020</v>
      </c>
      <c r="D2538" t="s">
        <v>103</v>
      </c>
      <c r="E2538" s="32">
        <v>367400</v>
      </c>
      <c r="F2538" s="32">
        <v>0</v>
      </c>
      <c r="G2538" s="32">
        <v>55002769</v>
      </c>
      <c r="H2538" t="s">
        <v>1042</v>
      </c>
    </row>
    <row r="2539" spans="1:8" hidden="1" x14ac:dyDescent="0.3">
      <c r="A2539" s="28">
        <v>13396</v>
      </c>
      <c r="B2539" s="49">
        <v>45020.571527777778</v>
      </c>
      <c r="C2539" s="18">
        <v>45020</v>
      </c>
      <c r="D2539" t="s">
        <v>103</v>
      </c>
      <c r="E2539" s="32">
        <v>2224000</v>
      </c>
      <c r="F2539" s="32">
        <v>0</v>
      </c>
      <c r="G2539" s="32">
        <v>54635369</v>
      </c>
      <c r="H2539" t="s">
        <v>918</v>
      </c>
    </row>
    <row r="2540" spans="1:8" hidden="1" x14ac:dyDescent="0.3">
      <c r="A2540" s="28">
        <v>13395</v>
      </c>
      <c r="B2540" s="49">
        <v>45020.570833333331</v>
      </c>
      <c r="C2540" s="18">
        <v>45020</v>
      </c>
      <c r="D2540" t="s">
        <v>103</v>
      </c>
      <c r="E2540" s="32">
        <v>4015000</v>
      </c>
      <c r="F2540" s="32">
        <v>0</v>
      </c>
      <c r="G2540" s="32">
        <v>52411369</v>
      </c>
      <c r="H2540" t="s">
        <v>918</v>
      </c>
    </row>
    <row r="2541" spans="1:8" hidden="1" x14ac:dyDescent="0.3">
      <c r="A2541" s="28">
        <v>13392</v>
      </c>
      <c r="B2541" s="49">
        <v>45020.433333333334</v>
      </c>
      <c r="C2541" s="18">
        <v>45020</v>
      </c>
      <c r="D2541" t="s">
        <v>104</v>
      </c>
      <c r="E2541" s="32">
        <v>0</v>
      </c>
      <c r="F2541" s="32">
        <v>51664000</v>
      </c>
      <c r="G2541" s="32">
        <v>48396369</v>
      </c>
      <c r="H2541" t="s">
        <v>983</v>
      </c>
    </row>
    <row r="2542" spans="1:8" hidden="1" x14ac:dyDescent="0.3">
      <c r="A2542" s="28">
        <v>13388</v>
      </c>
      <c r="B2542" s="49">
        <v>45019.706944444442</v>
      </c>
      <c r="C2542" s="18">
        <v>45019</v>
      </c>
      <c r="D2542" t="s">
        <v>103</v>
      </c>
      <c r="E2542" s="32">
        <v>246400</v>
      </c>
      <c r="F2542" s="32">
        <v>0</v>
      </c>
      <c r="G2542" s="32">
        <v>100060369</v>
      </c>
      <c r="H2542" t="s">
        <v>1043</v>
      </c>
    </row>
    <row r="2543" spans="1:8" hidden="1" x14ac:dyDescent="0.3">
      <c r="A2543" s="28">
        <v>13387</v>
      </c>
      <c r="B2543" s="49">
        <v>45019.706944444442</v>
      </c>
      <c r="C2543" s="18">
        <v>45019</v>
      </c>
      <c r="D2543" t="s">
        <v>103</v>
      </c>
      <c r="E2543" s="32">
        <v>162800</v>
      </c>
      <c r="F2543" s="32">
        <v>0</v>
      </c>
      <c r="G2543" s="32">
        <v>99813969</v>
      </c>
      <c r="H2543" t="s">
        <v>1043</v>
      </c>
    </row>
    <row r="2544" spans="1:8" hidden="1" x14ac:dyDescent="0.3">
      <c r="A2544" s="28">
        <v>13386</v>
      </c>
      <c r="B2544" s="49">
        <v>45019.663888888892</v>
      </c>
      <c r="C2544" s="18">
        <v>45019</v>
      </c>
      <c r="D2544" t="s">
        <v>103</v>
      </c>
      <c r="E2544" s="32">
        <v>24700</v>
      </c>
      <c r="F2544" s="32">
        <v>0</v>
      </c>
      <c r="G2544" s="32">
        <v>99651169</v>
      </c>
      <c r="H2544" t="s">
        <v>933</v>
      </c>
    </row>
    <row r="2545" spans="1:8" hidden="1" x14ac:dyDescent="0.3">
      <c r="A2545" s="28">
        <v>13385</v>
      </c>
      <c r="B2545" s="49">
        <v>45019.588888888888</v>
      </c>
      <c r="C2545" s="18">
        <v>45019</v>
      </c>
      <c r="D2545" t="s">
        <v>104</v>
      </c>
      <c r="E2545" s="32">
        <v>0</v>
      </c>
      <c r="F2545" s="32">
        <v>83626</v>
      </c>
      <c r="G2545" s="32">
        <v>99626469</v>
      </c>
      <c r="H2545" t="s">
        <v>864</v>
      </c>
    </row>
    <row r="2546" spans="1:8" hidden="1" x14ac:dyDescent="0.3">
      <c r="A2546" s="28">
        <v>13384</v>
      </c>
      <c r="B2546" s="49">
        <v>45019.48333333333</v>
      </c>
      <c r="C2546" s="18">
        <v>45019</v>
      </c>
      <c r="D2546" t="s">
        <v>104</v>
      </c>
      <c r="E2546" s="32">
        <v>0</v>
      </c>
      <c r="F2546" s="32">
        <v>128174</v>
      </c>
      <c r="G2546" s="32">
        <v>99710095</v>
      </c>
      <c r="H2546" t="s">
        <v>864</v>
      </c>
    </row>
    <row r="2547" spans="1:8" hidden="1" x14ac:dyDescent="0.3">
      <c r="A2547" s="28">
        <v>13382</v>
      </c>
      <c r="B2547" s="49">
        <v>45019.379861111112</v>
      </c>
      <c r="C2547" s="18">
        <v>45019</v>
      </c>
      <c r="D2547" t="s">
        <v>103</v>
      </c>
      <c r="E2547" s="32">
        <v>1411300</v>
      </c>
      <c r="F2547" s="32">
        <v>0</v>
      </c>
      <c r="G2547" s="32">
        <v>99838269</v>
      </c>
      <c r="H2547" t="s">
        <v>912</v>
      </c>
    </row>
    <row r="2548" spans="1:8" hidden="1" x14ac:dyDescent="0.3">
      <c r="A2548" s="28">
        <v>13381</v>
      </c>
      <c r="B2548" s="49">
        <v>45019.379861111112</v>
      </c>
      <c r="C2548" s="18">
        <v>45019</v>
      </c>
      <c r="D2548" t="s">
        <v>103</v>
      </c>
      <c r="E2548" s="32">
        <v>1808400</v>
      </c>
      <c r="F2548" s="32">
        <v>0</v>
      </c>
      <c r="G2548" s="32">
        <v>98426969</v>
      </c>
      <c r="H2548" t="s">
        <v>912</v>
      </c>
    </row>
    <row r="2549" spans="1:8" hidden="1" x14ac:dyDescent="0.3">
      <c r="A2549" s="28">
        <v>13380</v>
      </c>
      <c r="B2549" s="49">
        <v>45016.797222222223</v>
      </c>
      <c r="C2549" s="18">
        <v>45016</v>
      </c>
      <c r="D2549" t="s">
        <v>104</v>
      </c>
      <c r="E2549" s="32">
        <v>0</v>
      </c>
      <c r="F2549" s="32">
        <v>400510</v>
      </c>
      <c r="G2549" s="32">
        <v>96618569</v>
      </c>
      <c r="H2549" t="s">
        <v>880</v>
      </c>
    </row>
    <row r="2550" spans="1:8" hidden="1" x14ac:dyDescent="0.3">
      <c r="A2550" s="28">
        <v>13375</v>
      </c>
      <c r="B2550" s="49">
        <v>45016.70416666667</v>
      </c>
      <c r="C2550" s="18">
        <v>45016</v>
      </c>
      <c r="D2550" t="s">
        <v>103</v>
      </c>
      <c r="E2550" s="32">
        <v>2405700</v>
      </c>
      <c r="F2550" s="32">
        <v>0</v>
      </c>
      <c r="G2550" s="32">
        <v>97019079</v>
      </c>
      <c r="H2550" t="s">
        <v>929</v>
      </c>
    </row>
    <row r="2551" spans="1:8" hidden="1" x14ac:dyDescent="0.3">
      <c r="A2551" s="28">
        <v>13373</v>
      </c>
      <c r="B2551" s="49">
        <v>45016.670138888891</v>
      </c>
      <c r="C2551" s="18">
        <v>45016</v>
      </c>
      <c r="D2551" t="s">
        <v>103</v>
      </c>
      <c r="E2551" s="32">
        <v>12283700</v>
      </c>
      <c r="F2551" s="32">
        <v>0</v>
      </c>
      <c r="G2551" s="32">
        <v>94613379</v>
      </c>
      <c r="H2551" t="s">
        <v>1044</v>
      </c>
    </row>
    <row r="2552" spans="1:8" hidden="1" x14ac:dyDescent="0.3">
      <c r="A2552" s="28">
        <v>13372</v>
      </c>
      <c r="B2552" s="49">
        <v>45016.623611111114</v>
      </c>
      <c r="C2552" s="18">
        <v>45016</v>
      </c>
      <c r="D2552" t="s">
        <v>103</v>
      </c>
      <c r="E2552" s="32">
        <v>898700</v>
      </c>
      <c r="F2552" s="32">
        <v>0</v>
      </c>
      <c r="G2552" s="32">
        <v>82329679</v>
      </c>
      <c r="H2552" t="s">
        <v>944</v>
      </c>
    </row>
    <row r="2553" spans="1:8" hidden="1" x14ac:dyDescent="0.3">
      <c r="A2553" s="28">
        <v>13371</v>
      </c>
      <c r="B2553" s="49">
        <v>45016.620833333334</v>
      </c>
      <c r="C2553" s="18">
        <v>45016</v>
      </c>
      <c r="D2553" t="s">
        <v>103</v>
      </c>
      <c r="E2553" s="32">
        <v>4478100</v>
      </c>
      <c r="F2553" s="32">
        <v>0</v>
      </c>
      <c r="G2553" s="32">
        <v>81430979</v>
      </c>
      <c r="H2553" t="s">
        <v>932</v>
      </c>
    </row>
    <row r="2554" spans="1:8" hidden="1" x14ac:dyDescent="0.3">
      <c r="A2554" s="28">
        <v>13370</v>
      </c>
      <c r="B2554" s="49">
        <v>45016.60833333333</v>
      </c>
      <c r="C2554" s="18">
        <v>45016</v>
      </c>
      <c r="D2554" t="s">
        <v>103</v>
      </c>
      <c r="E2554" s="32">
        <v>1123100</v>
      </c>
      <c r="F2554" s="32">
        <v>0</v>
      </c>
      <c r="G2554" s="32">
        <v>76952879</v>
      </c>
      <c r="H2554" t="s">
        <v>934</v>
      </c>
    </row>
    <row r="2555" spans="1:8" hidden="1" x14ac:dyDescent="0.3">
      <c r="A2555" s="28">
        <v>13369</v>
      </c>
      <c r="B2555" s="49">
        <v>45016.60833333333</v>
      </c>
      <c r="C2555" s="18">
        <v>45016</v>
      </c>
      <c r="D2555" t="s">
        <v>103</v>
      </c>
      <c r="E2555" s="32">
        <v>5343800</v>
      </c>
      <c r="F2555" s="32">
        <v>0</v>
      </c>
      <c r="G2555" s="32">
        <v>75829779</v>
      </c>
      <c r="H2555" t="s">
        <v>934</v>
      </c>
    </row>
    <row r="2556" spans="1:8" hidden="1" x14ac:dyDescent="0.3">
      <c r="A2556" s="28">
        <v>13368</v>
      </c>
      <c r="B2556" s="49">
        <v>45016.60833333333</v>
      </c>
      <c r="C2556" s="18">
        <v>45016</v>
      </c>
      <c r="D2556" t="s">
        <v>103</v>
      </c>
      <c r="E2556" s="32">
        <v>8363300</v>
      </c>
      <c r="F2556" s="32">
        <v>0</v>
      </c>
      <c r="G2556" s="32">
        <v>70485979</v>
      </c>
      <c r="H2556" t="s">
        <v>934</v>
      </c>
    </row>
    <row r="2557" spans="1:8" hidden="1" x14ac:dyDescent="0.3">
      <c r="A2557" s="28">
        <v>13367</v>
      </c>
      <c r="B2557" s="49">
        <v>45016.588194444441</v>
      </c>
      <c r="C2557" s="18">
        <v>45016</v>
      </c>
      <c r="D2557" t="s">
        <v>103</v>
      </c>
      <c r="E2557" s="32">
        <v>484000</v>
      </c>
      <c r="F2557" s="32">
        <v>0</v>
      </c>
      <c r="G2557" s="32">
        <v>62122679</v>
      </c>
      <c r="H2557" t="s">
        <v>1045</v>
      </c>
    </row>
    <row r="2558" spans="1:8" hidden="1" x14ac:dyDescent="0.3">
      <c r="A2558" s="28">
        <v>13366</v>
      </c>
      <c r="B2558" s="49">
        <v>45016.585416666669</v>
      </c>
      <c r="C2558" s="18">
        <v>45016</v>
      </c>
      <c r="D2558" t="s">
        <v>103</v>
      </c>
      <c r="E2558" s="32">
        <v>311300</v>
      </c>
      <c r="F2558" s="32">
        <v>0</v>
      </c>
      <c r="G2558" s="32">
        <v>61638679</v>
      </c>
      <c r="H2558" t="s">
        <v>993</v>
      </c>
    </row>
    <row r="2559" spans="1:8" hidden="1" x14ac:dyDescent="0.3">
      <c r="A2559" s="28">
        <v>13365</v>
      </c>
      <c r="B2559" s="49">
        <v>45016.57916666667</v>
      </c>
      <c r="C2559" s="18">
        <v>45016</v>
      </c>
      <c r="D2559" t="s">
        <v>103</v>
      </c>
      <c r="E2559" s="32">
        <v>400400</v>
      </c>
      <c r="F2559" s="32">
        <v>0</v>
      </c>
      <c r="G2559" s="32">
        <v>61327379</v>
      </c>
      <c r="H2559" t="s">
        <v>899</v>
      </c>
    </row>
    <row r="2560" spans="1:8" hidden="1" x14ac:dyDescent="0.3">
      <c r="A2560" s="28">
        <v>13364</v>
      </c>
      <c r="B2560" s="49">
        <v>45016.577777777777</v>
      </c>
      <c r="C2560" s="18">
        <v>45016</v>
      </c>
      <c r="D2560" t="s">
        <v>103</v>
      </c>
      <c r="E2560" s="32">
        <v>247000</v>
      </c>
      <c r="F2560" s="32">
        <v>0</v>
      </c>
      <c r="G2560" s="32">
        <v>60926979</v>
      </c>
      <c r="H2560" t="s">
        <v>1046</v>
      </c>
    </row>
    <row r="2561" spans="1:8" hidden="1" x14ac:dyDescent="0.3">
      <c r="A2561" s="28">
        <v>13363</v>
      </c>
      <c r="B2561" s="49">
        <v>45016.554861111108</v>
      </c>
      <c r="C2561" s="18">
        <v>45016</v>
      </c>
      <c r="D2561" t="s">
        <v>103</v>
      </c>
      <c r="E2561" s="32">
        <v>1392600</v>
      </c>
      <c r="F2561" s="32">
        <v>0</v>
      </c>
      <c r="G2561" s="32">
        <v>60679979</v>
      </c>
      <c r="H2561" t="s">
        <v>859</v>
      </c>
    </row>
    <row r="2562" spans="1:8" hidden="1" x14ac:dyDescent="0.3">
      <c r="A2562" s="28">
        <v>13362</v>
      </c>
      <c r="B2562" s="49">
        <v>45016.470833333333</v>
      </c>
      <c r="C2562" s="18">
        <v>45016</v>
      </c>
      <c r="D2562" t="s">
        <v>103</v>
      </c>
      <c r="E2562" s="32">
        <v>5768400</v>
      </c>
      <c r="F2562" s="32">
        <v>0</v>
      </c>
      <c r="G2562" s="32">
        <v>59287379</v>
      </c>
      <c r="H2562" t="s">
        <v>924</v>
      </c>
    </row>
    <row r="2563" spans="1:8" hidden="1" x14ac:dyDescent="0.3">
      <c r="A2563" s="28">
        <v>13361</v>
      </c>
      <c r="B2563" s="49">
        <v>45016.459027777775</v>
      </c>
      <c r="C2563" s="18">
        <v>45016</v>
      </c>
      <c r="D2563" t="s">
        <v>103</v>
      </c>
      <c r="E2563" s="32">
        <v>6073100</v>
      </c>
      <c r="F2563" s="32">
        <v>0</v>
      </c>
      <c r="G2563" s="32">
        <v>53518979</v>
      </c>
      <c r="H2563" t="s">
        <v>927</v>
      </c>
    </row>
    <row r="2564" spans="1:8" hidden="1" x14ac:dyDescent="0.3">
      <c r="A2564" s="28">
        <v>13360</v>
      </c>
      <c r="B2564" s="49">
        <v>45016.450694444444</v>
      </c>
      <c r="C2564" s="18">
        <v>45016</v>
      </c>
      <c r="D2564" t="s">
        <v>104</v>
      </c>
      <c r="E2564" s="32">
        <v>0</v>
      </c>
      <c r="F2564" s="32">
        <v>6600000</v>
      </c>
      <c r="G2564" s="32">
        <v>47445879</v>
      </c>
      <c r="H2564" t="s">
        <v>1047</v>
      </c>
    </row>
    <row r="2565" spans="1:8" hidden="1" x14ac:dyDescent="0.3">
      <c r="A2565" s="28">
        <v>13359</v>
      </c>
      <c r="B2565" s="49">
        <v>45016.44027777778</v>
      </c>
      <c r="C2565" s="18">
        <v>45016</v>
      </c>
      <c r="D2565" t="s">
        <v>103</v>
      </c>
      <c r="E2565" s="32">
        <v>628100</v>
      </c>
      <c r="F2565" s="32">
        <v>0</v>
      </c>
      <c r="G2565" s="32">
        <v>54045879</v>
      </c>
      <c r="H2565" t="s">
        <v>936</v>
      </c>
    </row>
    <row r="2566" spans="1:8" hidden="1" x14ac:dyDescent="0.3">
      <c r="A2566" s="28">
        <v>13358</v>
      </c>
      <c r="B2566" s="49">
        <v>45016.395833333336</v>
      </c>
      <c r="C2566" s="18">
        <v>45016</v>
      </c>
      <c r="D2566" t="s">
        <v>104</v>
      </c>
      <c r="E2566" s="32">
        <v>0</v>
      </c>
      <c r="F2566" s="32">
        <v>20946140</v>
      </c>
      <c r="G2566" s="32">
        <v>53417779</v>
      </c>
      <c r="H2566" t="s">
        <v>1039</v>
      </c>
    </row>
    <row r="2567" spans="1:8" hidden="1" x14ac:dyDescent="0.3">
      <c r="A2567" s="28">
        <v>13357</v>
      </c>
      <c r="B2567" s="49">
        <v>45016.383333333331</v>
      </c>
      <c r="C2567" s="18">
        <v>45016</v>
      </c>
      <c r="D2567" t="s">
        <v>103</v>
      </c>
      <c r="E2567" s="32">
        <v>522500</v>
      </c>
      <c r="F2567" s="32">
        <v>0</v>
      </c>
      <c r="G2567" s="32">
        <v>74363919</v>
      </c>
      <c r="H2567" t="s">
        <v>912</v>
      </c>
    </row>
    <row r="2568" spans="1:8" hidden="1" x14ac:dyDescent="0.3">
      <c r="A2568" s="28">
        <v>13356</v>
      </c>
      <c r="B2568" s="49">
        <v>45016.378472222219</v>
      </c>
      <c r="C2568" s="18">
        <v>45016</v>
      </c>
      <c r="D2568" t="s">
        <v>104</v>
      </c>
      <c r="E2568" s="32">
        <v>0</v>
      </c>
      <c r="F2568" s="32">
        <v>198000</v>
      </c>
      <c r="G2568" s="32">
        <v>73841419</v>
      </c>
      <c r="H2568" t="s">
        <v>1048</v>
      </c>
    </row>
    <row r="2569" spans="1:8" hidden="1" x14ac:dyDescent="0.3">
      <c r="A2569" s="28">
        <v>13355</v>
      </c>
      <c r="B2569" s="49">
        <v>45016.378472222219</v>
      </c>
      <c r="C2569" s="18">
        <v>45016</v>
      </c>
      <c r="D2569" t="s">
        <v>104</v>
      </c>
      <c r="E2569" s="32">
        <v>0</v>
      </c>
      <c r="F2569" s="32">
        <v>198000</v>
      </c>
      <c r="G2569" s="32">
        <v>74039419</v>
      </c>
      <c r="H2569" t="s">
        <v>1049</v>
      </c>
    </row>
    <row r="2570" spans="1:8" hidden="1" x14ac:dyDescent="0.3">
      <c r="A2570" s="28">
        <v>13354</v>
      </c>
      <c r="B2570" s="49">
        <v>45016.355555555558</v>
      </c>
      <c r="C2570" s="18">
        <v>45016</v>
      </c>
      <c r="D2570" t="s">
        <v>104</v>
      </c>
      <c r="E2570" s="32">
        <v>0</v>
      </c>
      <c r="F2570" s="32">
        <v>48802380</v>
      </c>
      <c r="G2570" s="32">
        <v>74237419</v>
      </c>
      <c r="H2570" t="s">
        <v>1039</v>
      </c>
    </row>
    <row r="2571" spans="1:8" hidden="1" x14ac:dyDescent="0.3">
      <c r="A2571" s="28">
        <v>13353</v>
      </c>
      <c r="B2571" s="49">
        <v>45016.354861111111</v>
      </c>
      <c r="C2571" s="18">
        <v>45016</v>
      </c>
      <c r="D2571" t="s">
        <v>103</v>
      </c>
      <c r="E2571" s="32">
        <v>444400</v>
      </c>
      <c r="F2571" s="32">
        <v>0</v>
      </c>
      <c r="G2571" s="32">
        <v>123039799</v>
      </c>
      <c r="H2571" t="s">
        <v>1030</v>
      </c>
    </row>
    <row r="2572" spans="1:8" hidden="1" x14ac:dyDescent="0.3">
      <c r="A2572" s="28">
        <v>13352</v>
      </c>
      <c r="B2572" s="49">
        <v>45015.728472222225</v>
      </c>
      <c r="C2572" s="18">
        <v>45015</v>
      </c>
      <c r="D2572" t="s">
        <v>103</v>
      </c>
      <c r="E2572" s="32">
        <v>828300</v>
      </c>
      <c r="F2572" s="32">
        <v>0</v>
      </c>
      <c r="G2572" s="32">
        <v>122595399</v>
      </c>
      <c r="H2572" t="s">
        <v>938</v>
      </c>
    </row>
    <row r="2573" spans="1:8" hidden="1" x14ac:dyDescent="0.3">
      <c r="A2573" s="28">
        <v>13349</v>
      </c>
      <c r="B2573" s="49">
        <v>45014.631944444445</v>
      </c>
      <c r="C2573" s="18">
        <v>45014</v>
      </c>
      <c r="D2573" t="s">
        <v>104</v>
      </c>
      <c r="E2573" s="32">
        <v>0</v>
      </c>
      <c r="F2573" s="32">
        <v>440000</v>
      </c>
      <c r="G2573" s="32">
        <v>121767099</v>
      </c>
      <c r="H2573" t="s">
        <v>1050</v>
      </c>
    </row>
    <row r="2574" spans="1:8" hidden="1" x14ac:dyDescent="0.3">
      <c r="A2574" s="28">
        <v>13348</v>
      </c>
      <c r="B2574" s="49">
        <v>45014.57916666667</v>
      </c>
      <c r="C2574" s="18">
        <v>45014</v>
      </c>
      <c r="D2574" t="s">
        <v>103</v>
      </c>
      <c r="E2574" s="32">
        <v>361900</v>
      </c>
      <c r="F2574" s="32">
        <v>0</v>
      </c>
      <c r="G2574" s="32">
        <v>122207099</v>
      </c>
      <c r="H2574" t="s">
        <v>947</v>
      </c>
    </row>
    <row r="2575" spans="1:8" hidden="1" x14ac:dyDescent="0.3">
      <c r="A2575" s="28">
        <v>13347</v>
      </c>
      <c r="B2575" s="49">
        <v>45014.564583333333</v>
      </c>
      <c r="C2575" s="18">
        <v>45014</v>
      </c>
      <c r="D2575" t="s">
        <v>103</v>
      </c>
      <c r="E2575" s="32">
        <v>366300</v>
      </c>
      <c r="F2575" s="32">
        <v>0</v>
      </c>
      <c r="G2575" s="32">
        <v>121845199</v>
      </c>
      <c r="H2575" t="s">
        <v>859</v>
      </c>
    </row>
    <row r="2576" spans="1:8" hidden="1" x14ac:dyDescent="0.3">
      <c r="A2576" s="28">
        <v>13344</v>
      </c>
      <c r="B2576" s="49">
        <v>45014.386805555558</v>
      </c>
      <c r="C2576" s="18">
        <v>45014</v>
      </c>
      <c r="D2576" t="s">
        <v>104</v>
      </c>
      <c r="E2576" s="32">
        <v>0</v>
      </c>
      <c r="F2576" s="32">
        <v>48240</v>
      </c>
      <c r="G2576" s="32">
        <v>121478899</v>
      </c>
      <c r="H2576" t="s">
        <v>1051</v>
      </c>
    </row>
    <row r="2577" spans="1:8" hidden="1" x14ac:dyDescent="0.3">
      <c r="A2577" s="28">
        <v>13343</v>
      </c>
      <c r="B2577" s="49">
        <v>45014.374305555553</v>
      </c>
      <c r="C2577" s="18">
        <v>45014</v>
      </c>
      <c r="D2577" t="s">
        <v>103</v>
      </c>
      <c r="E2577" s="32">
        <v>2093300</v>
      </c>
      <c r="F2577" s="32">
        <v>0</v>
      </c>
      <c r="G2577" s="32">
        <v>121527139</v>
      </c>
      <c r="H2577" t="s">
        <v>994</v>
      </c>
    </row>
    <row r="2578" spans="1:8" hidden="1" x14ac:dyDescent="0.3">
      <c r="A2578" s="28">
        <v>13342</v>
      </c>
      <c r="B2578" s="49">
        <v>45013.681250000001</v>
      </c>
      <c r="C2578" s="18">
        <v>45013</v>
      </c>
      <c r="D2578" t="s">
        <v>103</v>
      </c>
      <c r="E2578" s="32">
        <v>605000</v>
      </c>
      <c r="F2578" s="32">
        <v>0</v>
      </c>
      <c r="G2578" s="32">
        <v>119433839</v>
      </c>
      <c r="H2578" t="s">
        <v>947</v>
      </c>
    </row>
    <row r="2579" spans="1:8" hidden="1" x14ac:dyDescent="0.3">
      <c r="A2579" s="28">
        <v>13341</v>
      </c>
      <c r="B2579" s="49">
        <v>45013.563888888886</v>
      </c>
      <c r="C2579" s="18">
        <v>45013</v>
      </c>
      <c r="D2579" t="s">
        <v>104</v>
      </c>
      <c r="E2579" s="32">
        <v>0</v>
      </c>
      <c r="F2579" s="32">
        <v>52470</v>
      </c>
      <c r="G2579" s="32">
        <v>118828839</v>
      </c>
      <c r="H2579" t="s">
        <v>1052</v>
      </c>
    </row>
    <row r="2580" spans="1:8" hidden="1" x14ac:dyDescent="0.3">
      <c r="A2580" s="28">
        <v>13339</v>
      </c>
      <c r="B2580" s="49">
        <v>45013.525694444441</v>
      </c>
      <c r="C2580" s="18">
        <v>45013</v>
      </c>
      <c r="D2580" t="s">
        <v>103</v>
      </c>
      <c r="E2580" s="32">
        <v>79200</v>
      </c>
      <c r="F2580" s="32">
        <v>0</v>
      </c>
      <c r="G2580" s="32">
        <v>118881309</v>
      </c>
      <c r="H2580" t="s">
        <v>926</v>
      </c>
    </row>
    <row r="2581" spans="1:8" hidden="1" x14ac:dyDescent="0.3">
      <c r="A2581" s="28">
        <v>13338</v>
      </c>
      <c r="B2581" s="49">
        <v>45013.48333333333</v>
      </c>
      <c r="C2581" s="18">
        <v>45013</v>
      </c>
      <c r="D2581" t="s">
        <v>103</v>
      </c>
      <c r="E2581" s="32">
        <v>4207240</v>
      </c>
      <c r="F2581" s="32">
        <v>0</v>
      </c>
      <c r="G2581" s="32">
        <v>118802109</v>
      </c>
      <c r="H2581" t="s">
        <v>931</v>
      </c>
    </row>
    <row r="2582" spans="1:8" hidden="1" x14ac:dyDescent="0.3">
      <c r="A2582" s="28">
        <v>13336</v>
      </c>
      <c r="B2582" s="49">
        <v>45013.404166666667</v>
      </c>
      <c r="C2582" s="18">
        <v>45013</v>
      </c>
      <c r="D2582" t="s">
        <v>104</v>
      </c>
      <c r="E2582" s="32">
        <v>0</v>
      </c>
      <c r="F2582" s="32">
        <v>467814</v>
      </c>
      <c r="G2582" s="32">
        <v>114594869</v>
      </c>
      <c r="H2582" t="s">
        <v>864</v>
      </c>
    </row>
    <row r="2583" spans="1:8" hidden="1" x14ac:dyDescent="0.3">
      <c r="A2583" s="28">
        <v>13334</v>
      </c>
      <c r="B2583" s="49">
        <v>45012.835416666669</v>
      </c>
      <c r="C2583" s="18">
        <v>45012</v>
      </c>
      <c r="D2583" t="s">
        <v>104</v>
      </c>
      <c r="E2583" s="32">
        <v>0</v>
      </c>
      <c r="F2583" s="32">
        <v>440000</v>
      </c>
      <c r="G2583" s="32">
        <v>115062683</v>
      </c>
      <c r="H2583" t="s">
        <v>946</v>
      </c>
    </row>
    <row r="2584" spans="1:8" hidden="1" x14ac:dyDescent="0.3">
      <c r="A2584" s="28">
        <v>13332</v>
      </c>
      <c r="B2584" s="49">
        <v>45012.664583333331</v>
      </c>
      <c r="C2584" s="18">
        <v>45012</v>
      </c>
      <c r="D2584" t="s">
        <v>103</v>
      </c>
      <c r="E2584" s="32">
        <v>6581300</v>
      </c>
      <c r="F2584" s="32">
        <v>0</v>
      </c>
      <c r="G2584" s="32">
        <v>115502683</v>
      </c>
      <c r="H2584" t="s">
        <v>1002</v>
      </c>
    </row>
    <row r="2585" spans="1:8" hidden="1" x14ac:dyDescent="0.3">
      <c r="A2585" s="28">
        <v>13331</v>
      </c>
      <c r="B2585" s="49">
        <v>45012.489583333336</v>
      </c>
      <c r="C2585" s="18">
        <v>45012</v>
      </c>
      <c r="D2585" t="s">
        <v>103</v>
      </c>
      <c r="E2585" s="32">
        <v>1559800</v>
      </c>
      <c r="F2585" s="32">
        <v>0</v>
      </c>
      <c r="G2585" s="32">
        <v>108921383</v>
      </c>
      <c r="H2585" t="s">
        <v>859</v>
      </c>
    </row>
    <row r="2586" spans="1:8" hidden="1" x14ac:dyDescent="0.3">
      <c r="A2586" s="28">
        <v>13330</v>
      </c>
      <c r="B2586" s="49">
        <v>45012.489583333336</v>
      </c>
      <c r="C2586" s="18">
        <v>45012</v>
      </c>
      <c r="D2586" t="s">
        <v>103</v>
      </c>
      <c r="E2586" s="32">
        <v>625900</v>
      </c>
      <c r="F2586" s="32">
        <v>0</v>
      </c>
      <c r="G2586" s="32">
        <v>107361583</v>
      </c>
      <c r="H2586" t="s">
        <v>859</v>
      </c>
    </row>
    <row r="2587" spans="1:8" hidden="1" x14ac:dyDescent="0.3">
      <c r="A2587" s="28">
        <v>13329</v>
      </c>
      <c r="B2587" s="49">
        <v>45012.476388888892</v>
      </c>
      <c r="C2587" s="18">
        <v>45012</v>
      </c>
      <c r="D2587" t="s">
        <v>103</v>
      </c>
      <c r="E2587" s="32">
        <v>1334300</v>
      </c>
      <c r="F2587" s="32">
        <v>0</v>
      </c>
      <c r="G2587" s="32">
        <v>106735683</v>
      </c>
      <c r="H2587" t="s">
        <v>858</v>
      </c>
    </row>
    <row r="2588" spans="1:8" hidden="1" x14ac:dyDescent="0.3">
      <c r="A2588" s="28">
        <v>13327</v>
      </c>
      <c r="B2588" s="49">
        <v>45012.454861111109</v>
      </c>
      <c r="C2588" s="18">
        <v>45012</v>
      </c>
      <c r="D2588" t="s">
        <v>104</v>
      </c>
      <c r="E2588" s="32">
        <v>0</v>
      </c>
      <c r="F2588" s="32">
        <v>51964000</v>
      </c>
      <c r="G2588" s="32">
        <v>105401383</v>
      </c>
      <c r="H2588" t="s">
        <v>983</v>
      </c>
    </row>
    <row r="2589" spans="1:8" hidden="1" x14ac:dyDescent="0.3">
      <c r="A2589" s="28">
        <v>13323</v>
      </c>
      <c r="B2589" s="49">
        <v>45009.665277777778</v>
      </c>
      <c r="C2589" s="18">
        <v>45009</v>
      </c>
      <c r="D2589" t="s">
        <v>103</v>
      </c>
      <c r="E2589" s="32">
        <v>2007500</v>
      </c>
      <c r="F2589" s="32">
        <v>0</v>
      </c>
      <c r="G2589" s="32">
        <v>157365383</v>
      </c>
      <c r="H2589" t="s">
        <v>935</v>
      </c>
    </row>
    <row r="2590" spans="1:8" hidden="1" x14ac:dyDescent="0.3">
      <c r="A2590" s="28">
        <v>13322</v>
      </c>
      <c r="B2590" s="49">
        <v>45009.665277777778</v>
      </c>
      <c r="C2590" s="18">
        <v>45009</v>
      </c>
      <c r="D2590" t="s">
        <v>103</v>
      </c>
      <c r="E2590" s="32">
        <v>3610200</v>
      </c>
      <c r="F2590" s="32">
        <v>0</v>
      </c>
      <c r="G2590" s="32">
        <v>155357883</v>
      </c>
      <c r="H2590" t="s">
        <v>935</v>
      </c>
    </row>
    <row r="2591" spans="1:8" hidden="1" x14ac:dyDescent="0.3">
      <c r="A2591" s="28">
        <v>13321</v>
      </c>
      <c r="B2591" s="49">
        <v>45009.659722222219</v>
      </c>
      <c r="C2591" s="18">
        <v>45009</v>
      </c>
      <c r="D2591" t="s">
        <v>103</v>
      </c>
      <c r="E2591" s="32">
        <v>1304600</v>
      </c>
      <c r="F2591" s="32">
        <v>0</v>
      </c>
      <c r="G2591" s="32">
        <v>151747683</v>
      </c>
      <c r="H2591" t="s">
        <v>842</v>
      </c>
    </row>
    <row r="2592" spans="1:8" hidden="1" x14ac:dyDescent="0.3">
      <c r="A2592" s="28">
        <v>13320</v>
      </c>
      <c r="B2592" s="49">
        <v>45009.570833333331</v>
      </c>
      <c r="C2592" s="18">
        <v>45009</v>
      </c>
      <c r="D2592" t="s">
        <v>104</v>
      </c>
      <c r="E2592" s="32">
        <v>0</v>
      </c>
      <c r="F2592" s="32">
        <v>130000</v>
      </c>
      <c r="G2592" s="32">
        <v>150443083</v>
      </c>
      <c r="H2592" t="s">
        <v>1053</v>
      </c>
    </row>
    <row r="2593" spans="1:8" hidden="1" x14ac:dyDescent="0.3">
      <c r="A2593" s="28">
        <v>13319</v>
      </c>
      <c r="B2593" s="49">
        <v>45009.569444444445</v>
      </c>
      <c r="C2593" s="18">
        <v>45009</v>
      </c>
      <c r="D2593" t="s">
        <v>104</v>
      </c>
      <c r="E2593" s="32">
        <v>0</v>
      </c>
      <c r="F2593" s="32">
        <v>2393924</v>
      </c>
      <c r="G2593" s="32">
        <v>150573083</v>
      </c>
      <c r="H2593" t="s">
        <v>1054</v>
      </c>
    </row>
    <row r="2594" spans="1:8" hidden="1" x14ac:dyDescent="0.3">
      <c r="A2594" s="28">
        <v>13318</v>
      </c>
      <c r="B2594" s="49">
        <v>45009.568055555559</v>
      </c>
      <c r="C2594" s="18">
        <v>45009</v>
      </c>
      <c r="D2594" t="s">
        <v>104</v>
      </c>
      <c r="E2594" s="32">
        <v>0</v>
      </c>
      <c r="F2594" s="32">
        <v>450000</v>
      </c>
      <c r="G2594" s="32">
        <v>152967007</v>
      </c>
      <c r="H2594" t="s">
        <v>847</v>
      </c>
    </row>
    <row r="2595" spans="1:8" hidden="1" x14ac:dyDescent="0.3">
      <c r="A2595" s="28">
        <v>13317</v>
      </c>
      <c r="B2595" s="49">
        <v>45009.501388888886</v>
      </c>
      <c r="C2595" s="18">
        <v>45009</v>
      </c>
      <c r="D2595" t="s">
        <v>103</v>
      </c>
      <c r="E2595" s="32">
        <v>754600</v>
      </c>
      <c r="F2595" s="32">
        <v>0</v>
      </c>
      <c r="G2595" s="32">
        <v>153417007</v>
      </c>
      <c r="H2595" t="s">
        <v>846</v>
      </c>
    </row>
    <row r="2596" spans="1:8" hidden="1" x14ac:dyDescent="0.3">
      <c r="A2596" s="28">
        <v>13316</v>
      </c>
      <c r="B2596" s="49">
        <v>45009.496527777781</v>
      </c>
      <c r="C2596" s="18">
        <v>45009</v>
      </c>
      <c r="D2596" t="s">
        <v>103</v>
      </c>
      <c r="E2596" s="32">
        <v>509300</v>
      </c>
      <c r="F2596" s="32">
        <v>0</v>
      </c>
      <c r="G2596" s="32">
        <v>152662407</v>
      </c>
      <c r="H2596" t="s">
        <v>866</v>
      </c>
    </row>
    <row r="2597" spans="1:8" hidden="1" x14ac:dyDescent="0.3">
      <c r="A2597" s="28">
        <v>13314</v>
      </c>
      <c r="B2597" s="49">
        <v>45009.475694444445</v>
      </c>
      <c r="C2597" s="18">
        <v>45009</v>
      </c>
      <c r="D2597" t="s">
        <v>104</v>
      </c>
      <c r="E2597" s="32">
        <v>0</v>
      </c>
      <c r="F2597" s="32">
        <v>37927130</v>
      </c>
      <c r="G2597" s="32">
        <v>152153107</v>
      </c>
      <c r="H2597" t="s">
        <v>952</v>
      </c>
    </row>
    <row r="2598" spans="1:8" hidden="1" x14ac:dyDescent="0.3">
      <c r="A2598" s="28">
        <v>13313</v>
      </c>
      <c r="B2598" s="49">
        <v>45009.474999999999</v>
      </c>
      <c r="C2598" s="18">
        <v>45009</v>
      </c>
      <c r="D2598" t="s">
        <v>104</v>
      </c>
      <c r="E2598" s="32">
        <v>0</v>
      </c>
      <c r="F2598" s="32">
        <v>7718920</v>
      </c>
      <c r="G2598" s="32">
        <v>190080237</v>
      </c>
      <c r="H2598" t="s">
        <v>952</v>
      </c>
    </row>
    <row r="2599" spans="1:8" hidden="1" x14ac:dyDescent="0.3">
      <c r="A2599" s="28">
        <v>13312</v>
      </c>
      <c r="B2599" s="49">
        <v>45009.472916666666</v>
      </c>
      <c r="C2599" s="18">
        <v>45009</v>
      </c>
      <c r="D2599" t="s">
        <v>103</v>
      </c>
      <c r="E2599" s="32">
        <v>1151700</v>
      </c>
      <c r="F2599" s="32">
        <v>0</v>
      </c>
      <c r="G2599" s="32">
        <v>197799157</v>
      </c>
      <c r="H2599" t="s">
        <v>1008</v>
      </c>
    </row>
    <row r="2600" spans="1:8" hidden="1" x14ac:dyDescent="0.3">
      <c r="A2600" s="28">
        <v>13311</v>
      </c>
      <c r="B2600" s="49">
        <v>45009.424305555556</v>
      </c>
      <c r="C2600" s="18">
        <v>45009</v>
      </c>
      <c r="D2600" t="s">
        <v>103</v>
      </c>
      <c r="E2600" s="32">
        <v>2215400</v>
      </c>
      <c r="F2600" s="32">
        <v>0</v>
      </c>
      <c r="G2600" s="32">
        <v>196647457</v>
      </c>
      <c r="H2600" t="s">
        <v>950</v>
      </c>
    </row>
    <row r="2601" spans="1:8" hidden="1" x14ac:dyDescent="0.3">
      <c r="A2601" s="28">
        <v>13310</v>
      </c>
      <c r="B2601" s="49">
        <v>45009.424305555556</v>
      </c>
      <c r="C2601" s="18">
        <v>45009</v>
      </c>
      <c r="D2601" t="s">
        <v>103</v>
      </c>
      <c r="E2601" s="32">
        <v>5380100</v>
      </c>
      <c r="F2601" s="32">
        <v>0</v>
      </c>
      <c r="G2601" s="32">
        <v>194432057</v>
      </c>
      <c r="H2601" t="s">
        <v>950</v>
      </c>
    </row>
    <row r="2602" spans="1:8" hidden="1" x14ac:dyDescent="0.3">
      <c r="A2602" s="28">
        <v>13306</v>
      </c>
      <c r="B2602" s="49">
        <v>45008.491666666669</v>
      </c>
      <c r="C2602" s="18">
        <v>45008</v>
      </c>
      <c r="D2602" t="s">
        <v>103</v>
      </c>
      <c r="E2602" s="32">
        <v>334400</v>
      </c>
      <c r="F2602" s="32">
        <v>0</v>
      </c>
      <c r="G2602" s="32">
        <v>189051957</v>
      </c>
      <c r="H2602" t="s">
        <v>1055</v>
      </c>
    </row>
    <row r="2603" spans="1:8" hidden="1" x14ac:dyDescent="0.3">
      <c r="A2603" s="28">
        <v>13304</v>
      </c>
      <c r="B2603" s="49">
        <v>45008.443749999999</v>
      </c>
      <c r="C2603" s="18">
        <v>45008</v>
      </c>
      <c r="D2603" t="s">
        <v>104</v>
      </c>
      <c r="E2603" s="32">
        <v>0</v>
      </c>
      <c r="F2603" s="32">
        <v>1522470</v>
      </c>
      <c r="G2603" s="32">
        <v>188717557</v>
      </c>
      <c r="H2603" t="s">
        <v>860</v>
      </c>
    </row>
    <row r="2604" spans="1:8" hidden="1" x14ac:dyDescent="0.3">
      <c r="A2604" s="28">
        <v>13303</v>
      </c>
      <c r="B2604" s="49">
        <v>45008.439583333333</v>
      </c>
      <c r="C2604" s="18">
        <v>45008</v>
      </c>
      <c r="D2604" t="s">
        <v>103</v>
      </c>
      <c r="E2604" s="32">
        <v>598000</v>
      </c>
      <c r="F2604" s="32">
        <v>0</v>
      </c>
      <c r="G2604" s="32">
        <v>190240027</v>
      </c>
      <c r="H2604" t="s">
        <v>905</v>
      </c>
    </row>
    <row r="2605" spans="1:8" hidden="1" x14ac:dyDescent="0.3">
      <c r="A2605" s="28">
        <v>13302</v>
      </c>
      <c r="B2605" s="49">
        <v>45008.436805555553</v>
      </c>
      <c r="C2605" s="18">
        <v>45008</v>
      </c>
      <c r="D2605" t="s">
        <v>103</v>
      </c>
      <c r="E2605" s="32">
        <v>59800</v>
      </c>
      <c r="F2605" s="32">
        <v>0</v>
      </c>
      <c r="G2605" s="32">
        <v>189642027</v>
      </c>
      <c r="H2605" t="s">
        <v>910</v>
      </c>
    </row>
    <row r="2606" spans="1:8" hidden="1" x14ac:dyDescent="0.3">
      <c r="A2606" s="28">
        <v>13301</v>
      </c>
      <c r="B2606" s="49">
        <v>45008.436805555553</v>
      </c>
      <c r="C2606" s="18">
        <v>45008</v>
      </c>
      <c r="D2606" t="s">
        <v>103</v>
      </c>
      <c r="E2606" s="32">
        <v>698500</v>
      </c>
      <c r="F2606" s="32">
        <v>0</v>
      </c>
      <c r="G2606" s="32">
        <v>189582227</v>
      </c>
      <c r="H2606" t="s">
        <v>910</v>
      </c>
    </row>
    <row r="2607" spans="1:8" hidden="1" x14ac:dyDescent="0.3">
      <c r="A2607" s="28">
        <v>13300</v>
      </c>
      <c r="B2607" s="49">
        <v>45008.436805555553</v>
      </c>
      <c r="C2607" s="18">
        <v>45008</v>
      </c>
      <c r="D2607" t="s">
        <v>103</v>
      </c>
      <c r="E2607" s="32">
        <v>1710500</v>
      </c>
      <c r="F2607" s="32">
        <v>0</v>
      </c>
      <c r="G2607" s="32">
        <v>188883727</v>
      </c>
      <c r="H2607" t="s">
        <v>910</v>
      </c>
    </row>
    <row r="2608" spans="1:8" hidden="1" x14ac:dyDescent="0.3">
      <c r="A2608" s="28">
        <v>13299</v>
      </c>
      <c r="B2608" s="49">
        <v>45008.381944444445</v>
      </c>
      <c r="C2608" s="18">
        <v>45008</v>
      </c>
      <c r="D2608" t="s">
        <v>103</v>
      </c>
      <c r="E2608" s="32">
        <v>2208800</v>
      </c>
      <c r="F2608" s="32">
        <v>0</v>
      </c>
      <c r="G2608" s="32">
        <v>187173227</v>
      </c>
      <c r="H2608" t="s">
        <v>884</v>
      </c>
    </row>
    <row r="2609" spans="1:8" hidden="1" x14ac:dyDescent="0.3">
      <c r="A2609" s="28">
        <v>13298</v>
      </c>
      <c r="B2609" s="49">
        <v>45008.381944444445</v>
      </c>
      <c r="C2609" s="18">
        <v>45008</v>
      </c>
      <c r="D2609" t="s">
        <v>103</v>
      </c>
      <c r="E2609" s="32">
        <v>515900</v>
      </c>
      <c r="F2609" s="32">
        <v>0</v>
      </c>
      <c r="G2609" s="32">
        <v>184964427</v>
      </c>
      <c r="H2609" t="s">
        <v>884</v>
      </c>
    </row>
    <row r="2610" spans="1:8" hidden="1" x14ac:dyDescent="0.3">
      <c r="A2610" s="28">
        <v>13297</v>
      </c>
      <c r="B2610" s="49">
        <v>45008.381249999999</v>
      </c>
      <c r="C2610" s="18">
        <v>45008</v>
      </c>
      <c r="D2610" t="s">
        <v>103</v>
      </c>
      <c r="E2610" s="32">
        <v>668800</v>
      </c>
      <c r="F2610" s="32">
        <v>0</v>
      </c>
      <c r="G2610" s="32">
        <v>184448527</v>
      </c>
      <c r="H2610" t="s">
        <v>884</v>
      </c>
    </row>
    <row r="2611" spans="1:8" hidden="1" x14ac:dyDescent="0.3">
      <c r="A2611" s="28">
        <v>13295</v>
      </c>
      <c r="B2611" s="49">
        <v>45007.614583333336</v>
      </c>
      <c r="C2611" s="18">
        <v>45007</v>
      </c>
      <c r="D2611" t="s">
        <v>103</v>
      </c>
      <c r="E2611" s="32">
        <v>379500</v>
      </c>
      <c r="F2611" s="32">
        <v>0</v>
      </c>
      <c r="G2611" s="32">
        <v>183779727</v>
      </c>
      <c r="H2611" t="s">
        <v>846</v>
      </c>
    </row>
    <row r="2612" spans="1:8" hidden="1" x14ac:dyDescent="0.3">
      <c r="A2612" s="28">
        <v>13294</v>
      </c>
      <c r="B2612" s="49">
        <v>45007.614583333336</v>
      </c>
      <c r="C2612" s="18">
        <v>45007</v>
      </c>
      <c r="D2612" t="s">
        <v>103</v>
      </c>
      <c r="E2612" s="32">
        <v>259600</v>
      </c>
      <c r="F2612" s="32">
        <v>0</v>
      </c>
      <c r="G2612" s="32">
        <v>183400227</v>
      </c>
      <c r="H2612" t="s">
        <v>846</v>
      </c>
    </row>
    <row r="2613" spans="1:8" hidden="1" x14ac:dyDescent="0.3">
      <c r="A2613" s="28">
        <v>13293</v>
      </c>
      <c r="B2613" s="49">
        <v>45007.614583333336</v>
      </c>
      <c r="C2613" s="18">
        <v>45007</v>
      </c>
      <c r="D2613" t="s">
        <v>103</v>
      </c>
      <c r="E2613" s="32">
        <v>272800</v>
      </c>
      <c r="F2613" s="32">
        <v>0</v>
      </c>
      <c r="G2613" s="32">
        <v>183140627</v>
      </c>
      <c r="H2613" t="s">
        <v>846</v>
      </c>
    </row>
    <row r="2614" spans="1:8" hidden="1" x14ac:dyDescent="0.3">
      <c r="A2614" s="28">
        <v>13292</v>
      </c>
      <c r="B2614" s="49">
        <v>45007.614583333336</v>
      </c>
      <c r="C2614" s="18">
        <v>45007</v>
      </c>
      <c r="D2614" t="s">
        <v>103</v>
      </c>
      <c r="E2614" s="32">
        <v>808500</v>
      </c>
      <c r="F2614" s="32">
        <v>0</v>
      </c>
      <c r="G2614" s="32">
        <v>182867827</v>
      </c>
      <c r="H2614" t="s">
        <v>846</v>
      </c>
    </row>
    <row r="2615" spans="1:8" hidden="1" x14ac:dyDescent="0.3">
      <c r="A2615" s="28">
        <v>13291</v>
      </c>
      <c r="B2615" s="49">
        <v>45007.614583333336</v>
      </c>
      <c r="C2615" s="18">
        <v>45007</v>
      </c>
      <c r="D2615" t="s">
        <v>103</v>
      </c>
      <c r="E2615" s="32">
        <v>278300</v>
      </c>
      <c r="F2615" s="32">
        <v>0</v>
      </c>
      <c r="G2615" s="32">
        <v>182059327</v>
      </c>
      <c r="H2615" t="s">
        <v>846</v>
      </c>
    </row>
    <row r="2616" spans="1:8" hidden="1" x14ac:dyDescent="0.3">
      <c r="A2616" s="28">
        <v>13290</v>
      </c>
      <c r="B2616" s="49">
        <v>45007.614583333336</v>
      </c>
      <c r="C2616" s="18">
        <v>45007</v>
      </c>
      <c r="D2616" t="s">
        <v>103</v>
      </c>
      <c r="E2616" s="32">
        <v>821700</v>
      </c>
      <c r="F2616" s="32">
        <v>0</v>
      </c>
      <c r="G2616" s="32">
        <v>181781027</v>
      </c>
      <c r="H2616" t="s">
        <v>846</v>
      </c>
    </row>
    <row r="2617" spans="1:8" hidden="1" x14ac:dyDescent="0.3">
      <c r="A2617" s="28">
        <v>13289</v>
      </c>
      <c r="B2617" s="49">
        <v>45007.614583333336</v>
      </c>
      <c r="C2617" s="18">
        <v>45007</v>
      </c>
      <c r="D2617" t="s">
        <v>103</v>
      </c>
      <c r="E2617" s="32">
        <v>78100</v>
      </c>
      <c r="F2617" s="32">
        <v>0</v>
      </c>
      <c r="G2617" s="32">
        <v>180959327</v>
      </c>
      <c r="H2617" t="s">
        <v>846</v>
      </c>
    </row>
    <row r="2618" spans="1:8" hidden="1" x14ac:dyDescent="0.3">
      <c r="A2618" s="28">
        <v>13288</v>
      </c>
      <c r="B2618" s="49">
        <v>45007.577777777777</v>
      </c>
      <c r="C2618" s="18">
        <v>45007</v>
      </c>
      <c r="D2618" t="s">
        <v>104</v>
      </c>
      <c r="E2618" s="32">
        <v>0</v>
      </c>
      <c r="F2618" s="32">
        <v>20000</v>
      </c>
      <c r="G2618" s="32">
        <v>180881227</v>
      </c>
      <c r="H2618" t="s">
        <v>883</v>
      </c>
    </row>
    <row r="2619" spans="1:8" hidden="1" x14ac:dyDescent="0.3">
      <c r="A2619" s="28">
        <v>13287</v>
      </c>
      <c r="B2619" s="49">
        <v>45007.576388888891</v>
      </c>
      <c r="C2619" s="18">
        <v>45007</v>
      </c>
      <c r="D2619" t="s">
        <v>104</v>
      </c>
      <c r="E2619" s="32">
        <v>0</v>
      </c>
      <c r="F2619" s="32">
        <v>8239230</v>
      </c>
      <c r="G2619" s="32">
        <v>180901227</v>
      </c>
      <c r="H2619" t="s">
        <v>853</v>
      </c>
    </row>
    <row r="2620" spans="1:8" hidden="1" x14ac:dyDescent="0.3">
      <c r="A2620" s="28">
        <v>13286</v>
      </c>
      <c r="B2620" s="49">
        <v>45007.574305555558</v>
      </c>
      <c r="C2620" s="18">
        <v>45007</v>
      </c>
      <c r="D2620" t="s">
        <v>104</v>
      </c>
      <c r="E2620" s="32">
        <v>0</v>
      </c>
      <c r="F2620" s="32">
        <v>410850</v>
      </c>
      <c r="G2620" s="32">
        <v>189140457</v>
      </c>
      <c r="H2620" t="s">
        <v>889</v>
      </c>
    </row>
    <row r="2621" spans="1:8" hidden="1" x14ac:dyDescent="0.3">
      <c r="A2621" s="28">
        <v>13285</v>
      </c>
      <c r="B2621" s="49">
        <v>45007.573611111111</v>
      </c>
      <c r="C2621" s="18">
        <v>45007</v>
      </c>
      <c r="D2621" t="s">
        <v>104</v>
      </c>
      <c r="E2621" s="32">
        <v>0</v>
      </c>
      <c r="F2621" s="32">
        <v>7700000</v>
      </c>
      <c r="G2621" s="32">
        <v>189551307</v>
      </c>
      <c r="H2621" t="s">
        <v>1056</v>
      </c>
    </row>
    <row r="2622" spans="1:8" hidden="1" x14ac:dyDescent="0.3">
      <c r="A2622" s="28">
        <v>13284</v>
      </c>
      <c r="B2622" s="49">
        <v>45007.571527777778</v>
      </c>
      <c r="C2622" s="18">
        <v>45007</v>
      </c>
      <c r="D2622" t="s">
        <v>104</v>
      </c>
      <c r="E2622" s="32">
        <v>0</v>
      </c>
      <c r="F2622" s="32">
        <v>266750</v>
      </c>
      <c r="G2622" s="32">
        <v>197251307</v>
      </c>
      <c r="H2622" t="s">
        <v>962</v>
      </c>
    </row>
    <row r="2623" spans="1:8" hidden="1" x14ac:dyDescent="0.3">
      <c r="A2623" s="28">
        <v>13279</v>
      </c>
      <c r="B2623" s="49">
        <v>45006.637499999997</v>
      </c>
      <c r="C2623" s="18">
        <v>45006</v>
      </c>
      <c r="D2623" t="s">
        <v>103</v>
      </c>
      <c r="E2623" s="32">
        <v>62600</v>
      </c>
      <c r="F2623" s="32">
        <v>0</v>
      </c>
      <c r="G2623" s="32">
        <v>197518057</v>
      </c>
      <c r="H2623" t="s">
        <v>1057</v>
      </c>
    </row>
    <row r="2624" spans="1:8" hidden="1" x14ac:dyDescent="0.3">
      <c r="A2624" s="28">
        <v>13278</v>
      </c>
      <c r="B2624" s="49">
        <v>45006.636111111111</v>
      </c>
      <c r="C2624" s="18">
        <v>45006</v>
      </c>
      <c r="D2624" t="s">
        <v>103</v>
      </c>
      <c r="E2624" s="32">
        <v>250800</v>
      </c>
      <c r="F2624" s="32">
        <v>0</v>
      </c>
      <c r="G2624" s="32">
        <v>197455457</v>
      </c>
      <c r="H2624" t="s">
        <v>1058</v>
      </c>
    </row>
    <row r="2625" spans="1:8" hidden="1" x14ac:dyDescent="0.3">
      <c r="A2625" s="28">
        <v>13277</v>
      </c>
      <c r="B2625" s="49">
        <v>45006.623611111114</v>
      </c>
      <c r="C2625" s="18">
        <v>45006</v>
      </c>
      <c r="D2625" t="s">
        <v>104</v>
      </c>
      <c r="E2625" s="32">
        <v>0</v>
      </c>
      <c r="F2625" s="32">
        <v>1002394</v>
      </c>
      <c r="G2625" s="32">
        <v>197204657</v>
      </c>
      <c r="H2625" t="s">
        <v>864</v>
      </c>
    </row>
    <row r="2626" spans="1:8" hidden="1" x14ac:dyDescent="0.3">
      <c r="A2626" s="28">
        <v>13276</v>
      </c>
      <c r="B2626" s="49">
        <v>45006.503472222219</v>
      </c>
      <c r="C2626" s="18">
        <v>45006</v>
      </c>
      <c r="D2626" t="s">
        <v>103</v>
      </c>
      <c r="E2626" s="32">
        <v>883300</v>
      </c>
      <c r="F2626" s="32">
        <v>0</v>
      </c>
      <c r="G2626" s="32">
        <v>198207051</v>
      </c>
      <c r="H2626" t="s">
        <v>858</v>
      </c>
    </row>
    <row r="2627" spans="1:8" hidden="1" x14ac:dyDescent="0.3">
      <c r="A2627" s="28">
        <v>13275</v>
      </c>
      <c r="B2627" s="49">
        <v>45005.852083333331</v>
      </c>
      <c r="C2627" s="18">
        <v>45005</v>
      </c>
      <c r="D2627" t="s">
        <v>104</v>
      </c>
      <c r="E2627" s="32">
        <v>0</v>
      </c>
      <c r="F2627" s="32">
        <v>598530</v>
      </c>
      <c r="G2627" s="32">
        <v>197323751</v>
      </c>
      <c r="H2627" t="s">
        <v>854</v>
      </c>
    </row>
    <row r="2628" spans="1:8" hidden="1" x14ac:dyDescent="0.3">
      <c r="A2628" s="28">
        <v>13274</v>
      </c>
      <c r="B2628" s="49">
        <v>45005.833333333336</v>
      </c>
      <c r="C2628" s="18">
        <v>45005</v>
      </c>
      <c r="D2628" t="s">
        <v>104</v>
      </c>
      <c r="E2628" s="32">
        <v>0</v>
      </c>
      <c r="F2628" s="32">
        <v>273119</v>
      </c>
      <c r="G2628" s="32">
        <v>197922281</v>
      </c>
      <c r="H2628" t="s">
        <v>855</v>
      </c>
    </row>
    <row r="2629" spans="1:8" hidden="1" x14ac:dyDescent="0.3">
      <c r="A2629" s="28">
        <v>13273</v>
      </c>
      <c r="B2629" s="49">
        <v>45005.821527777778</v>
      </c>
      <c r="C2629" s="18">
        <v>45005</v>
      </c>
      <c r="D2629" t="s">
        <v>104</v>
      </c>
      <c r="E2629" s="32">
        <v>0</v>
      </c>
      <c r="F2629" s="32">
        <v>77429</v>
      </c>
      <c r="G2629" s="32">
        <v>198195400</v>
      </c>
      <c r="H2629" t="s">
        <v>1059</v>
      </c>
    </row>
    <row r="2630" spans="1:8" hidden="1" x14ac:dyDescent="0.3">
      <c r="A2630" s="28">
        <v>13272</v>
      </c>
      <c r="B2630" s="49">
        <v>45005.819444444445</v>
      </c>
      <c r="C2630" s="18">
        <v>45005</v>
      </c>
      <c r="D2630" t="s">
        <v>104</v>
      </c>
      <c r="E2630" s="32">
        <v>0</v>
      </c>
      <c r="F2630" s="32">
        <v>1000000</v>
      </c>
      <c r="G2630" s="32">
        <v>198272829</v>
      </c>
      <c r="H2630" t="s">
        <v>1060</v>
      </c>
    </row>
    <row r="2631" spans="1:8" hidden="1" x14ac:dyDescent="0.3">
      <c r="A2631" s="28">
        <v>13270</v>
      </c>
      <c r="B2631" s="49">
        <v>45005.693749999999</v>
      </c>
      <c r="C2631" s="18">
        <v>45005</v>
      </c>
      <c r="D2631" t="s">
        <v>103</v>
      </c>
      <c r="E2631" s="32">
        <v>5418600</v>
      </c>
      <c r="F2631" s="32">
        <v>0</v>
      </c>
      <c r="G2631" s="32">
        <v>199272829</v>
      </c>
      <c r="H2631" t="s">
        <v>924</v>
      </c>
    </row>
    <row r="2632" spans="1:8" hidden="1" x14ac:dyDescent="0.3">
      <c r="A2632" s="28">
        <v>13269</v>
      </c>
      <c r="B2632" s="49">
        <v>45005.592361111114</v>
      </c>
      <c r="C2632" s="18">
        <v>45005</v>
      </c>
      <c r="D2632" t="s">
        <v>104</v>
      </c>
      <c r="E2632" s="32">
        <v>0</v>
      </c>
      <c r="F2632" s="32">
        <v>501197</v>
      </c>
      <c r="G2632" s="32">
        <v>193854229</v>
      </c>
      <c r="H2632" t="s">
        <v>864</v>
      </c>
    </row>
    <row r="2633" spans="1:8" hidden="1" x14ac:dyDescent="0.3">
      <c r="A2633" s="28">
        <v>13268</v>
      </c>
      <c r="B2633" s="49">
        <v>45005.586805555555</v>
      </c>
      <c r="C2633" s="18">
        <v>45005</v>
      </c>
      <c r="D2633" t="s">
        <v>103</v>
      </c>
      <c r="E2633" s="32">
        <v>2739000</v>
      </c>
      <c r="F2633" s="32">
        <v>0</v>
      </c>
      <c r="G2633" s="32">
        <v>194355426</v>
      </c>
      <c r="H2633" t="s">
        <v>939</v>
      </c>
    </row>
    <row r="2634" spans="1:8" hidden="1" x14ac:dyDescent="0.3">
      <c r="A2634" s="28">
        <v>13267</v>
      </c>
      <c r="B2634" s="49">
        <v>45005.554166666669</v>
      </c>
      <c r="C2634" s="18">
        <v>45005</v>
      </c>
      <c r="D2634" t="s">
        <v>103</v>
      </c>
      <c r="E2634" s="32">
        <v>126500</v>
      </c>
      <c r="F2634" s="32">
        <v>0</v>
      </c>
      <c r="G2634" s="32">
        <v>191616426</v>
      </c>
      <c r="H2634" t="s">
        <v>1061</v>
      </c>
    </row>
    <row r="2635" spans="1:8" hidden="1" x14ac:dyDescent="0.3">
      <c r="A2635" s="28">
        <v>13266</v>
      </c>
      <c r="B2635" s="49">
        <v>45005.422222222223</v>
      </c>
      <c r="C2635" s="18">
        <v>45005</v>
      </c>
      <c r="D2635" t="s">
        <v>104</v>
      </c>
      <c r="E2635" s="32">
        <v>0</v>
      </c>
      <c r="F2635" s="32">
        <v>984986</v>
      </c>
      <c r="G2635" s="32">
        <v>191489926</v>
      </c>
      <c r="H2635" t="s">
        <v>863</v>
      </c>
    </row>
    <row r="2636" spans="1:8" hidden="1" x14ac:dyDescent="0.3">
      <c r="A2636" s="28">
        <v>13263</v>
      </c>
      <c r="B2636" s="49">
        <v>45002.791666666664</v>
      </c>
      <c r="C2636" s="18">
        <v>45002</v>
      </c>
      <c r="D2636" t="s">
        <v>103</v>
      </c>
      <c r="E2636" s="32">
        <v>68600</v>
      </c>
      <c r="F2636" s="32">
        <v>0</v>
      </c>
      <c r="G2636" s="32">
        <v>192474912</v>
      </c>
      <c r="H2636" t="s">
        <v>913</v>
      </c>
    </row>
    <row r="2637" spans="1:8" hidden="1" x14ac:dyDescent="0.3">
      <c r="A2637" s="28">
        <v>13262</v>
      </c>
      <c r="B2637" s="49">
        <v>45002.791666666664</v>
      </c>
      <c r="C2637" s="18">
        <v>45002</v>
      </c>
      <c r="D2637" t="s">
        <v>103</v>
      </c>
      <c r="E2637" s="32">
        <v>686000</v>
      </c>
      <c r="F2637" s="32">
        <v>0</v>
      </c>
      <c r="G2637" s="32">
        <v>192406312</v>
      </c>
      <c r="H2637" t="s">
        <v>913</v>
      </c>
    </row>
    <row r="2638" spans="1:8" hidden="1" x14ac:dyDescent="0.3">
      <c r="A2638" s="28">
        <v>13261</v>
      </c>
      <c r="B2638" s="49">
        <v>45002.670138888891</v>
      </c>
      <c r="C2638" s="18">
        <v>45002</v>
      </c>
      <c r="D2638" t="s">
        <v>104</v>
      </c>
      <c r="E2638" s="32">
        <v>0</v>
      </c>
      <c r="F2638" s="32">
        <v>501197</v>
      </c>
      <c r="G2638" s="32">
        <v>191720312</v>
      </c>
      <c r="H2638" t="s">
        <v>864</v>
      </c>
    </row>
    <row r="2639" spans="1:8" hidden="1" x14ac:dyDescent="0.3">
      <c r="A2639" s="28">
        <v>13260</v>
      </c>
      <c r="B2639" s="49">
        <v>45002.584027777775</v>
      </c>
      <c r="C2639" s="18">
        <v>45002</v>
      </c>
      <c r="D2639" t="s">
        <v>104</v>
      </c>
      <c r="E2639" s="32">
        <v>0</v>
      </c>
      <c r="F2639" s="32">
        <v>50490</v>
      </c>
      <c r="G2639" s="32">
        <v>192221509</v>
      </c>
      <c r="H2639" t="s">
        <v>889</v>
      </c>
    </row>
    <row r="2640" spans="1:8" hidden="1" x14ac:dyDescent="0.3">
      <c r="A2640" s="28">
        <v>13257</v>
      </c>
      <c r="B2640" s="49">
        <v>45001.792361111111</v>
      </c>
      <c r="C2640" s="18">
        <v>45001</v>
      </c>
      <c r="D2640" t="s">
        <v>104</v>
      </c>
      <c r="E2640" s="32">
        <v>0</v>
      </c>
      <c r="F2640" s="32">
        <v>1027845</v>
      </c>
      <c r="G2640" s="32">
        <v>192271999</v>
      </c>
      <c r="H2640" t="s">
        <v>872</v>
      </c>
    </row>
    <row r="2641" spans="1:8" hidden="1" x14ac:dyDescent="0.3">
      <c r="A2641" s="28">
        <v>13256</v>
      </c>
      <c r="B2641" s="49">
        <v>45001.792361111111</v>
      </c>
      <c r="C2641" s="18">
        <v>45001</v>
      </c>
      <c r="D2641" t="s">
        <v>104</v>
      </c>
      <c r="E2641" s="32">
        <v>0</v>
      </c>
      <c r="F2641" s="32">
        <v>196600</v>
      </c>
      <c r="G2641" s="32">
        <v>193299844</v>
      </c>
      <c r="H2641" t="s">
        <v>872</v>
      </c>
    </row>
    <row r="2642" spans="1:8" hidden="1" x14ac:dyDescent="0.3">
      <c r="A2642" s="28">
        <v>13255</v>
      </c>
      <c r="B2642" s="49">
        <v>45001.792361111111</v>
      </c>
      <c r="C2642" s="18">
        <v>45001</v>
      </c>
      <c r="D2642" t="s">
        <v>104</v>
      </c>
      <c r="E2642" s="32">
        <v>0</v>
      </c>
      <c r="F2642" s="32">
        <v>662900</v>
      </c>
      <c r="G2642" s="32">
        <v>193496444</v>
      </c>
      <c r="H2642" t="s">
        <v>872</v>
      </c>
    </row>
    <row r="2643" spans="1:8" hidden="1" x14ac:dyDescent="0.3">
      <c r="A2643" s="28">
        <v>13254</v>
      </c>
      <c r="B2643" s="49">
        <v>45001.792361111111</v>
      </c>
      <c r="C2643" s="18">
        <v>45001</v>
      </c>
      <c r="D2643" t="s">
        <v>103</v>
      </c>
      <c r="E2643" s="32">
        <v>2717031</v>
      </c>
      <c r="F2643" s="32">
        <v>0</v>
      </c>
      <c r="G2643" s="32">
        <v>194159344</v>
      </c>
      <c r="H2643" t="s">
        <v>892</v>
      </c>
    </row>
    <row r="2644" spans="1:8" hidden="1" x14ac:dyDescent="0.3">
      <c r="A2644" s="28">
        <v>13253</v>
      </c>
      <c r="B2644" s="49">
        <v>45001.752083333333</v>
      </c>
      <c r="C2644" s="18">
        <v>45001</v>
      </c>
      <c r="D2644" t="s">
        <v>103</v>
      </c>
      <c r="E2644" s="32">
        <v>459800</v>
      </c>
      <c r="F2644" s="32">
        <v>0</v>
      </c>
      <c r="G2644" s="32">
        <v>191442313</v>
      </c>
      <c r="H2644" t="s">
        <v>1062</v>
      </c>
    </row>
    <row r="2645" spans="1:8" hidden="1" x14ac:dyDescent="0.3">
      <c r="A2645" s="28">
        <v>13252</v>
      </c>
      <c r="B2645" s="49">
        <v>45001.730555555558</v>
      </c>
      <c r="C2645" s="18">
        <v>45001</v>
      </c>
      <c r="D2645" t="s">
        <v>104</v>
      </c>
      <c r="E2645" s="32">
        <v>0</v>
      </c>
      <c r="F2645" s="32">
        <v>99000</v>
      </c>
      <c r="G2645" s="32">
        <v>190982513</v>
      </c>
      <c r="H2645" t="s">
        <v>962</v>
      </c>
    </row>
    <row r="2646" spans="1:8" hidden="1" x14ac:dyDescent="0.3">
      <c r="A2646" s="28">
        <v>13249</v>
      </c>
      <c r="B2646" s="49">
        <v>45001.469444444447</v>
      </c>
      <c r="C2646" s="18">
        <v>45001</v>
      </c>
      <c r="D2646" t="s">
        <v>103</v>
      </c>
      <c r="E2646" s="32">
        <v>17342600</v>
      </c>
      <c r="F2646" s="32">
        <v>0</v>
      </c>
      <c r="G2646" s="32">
        <v>191081513</v>
      </c>
      <c r="H2646" t="s">
        <v>886</v>
      </c>
    </row>
    <row r="2647" spans="1:8" hidden="1" x14ac:dyDescent="0.3">
      <c r="A2647" s="28">
        <v>13248</v>
      </c>
      <c r="B2647" s="49">
        <v>45001.4</v>
      </c>
      <c r="C2647" s="18">
        <v>45001</v>
      </c>
      <c r="D2647" t="s">
        <v>104</v>
      </c>
      <c r="E2647" s="32">
        <v>0</v>
      </c>
      <c r="F2647" s="32">
        <v>8000</v>
      </c>
      <c r="G2647" s="32">
        <v>173738913</v>
      </c>
      <c r="H2647" t="s">
        <v>911</v>
      </c>
    </row>
    <row r="2648" spans="1:8" hidden="1" x14ac:dyDescent="0.3">
      <c r="A2648" s="28">
        <v>13247</v>
      </c>
      <c r="B2648" s="49">
        <v>45000.833333333336</v>
      </c>
      <c r="C2648" s="18">
        <v>45000</v>
      </c>
      <c r="D2648" t="s">
        <v>104</v>
      </c>
      <c r="E2648" s="32">
        <v>0</v>
      </c>
      <c r="F2648" s="32">
        <v>314863</v>
      </c>
      <c r="G2648" s="32">
        <v>173746913</v>
      </c>
      <c r="H2648" t="s">
        <v>878</v>
      </c>
    </row>
    <row r="2649" spans="1:8" hidden="1" x14ac:dyDescent="0.3">
      <c r="A2649" s="28">
        <v>13246</v>
      </c>
      <c r="B2649" s="49">
        <v>45000.805555555555</v>
      </c>
      <c r="C2649" s="18">
        <v>45000</v>
      </c>
      <c r="D2649" t="s">
        <v>104</v>
      </c>
      <c r="E2649" s="32">
        <v>0</v>
      </c>
      <c r="F2649" s="32">
        <v>82500</v>
      </c>
      <c r="G2649" s="32">
        <v>174061776</v>
      </c>
      <c r="H2649" t="s">
        <v>879</v>
      </c>
    </row>
    <row r="2650" spans="1:8" hidden="1" x14ac:dyDescent="0.3">
      <c r="A2650" s="28">
        <v>13239</v>
      </c>
      <c r="B2650" s="49">
        <v>45000.758333333331</v>
      </c>
      <c r="C2650" s="18">
        <v>45000</v>
      </c>
      <c r="D2650" t="s">
        <v>104</v>
      </c>
      <c r="E2650" s="32">
        <v>0</v>
      </c>
      <c r="F2650" s="32">
        <v>22061623</v>
      </c>
      <c r="G2650" s="32">
        <v>174144276</v>
      </c>
      <c r="H2650" t="s">
        <v>881</v>
      </c>
    </row>
    <row r="2651" spans="1:8" hidden="1" x14ac:dyDescent="0.3">
      <c r="A2651" s="28">
        <v>13238</v>
      </c>
      <c r="B2651" s="49">
        <v>45000.703472222223</v>
      </c>
      <c r="C2651" s="18">
        <v>45000</v>
      </c>
      <c r="D2651" t="s">
        <v>104</v>
      </c>
      <c r="E2651" s="32">
        <v>0</v>
      </c>
      <c r="F2651" s="32">
        <v>49830</v>
      </c>
      <c r="G2651" s="32">
        <v>196205899</v>
      </c>
      <c r="H2651" t="s">
        <v>864</v>
      </c>
    </row>
    <row r="2652" spans="1:8" hidden="1" x14ac:dyDescent="0.3">
      <c r="A2652" s="28">
        <v>13237</v>
      </c>
      <c r="B2652" s="49">
        <v>45000.661805555559</v>
      </c>
      <c r="C2652" s="18">
        <v>45000</v>
      </c>
      <c r="D2652" t="s">
        <v>103</v>
      </c>
      <c r="E2652" s="32">
        <v>1350800</v>
      </c>
      <c r="F2652" s="32">
        <v>0</v>
      </c>
      <c r="G2652" s="32">
        <v>196255729</v>
      </c>
      <c r="H2652" t="s">
        <v>885</v>
      </c>
    </row>
    <row r="2653" spans="1:8" hidden="1" x14ac:dyDescent="0.3">
      <c r="A2653" s="28">
        <v>13235</v>
      </c>
      <c r="B2653" s="49">
        <v>45000.574305555558</v>
      </c>
      <c r="C2653" s="18">
        <v>45000</v>
      </c>
      <c r="D2653" t="s">
        <v>103</v>
      </c>
      <c r="E2653" s="32">
        <v>877000</v>
      </c>
      <c r="F2653" s="32">
        <v>0</v>
      </c>
      <c r="G2653" s="32">
        <v>194904929</v>
      </c>
      <c r="H2653" t="s">
        <v>898</v>
      </c>
    </row>
    <row r="2654" spans="1:8" hidden="1" x14ac:dyDescent="0.3">
      <c r="A2654" s="28">
        <v>13234</v>
      </c>
      <c r="B2654" s="49">
        <v>45000.574305555558</v>
      </c>
      <c r="C2654" s="18">
        <v>45000</v>
      </c>
      <c r="D2654" t="s">
        <v>103</v>
      </c>
      <c r="E2654" s="32">
        <v>87700</v>
      </c>
      <c r="F2654" s="32">
        <v>0</v>
      </c>
      <c r="G2654" s="32">
        <v>194027929</v>
      </c>
      <c r="H2654" t="s">
        <v>898</v>
      </c>
    </row>
    <row r="2655" spans="1:8" hidden="1" x14ac:dyDescent="0.3">
      <c r="A2655" s="28">
        <v>13233</v>
      </c>
      <c r="B2655" s="49">
        <v>45000.49722222222</v>
      </c>
      <c r="C2655" s="18">
        <v>45000</v>
      </c>
      <c r="D2655" t="s">
        <v>103</v>
      </c>
      <c r="E2655" s="32">
        <v>259600</v>
      </c>
      <c r="F2655" s="32">
        <v>0</v>
      </c>
      <c r="G2655" s="32">
        <v>193940229</v>
      </c>
      <c r="H2655" t="s">
        <v>1033</v>
      </c>
    </row>
    <row r="2656" spans="1:8" hidden="1" x14ac:dyDescent="0.3">
      <c r="A2656" s="28">
        <v>13231</v>
      </c>
      <c r="B2656" s="49">
        <v>45000.415972222225</v>
      </c>
      <c r="C2656" s="18">
        <v>45000</v>
      </c>
      <c r="D2656" t="s">
        <v>104</v>
      </c>
      <c r="E2656" s="32">
        <v>0</v>
      </c>
      <c r="F2656" s="32">
        <v>544500</v>
      </c>
      <c r="G2656" s="32">
        <v>193680629</v>
      </c>
      <c r="H2656" t="s">
        <v>1005</v>
      </c>
    </row>
    <row r="2657" spans="1:8" hidden="1" x14ac:dyDescent="0.3">
      <c r="A2657" s="28">
        <v>13230</v>
      </c>
      <c r="B2657" s="49">
        <v>45000.4</v>
      </c>
      <c r="C2657" s="18">
        <v>45000</v>
      </c>
      <c r="D2657" t="s">
        <v>103</v>
      </c>
      <c r="E2657" s="32">
        <v>3001900</v>
      </c>
      <c r="F2657" s="32">
        <v>0</v>
      </c>
      <c r="G2657" s="32">
        <v>194225129</v>
      </c>
      <c r="H2657" t="s">
        <v>900</v>
      </c>
    </row>
    <row r="2658" spans="1:8" hidden="1" x14ac:dyDescent="0.3">
      <c r="A2658" s="28">
        <v>13229</v>
      </c>
      <c r="B2658" s="49">
        <v>45000.382638888892</v>
      </c>
      <c r="C2658" s="18">
        <v>45000</v>
      </c>
      <c r="D2658" t="s">
        <v>104</v>
      </c>
      <c r="E2658" s="32">
        <v>0</v>
      </c>
      <c r="F2658" s="32">
        <v>39087000</v>
      </c>
      <c r="G2658" s="32">
        <v>191223229</v>
      </c>
      <c r="H2658" t="s">
        <v>983</v>
      </c>
    </row>
    <row r="2659" spans="1:8" hidden="1" x14ac:dyDescent="0.3">
      <c r="A2659" s="28">
        <v>13228</v>
      </c>
      <c r="B2659" s="49">
        <v>45000.379861111112</v>
      </c>
      <c r="C2659" s="18">
        <v>45000</v>
      </c>
      <c r="D2659" t="s">
        <v>104</v>
      </c>
      <c r="E2659" s="32">
        <v>0</v>
      </c>
      <c r="F2659" s="32">
        <v>26111400</v>
      </c>
      <c r="G2659" s="32">
        <v>230310229</v>
      </c>
      <c r="H2659" t="s">
        <v>983</v>
      </c>
    </row>
    <row r="2660" spans="1:8" hidden="1" x14ac:dyDescent="0.3">
      <c r="A2660" s="28">
        <v>13227</v>
      </c>
      <c r="B2660" s="49">
        <v>45000.334027777775</v>
      </c>
      <c r="C2660" s="18">
        <v>45000</v>
      </c>
      <c r="D2660" t="s">
        <v>103</v>
      </c>
      <c r="E2660" s="32">
        <v>882200</v>
      </c>
      <c r="F2660" s="32">
        <v>0</v>
      </c>
      <c r="G2660" s="32">
        <v>256421629</v>
      </c>
      <c r="H2660" t="s">
        <v>1030</v>
      </c>
    </row>
  </sheetData>
  <phoneticPr fontId="1" type="noConversion"/>
  <hyperlinks>
    <hyperlink ref="B21" location="ezchemtech_계좌!A600" display="ezchemtech_계좌!A600" xr:uid="{9556C1DC-5934-4435-B6E5-C27F35C88835}"/>
    <hyperlink ref="C601" location="ezchemtech_계좌!A1" display="TOP-Link" xr:uid="{1B33C34A-B9AB-4536-BC96-7265F2EB5933}"/>
  </hyperlinks>
  <pageMargins left="0.7" right="0.7" top="0.75" bottom="0.75" header="0.3" footer="0.3"/>
  <drawing r:id="rId1"/>
  <tableParts count="3">
    <tablePart r:id="rId2"/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4BD4F-37AC-4369-960D-D546DC27957B}">
  <sheetPr codeName="Sheet1"/>
  <dimension ref="A1"/>
  <sheetViews>
    <sheetView workbookViewId="0">
      <selection activeCell="C10" sqref="C10"/>
    </sheetView>
  </sheetViews>
  <sheetFormatPr defaultRowHeight="16.5" x14ac:dyDescent="0.3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결재요청</vt:lpstr>
      <vt:lpstr>경영정보</vt:lpstr>
      <vt:lpstr>ezchemtech_계좌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rrr</dc:creator>
  <cp:lastModifiedBy>richard choi</cp:lastModifiedBy>
  <dcterms:created xsi:type="dcterms:W3CDTF">2021-09-22T08:35:40Z</dcterms:created>
  <dcterms:modified xsi:type="dcterms:W3CDTF">2024-03-14T02:52:10Z</dcterms:modified>
</cp:coreProperties>
</file>