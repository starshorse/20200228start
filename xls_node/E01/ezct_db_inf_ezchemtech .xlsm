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xls_node\E01\"/>
    </mc:Choice>
  </mc:AlternateContent>
  <xr:revisionPtr revIDLastSave="0" documentId="13_ncr:1_{286BCD6B-72F4-45B6-AEFA-F7820DE46046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결재요청" sheetId="2" r:id="rId1"/>
    <sheet name="경영정보" sheetId="3" r:id="rId2"/>
    <sheet name="ezchemtech_계좌" sheetId="4" r:id="rId3"/>
    <sheet name="ezchemtech_카드" sheetId="5" r:id="rId4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4" l="1"/>
  <c r="E601" i="4"/>
  <c r="F601" i="4"/>
  <c r="E22" i="4"/>
  <c r="F22" i="4"/>
  <c r="H8" i="4"/>
  <c r="H5" i="4" l="1"/>
  <c r="H6" i="4"/>
  <c r="H7" i="4"/>
  <c r="H19" i="4"/>
  <c r="H17" i="4"/>
  <c r="H18" i="4"/>
  <c r="H16" i="4"/>
  <c r="H15" i="4"/>
  <c r="H14" i="4"/>
  <c r="H13" i="4"/>
  <c r="H12" i="4"/>
  <c r="H11" i="4"/>
  <c r="H10" i="4"/>
  <c r="H9" i="4"/>
  <c r="G22" i="4"/>
  <c r="G601" i="4"/>
</calcChain>
</file>

<file path=xl/sharedStrings.xml><?xml version="1.0" encoding="utf-8"?>
<sst xmlns="http://schemas.openxmlformats.org/spreadsheetml/2006/main" count="286" uniqueCount="129">
  <si>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</si>
  <si>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</si>
  <si>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</si>
  <si>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</si>
  <si>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</si>
  <si>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</si>
  <si>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</si>
  <si>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</si>
  <si>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</si>
  <si>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</si>
  <si>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</si>
  <si>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</si>
  <si>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</si>
  <si>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</si>
  <si>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</si>
  <si>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</si>
  <si>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</si>
  <si>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</si>
  <si>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</si>
  <si>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</si>
  <si>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</si>
  <si>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</si>
  <si>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</si>
  <si>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</si>
  <si>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</si>
  <si>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</si>
  <si>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</si>
  <si>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</si>
  <si>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</si>
  <si>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</si>
  <si>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</si>
  <si>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</si>
  <si>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잔액조회</t>
    <phoneticPr fontId="1" type="noConversion"/>
  </si>
  <si>
    <t>계좌번호</t>
    <phoneticPr fontId="1" type="noConversion"/>
  </si>
  <si>
    <t>잔액</t>
    <phoneticPr fontId="1" type="noConversion"/>
  </si>
  <si>
    <t>거래일시</t>
    <phoneticPr fontId="1" type="noConversion"/>
  </si>
  <si>
    <t>적요</t>
    <phoneticPr fontId="1" type="noConversion"/>
  </si>
  <si>
    <t>합계</t>
    <phoneticPr fontId="1" type="noConversion"/>
  </si>
  <si>
    <t>만기해지출금</t>
  </si>
  <si>
    <t>농협001629 (예금이자)</t>
  </si>
  <si>
    <t>반포중앙 (예금이자)</t>
  </si>
  <si>
    <t>수지 예금신규 입금</t>
  </si>
  <si>
    <t>해약</t>
  </si>
  <si>
    <t>만기출금</t>
  </si>
  <si>
    <t>분당시범 (예금이자)</t>
  </si>
  <si>
    <t>2022년결산(이자)</t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</si>
  <si>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</si>
  <si>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</si>
  <si>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</si>
  <si>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</si>
  <si>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</si>
  <si>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</si>
  <si>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</si>
  <si>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</si>
  <si>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</si>
  <si>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</si>
  <si>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</si>
  <si>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</si>
  <si>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</si>
  <si>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</si>
  <si>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</si>
  <si>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</si>
  <si>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</si>
  <si>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</si>
  <si>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</si>
  <si>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</si>
  <si>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</si>
  <si>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</si>
  <si>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</si>
  <si>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</si>
  <si>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</si>
  <si>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</si>
  <si>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</si>
  <si>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</si>
  <si>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</si>
  <si>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</si>
  <si>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</si>
  <si>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</si>
  <si>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</si>
  <si>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</si>
  <si>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</si>
  <si>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</si>
  <si>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</si>
  <si>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</si>
  <si>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</si>
  <si>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</si>
  <si>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</si>
  <si>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</si>
  <si>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</si>
  <si>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</si>
  <si>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 xml:space="preserve">계좌조회 </t>
    <phoneticPr fontId="1" type="noConversion"/>
  </si>
  <si>
    <t>seq</t>
    <phoneticPr fontId="1" type="noConversion"/>
  </si>
  <si>
    <t>거래일자</t>
    <phoneticPr fontId="1" type="noConversion"/>
  </si>
  <si>
    <t>거래구분</t>
    <phoneticPr fontId="1" type="noConversion"/>
  </si>
  <si>
    <t>입금액</t>
    <phoneticPr fontId="1" type="noConversion"/>
  </si>
  <si>
    <t>출금액</t>
    <phoneticPr fontId="1" type="noConversion"/>
  </si>
  <si>
    <t>고급검색 바로가기</t>
    <phoneticPr fontId="1" type="noConversion"/>
  </si>
  <si>
    <t>TOP-Link</t>
  </si>
  <si>
    <t xml:space="preserve">  </t>
    <phoneticPr fontId="1" type="noConversion"/>
  </si>
  <si>
    <t>33789004537804 은 대웅제약 전용계좌임</t>
    <phoneticPr fontId="1" type="noConversion"/>
  </si>
  <si>
    <t>카드번호</t>
    <phoneticPr fontId="1" type="noConversion"/>
  </si>
  <si>
    <t>승인일자</t>
    <phoneticPr fontId="1" type="noConversion"/>
  </si>
  <si>
    <t>실청구액</t>
    <phoneticPr fontId="1" type="noConversion"/>
  </si>
  <si>
    <t>가맹점명</t>
    <phoneticPr fontId="1" type="noConversion"/>
  </si>
  <si>
    <t>계좌출금일</t>
    <phoneticPr fontId="1" type="noConversion"/>
  </si>
  <si>
    <t>이용구분</t>
    <phoneticPr fontId="1" type="noConversion"/>
  </si>
  <si>
    <t>현지화폐</t>
    <phoneticPr fontId="1" type="noConversion"/>
  </si>
  <si>
    <t>현지금액</t>
    <phoneticPr fontId="1" type="noConversion"/>
  </si>
  <si>
    <t>분류코드</t>
    <phoneticPr fontId="1" type="noConversion"/>
  </si>
  <si>
    <t>사용일자</t>
    <phoneticPr fontId="1" type="noConversion"/>
  </si>
  <si>
    <t>취소구분</t>
    <phoneticPr fontId="1" type="noConversion"/>
  </si>
  <si>
    <t>사용처</t>
    <phoneticPr fontId="1" type="noConversion"/>
  </si>
  <si>
    <t>환구분</t>
    <phoneticPr fontId="1" type="noConversion"/>
  </si>
  <si>
    <t>사용금액</t>
    <phoneticPr fontId="1" type="noConversion"/>
  </si>
  <si>
    <t>사용자성명</t>
    <phoneticPr fontId="1" type="noConversion"/>
  </si>
  <si>
    <t>항목_대분류</t>
    <phoneticPr fontId="1" type="noConversion"/>
  </si>
  <si>
    <t>항목_소분류</t>
    <phoneticPr fontId="1" type="noConversion"/>
  </si>
  <si>
    <t>식사인원</t>
    <phoneticPr fontId="1" type="noConversion"/>
  </si>
  <si>
    <t>구매물품명</t>
    <phoneticPr fontId="1" type="noConversion"/>
  </si>
  <si>
    <t>어음 합산</t>
    <phoneticPr fontId="1" type="noConversion"/>
  </si>
  <si>
    <t>월</t>
    <phoneticPr fontId="1" type="noConversion"/>
  </si>
  <si>
    <t>월어음합산</t>
    <phoneticPr fontId="1" type="noConversion"/>
  </si>
  <si>
    <t>전체합산</t>
    <phoneticPr fontId="1" type="noConversion"/>
  </si>
  <si>
    <t>KG모빌카드//(하나) (타행IB)</t>
  </si>
  <si>
    <t>광교신도시지점 예금결산이자(예금결산)</t>
  </si>
  <si>
    <t>신규예치</t>
  </si>
  <si>
    <t>10월 문자수수료//자금결제부 (문자통지)</t>
  </si>
  <si>
    <t>씨그마알드리치코리아 | 국내제품구입//수지 (인터넷출금이체)</t>
  </si>
  <si>
    <t>에스에프씨(주)//하나은행 (타행이체)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</si>
</sst>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[$-409]yy&quot;-&quot;m&quot;-&quot;d\ h:mm\ AM/PM;@"/>
    <numFmt numFmtId="177" formatCode="0##\-##\-##\-######"/>
    <numFmt numFmtId="178" formatCode="0_ "/>
    <numFmt numFmtId="179" formatCode="#,##0_);[Red]\(#,##0\)"/>
    <numFmt numFmtId="180" formatCode="m/d/yyyy"/>
    <numFmt numFmtId="181" formatCode="0_);[Red]\(0\)"/>
    <numFmt numFmtId="182" formatCode="#,##0_ "/>
    <numFmt numFmtId="183" formatCode="yyyy/mm/dd;@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9"/>
      </patternFill>
    </fill>
  </fills>
  <borders count="1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10" borderId="14" applyNumberFormat="0" applyFont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applyNumberFormat="1">
      <alignment vertical="center"/>
    </xf>
    <xf numFmtId="177" fontId="0" fillId="10" borderId="14" xfId="3" applyNumberFormat="1" applyFont="1">
      <alignment vertical="center"/>
    </xf>
    <xf numFmtId="3" fontId="0" fillId="10" borderId="14" xfId="3" applyNumberFormat="1" applyFont="1">
      <alignment vertical="center"/>
    </xf>
    <xf numFmtId="176" fontId="0" fillId="10" borderId="14" xfId="3" applyNumberFormat="1" applyFont="1">
      <alignment vertical="center"/>
    </xf>
    <xf numFmtId="0" fontId="0" fillId="10" borderId="14" xfId="3" applyFont="1">
      <alignment vertical="center"/>
    </xf>
    <xf numFmtId="177" fontId="3" fillId="6" borderId="0" xfId="1" applyNumberFormat="1" applyAlignment="1">
      <alignment horizontal="center" vertical="center"/>
    </xf>
    <xf numFmtId="178" fontId="0" fillId="0" borderId="0" xfId="0" applyNumberFormat="1">
      <alignment vertical="center"/>
    </xf>
    <xf numFmtId="178" fontId="3" fillId="6" borderId="0" xfId="1" applyNumberFormat="1">
      <alignment vertical="center"/>
    </xf>
    <xf numFmtId="176" fontId="8" fillId="9" borderId="0" xfId="2" applyNumberFormat="1" applyAlignment="1">
      <alignment horizontal="center" vertical="center"/>
    </xf>
    <xf numFmtId="47" fontId="0" fillId="0" borderId="0" xfId="0" applyNumberFormat="1">
      <alignment vertical="center"/>
    </xf>
    <xf numFmtId="179" fontId="0" fillId="0" borderId="0" xfId="0" applyNumberFormat="1">
      <alignment vertical="center"/>
    </xf>
    <xf numFmtId="179" fontId="8" fillId="9" borderId="0" xfId="2" applyNumberFormat="1" applyAlignment="1">
      <alignment horizontal="center"/>
    </xf>
    <xf numFmtId="179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4" fillId="7" borderId="10" xfId="0" applyNumberFormat="1" applyFont="1" applyFill="1" applyBorder="1">
      <alignment vertical="center"/>
    </xf>
    <xf numFmtId="3" fontId="4" fillId="7" borderId="11" xfId="0" applyNumberFormat="1" applyFont="1" applyFill="1" applyBorder="1">
      <alignment vertical="center"/>
    </xf>
    <xf numFmtId="176" fontId="4" fillId="7" borderId="11" xfId="0" applyNumberFormat="1" applyFont="1" applyFill="1" applyBorder="1">
      <alignment vertical="center"/>
    </xf>
    <xf numFmtId="0" fontId="4" fillId="7" borderId="11" xfId="0" applyFont="1" applyFill="1" applyBorder="1">
      <alignment vertical="center"/>
    </xf>
    <xf numFmtId="179" fontId="10" fillId="7" borderId="11" xfId="0" applyNumberFormat="1" applyFont="1" applyFill="1" applyBorder="1">
      <alignment vertical="center"/>
    </xf>
    <xf numFmtId="0" fontId="4" fillId="7" borderId="12" xfId="0" applyFont="1" applyFill="1" applyBorder="1">
      <alignment vertical="center"/>
    </xf>
    <xf numFmtId="178" fontId="3" fillId="6" borderId="0" xfId="1" applyNumberFormat="1" applyAlignment="1">
      <alignment horizontal="center" vertical="center"/>
    </xf>
    <xf numFmtId="181" fontId="3" fillId="6" borderId="0" xfId="1" applyNumberFormat="1">
      <alignment vertical="center"/>
    </xf>
    <xf numFmtId="176" fontId="11" fillId="11" borderId="0" xfId="4" applyNumberForma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79" fontId="3" fillId="6" borderId="0" xfId="1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right"/>
    </xf>
    <xf numFmtId="0" fontId="8" fillId="9" borderId="0" xfId="2" applyAlignment="1">
      <alignment horizontal="center" vertical="center"/>
    </xf>
    <xf numFmtId="3" fontId="12" fillId="6" borderId="13" xfId="5" applyNumberFormat="1" applyFill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6">
    <cellStyle name="강조색6" xfId="4" builtinId="49"/>
    <cellStyle name="메모" xfId="3" builtinId="10"/>
    <cellStyle name="보통" xfId="1" builtinId="28"/>
    <cellStyle name="좋음" xfId="2" builtinId="26"/>
    <cellStyle name="표준" xfId="0" builtinId="0"/>
    <cellStyle name="하이퍼링크" xfId="5" builtinId="8"/>
  </cellStyles>
  <dxfs count="85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3" formatCode="yyyy/mm/dd;@"/>
    </dxf>
    <dxf>
      <numFmt numFmtId="182" formatCode="#,##0_ "/>
    </dxf>
    <dxf>
      <numFmt numFmtId="183" formatCode="yyyy/mm/dd;@"/>
    </dxf>
    <dxf>
      <numFmt numFmtId="182" formatCode="#,##0_ "/>
    </dxf>
    <dxf>
      <numFmt numFmtId="183" formatCode="yyyy/mm/dd;@"/>
    </dxf>
    <dxf>
      <numFmt numFmtId="179" formatCode="#,##0_);[Red]\(#,##0\)"/>
      <alignment horizontal="right" vertical="bottom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9" formatCode="#,##0_);[Red]\(#,##0\)"/>
      <alignment horizontal="center" vertical="center" textRotation="0" wrapText="0" indent="0" justifyLastLine="0" shrinkToFit="0" readingOrder="0"/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9" formatCode="#,##0_);[Red]\(#,##0\)"/>
      <fill>
        <patternFill patternType="solid">
          <fgColor theme="4"/>
          <bgColor theme="4"/>
        </patternFill>
      </fill>
    </dxf>
    <dxf>
      <numFmt numFmtId="179" formatCode="#,##0_);[Red]\(#,##0\)"/>
    </dxf>
    <dxf>
      <numFmt numFmtId="179" formatCode="#,##0_);[Red]\(#,##0\)"/>
    </dxf>
    <dxf>
      <numFmt numFmtId="179" formatCode="#,##0_);[Red]\(#,##0\)"/>
    </dxf>
    <dxf>
      <numFmt numFmtId="176" formatCode="[$-409]yy&quot;-&quot;m&quot;-&quot;d\ h:mm\ AM/PM;@"/>
    </dxf>
    <dxf>
      <numFmt numFmtId="180" formatCode="m/d/yyyy"/>
    </dxf>
    <dxf>
      <numFmt numFmtId="178" formatCode="0_ "/>
    </dxf>
    <dxf>
      <numFmt numFmtId="176" formatCode="[$-409]yy&quot;-&quot;m&quot;-&quot;d\ h:mm\ AM/PM;@"/>
    </dxf>
    <dxf>
      <numFmt numFmtId="3" formatCode="#,##0"/>
    </dxf>
    <dxf>
      <numFmt numFmtId="177" formatCode="0##\-##\-##\-######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4A3B4B-B391-DF94-CEBA-627D820399B8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</xdr:col>
      <xdr:colOff>1419225</xdr:colOff>
      <xdr:row>2</xdr:row>
      <xdr:rowOff>171450</xdr:rowOff>
    </xdr:to>
    <xdr:sp macro="[0]!extractData_ezchemtech_account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12E7056B-FCB9-4B24-AB61-825024B544B3}"/>
            </a:ext>
          </a:extLst>
        </xdr:cNvPr>
        <xdr:cNvSpPr/>
      </xdr:nvSpPr>
      <xdr:spPr>
        <a:xfrm>
          <a:off x="2095500" y="20955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2</xdr:col>
      <xdr:colOff>95250</xdr:colOff>
      <xdr:row>0</xdr:row>
      <xdr:rowOff>57150</xdr:rowOff>
    </xdr:from>
    <xdr:to>
      <xdr:col>2</xdr:col>
      <xdr:colOff>1362075</xdr:colOff>
      <xdr:row>2</xdr:row>
      <xdr:rowOff>19050</xdr:rowOff>
    </xdr:to>
    <xdr:sp macro="[0]!extractData_ezchemtech_accou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C1A5C668-E0ED-466C-9FBB-6C31810823E6}"/>
            </a:ext>
          </a:extLst>
        </xdr:cNvPr>
        <xdr:cNvSpPr/>
      </xdr:nvSpPr>
      <xdr:spPr>
        <a:xfrm>
          <a:off x="4352925" y="57150"/>
          <a:ext cx="12668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276225</xdr:colOff>
      <xdr:row>0</xdr:row>
      <xdr:rowOff>190500</xdr:rowOff>
    </xdr:from>
    <xdr:to>
      <xdr:col>1</xdr:col>
      <xdr:colOff>333375</xdr:colOff>
      <xdr:row>2</xdr:row>
      <xdr:rowOff>152400</xdr:rowOff>
    </xdr:to>
    <xdr:sp macro="[0]!extractData_ezchemtech_cards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DA722D6-716F-483C-9D95-751A18BD3C8F}"/>
            </a:ext>
          </a:extLst>
        </xdr:cNvPr>
        <xdr:cNvSpPr/>
      </xdr:nvSpPr>
      <xdr:spPr>
        <a:xfrm>
          <a:off x="276225" y="1905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0" dataDxfId="19" headerRowBorderDxfId="17" tableBorderDxfId="18" totalsRowBorderDxfId="16">
  <autoFilter ref="C10:Q37" xr:uid="{00000000-0009-0000-0100-000001000000}"/>
  <tableColumns count="15">
    <tableColumn id="1" xr3:uid="{00000000-0010-0000-0000-000001000000}" name="요청ID" dataDxfId="15"/>
    <tableColumn id="2" xr3:uid="{00000000-0010-0000-0000-000002000000}" name="결재요청자" dataDxfId="14"/>
    <tableColumn id="3" xr3:uid="{00000000-0010-0000-0000-000003000000}" name="긴급여부" dataDxfId="13"/>
    <tableColumn id="4" xr3:uid="{00000000-0010-0000-0000-000004000000}" name="결재요청구분" dataDxfId="12"/>
    <tableColumn id="5" xr3:uid="{00000000-0010-0000-0000-000005000000}" name="결재요청제목" dataDxfId="11"/>
    <tableColumn id="6" xr3:uid="{00000000-0010-0000-0000-000006000000}" name="결재요청세부내용" dataDxfId="10"/>
    <tableColumn id="7" xr3:uid="{00000000-0010-0000-0000-000007000000}" name="결재라인" dataDxfId="9"/>
    <tableColumn id="8" xr3:uid="{00000000-0010-0000-0000-000008000000}" name="결재 1차" dataDxfId="8"/>
    <tableColumn id="9" xr3:uid="{00000000-0010-0000-0000-000009000000}" name="결재 2차" dataDxfId="7"/>
    <tableColumn id="10" xr3:uid="{00000000-0010-0000-0000-00000A000000}" name="결재 3차" dataDxfId="6"/>
    <tableColumn id="11" xr3:uid="{00000000-0010-0000-0000-00000B000000}" name="제출상태" dataDxfId="5"/>
    <tableColumn id="12" xr3:uid="{00000000-0010-0000-0000-00000C000000}" name="결재요청일" dataDxfId="4"/>
    <tableColumn id="13" xr3:uid="{00000000-0010-0000-0000-00000D000000}" name="진행상황" dataDxfId="3"/>
    <tableColumn id="14" xr3:uid="{00000000-0010-0000-0000-00000E000000}" name="결재결과" dataDxfId="2"/>
    <tableColumn id="15" xr3:uid="{00000000-0010-0000-0000-00000F000000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16" totalsRowShown="0">
  <autoFilter ref="A4:M16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84" headerRowBorderDxfId="83" tableBorderDxfId="82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81"/>
    <tableColumn id="3" xr3:uid="{00000000-0010-0000-0200-000003000000}" name="2월" dataDxfId="80"/>
    <tableColumn id="4" xr3:uid="{00000000-0010-0000-0200-000004000000}" name="3월" dataDxfId="79"/>
    <tableColumn id="5" xr3:uid="{00000000-0010-0000-0200-000005000000}" name="4월" dataDxfId="78"/>
    <tableColumn id="6" xr3:uid="{00000000-0010-0000-0200-000006000000}" name="5월" dataDxfId="77"/>
    <tableColumn id="7" xr3:uid="{00000000-0010-0000-0200-000007000000}" name="6월" dataDxfId="76"/>
    <tableColumn id="8" xr3:uid="{00000000-0010-0000-0200-000008000000}" name="7월" dataDxfId="75"/>
    <tableColumn id="9" xr3:uid="{00000000-0010-0000-0200-000009000000}" name="8월" dataDxfId="74"/>
    <tableColumn id="10" xr3:uid="{00000000-0010-0000-0200-00000A000000}" name="9월" dataDxfId="73"/>
    <tableColumn id="11" xr3:uid="{00000000-0010-0000-0200-00000B000000}" name="10월" dataDxfId="72"/>
    <tableColumn id="12" xr3:uid="{00000000-0010-0000-0200-00000C000000}" name="11월" dataDxfId="71"/>
    <tableColumn id="13" xr3:uid="{00000000-0010-0000-0200-00000D000000}" name="12월" dataDxfId="7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31" totalsRowShown="0" headerRowDxfId="69" dataDxfId="67" headerRowBorderDxfId="68" tableBorderDxfId="66" totalsRowBorderDxfId="65">
  <autoFilter ref="O23:AA31" xr:uid="{00000000-0009-0000-0100-000004000000}"/>
  <tableColumns count="13">
    <tableColumn id="1" xr3:uid="{00000000-0010-0000-0300-000001000000}" name="년도" dataDxfId="64"/>
    <tableColumn id="2" xr3:uid="{00000000-0010-0000-0300-000002000000}" name="1월" dataDxfId="63"/>
    <tableColumn id="3" xr3:uid="{00000000-0010-0000-0300-000003000000}" name="2월" dataDxfId="62"/>
    <tableColumn id="4" xr3:uid="{00000000-0010-0000-0300-000004000000}" name="3월" dataDxfId="61"/>
    <tableColumn id="5" xr3:uid="{00000000-0010-0000-0300-000005000000}" name="4월" dataDxfId="60"/>
    <tableColumn id="6" xr3:uid="{00000000-0010-0000-0300-000006000000}" name="5월" dataDxfId="59"/>
    <tableColumn id="7" xr3:uid="{00000000-0010-0000-0300-000007000000}" name="6월" dataDxfId="58"/>
    <tableColumn id="8" xr3:uid="{00000000-0010-0000-0300-000008000000}" name="7월" dataDxfId="57"/>
    <tableColumn id="9" xr3:uid="{00000000-0010-0000-0300-000009000000}" name="8월" dataDxfId="56"/>
    <tableColumn id="10" xr3:uid="{00000000-0010-0000-0300-00000A000000}" name="9월" dataDxfId="55"/>
    <tableColumn id="11" xr3:uid="{00000000-0010-0000-0300-00000B000000}" name="10월" dataDxfId="54"/>
    <tableColumn id="12" xr3:uid="{00000000-0010-0000-0300-00000C000000}" name="11월" dataDxfId="53"/>
    <tableColumn id="13" xr3:uid="{00000000-0010-0000-0300-00000D000000}" name="12월" dataDxfId="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4:D21" totalsRowShown="0" headerRowDxfId="51">
  <autoFilter ref="A4:D21" xr:uid="{00000000-0009-0000-0100-000005000000}"/>
  <tableColumns count="4">
    <tableColumn id="1" xr3:uid="{00000000-0010-0000-0400-000001000000}" name="계좌번호" dataDxfId="50"/>
    <tableColumn id="2" xr3:uid="{00000000-0010-0000-0400-000002000000}" name="잔액" dataDxfId="49"/>
    <tableColumn id="3" xr3:uid="{00000000-0010-0000-0400-000003000000}" name="거래일시" dataDxfId="48"/>
    <tableColumn id="4" xr3:uid="{00000000-0010-0000-0400-000004000000}" name="적요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표6" displayName="표6" ref="A23:H600" totalsRowShown="0">
  <autoFilter ref="A23:H600" xr:uid="{00000000-0009-0000-0100-000006000000}"/>
  <sortState xmlns:xlrd2="http://schemas.microsoft.com/office/spreadsheetml/2017/richdata2" ref="A24:H39">
    <sortCondition descending="1" ref="C23:C600"/>
  </sortState>
  <tableColumns count="8">
    <tableColumn id="1" xr3:uid="{00000000-0010-0000-0500-000001000000}" name="seq" dataDxfId="47"/>
    <tableColumn id="2" xr3:uid="{00000000-0010-0000-0500-000002000000}" name="거래일시" dataDxfId="46"/>
    <tableColumn id="3" xr3:uid="{00000000-0010-0000-0500-000003000000}" name="거래일자" dataDxfId="45"/>
    <tableColumn id="4" xr3:uid="{00000000-0010-0000-0500-000004000000}" name="거래구분"/>
    <tableColumn id="5" xr3:uid="{00000000-0010-0000-0500-000005000000}" name="입금액" dataDxfId="44"/>
    <tableColumn id="6" xr3:uid="{00000000-0010-0000-0500-000006000000}" name="출금액" dataDxfId="43"/>
    <tableColumn id="7" xr3:uid="{00000000-0010-0000-0500-000007000000}" name="잔액" dataDxfId="42"/>
    <tableColumn id="8" xr3:uid="{00000000-0010-0000-0500-000008000000}" name="적요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표8" displayName="표8" ref="A602:H2699" totalsRowShown="0" headerRowDxfId="41" headerRowBorderDxfId="40" tableBorderDxfId="39">
  <autoFilter ref="A602:H2699" xr:uid="{00000000-0009-0000-0100-000008000000}">
    <filterColumn colId="2">
      <filters>
        <dateGroupItem year="2024" month="3" dateTimeGrouping="month"/>
      </filters>
    </filterColumn>
  </autoFilter>
  <sortState xmlns:xlrd2="http://schemas.microsoft.com/office/spreadsheetml/2017/richdata2" ref="A603:H640">
    <sortCondition descending="1" ref="F602:F2660"/>
  </sortState>
  <tableColumns count="8">
    <tableColumn id="1" xr3:uid="{00000000-0010-0000-0600-000001000000}" name="seq" dataDxfId="38"/>
    <tableColumn id="2" xr3:uid="{00000000-0010-0000-0600-000002000000}" name="거래일시" dataDxfId="37"/>
    <tableColumn id="3" xr3:uid="{00000000-0010-0000-0600-000003000000}" name="거래일자" dataDxfId="36"/>
    <tableColumn id="4" xr3:uid="{00000000-0010-0000-0600-000004000000}" name="거래구분"/>
    <tableColumn id="5" xr3:uid="{00000000-0010-0000-0600-000005000000}" name="입금액" dataDxfId="35"/>
    <tableColumn id="6" xr3:uid="{00000000-0010-0000-0600-000006000000}" name="출금액" dataDxfId="34"/>
    <tableColumn id="7" xr3:uid="{00000000-0010-0000-0600-000007000000}" name="잔액" dataDxfId="33"/>
    <tableColumn id="8" xr3:uid="{00000000-0010-0000-0600-000008000000}" name="적요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표10" displayName="표10" ref="F4:G7" totalsRowShown="0" headerRowDxfId="32" dataDxfId="31">
  <autoFilter ref="F4:G7" xr:uid="{00000000-0009-0000-0100-00000A000000}"/>
  <tableColumns count="2">
    <tableColumn id="1" xr3:uid="{00000000-0010-0000-0700-000001000000}" name="월" dataDxfId="30"/>
    <tableColumn id="2" xr3:uid="{00000000-0010-0000-0700-000002000000}" name="월어음합산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표7" displayName="표7" ref="A23:I4999" totalsRowShown="0">
  <autoFilter ref="A23:I4999" xr:uid="{00000000-0009-0000-0100-000007000000}">
    <filterColumn colId="0">
      <filters>
        <filter val="국민5699"/>
        <filter val="현대1308"/>
        <filter val="현대6003"/>
        <filter val="현대6605"/>
        <filter val="현대9603"/>
      </filters>
    </filterColumn>
    <filterColumn colId="1">
      <filters>
        <dateGroupItem year="2024" dateTimeGrouping="year"/>
      </filters>
    </filterColumn>
    <filterColumn colId="2">
      <customFilters>
        <customFilter operator="greaterThanOrEqual" val="100000"/>
      </customFilters>
    </filterColumn>
  </autoFilter>
  <sortState xmlns:xlrd2="http://schemas.microsoft.com/office/spreadsheetml/2017/richdata2" ref="A26:I537">
    <sortCondition descending="1" ref="B23:B4999"/>
  </sortState>
  <tableColumns count="9">
    <tableColumn id="1" xr3:uid="{00000000-0010-0000-0800-000001000000}" name="카드번호"/>
    <tableColumn id="2" xr3:uid="{00000000-0010-0000-0800-000002000000}" name="승인일자" dataDxfId="28"/>
    <tableColumn id="3" xr3:uid="{00000000-0010-0000-0800-000003000000}" name="실청구액" dataDxfId="27"/>
    <tableColumn id="4" xr3:uid="{00000000-0010-0000-0800-000004000000}" name="가맹점명"/>
    <tableColumn id="5" xr3:uid="{00000000-0010-0000-0800-000005000000}" name="계좌출금일" dataDxfId="26"/>
    <tableColumn id="6" xr3:uid="{00000000-0010-0000-0800-000006000000}" name="이용구분" dataDxfId="25"/>
    <tableColumn id="7" xr3:uid="{00000000-0010-0000-0800-000007000000}" name="현지화폐"/>
    <tableColumn id="8" xr3:uid="{00000000-0010-0000-0800-000008000000}" name="현지금액"/>
    <tableColumn id="9" xr3:uid="{00000000-0010-0000-0800-000009000000}" name="분류코드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표9" displayName="표9" ref="A5001:K7935" totalsRowShown="0">
  <autoFilter ref="A5001:K7935" xr:uid="{00000000-0009-0000-0100-000009000000}">
    <filterColumn colId="0">
      <filters>
        <dateGroupItem year="2024" month="7" dateTimeGrouping="month"/>
        <dateGroupItem year="2024" month="8" dateTimeGrouping="month"/>
      </filters>
    </filterColumn>
    <filterColumn colId="5">
      <customFilters>
        <customFilter operator="greaterThanOrEqual" val="100000"/>
      </customFilters>
    </filterColumn>
  </autoFilter>
  <sortState xmlns:xlrd2="http://schemas.microsoft.com/office/spreadsheetml/2017/richdata2" ref="A5003:K5099">
    <sortCondition descending="1" ref="A5001:A7935"/>
  </sortState>
  <tableColumns count="11">
    <tableColumn id="1" xr3:uid="{00000000-0010-0000-0900-000001000000}" name="사용일자" dataDxfId="24"/>
    <tableColumn id="2" xr3:uid="{00000000-0010-0000-0900-000002000000}" name="카드번호" dataDxfId="23"/>
    <tableColumn id="3" xr3:uid="{00000000-0010-0000-0900-000003000000}" name="취소구분" dataDxfId="22"/>
    <tableColumn id="4" xr3:uid="{00000000-0010-0000-0900-000004000000}" name="사용처"/>
    <tableColumn id="5" xr3:uid="{00000000-0010-0000-0900-000005000000}" name="환구분" dataDxfId="21"/>
    <tableColumn id="6" xr3:uid="{00000000-0010-0000-0900-000006000000}" name="사용금액" dataDxfId="20"/>
    <tableColumn id="7" xr3:uid="{00000000-0010-0000-0900-000007000000}" name="사용자성명"/>
    <tableColumn id="8" xr3:uid="{00000000-0010-0000-0900-000008000000}" name="항목_대분류"/>
    <tableColumn id="9" xr3:uid="{00000000-0010-0000-0900-000009000000}" name="항목_소분류"/>
    <tableColumn id="10" xr3:uid="{00000000-0010-0000-0900-00000A000000}" name="식사인원"/>
    <tableColumn id="11" xr3:uid="{00000000-0010-0000-0900-00000B000000}" name="구매물품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37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54">
        <v>1</v>
      </c>
      <c r="D11" s="55" t="s">
        <v>46</v>
      </c>
      <c r="E11" s="55" t="s">
        <v>47</v>
      </c>
      <c r="F11" s="55" t="s">
        <v>48</v>
      </c>
      <c r="G11" s="55" t="s">
        <v>48</v>
      </c>
      <c r="H11" s="55" t="s">
        <v>49</v>
      </c>
      <c r="I11" s="56" t="s">
        <v>50</v>
      </c>
      <c r="J11" s="55"/>
      <c r="K11" s="55"/>
      <c r="L11" s="55"/>
      <c r="M11" s="55" t="s">
        <v>51</v>
      </c>
      <c r="N11" s="57">
        <v>44812.465541006946</v>
      </c>
      <c r="O11" s="56" t="s">
        <v>52</v>
      </c>
      <c r="P11" s="56" t="s">
        <v>53</v>
      </c>
      <c r="Q11" s="58"/>
    </row>
    <row r="12" spans="3:17" x14ac:dyDescent="0.3">
      <c r="C12" s="54">
        <v>2</v>
      </c>
      <c r="D12" s="55" t="s">
        <v>50</v>
      </c>
      <c r="E12" s="55" t="s">
        <v>47</v>
      </c>
      <c r="F12" s="55" t="s">
        <v>54</v>
      </c>
      <c r="G12" s="55" t="s">
        <v>55</v>
      </c>
      <c r="H12" s="55" t="s">
        <v>56</v>
      </c>
      <c r="I12" s="56" t="s">
        <v>57</v>
      </c>
      <c r="J12" s="55"/>
      <c r="K12" s="55"/>
      <c r="L12" s="55"/>
      <c r="M12" s="55" t="s">
        <v>51</v>
      </c>
      <c r="N12" s="57">
        <v>44812.466991122688</v>
      </c>
      <c r="O12" s="56" t="s">
        <v>52</v>
      </c>
      <c r="P12" s="56" t="s">
        <v>53</v>
      </c>
      <c r="Q12" s="58"/>
    </row>
    <row r="13" spans="3:17" ht="33" x14ac:dyDescent="0.3">
      <c r="C13" s="54">
        <v>3</v>
      </c>
      <c r="D13" s="55" t="s">
        <v>58</v>
      </c>
      <c r="E13" s="55" t="s">
        <v>47</v>
      </c>
      <c r="F13" s="55" t="s">
        <v>59</v>
      </c>
      <c r="G13" s="55" t="s">
        <v>60</v>
      </c>
      <c r="H13" s="55" t="s">
        <v>61</v>
      </c>
      <c r="I13" s="56" t="s">
        <v>62</v>
      </c>
      <c r="J13" s="55"/>
      <c r="K13" s="55"/>
      <c r="L13" s="55"/>
      <c r="M13" s="55" t="s">
        <v>51</v>
      </c>
      <c r="N13" s="57">
        <v>44819.476358020831</v>
      </c>
      <c r="O13" s="56" t="s">
        <v>52</v>
      </c>
      <c r="P13" s="56" t="s">
        <v>53</v>
      </c>
      <c r="Q13" s="59" t="s">
        <v>63</v>
      </c>
    </row>
    <row r="14" spans="3:17" ht="24.75" customHeight="1" x14ac:dyDescent="0.3">
      <c r="C14" s="54">
        <v>4</v>
      </c>
      <c r="D14" s="55" t="s">
        <v>50</v>
      </c>
      <c r="E14" s="55" t="s">
        <v>47</v>
      </c>
      <c r="F14" s="55" t="s">
        <v>59</v>
      </c>
      <c r="G14" s="55" t="s">
        <v>64</v>
      </c>
      <c r="H14" s="55" t="s">
        <v>65</v>
      </c>
      <c r="I14" s="56" t="s">
        <v>57</v>
      </c>
      <c r="J14" s="55"/>
      <c r="K14" s="55"/>
      <c r="L14" s="55"/>
      <c r="M14" s="55" t="s">
        <v>51</v>
      </c>
      <c r="N14" s="57">
        <v>44823.477082638892</v>
      </c>
      <c r="O14" s="56" t="s">
        <v>52</v>
      </c>
      <c r="P14" s="56" t="s">
        <v>53</v>
      </c>
      <c r="Q14" s="60" t="s">
        <v>66</v>
      </c>
    </row>
    <row r="15" spans="3:17" x14ac:dyDescent="0.3">
      <c r="C15" s="54">
        <v>5</v>
      </c>
      <c r="D15" s="55" t="s">
        <v>50</v>
      </c>
      <c r="E15" s="55" t="s">
        <v>47</v>
      </c>
      <c r="F15" s="55" t="s">
        <v>59</v>
      </c>
      <c r="G15" s="55" t="s">
        <v>67</v>
      </c>
      <c r="H15" s="55" t="s">
        <v>68</v>
      </c>
      <c r="I15" s="56" t="s">
        <v>57</v>
      </c>
      <c r="J15" s="55"/>
      <c r="K15" s="55"/>
      <c r="L15" s="55"/>
      <c r="M15" s="55" t="s">
        <v>51</v>
      </c>
      <c r="N15" s="57">
        <v>44826.423970104166</v>
      </c>
      <c r="O15" s="56" t="s">
        <v>52</v>
      </c>
      <c r="P15" s="56" t="s">
        <v>53</v>
      </c>
      <c r="Q15" s="58" t="s">
        <v>69</v>
      </c>
    </row>
    <row r="16" spans="3:17" x14ac:dyDescent="0.3">
      <c r="C16" s="54">
        <v>6</v>
      </c>
      <c r="D16" s="55" t="s">
        <v>70</v>
      </c>
      <c r="E16" s="55" t="s">
        <v>47</v>
      </c>
      <c r="F16" s="55" t="s">
        <v>59</v>
      </c>
      <c r="G16" s="55" t="s">
        <v>60</v>
      </c>
      <c r="H16" s="55" t="s">
        <v>71</v>
      </c>
      <c r="I16" s="56" t="s">
        <v>62</v>
      </c>
      <c r="J16" s="55"/>
      <c r="K16" s="55"/>
      <c r="L16" s="55"/>
      <c r="M16" s="55" t="s">
        <v>72</v>
      </c>
      <c r="N16" s="57">
        <v>44841.694317013891</v>
      </c>
      <c r="O16" s="56" t="s">
        <v>73</v>
      </c>
      <c r="P16" s="56" t="s">
        <v>74</v>
      </c>
      <c r="Q16" s="58" t="s">
        <v>75</v>
      </c>
    </row>
    <row r="17" spans="3:17" x14ac:dyDescent="0.3">
      <c r="C17" s="54">
        <v>7</v>
      </c>
      <c r="D17" s="55" t="s">
        <v>58</v>
      </c>
      <c r="E17" s="55" t="s">
        <v>47</v>
      </c>
      <c r="F17" s="55" t="s">
        <v>59</v>
      </c>
      <c r="G17" s="55" t="s">
        <v>60</v>
      </c>
      <c r="H17" s="55" t="s">
        <v>76</v>
      </c>
      <c r="I17" s="56" t="s">
        <v>62</v>
      </c>
      <c r="J17" s="55"/>
      <c r="K17" s="55"/>
      <c r="L17" s="55"/>
      <c r="M17" s="55" t="s">
        <v>72</v>
      </c>
      <c r="N17" s="57">
        <v>44845.662641817129</v>
      </c>
      <c r="O17" s="56" t="s">
        <v>73</v>
      </c>
      <c r="P17" s="56" t="s">
        <v>74</v>
      </c>
      <c r="Q17" s="58" t="s">
        <v>75</v>
      </c>
    </row>
    <row r="18" spans="3:17" ht="33" x14ac:dyDescent="0.3">
      <c r="C18" s="54">
        <v>8</v>
      </c>
      <c r="D18" s="55" t="s">
        <v>58</v>
      </c>
      <c r="E18" s="55" t="s">
        <v>47</v>
      </c>
      <c r="F18" s="55" t="s">
        <v>59</v>
      </c>
      <c r="G18" s="55" t="s">
        <v>60</v>
      </c>
      <c r="H18" s="61" t="s">
        <v>77</v>
      </c>
      <c r="I18" s="56" t="s">
        <v>62</v>
      </c>
      <c r="J18" s="55"/>
      <c r="K18" s="55"/>
      <c r="L18" s="55"/>
      <c r="M18" s="55" t="s">
        <v>51</v>
      </c>
      <c r="N18" s="57">
        <v>44848.662412847225</v>
      </c>
      <c r="O18" s="56" t="s">
        <v>52</v>
      </c>
      <c r="P18" s="56" t="s">
        <v>53</v>
      </c>
      <c r="Q18" s="58"/>
    </row>
    <row r="19" spans="3:17" x14ac:dyDescent="0.3">
      <c r="C19" s="54">
        <v>9</v>
      </c>
      <c r="D19" s="55" t="s">
        <v>70</v>
      </c>
      <c r="E19" s="55" t="s">
        <v>47</v>
      </c>
      <c r="F19" s="55" t="s">
        <v>59</v>
      </c>
      <c r="G19" s="55" t="s">
        <v>60</v>
      </c>
      <c r="H19" s="55" t="s">
        <v>78</v>
      </c>
      <c r="I19" s="56" t="s">
        <v>79</v>
      </c>
      <c r="J19" s="55"/>
      <c r="K19" s="55"/>
      <c r="L19" s="55"/>
      <c r="M19" s="55" t="s">
        <v>72</v>
      </c>
      <c r="N19" s="57">
        <v>44848.664164548609</v>
      </c>
      <c r="O19" s="56" t="s">
        <v>73</v>
      </c>
      <c r="P19" s="56" t="s">
        <v>74</v>
      </c>
      <c r="Q19" s="58" t="s">
        <v>80</v>
      </c>
    </row>
    <row r="20" spans="3:17" x14ac:dyDescent="0.3">
      <c r="C20" s="54">
        <v>10</v>
      </c>
      <c r="D20" s="55" t="s">
        <v>70</v>
      </c>
      <c r="E20" s="55" t="s">
        <v>47</v>
      </c>
      <c r="F20" s="55" t="s">
        <v>59</v>
      </c>
      <c r="G20" s="55" t="s">
        <v>60</v>
      </c>
      <c r="H20" s="55" t="s">
        <v>81</v>
      </c>
      <c r="I20" s="56" t="s">
        <v>62</v>
      </c>
      <c r="J20" s="55"/>
      <c r="K20" s="55"/>
      <c r="L20" s="55"/>
      <c r="M20" s="55" t="s">
        <v>51</v>
      </c>
      <c r="N20" s="57">
        <v>44851.473677199072</v>
      </c>
      <c r="O20" s="56" t="s">
        <v>52</v>
      </c>
      <c r="P20" s="56" t="s">
        <v>53</v>
      </c>
      <c r="Q20" s="58"/>
    </row>
    <row r="21" spans="3:17" x14ac:dyDescent="0.3">
      <c r="C21" s="54">
        <v>14</v>
      </c>
      <c r="D21" s="55" t="s">
        <v>50</v>
      </c>
      <c r="E21" s="55" t="s">
        <v>47</v>
      </c>
      <c r="F21" s="55" t="s">
        <v>59</v>
      </c>
      <c r="G21" s="55" t="s">
        <v>60</v>
      </c>
      <c r="H21" s="55" t="s">
        <v>82</v>
      </c>
      <c r="I21" s="56" t="s">
        <v>57</v>
      </c>
      <c r="J21" s="55"/>
      <c r="K21" s="55"/>
      <c r="L21" s="55"/>
      <c r="M21" s="55" t="s">
        <v>51</v>
      </c>
      <c r="N21" s="57">
        <v>44858.57252577546</v>
      </c>
      <c r="O21" s="56" t="s">
        <v>52</v>
      </c>
      <c r="P21" s="56" t="s">
        <v>53</v>
      </c>
      <c r="Q21" s="58" t="s">
        <v>83</v>
      </c>
    </row>
    <row r="22" spans="3:17" x14ac:dyDescent="0.3">
      <c r="C22" s="54">
        <v>15</v>
      </c>
      <c r="D22" s="55" t="s">
        <v>50</v>
      </c>
      <c r="E22" s="55" t="s">
        <v>47</v>
      </c>
      <c r="F22" s="55" t="s">
        <v>59</v>
      </c>
      <c r="G22" s="55" t="s">
        <v>60</v>
      </c>
      <c r="H22" s="55" t="s">
        <v>84</v>
      </c>
      <c r="I22" s="56" t="s">
        <v>57</v>
      </c>
      <c r="J22" s="55"/>
      <c r="K22" s="55"/>
      <c r="L22" s="55"/>
      <c r="M22" s="55" t="s">
        <v>51</v>
      </c>
      <c r="N22" s="57">
        <v>44858.574889849537</v>
      </c>
      <c r="O22" s="56" t="s">
        <v>52</v>
      </c>
      <c r="P22" s="56" t="s">
        <v>53</v>
      </c>
      <c r="Q22" s="58"/>
    </row>
    <row r="23" spans="3:17" x14ac:dyDescent="0.3">
      <c r="C23" s="54">
        <v>17</v>
      </c>
      <c r="D23" s="55" t="s">
        <v>50</v>
      </c>
      <c r="E23" s="55" t="s">
        <v>47</v>
      </c>
      <c r="F23" s="55" t="s">
        <v>59</v>
      </c>
      <c r="G23" s="55" t="s">
        <v>60</v>
      </c>
      <c r="H23" s="55" t="s">
        <v>85</v>
      </c>
      <c r="I23" s="56" t="s">
        <v>57</v>
      </c>
      <c r="J23" s="55"/>
      <c r="K23" s="55"/>
      <c r="L23" s="55"/>
      <c r="M23" s="55" t="s">
        <v>51</v>
      </c>
      <c r="N23" s="57">
        <v>44860.386775312501</v>
      </c>
      <c r="O23" s="56" t="s">
        <v>52</v>
      </c>
      <c r="P23" s="56" t="s">
        <v>53</v>
      </c>
      <c r="Q23" s="58"/>
    </row>
    <row r="24" spans="3:17" x14ac:dyDescent="0.3">
      <c r="C24" s="54">
        <v>18</v>
      </c>
      <c r="D24" s="55" t="s">
        <v>50</v>
      </c>
      <c r="E24" s="55" t="s">
        <v>47</v>
      </c>
      <c r="F24" s="55" t="s">
        <v>59</v>
      </c>
      <c r="G24" s="55" t="s">
        <v>60</v>
      </c>
      <c r="H24" s="55" t="s">
        <v>86</v>
      </c>
      <c r="I24" s="56" t="s">
        <v>57</v>
      </c>
      <c r="J24" s="55"/>
      <c r="K24" s="55"/>
      <c r="L24" s="55"/>
      <c r="M24" s="55" t="s">
        <v>51</v>
      </c>
      <c r="N24" s="57">
        <v>44865.589230902777</v>
      </c>
      <c r="O24" s="56" t="s">
        <v>52</v>
      </c>
      <c r="P24" s="56" t="s">
        <v>53</v>
      </c>
      <c r="Q24" s="58"/>
    </row>
    <row r="25" spans="3:17" x14ac:dyDescent="0.3">
      <c r="C25" s="54">
        <v>19</v>
      </c>
      <c r="D25" s="55" t="s">
        <v>70</v>
      </c>
      <c r="E25" s="55" t="s">
        <v>47</v>
      </c>
      <c r="F25" s="55" t="s">
        <v>59</v>
      </c>
      <c r="G25" s="55" t="s">
        <v>60</v>
      </c>
      <c r="H25" s="55" t="s">
        <v>87</v>
      </c>
      <c r="I25" s="56" t="s">
        <v>62</v>
      </c>
      <c r="J25" s="55"/>
      <c r="K25" s="55"/>
      <c r="L25" s="55"/>
      <c r="M25" s="55" t="s">
        <v>51</v>
      </c>
      <c r="N25" s="57">
        <v>44880.446590821761</v>
      </c>
      <c r="O25" s="56" t="s">
        <v>52</v>
      </c>
      <c r="P25" s="56" t="s">
        <v>53</v>
      </c>
      <c r="Q25" s="58"/>
    </row>
    <row r="26" spans="3:17" x14ac:dyDescent="0.3">
      <c r="C26" s="54">
        <v>20</v>
      </c>
      <c r="D26" s="55" t="s">
        <v>70</v>
      </c>
      <c r="E26" s="55" t="s">
        <v>47</v>
      </c>
      <c r="F26" s="55" t="s">
        <v>59</v>
      </c>
      <c r="G26" s="55" t="s">
        <v>60</v>
      </c>
      <c r="H26" s="55" t="s">
        <v>88</v>
      </c>
      <c r="I26" s="56" t="s">
        <v>62</v>
      </c>
      <c r="J26" s="55"/>
      <c r="K26" s="55"/>
      <c r="L26" s="55"/>
      <c r="M26" s="55" t="s">
        <v>51</v>
      </c>
      <c r="N26" s="57">
        <v>44964.481629895832</v>
      </c>
      <c r="O26" s="56" t="s">
        <v>52</v>
      </c>
      <c r="P26" s="56" t="s">
        <v>53</v>
      </c>
      <c r="Q26" s="58"/>
    </row>
    <row r="27" spans="3:17" x14ac:dyDescent="0.3">
      <c r="C27" s="54">
        <v>21</v>
      </c>
      <c r="D27" s="55" t="s">
        <v>58</v>
      </c>
      <c r="E27" s="55" t="s">
        <v>47</v>
      </c>
      <c r="F27" s="55" t="s">
        <v>59</v>
      </c>
      <c r="G27" s="55" t="s">
        <v>60</v>
      </c>
      <c r="H27" s="55" t="s">
        <v>89</v>
      </c>
      <c r="I27" s="56" t="s">
        <v>62</v>
      </c>
      <c r="J27" s="55"/>
      <c r="K27" s="55"/>
      <c r="L27" s="55"/>
      <c r="M27" s="55" t="s">
        <v>51</v>
      </c>
      <c r="N27" s="57">
        <v>44970.603333252315</v>
      </c>
      <c r="O27" s="56" t="s">
        <v>52</v>
      </c>
      <c r="P27" s="56" t="s">
        <v>53</v>
      </c>
      <c r="Q27" s="58"/>
    </row>
    <row r="28" spans="3:17" x14ac:dyDescent="0.3">
      <c r="C28" s="54"/>
      <c r="D28" s="55"/>
      <c r="E28" s="55"/>
      <c r="F28" s="55"/>
      <c r="G28" s="55"/>
      <c r="H28" s="55"/>
      <c r="I28" s="56"/>
      <c r="J28" s="55"/>
      <c r="K28" s="55"/>
      <c r="L28" s="55"/>
      <c r="M28" s="55"/>
      <c r="N28" s="56"/>
      <c r="O28" s="56"/>
      <c r="P28" s="56"/>
      <c r="Q28" s="58"/>
    </row>
    <row r="29" spans="3:17" x14ac:dyDescent="0.3">
      <c r="C29" s="54"/>
      <c r="D29" s="55"/>
      <c r="E29" s="55"/>
      <c r="F29" s="55"/>
      <c r="G29" s="55"/>
      <c r="H29" s="55"/>
      <c r="I29" s="56"/>
      <c r="J29" s="55"/>
      <c r="K29" s="55"/>
      <c r="L29" s="55"/>
      <c r="M29" s="55"/>
      <c r="N29" s="56"/>
      <c r="O29" s="56"/>
      <c r="P29" s="56"/>
      <c r="Q29" s="58"/>
    </row>
    <row r="30" spans="3:17" x14ac:dyDescent="0.3">
      <c r="C30" s="54"/>
      <c r="D30" s="55"/>
      <c r="E30" s="55"/>
      <c r="F30" s="55"/>
      <c r="G30" s="55"/>
      <c r="H30" s="55"/>
      <c r="I30" s="56"/>
      <c r="J30" s="55"/>
      <c r="K30" s="55"/>
      <c r="L30" s="55"/>
      <c r="M30" s="55"/>
      <c r="N30" s="56"/>
      <c r="O30" s="56"/>
      <c r="P30" s="56"/>
      <c r="Q30" s="58"/>
    </row>
    <row r="31" spans="3:17" x14ac:dyDescent="0.3">
      <c r="C31" s="54"/>
      <c r="D31" s="55"/>
      <c r="E31" s="55"/>
      <c r="F31" s="55"/>
      <c r="G31" s="55"/>
      <c r="H31" s="55"/>
      <c r="I31" s="56"/>
      <c r="J31" s="55"/>
      <c r="K31" s="55"/>
      <c r="L31" s="55"/>
      <c r="M31" s="55"/>
      <c r="N31" s="56"/>
      <c r="O31" s="56"/>
      <c r="P31" s="56"/>
      <c r="Q31" s="58"/>
    </row>
    <row r="32" spans="3:17" x14ac:dyDescent="0.3">
      <c r="C32" s="54"/>
      <c r="D32" s="55"/>
      <c r="E32" s="55"/>
      <c r="F32" s="55"/>
      <c r="G32" s="55"/>
      <c r="H32" s="55"/>
      <c r="I32" s="56"/>
      <c r="J32" s="55"/>
      <c r="K32" s="55"/>
      <c r="L32" s="55"/>
      <c r="M32" s="55"/>
      <c r="N32" s="56"/>
      <c r="O32" s="56"/>
      <c r="P32" s="56"/>
      <c r="Q32" s="58"/>
    </row>
    <row r="33" spans="3:17" x14ac:dyDescent="0.3">
      <c r="C33" s="54"/>
      <c r="D33" s="55"/>
      <c r="E33" s="55"/>
      <c r="F33" s="55"/>
      <c r="G33" s="55"/>
      <c r="H33" s="55"/>
      <c r="I33" s="56"/>
      <c r="J33" s="55"/>
      <c r="K33" s="55"/>
      <c r="L33" s="55"/>
      <c r="M33" s="55"/>
      <c r="N33" s="56"/>
      <c r="O33" s="56"/>
      <c r="P33" s="56"/>
      <c r="Q33" s="58"/>
    </row>
    <row r="34" spans="3:17" x14ac:dyDescent="0.3">
      <c r="C34" s="54"/>
      <c r="D34" s="55"/>
      <c r="E34" s="55"/>
      <c r="F34" s="55"/>
      <c r="G34" s="55"/>
      <c r="H34" s="55"/>
      <c r="I34" s="56"/>
      <c r="J34" s="55"/>
      <c r="K34" s="55"/>
      <c r="L34" s="55"/>
      <c r="M34" s="55"/>
      <c r="N34" s="56"/>
      <c r="O34" s="56"/>
      <c r="P34" s="56"/>
      <c r="Q34" s="58"/>
    </row>
    <row r="35" spans="3:17" x14ac:dyDescent="0.3">
      <c r="C35" s="54"/>
      <c r="D35" s="55"/>
      <c r="E35" s="55"/>
      <c r="F35" s="55"/>
      <c r="G35" s="55"/>
      <c r="H35" s="55"/>
      <c r="I35" s="56"/>
      <c r="J35" s="55"/>
      <c r="K35" s="55"/>
      <c r="L35" s="55"/>
      <c r="M35" s="55"/>
      <c r="N35" s="56"/>
      <c r="O35" s="56"/>
      <c r="P35" s="56"/>
      <c r="Q35" s="58"/>
    </row>
    <row r="36" spans="3:17" x14ac:dyDescent="0.3">
      <c r="C36" s="54"/>
      <c r="D36" s="55"/>
      <c r="E36" s="55"/>
      <c r="F36" s="55"/>
      <c r="G36" s="55"/>
      <c r="H36" s="55"/>
      <c r="I36" s="56"/>
      <c r="J36" s="55"/>
      <c r="K36" s="55"/>
      <c r="L36" s="55"/>
      <c r="M36" s="55"/>
      <c r="N36" s="56"/>
      <c r="O36" s="56"/>
      <c r="P36" s="56"/>
      <c r="Q36" s="58"/>
    </row>
    <row r="37" spans="3:17" x14ac:dyDescent="0.3">
      <c r="C37" s="62"/>
      <c r="D37" s="63"/>
      <c r="E37" s="63"/>
      <c r="F37" s="63"/>
      <c r="G37" s="63"/>
      <c r="H37" s="63"/>
      <c r="I37" s="64"/>
      <c r="J37" s="63"/>
      <c r="K37" s="63"/>
      <c r="L37" s="63"/>
      <c r="M37" s="63"/>
      <c r="N37" s="64"/>
      <c r="O37" s="64"/>
      <c r="P37" s="64"/>
      <c r="Q37" s="65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31"/>
  <sheetViews>
    <sheetView topLeftCell="B1" workbookViewId="0">
      <selection activeCell="F22" sqref="F22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2" width="12.875" bestFit="1" customWidth="1"/>
    <col min="23" max="23" width="11.375" bestFit="1" customWidth="1"/>
    <col min="24" max="24" width="12.875" bestFit="1" customWidth="1"/>
    <col min="25" max="26" width="11.375" bestFit="1" customWidth="1"/>
    <col min="27" max="27" width="12.875" bestFit="1" customWidth="1"/>
  </cols>
  <sheetData>
    <row r="2" spans="1:27" ht="20.25" x14ac:dyDescent="0.3">
      <c r="A2" s="52" t="s">
        <v>15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</row>
    <row r="3" spans="1:27" x14ac:dyDescent="0.3">
      <c r="A3" s="9" t="s">
        <v>16</v>
      </c>
      <c r="O3" s="8" t="s">
        <v>30</v>
      </c>
    </row>
    <row r="4" spans="1:27" x14ac:dyDescent="0.3">
      <c r="A4" t="s">
        <v>17</v>
      </c>
      <c r="B4" t="s">
        <v>18</v>
      </c>
      <c r="C4" t="s">
        <v>19</v>
      </c>
      <c r="D4" t="s">
        <v>20</v>
      </c>
      <c r="E4" t="s">
        <v>21</v>
      </c>
      <c r="F4" t="s">
        <v>22</v>
      </c>
      <c r="G4" t="s">
        <v>23</v>
      </c>
      <c r="H4" t="s">
        <v>24</v>
      </c>
      <c r="I4" t="s">
        <v>25</v>
      </c>
      <c r="J4" t="s">
        <v>26</v>
      </c>
      <c r="K4" t="s">
        <v>27</v>
      </c>
      <c r="L4" t="s">
        <v>28</v>
      </c>
      <c r="M4" t="s">
        <v>29</v>
      </c>
      <c r="O4" s="14" t="s">
        <v>17</v>
      </c>
      <c r="P4" s="15" t="s">
        <v>18</v>
      </c>
      <c r="Q4" s="15" t="s">
        <v>19</v>
      </c>
      <c r="R4" s="15" t="s">
        <v>20</v>
      </c>
      <c r="S4" s="15" t="s">
        <v>21</v>
      </c>
      <c r="T4" s="15" t="s">
        <v>22</v>
      </c>
      <c r="U4" s="15" t="s">
        <v>23</v>
      </c>
      <c r="V4" s="15" t="s">
        <v>24</v>
      </c>
      <c r="W4" s="15" t="s">
        <v>25</v>
      </c>
      <c r="X4" s="15" t="s">
        <v>26</v>
      </c>
      <c r="Y4" s="15" t="s">
        <v>27</v>
      </c>
      <c r="Z4" s="15" t="s">
        <v>28</v>
      </c>
      <c r="AA4" s="16" t="s">
        <v>29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2016</v>
      </c>
      <c r="P5" s="7">
        <v>116253646</v>
      </c>
      <c r="Q5" s="7">
        <v>98907123</v>
      </c>
      <c r="R5" s="7">
        <v>209399418</v>
      </c>
      <c r="S5" s="7"/>
      <c r="T5" s="7">
        <v>233242620</v>
      </c>
      <c r="U5" s="7"/>
      <c r="V5" s="7"/>
      <c r="W5" s="7">
        <v>268068870</v>
      </c>
      <c r="X5" s="7"/>
      <c r="Y5" s="7"/>
      <c r="Z5" s="7"/>
      <c r="AA5" s="7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2017</v>
      </c>
      <c r="P6" s="7">
        <v>440131410</v>
      </c>
      <c r="Q6" s="7">
        <v>302405711</v>
      </c>
      <c r="R6" s="7">
        <v>730146702</v>
      </c>
      <c r="S6" s="7">
        <v>237578190</v>
      </c>
      <c r="T6" s="7">
        <v>177395775</v>
      </c>
      <c r="U6" s="7">
        <v>251228057</v>
      </c>
      <c r="V6" s="7">
        <v>446075729</v>
      </c>
      <c r="W6" s="7">
        <v>275607046</v>
      </c>
      <c r="X6" s="7">
        <v>318648613</v>
      </c>
      <c r="Y6" s="7">
        <v>235130473</v>
      </c>
      <c r="Z6" s="7">
        <v>420412209</v>
      </c>
      <c r="AA6" s="7">
        <v>888712970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2018</v>
      </c>
      <c r="P7" s="7">
        <v>303810173</v>
      </c>
      <c r="Q7" s="7">
        <v>282033176</v>
      </c>
      <c r="R7" s="7">
        <v>467558079</v>
      </c>
      <c r="S7" s="7">
        <v>291935930</v>
      </c>
      <c r="T7" s="7">
        <v>257078128</v>
      </c>
      <c r="U7" s="7">
        <v>1112068480</v>
      </c>
      <c r="V7" s="7">
        <v>362365521</v>
      </c>
      <c r="W7" s="7">
        <v>407775733</v>
      </c>
      <c r="X7" s="7">
        <v>236884304</v>
      </c>
      <c r="Y7" s="7">
        <v>446265330</v>
      </c>
      <c r="Z7" s="7">
        <v>400732733</v>
      </c>
      <c r="AA7" s="7">
        <v>207370927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2019</v>
      </c>
      <c r="P8" s="7">
        <v>443044817</v>
      </c>
      <c r="Q8" s="7">
        <v>186288417</v>
      </c>
      <c r="R8" s="7">
        <v>356002857</v>
      </c>
      <c r="S8" s="7">
        <v>633741000</v>
      </c>
      <c r="T8" s="7">
        <v>387761871</v>
      </c>
      <c r="U8" s="7">
        <v>350216996</v>
      </c>
      <c r="V8" s="7">
        <v>544263750</v>
      </c>
      <c r="W8" s="7">
        <v>715737630</v>
      </c>
      <c r="X8" s="7">
        <v>1231880684</v>
      </c>
      <c r="Y8" s="7">
        <v>441080447</v>
      </c>
      <c r="Z8" s="7">
        <v>428505116</v>
      </c>
      <c r="AA8" s="7">
        <v>611521183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2020</v>
      </c>
      <c r="P9" s="7">
        <v>579996191</v>
      </c>
      <c r="Q9" s="7">
        <v>528495930</v>
      </c>
      <c r="R9" s="7">
        <v>620104046</v>
      </c>
      <c r="S9" s="7">
        <v>997191958</v>
      </c>
      <c r="T9" s="7">
        <v>538657922</v>
      </c>
      <c r="U9" s="7">
        <v>703729141</v>
      </c>
      <c r="V9" s="7">
        <v>823035257</v>
      </c>
      <c r="W9" s="7">
        <v>364947416</v>
      </c>
      <c r="X9" s="7">
        <v>793730154</v>
      </c>
      <c r="Y9" s="7">
        <v>504605674</v>
      </c>
      <c r="Z9" s="7">
        <v>471476969</v>
      </c>
      <c r="AA9" s="7">
        <v>408611490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2021</v>
      </c>
      <c r="P10" s="7">
        <v>1059165232</v>
      </c>
      <c r="Q10" s="7">
        <v>421924378</v>
      </c>
      <c r="R10" s="7">
        <v>612478886</v>
      </c>
      <c r="S10" s="7">
        <v>706833656</v>
      </c>
      <c r="T10" s="7">
        <v>394626235</v>
      </c>
      <c r="U10" s="7">
        <v>510571519</v>
      </c>
      <c r="V10" s="7">
        <v>642101988</v>
      </c>
      <c r="W10" s="7">
        <v>428441825</v>
      </c>
      <c r="X10" s="7">
        <v>407296119</v>
      </c>
      <c r="Y10" s="7">
        <v>470779825</v>
      </c>
      <c r="Z10" s="7">
        <v>811485822</v>
      </c>
      <c r="AA10" s="7">
        <v>566389342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2022</v>
      </c>
      <c r="P11" s="7">
        <v>481043739</v>
      </c>
      <c r="Q11" s="7">
        <v>535155379</v>
      </c>
      <c r="R11" s="7">
        <v>467062832</v>
      </c>
      <c r="S11" s="7">
        <v>567036959</v>
      </c>
      <c r="T11" s="7">
        <v>721431630</v>
      </c>
      <c r="U11" s="7">
        <v>533081106</v>
      </c>
      <c r="V11" s="7">
        <v>507519560</v>
      </c>
      <c r="W11" s="7">
        <v>543770381</v>
      </c>
      <c r="X11" s="7">
        <v>556713645</v>
      </c>
      <c r="Y11" s="7">
        <v>518447582</v>
      </c>
      <c r="Z11" s="7">
        <v>594529653</v>
      </c>
      <c r="AA11" s="7">
        <v>433856051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2023</v>
      </c>
      <c r="P12" s="7">
        <v>885811589</v>
      </c>
      <c r="Q12" s="7">
        <v>536121120</v>
      </c>
      <c r="R12" s="7">
        <v>487034972</v>
      </c>
      <c r="S12" s="7">
        <v>478651614</v>
      </c>
      <c r="T12" s="7">
        <v>396705312</v>
      </c>
      <c r="U12" s="7">
        <v>427114018</v>
      </c>
      <c r="V12" s="7">
        <v>492924371</v>
      </c>
      <c r="W12" s="7">
        <v>530109588</v>
      </c>
      <c r="X12" s="7">
        <v>483805581</v>
      </c>
      <c r="Y12" s="7">
        <v>410432262</v>
      </c>
      <c r="Z12" s="7">
        <v>469240484</v>
      </c>
      <c r="AA12" s="7">
        <v>361986186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2024</v>
      </c>
      <c r="P13" s="7">
        <v>415205337</v>
      </c>
      <c r="Q13" s="7">
        <v>457048215</v>
      </c>
      <c r="R13" s="7">
        <v>556530689</v>
      </c>
      <c r="S13" s="7">
        <v>386023406</v>
      </c>
      <c r="T13" s="7">
        <v>326023280</v>
      </c>
      <c r="U13" s="7">
        <v>363897861</v>
      </c>
      <c r="V13" s="7">
        <v>449467715</v>
      </c>
      <c r="W13" s="7">
        <v>329876274</v>
      </c>
      <c r="X13" s="7">
        <v>347802621</v>
      </c>
      <c r="Y13" s="7">
        <v>341196571</v>
      </c>
      <c r="Z13" s="7">
        <v>141994435</v>
      </c>
      <c r="AA13" s="7"/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998</v>
      </c>
      <c r="E16">
        <v>901</v>
      </c>
      <c r="F16">
        <v>712</v>
      </c>
      <c r="G16">
        <v>728</v>
      </c>
      <c r="H16">
        <v>953</v>
      </c>
      <c r="I16">
        <v>804</v>
      </c>
      <c r="J16">
        <v>762</v>
      </c>
      <c r="K16">
        <v>749</v>
      </c>
      <c r="L16">
        <v>335</v>
      </c>
    </row>
    <row r="22" spans="15:27" x14ac:dyDescent="0.3">
      <c r="O22" s="8" t="s">
        <v>31</v>
      </c>
    </row>
    <row r="23" spans="15:27" x14ac:dyDescent="0.3">
      <c r="O23" s="15" t="s">
        <v>17</v>
      </c>
      <c r="P23" s="15" t="s">
        <v>18</v>
      </c>
      <c r="Q23" s="15" t="s">
        <v>19</v>
      </c>
      <c r="R23" s="15" t="s">
        <v>20</v>
      </c>
      <c r="S23" s="15" t="s">
        <v>21</v>
      </c>
      <c r="T23" s="15" t="s">
        <v>22</v>
      </c>
      <c r="U23" s="15" t="s">
        <v>23</v>
      </c>
      <c r="V23" s="15" t="s">
        <v>24</v>
      </c>
      <c r="W23" s="15" t="s">
        <v>25</v>
      </c>
      <c r="X23" s="15" t="s">
        <v>26</v>
      </c>
      <c r="Y23" s="15" t="s">
        <v>27</v>
      </c>
      <c r="Z23" s="15" t="s">
        <v>28</v>
      </c>
      <c r="AA23" s="15" t="s">
        <v>29</v>
      </c>
    </row>
    <row r="24" spans="15:27" x14ac:dyDescent="0.3">
      <c r="O24" s="10">
        <v>2017</v>
      </c>
      <c r="P24" s="11"/>
      <c r="Q24" s="11"/>
      <c r="R24" s="11"/>
      <c r="S24" s="11"/>
      <c r="T24" s="11"/>
      <c r="U24" s="11"/>
      <c r="V24" s="11"/>
      <c r="W24" s="11"/>
      <c r="X24" s="11">
        <v>2400510</v>
      </c>
      <c r="Y24" s="11"/>
      <c r="Z24" s="11"/>
      <c r="AA24" s="11">
        <v>239452823</v>
      </c>
    </row>
    <row r="25" spans="15:27" x14ac:dyDescent="0.3">
      <c r="O25" s="10">
        <v>2018</v>
      </c>
      <c r="P25" s="11">
        <v>113768947</v>
      </c>
      <c r="Q25" s="11">
        <v>311307231</v>
      </c>
      <c r="R25" s="11">
        <v>211456948</v>
      </c>
      <c r="S25" s="11">
        <v>159079198</v>
      </c>
      <c r="T25" s="11">
        <v>190757869</v>
      </c>
      <c r="U25" s="11">
        <v>226168388</v>
      </c>
      <c r="V25" s="11">
        <v>220689851</v>
      </c>
      <c r="W25" s="11">
        <v>167490779</v>
      </c>
      <c r="X25" s="11">
        <v>221931341</v>
      </c>
      <c r="Y25" s="11">
        <v>721543955</v>
      </c>
      <c r="Z25" s="11">
        <v>243046377</v>
      </c>
      <c r="AA25" s="11">
        <v>281945096</v>
      </c>
    </row>
    <row r="26" spans="15:27" x14ac:dyDescent="0.3">
      <c r="O26" s="12">
        <v>2019</v>
      </c>
      <c r="P26" s="13">
        <v>211565596</v>
      </c>
      <c r="Q26" s="13">
        <v>204338491</v>
      </c>
      <c r="R26" s="13">
        <v>196191746</v>
      </c>
      <c r="S26" s="13">
        <v>236318326</v>
      </c>
      <c r="T26" s="13">
        <v>313555379</v>
      </c>
      <c r="U26" s="13">
        <v>261616466</v>
      </c>
      <c r="V26" s="13">
        <v>475090902</v>
      </c>
      <c r="W26" s="13">
        <v>307134631</v>
      </c>
      <c r="X26" s="13">
        <v>378155573</v>
      </c>
      <c r="Y26" s="13">
        <v>336821498</v>
      </c>
      <c r="Z26" s="13">
        <v>299875703</v>
      </c>
      <c r="AA26" s="13">
        <v>541044546</v>
      </c>
    </row>
    <row r="27" spans="15:27" x14ac:dyDescent="0.3">
      <c r="O27" s="12">
        <v>2020</v>
      </c>
      <c r="P27" s="13">
        <v>404301668</v>
      </c>
      <c r="Q27" s="13">
        <v>532482626</v>
      </c>
      <c r="R27" s="13">
        <v>275794583</v>
      </c>
      <c r="S27" s="13">
        <v>516544313</v>
      </c>
      <c r="T27" s="13">
        <v>285738043</v>
      </c>
      <c r="U27" s="13">
        <v>242056223</v>
      </c>
      <c r="V27" s="13">
        <v>529030509</v>
      </c>
      <c r="W27" s="13">
        <v>904792467</v>
      </c>
      <c r="X27" s="13">
        <v>342956772</v>
      </c>
      <c r="Y27" s="13">
        <v>664151808</v>
      </c>
      <c r="Z27" s="13">
        <v>505377509</v>
      </c>
      <c r="AA27" s="13">
        <v>999711582</v>
      </c>
    </row>
    <row r="28" spans="15:27" x14ac:dyDescent="0.3">
      <c r="O28" s="12">
        <v>2021</v>
      </c>
      <c r="P28" s="13">
        <v>256032248</v>
      </c>
      <c r="Q28" s="13">
        <v>629097347</v>
      </c>
      <c r="R28" s="13">
        <v>671490543</v>
      </c>
      <c r="S28" s="13">
        <v>637642829</v>
      </c>
      <c r="T28" s="13">
        <v>260867356</v>
      </c>
      <c r="U28" s="13">
        <v>661636070</v>
      </c>
      <c r="V28" s="13">
        <v>1652903182</v>
      </c>
      <c r="W28" s="13">
        <v>341711258</v>
      </c>
      <c r="X28" s="13">
        <v>766547481</v>
      </c>
      <c r="Y28" s="13">
        <v>354511766</v>
      </c>
      <c r="Z28" s="13">
        <v>793763632</v>
      </c>
      <c r="AA28" s="13">
        <v>555133634</v>
      </c>
    </row>
    <row r="29" spans="15:27" ht="17.25" customHeight="1" x14ac:dyDescent="0.3">
      <c r="O29" s="12">
        <v>2022</v>
      </c>
      <c r="P29" s="13">
        <v>747778063</v>
      </c>
      <c r="Q29" s="13">
        <v>737259604</v>
      </c>
      <c r="R29" s="13">
        <v>256138833</v>
      </c>
      <c r="S29" s="13">
        <v>455856355</v>
      </c>
      <c r="T29" s="13">
        <v>406371682</v>
      </c>
      <c r="U29" s="13">
        <v>383031211</v>
      </c>
      <c r="V29" s="13">
        <v>310997922</v>
      </c>
      <c r="W29" s="13">
        <v>404756647</v>
      </c>
      <c r="X29" s="13">
        <v>525627742</v>
      </c>
      <c r="Y29" s="13">
        <v>307601701</v>
      </c>
      <c r="Z29" s="13">
        <v>378028752</v>
      </c>
      <c r="AA29" s="13">
        <v>394547647</v>
      </c>
    </row>
    <row r="30" spans="15:27" x14ac:dyDescent="0.3">
      <c r="O30" s="10">
        <v>2023</v>
      </c>
      <c r="P30" s="11">
        <v>289658773</v>
      </c>
      <c r="Q30" s="11">
        <v>325081220</v>
      </c>
      <c r="R30" s="11">
        <v>280483800</v>
      </c>
      <c r="S30" s="11">
        <v>270256897</v>
      </c>
      <c r="T30" s="11">
        <v>235013307</v>
      </c>
      <c r="U30" s="11">
        <v>573102518</v>
      </c>
      <c r="V30" s="11">
        <v>220342104</v>
      </c>
      <c r="W30" s="11">
        <v>364375022</v>
      </c>
      <c r="X30" s="11">
        <v>363130806</v>
      </c>
      <c r="Y30" s="11">
        <v>269311282</v>
      </c>
      <c r="Z30" s="11">
        <v>222909242</v>
      </c>
      <c r="AA30" s="11">
        <v>260332172</v>
      </c>
    </row>
    <row r="31" spans="15:27" x14ac:dyDescent="0.3">
      <c r="O31" s="12">
        <v>2024</v>
      </c>
      <c r="P31" s="13">
        <v>219537205</v>
      </c>
      <c r="Q31" s="13">
        <v>249230563</v>
      </c>
      <c r="R31" s="13">
        <v>251740593</v>
      </c>
      <c r="S31" s="13">
        <v>410679771</v>
      </c>
      <c r="T31" s="13">
        <v>288220779</v>
      </c>
      <c r="U31" s="13">
        <v>196856165</v>
      </c>
      <c r="V31" s="13">
        <v>250245063</v>
      </c>
      <c r="W31" s="13">
        <v>243247096</v>
      </c>
      <c r="X31" s="13">
        <v>152644581</v>
      </c>
      <c r="Y31" s="13">
        <v>238271247</v>
      </c>
      <c r="Z31" s="13">
        <v>109676435</v>
      </c>
      <c r="AA31" s="13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zchemtech_account"/>
  <dimension ref="A3:H2699"/>
  <sheetViews>
    <sheetView tabSelected="1" topLeftCell="B1" workbookViewId="0">
      <selection activeCell="D9" sqref="D9"/>
    </sheetView>
  </sheetViews>
  <sheetFormatPr defaultRowHeight="16.5" x14ac:dyDescent="0.3"/>
  <cols>
    <col min="1" max="1" width="29" style="22" customWidth="1"/>
    <col min="2" max="2" width="26.875" style="7" customWidth="1"/>
    <col min="3" max="3" width="25.25" style="18" customWidth="1"/>
    <col min="4" max="4" width="44" customWidth="1"/>
    <col min="5" max="5" width="28.125" style="32" customWidth="1"/>
    <col min="6" max="6" width="21.625" style="32" customWidth="1"/>
    <col min="7" max="7" width="28.875" style="32" customWidth="1"/>
    <col min="8" max="8" width="51.875" customWidth="1"/>
  </cols>
  <sheetData>
    <row r="3" spans="1:8" x14ac:dyDescent="0.3">
      <c r="A3" s="27" t="s">
        <v>32</v>
      </c>
      <c r="D3" s="28" t="s">
        <v>98</v>
      </c>
      <c r="F3" s="47" t="s">
        <v>119</v>
      </c>
    </row>
    <row r="4" spans="1:8" x14ac:dyDescent="0.3">
      <c r="A4" s="21" t="s">
        <v>33</v>
      </c>
      <c r="B4" s="20" t="s">
        <v>34</v>
      </c>
      <c r="C4" s="19" t="s">
        <v>35</v>
      </c>
      <c r="D4" s="17" t="s">
        <v>36</v>
      </c>
      <c r="E4" s="33" t="s">
        <v>37</v>
      </c>
      <c r="F4" s="48" t="s">
        <v>120</v>
      </c>
      <c r="G4" s="48" t="s">
        <v>121</v>
      </c>
      <c r="H4" s="50" t="s">
        <v>122</v>
      </c>
    </row>
    <row r="5" spans="1:8" x14ac:dyDescent="0.3">
      <c r="A5" s="22">
        <v>93300246921001</v>
      </c>
      <c r="B5" s="7">
        <v>100000000</v>
      </c>
      <c r="C5" s="18">
        <v>45532.404166666667</v>
      </c>
      <c r="D5" t="s">
        <v>125</v>
      </c>
      <c r="E5" s="34">
        <f>SUM(표5[잔액])</f>
        <v>538409700</v>
      </c>
      <c r="F5" s="48">
        <v>1</v>
      </c>
      <c r="G5" s="49">
        <v>37218500</v>
      </c>
      <c r="H5" s="32">
        <f>SUM($E$5,표10[[#This Row],[월어음합산]])</f>
        <v>575628200</v>
      </c>
    </row>
    <row r="6" spans="1:8" x14ac:dyDescent="0.3">
      <c r="A6" s="23">
        <v>6497151870867</v>
      </c>
      <c r="B6" s="24">
        <v>0</v>
      </c>
      <c r="C6" s="25">
        <v>45068.359027777777</v>
      </c>
      <c r="D6" s="26" t="s">
        <v>43</v>
      </c>
      <c r="F6" s="48">
        <v>11</v>
      </c>
      <c r="G6" s="49">
        <v>189701160</v>
      </c>
      <c r="H6" s="32">
        <f>SUM($E$5,G5:G6)</f>
        <v>765329360</v>
      </c>
    </row>
    <row r="7" spans="1:8" x14ac:dyDescent="0.3">
      <c r="A7" s="22">
        <v>63230104134613</v>
      </c>
      <c r="B7" s="7">
        <v>159598268</v>
      </c>
      <c r="C7" s="18">
        <v>45609.595092592594</v>
      </c>
      <c r="D7" t="s">
        <v>127</v>
      </c>
      <c r="F7" s="48">
        <v>12</v>
      </c>
      <c r="G7" s="49">
        <v>176372240</v>
      </c>
      <c r="H7" s="32">
        <f>SUM($E$5,$G$5:G7)</f>
        <v>941701600</v>
      </c>
    </row>
    <row r="8" spans="1:8" x14ac:dyDescent="0.3">
      <c r="A8" s="23">
        <v>3010186198661</v>
      </c>
      <c r="B8" s="24">
        <v>493093</v>
      </c>
      <c r="C8" s="25">
        <v>45466.397361111114</v>
      </c>
      <c r="D8" s="26" t="s">
        <v>39</v>
      </c>
      <c r="E8" s="32" t="s">
        <v>99</v>
      </c>
      <c r="H8" s="32">
        <f>SUM($E$5,$G$5:G8)</f>
        <v>941701600</v>
      </c>
    </row>
    <row r="9" spans="1:8" x14ac:dyDescent="0.3">
      <c r="A9" s="22">
        <v>33789004537804</v>
      </c>
      <c r="B9" s="7">
        <v>507981</v>
      </c>
      <c r="C9" s="18">
        <v>45601.54791666667</v>
      </c>
      <c r="D9" t="s">
        <v>126</v>
      </c>
      <c r="H9" s="32">
        <f>SUM($E$5,$G$5:G9)</f>
        <v>941701600</v>
      </c>
    </row>
    <row r="10" spans="1:8" x14ac:dyDescent="0.3">
      <c r="A10" s="22">
        <v>100028877450</v>
      </c>
      <c r="B10" s="7">
        <v>15344026</v>
      </c>
      <c r="C10" s="18">
        <v>45609.472962962966</v>
      </c>
      <c r="D10" t="s">
        <v>123</v>
      </c>
      <c r="H10" s="32">
        <f>SUM($E$5,$G$5:G10)</f>
        <v>941701600</v>
      </c>
    </row>
    <row r="11" spans="1:8" x14ac:dyDescent="0.3">
      <c r="A11" s="22">
        <v>18191000790504</v>
      </c>
      <c r="B11" s="7">
        <v>125547</v>
      </c>
      <c r="C11" s="18">
        <v>45556.142418981479</v>
      </c>
      <c r="D11" t="s">
        <v>40</v>
      </c>
      <c r="H11" s="32">
        <f>SUM($E$5,$G$5:G11)</f>
        <v>941701600</v>
      </c>
    </row>
    <row r="12" spans="1:8" x14ac:dyDescent="0.3">
      <c r="A12" s="23">
        <v>93300246913005</v>
      </c>
      <c r="B12" s="24">
        <v>0</v>
      </c>
      <c r="C12" s="25">
        <v>45274.358865740738</v>
      </c>
      <c r="D12" s="26" t="s">
        <v>38</v>
      </c>
      <c r="H12" s="32">
        <f>SUM($E$5,$G$5:G12)</f>
        <v>941701600</v>
      </c>
    </row>
    <row r="13" spans="1:8" x14ac:dyDescent="0.3">
      <c r="A13" s="22">
        <v>93300246901019</v>
      </c>
      <c r="B13" s="7">
        <v>62337213</v>
      </c>
      <c r="C13" s="18">
        <v>45609.499837962961</v>
      </c>
      <c r="D13" t="s">
        <v>128</v>
      </c>
      <c r="H13" s="32">
        <f>SUM($E$5,$G$5:G13)</f>
        <v>941701600</v>
      </c>
    </row>
    <row r="14" spans="1:8" x14ac:dyDescent="0.3">
      <c r="A14" s="22">
        <v>6497151870885</v>
      </c>
      <c r="B14" s="7">
        <v>100000000</v>
      </c>
      <c r="C14" s="18">
        <v>45273.473611111112</v>
      </c>
      <c r="D14" t="s">
        <v>41</v>
      </c>
      <c r="H14" s="32">
        <f>SUM($E$5,$G$5:G14)</f>
        <v>941701600</v>
      </c>
    </row>
    <row r="15" spans="1:8" x14ac:dyDescent="0.3">
      <c r="A15" s="22">
        <v>69300100058844</v>
      </c>
      <c r="B15" s="7">
        <v>0</v>
      </c>
      <c r="C15" s="18">
        <v>44964.583333333336</v>
      </c>
      <c r="D15" t="s">
        <v>42</v>
      </c>
      <c r="H15" s="32">
        <f>SUM($E$5,$G$5:G15)</f>
        <v>941701600</v>
      </c>
    </row>
    <row r="16" spans="1:8" x14ac:dyDescent="0.3">
      <c r="A16" s="22">
        <v>93300246913004</v>
      </c>
      <c r="B16" s="7">
        <v>0</v>
      </c>
      <c r="C16" s="18">
        <v>45259.37872685185</v>
      </c>
      <c r="D16" t="s">
        <v>38</v>
      </c>
      <c r="H16" s="32">
        <f>SUM($E$5,$G$5:G16)</f>
        <v>941701600</v>
      </c>
    </row>
    <row r="17" spans="1:8" x14ac:dyDescent="0.3">
      <c r="A17" s="22">
        <v>6497151888073</v>
      </c>
      <c r="B17" s="7">
        <v>100000000</v>
      </c>
      <c r="C17" s="18">
        <v>45273.477083333331</v>
      </c>
      <c r="D17" t="s">
        <v>41</v>
      </c>
      <c r="H17" s="32">
        <f>SUM($E$5,$G$5:G17)</f>
        <v>941701600</v>
      </c>
    </row>
    <row r="18" spans="1:8" x14ac:dyDescent="0.3">
      <c r="A18" s="22">
        <v>42791000554604</v>
      </c>
      <c r="B18" s="7">
        <v>2494</v>
      </c>
      <c r="C18" s="18">
        <v>44184.224224537036</v>
      </c>
      <c r="D18" t="s">
        <v>44</v>
      </c>
      <c r="H18" s="32">
        <f>SUM($E$5,$G$5:G18)</f>
        <v>941701600</v>
      </c>
    </row>
    <row r="19" spans="1:8" x14ac:dyDescent="0.3">
      <c r="A19" s="22">
        <v>1005503989853</v>
      </c>
      <c r="B19" s="7">
        <v>1058</v>
      </c>
      <c r="C19" s="18">
        <v>45367.342546296299</v>
      </c>
      <c r="D19" t="s">
        <v>124</v>
      </c>
      <c r="H19" s="32">
        <f>SUM($E$5,$G$5:G19)</f>
        <v>941701600</v>
      </c>
    </row>
    <row r="20" spans="1:8" x14ac:dyDescent="0.3">
      <c r="A20" s="22">
        <v>93300246901026</v>
      </c>
      <c r="B20" s="7">
        <v>20</v>
      </c>
      <c r="C20" s="18">
        <v>44906.53806712963</v>
      </c>
      <c r="D20" t="s">
        <v>45</v>
      </c>
      <c r="H20" s="32"/>
    </row>
    <row r="21" spans="1:8" x14ac:dyDescent="0.3">
      <c r="B21" s="51"/>
      <c r="H21" s="32"/>
    </row>
    <row r="22" spans="1:8" x14ac:dyDescent="0.3">
      <c r="A22" s="27" t="s">
        <v>90</v>
      </c>
      <c r="B22" s="29">
        <v>63230104134613</v>
      </c>
      <c r="C22" s="30" t="s">
        <v>96</v>
      </c>
      <c r="E22" s="32">
        <f>SUBTOTAL(9,표6[입금액])</f>
        <v>0</v>
      </c>
      <c r="F22" s="32">
        <f>SUBTOTAL(9,표6[출금액])</f>
        <v>0</v>
      </c>
      <c r="G22" s="32">
        <f>E22-F22</f>
        <v>0</v>
      </c>
    </row>
    <row r="23" spans="1:8" x14ac:dyDescent="0.3">
      <c r="A23" s="22" t="s">
        <v>91</v>
      </c>
      <c r="B23" s="7" t="s">
        <v>35</v>
      </c>
      <c r="C23" s="18" t="s">
        <v>92</v>
      </c>
      <c r="D23" t="s">
        <v>93</v>
      </c>
      <c r="E23" s="32" t="s">
        <v>94</v>
      </c>
      <c r="F23" s="32" t="s">
        <v>95</v>
      </c>
      <c r="G23" s="32" t="s">
        <v>34</v>
      </c>
      <c r="H23" t="s">
        <v>36</v>
      </c>
    </row>
    <row r="24" spans="1:8" x14ac:dyDescent="0.3">
      <c r="A24" s="28"/>
      <c r="B24" s="31"/>
    </row>
    <row r="25" spans="1:8" x14ac:dyDescent="0.3">
      <c r="A25" s="28"/>
      <c r="B25" s="31"/>
    </row>
    <row r="26" spans="1:8" x14ac:dyDescent="0.3">
      <c r="A26" s="28"/>
      <c r="B26" s="31"/>
    </row>
    <row r="27" spans="1:8" x14ac:dyDescent="0.3">
      <c r="A27" s="28"/>
      <c r="B27" s="31"/>
    </row>
    <row r="28" spans="1:8" x14ac:dyDescent="0.3">
      <c r="A28" s="28"/>
      <c r="B28" s="31"/>
    </row>
    <row r="29" spans="1:8" x14ac:dyDescent="0.3">
      <c r="A29" s="28"/>
      <c r="B29" s="31"/>
    </row>
    <row r="30" spans="1:8" x14ac:dyDescent="0.3">
      <c r="A30" s="28"/>
      <c r="B30" s="31"/>
    </row>
    <row r="31" spans="1:8" x14ac:dyDescent="0.3">
      <c r="A31" s="28"/>
      <c r="B31" s="31"/>
    </row>
    <row r="32" spans="1:8" x14ac:dyDescent="0.3">
      <c r="A32" s="28"/>
      <c r="B32" s="31"/>
    </row>
    <row r="33" spans="1:2" x14ac:dyDescent="0.3">
      <c r="A33" s="28"/>
      <c r="B33" s="31"/>
    </row>
    <row r="34" spans="1:2" x14ac:dyDescent="0.3">
      <c r="A34" s="28"/>
      <c r="B34" s="31"/>
    </row>
    <row r="35" spans="1:2" x14ac:dyDescent="0.3">
      <c r="A35" s="28"/>
      <c r="B35" s="31"/>
    </row>
    <row r="36" spans="1:2" x14ac:dyDescent="0.3">
      <c r="A36" s="28"/>
      <c r="B36" s="31"/>
    </row>
    <row r="37" spans="1:2" x14ac:dyDescent="0.3">
      <c r="A37" s="28"/>
      <c r="B37" s="31"/>
    </row>
    <row r="38" spans="1:2" x14ac:dyDescent="0.3">
      <c r="A38" s="28"/>
      <c r="B38" s="31"/>
    </row>
    <row r="39" spans="1:2" x14ac:dyDescent="0.3">
      <c r="A39" s="28"/>
      <c r="B39" s="31"/>
    </row>
    <row r="40" spans="1:2" x14ac:dyDescent="0.3">
      <c r="A40" s="28"/>
      <c r="B40" s="31"/>
    </row>
    <row r="41" spans="1:2" x14ac:dyDescent="0.3">
      <c r="A41" s="28"/>
      <c r="B41" s="31"/>
    </row>
    <row r="42" spans="1:2" x14ac:dyDescent="0.3">
      <c r="A42" s="28"/>
      <c r="B42" s="31"/>
    </row>
    <row r="43" spans="1:2" x14ac:dyDescent="0.3">
      <c r="A43" s="28"/>
      <c r="B43" s="31"/>
    </row>
    <row r="44" spans="1:2" x14ac:dyDescent="0.3">
      <c r="A44" s="28"/>
      <c r="B44" s="31"/>
    </row>
    <row r="45" spans="1:2" x14ac:dyDescent="0.3">
      <c r="A45" s="28"/>
      <c r="B45" s="31"/>
    </row>
    <row r="46" spans="1:2" x14ac:dyDescent="0.3">
      <c r="A46" s="28"/>
      <c r="B46" s="31"/>
    </row>
    <row r="47" spans="1:2" x14ac:dyDescent="0.3">
      <c r="A47" s="28"/>
      <c r="B47" s="31"/>
    </row>
    <row r="48" spans="1:2" x14ac:dyDescent="0.3">
      <c r="A48" s="28"/>
      <c r="B48" s="31"/>
    </row>
    <row r="49" spans="1:2" x14ac:dyDescent="0.3">
      <c r="A49" s="28"/>
      <c r="B49" s="31"/>
    </row>
    <row r="50" spans="1:2" x14ac:dyDescent="0.3">
      <c r="A50" s="28"/>
      <c r="B50" s="31"/>
    </row>
    <row r="51" spans="1:2" x14ac:dyDescent="0.3">
      <c r="A51" s="28"/>
      <c r="B51" s="31"/>
    </row>
    <row r="52" spans="1:2" x14ac:dyDescent="0.3">
      <c r="A52" s="28"/>
      <c r="B52" s="31"/>
    </row>
    <row r="53" spans="1:2" x14ac:dyDescent="0.3">
      <c r="A53" s="28"/>
      <c r="B53" s="31"/>
    </row>
    <row r="54" spans="1:2" x14ac:dyDescent="0.3">
      <c r="A54" s="28"/>
      <c r="B54" s="31"/>
    </row>
    <row r="55" spans="1:2" x14ac:dyDescent="0.3">
      <c r="A55" s="28"/>
      <c r="B55" s="31"/>
    </row>
    <row r="56" spans="1:2" x14ac:dyDescent="0.3">
      <c r="A56" s="28"/>
      <c r="B56" s="31"/>
    </row>
    <row r="57" spans="1:2" x14ac:dyDescent="0.3">
      <c r="A57" s="28"/>
      <c r="B57" s="31"/>
    </row>
    <row r="58" spans="1:2" x14ac:dyDescent="0.3">
      <c r="A58" s="28"/>
      <c r="B58" s="31"/>
    </row>
    <row r="59" spans="1:2" x14ac:dyDescent="0.3">
      <c r="A59" s="28"/>
      <c r="B59" s="31"/>
    </row>
    <row r="60" spans="1:2" x14ac:dyDescent="0.3">
      <c r="A60" s="28"/>
      <c r="B60" s="31"/>
    </row>
    <row r="61" spans="1:2" x14ac:dyDescent="0.3">
      <c r="A61" s="28"/>
      <c r="B61" s="31"/>
    </row>
    <row r="62" spans="1:2" x14ac:dyDescent="0.3">
      <c r="A62" s="28"/>
      <c r="B62" s="31"/>
    </row>
    <row r="63" spans="1:2" x14ac:dyDescent="0.3">
      <c r="A63" s="28"/>
      <c r="B63" s="31"/>
    </row>
    <row r="64" spans="1:2" x14ac:dyDescent="0.3">
      <c r="A64" s="28"/>
      <c r="B64" s="31"/>
    </row>
    <row r="65" spans="1:2" x14ac:dyDescent="0.3">
      <c r="A65" s="28"/>
      <c r="B65" s="31"/>
    </row>
    <row r="66" spans="1:2" x14ac:dyDescent="0.3">
      <c r="A66" s="28"/>
      <c r="B66" s="31"/>
    </row>
    <row r="67" spans="1:2" x14ac:dyDescent="0.3">
      <c r="A67" s="28"/>
      <c r="B67" s="31"/>
    </row>
    <row r="68" spans="1:2" x14ac:dyDescent="0.3">
      <c r="A68" s="28"/>
      <c r="B68" s="31"/>
    </row>
    <row r="69" spans="1:2" x14ac:dyDescent="0.3">
      <c r="A69" s="28"/>
      <c r="B69" s="31"/>
    </row>
    <row r="70" spans="1:2" x14ac:dyDescent="0.3">
      <c r="A70" s="28"/>
      <c r="B70" s="31"/>
    </row>
    <row r="71" spans="1:2" x14ac:dyDescent="0.3">
      <c r="A71" s="28"/>
      <c r="B71" s="31"/>
    </row>
    <row r="72" spans="1:2" x14ac:dyDescent="0.3">
      <c r="A72" s="28"/>
      <c r="B72" s="31"/>
    </row>
    <row r="73" spans="1:2" x14ac:dyDescent="0.3">
      <c r="A73" s="28"/>
      <c r="B73" s="31"/>
    </row>
    <row r="74" spans="1:2" x14ac:dyDescent="0.3">
      <c r="A74" s="28"/>
      <c r="B74" s="31"/>
    </row>
    <row r="75" spans="1:2" x14ac:dyDescent="0.3">
      <c r="A75" s="28"/>
      <c r="B75" s="31"/>
    </row>
    <row r="76" spans="1:2" x14ac:dyDescent="0.3">
      <c r="A76" s="28"/>
      <c r="B76" s="31"/>
    </row>
    <row r="77" spans="1:2" x14ac:dyDescent="0.3">
      <c r="A77" s="28"/>
      <c r="B77" s="31"/>
    </row>
    <row r="78" spans="1:2" x14ac:dyDescent="0.3">
      <c r="A78" s="28"/>
      <c r="B78" s="31"/>
    </row>
    <row r="79" spans="1:2" x14ac:dyDescent="0.3">
      <c r="A79" s="28"/>
      <c r="B79" s="31"/>
    </row>
    <row r="80" spans="1:2" x14ac:dyDescent="0.3">
      <c r="A80" s="28"/>
      <c r="B80" s="31"/>
    </row>
    <row r="81" spans="1:2" x14ac:dyDescent="0.3">
      <c r="A81" s="28"/>
      <c r="B81" s="31"/>
    </row>
    <row r="82" spans="1:2" x14ac:dyDescent="0.3">
      <c r="A82" s="28"/>
      <c r="B82" s="31"/>
    </row>
    <row r="83" spans="1:2" x14ac:dyDescent="0.3">
      <c r="A83" s="28"/>
      <c r="B83" s="31"/>
    </row>
    <row r="84" spans="1:2" x14ac:dyDescent="0.3">
      <c r="A84" s="28"/>
      <c r="B84" s="31"/>
    </row>
    <row r="85" spans="1:2" x14ac:dyDescent="0.3">
      <c r="A85" s="28"/>
      <c r="B85" s="31"/>
    </row>
    <row r="86" spans="1:2" x14ac:dyDescent="0.3">
      <c r="A86" s="28"/>
      <c r="B86" s="31"/>
    </row>
    <row r="87" spans="1:2" x14ac:dyDescent="0.3">
      <c r="A87" s="28"/>
      <c r="B87" s="31"/>
    </row>
    <row r="88" spans="1:2" x14ac:dyDescent="0.3">
      <c r="A88" s="28"/>
      <c r="B88" s="31"/>
    </row>
    <row r="89" spans="1:2" x14ac:dyDescent="0.3">
      <c r="A89" s="28"/>
      <c r="B89" s="31"/>
    </row>
    <row r="90" spans="1:2" x14ac:dyDescent="0.3">
      <c r="A90" s="28"/>
      <c r="B90" s="31"/>
    </row>
    <row r="91" spans="1:2" x14ac:dyDescent="0.3">
      <c r="A91" s="28"/>
      <c r="B91" s="31"/>
    </row>
    <row r="92" spans="1:2" x14ac:dyDescent="0.3">
      <c r="A92" s="28"/>
      <c r="B92" s="31"/>
    </row>
    <row r="93" spans="1:2" x14ac:dyDescent="0.3">
      <c r="A93" s="28"/>
      <c r="B93" s="31"/>
    </row>
    <row r="94" spans="1:2" x14ac:dyDescent="0.3">
      <c r="A94" s="28"/>
      <c r="B94" s="31"/>
    </row>
    <row r="95" spans="1:2" x14ac:dyDescent="0.3">
      <c r="A95" s="28"/>
      <c r="B95" s="31"/>
    </row>
    <row r="96" spans="1:2" x14ac:dyDescent="0.3">
      <c r="A96" s="28"/>
      <c r="B96" s="31"/>
    </row>
    <row r="97" spans="1:2" x14ac:dyDescent="0.3">
      <c r="A97" s="28"/>
      <c r="B97" s="31"/>
    </row>
    <row r="98" spans="1:2" x14ac:dyDescent="0.3">
      <c r="A98" s="28"/>
      <c r="B98" s="31"/>
    </row>
    <row r="99" spans="1:2" x14ac:dyDescent="0.3">
      <c r="A99" s="28"/>
      <c r="B99" s="31"/>
    </row>
    <row r="100" spans="1:2" x14ac:dyDescent="0.3">
      <c r="A100" s="28"/>
      <c r="B100" s="31"/>
    </row>
    <row r="101" spans="1:2" x14ac:dyDescent="0.3">
      <c r="A101" s="28"/>
      <c r="B101" s="31"/>
    </row>
    <row r="102" spans="1:2" x14ac:dyDescent="0.3">
      <c r="A102" s="28"/>
      <c r="B102" s="31"/>
    </row>
    <row r="103" spans="1:2" x14ac:dyDescent="0.3">
      <c r="A103" s="28"/>
      <c r="B103" s="31"/>
    </row>
    <row r="104" spans="1:2" x14ac:dyDescent="0.3">
      <c r="A104" s="28"/>
      <c r="B104" s="31"/>
    </row>
    <row r="105" spans="1:2" x14ac:dyDescent="0.3">
      <c r="A105" s="28"/>
      <c r="B105" s="31"/>
    </row>
    <row r="106" spans="1:2" x14ac:dyDescent="0.3">
      <c r="A106" s="28"/>
      <c r="B106" s="31"/>
    </row>
    <row r="107" spans="1:2" x14ac:dyDescent="0.3">
      <c r="A107" s="28"/>
      <c r="B107" s="31"/>
    </row>
    <row r="108" spans="1:2" x14ac:dyDescent="0.3">
      <c r="A108" s="28"/>
      <c r="B108" s="31"/>
    </row>
    <row r="109" spans="1:2" x14ac:dyDescent="0.3">
      <c r="A109" s="28"/>
      <c r="B109" s="31"/>
    </row>
    <row r="110" spans="1:2" x14ac:dyDescent="0.3">
      <c r="A110" s="28"/>
      <c r="B110" s="31"/>
    </row>
    <row r="111" spans="1:2" x14ac:dyDescent="0.3">
      <c r="A111" s="28"/>
      <c r="B111" s="31"/>
    </row>
    <row r="112" spans="1:2" x14ac:dyDescent="0.3">
      <c r="A112" s="28"/>
      <c r="B112" s="31"/>
    </row>
    <row r="113" spans="1:2" x14ac:dyDescent="0.3">
      <c r="A113" s="28"/>
      <c r="B113" s="31"/>
    </row>
    <row r="114" spans="1:2" x14ac:dyDescent="0.3">
      <c r="A114" s="28"/>
      <c r="B114" s="31"/>
    </row>
    <row r="115" spans="1:2" x14ac:dyDescent="0.3">
      <c r="A115" s="28"/>
      <c r="B115" s="31"/>
    </row>
    <row r="116" spans="1:2" x14ac:dyDescent="0.3">
      <c r="A116" s="28"/>
      <c r="B116" s="31"/>
    </row>
    <row r="117" spans="1:2" x14ac:dyDescent="0.3">
      <c r="A117" s="28"/>
      <c r="B117" s="31"/>
    </row>
    <row r="118" spans="1:2" x14ac:dyDescent="0.3">
      <c r="A118" s="28"/>
      <c r="B118" s="31"/>
    </row>
    <row r="119" spans="1:2" x14ac:dyDescent="0.3">
      <c r="A119" s="28"/>
      <c r="B119" s="31"/>
    </row>
    <row r="120" spans="1:2" x14ac:dyDescent="0.3">
      <c r="A120" s="28"/>
      <c r="B120" s="31"/>
    </row>
    <row r="121" spans="1:2" x14ac:dyDescent="0.3">
      <c r="A121" s="28"/>
      <c r="B121" s="31"/>
    </row>
    <row r="122" spans="1:2" x14ac:dyDescent="0.3">
      <c r="A122" s="28"/>
      <c r="B122" s="31"/>
    </row>
    <row r="123" spans="1:2" x14ac:dyDescent="0.3">
      <c r="A123" s="28"/>
      <c r="B123" s="31"/>
    </row>
    <row r="124" spans="1:2" x14ac:dyDescent="0.3">
      <c r="A124" s="28"/>
      <c r="B124" s="31"/>
    </row>
    <row r="125" spans="1:2" x14ac:dyDescent="0.3">
      <c r="A125" s="28"/>
      <c r="B125" s="31"/>
    </row>
    <row r="126" spans="1:2" x14ac:dyDescent="0.3">
      <c r="A126" s="28"/>
      <c r="B126" s="31"/>
    </row>
    <row r="127" spans="1:2" x14ac:dyDescent="0.3">
      <c r="A127" s="28"/>
      <c r="B127" s="31"/>
    </row>
    <row r="128" spans="1:2" x14ac:dyDescent="0.3">
      <c r="A128" s="28"/>
      <c r="B128" s="31"/>
    </row>
    <row r="129" spans="1:2" x14ac:dyDescent="0.3">
      <c r="A129" s="28"/>
      <c r="B129" s="31"/>
    </row>
    <row r="130" spans="1:2" x14ac:dyDescent="0.3">
      <c r="A130" s="28"/>
      <c r="B130" s="31"/>
    </row>
    <row r="131" spans="1:2" x14ac:dyDescent="0.3">
      <c r="A131" s="28"/>
      <c r="B131" s="31"/>
    </row>
    <row r="132" spans="1:2" x14ac:dyDescent="0.3">
      <c r="A132" s="28"/>
      <c r="B132" s="31"/>
    </row>
    <row r="133" spans="1:2" x14ac:dyDescent="0.3">
      <c r="A133" s="28"/>
      <c r="B133" s="31"/>
    </row>
    <row r="134" spans="1:2" x14ac:dyDescent="0.3">
      <c r="A134" s="28"/>
      <c r="B134" s="31"/>
    </row>
    <row r="135" spans="1:2" x14ac:dyDescent="0.3">
      <c r="A135" s="28"/>
      <c r="B135" s="31"/>
    </row>
    <row r="136" spans="1:2" x14ac:dyDescent="0.3">
      <c r="A136" s="28"/>
      <c r="B136" s="31"/>
    </row>
    <row r="137" spans="1:2" x14ac:dyDescent="0.3">
      <c r="A137" s="28"/>
      <c r="B137" s="31"/>
    </row>
    <row r="138" spans="1:2" x14ac:dyDescent="0.3">
      <c r="A138" s="28"/>
      <c r="B138" s="31"/>
    </row>
    <row r="139" spans="1:2" x14ac:dyDescent="0.3">
      <c r="A139" s="28"/>
      <c r="B139" s="31"/>
    </row>
    <row r="140" spans="1:2" x14ac:dyDescent="0.3">
      <c r="A140" s="28"/>
      <c r="B140" s="31"/>
    </row>
    <row r="141" spans="1:2" x14ac:dyDescent="0.3">
      <c r="A141" s="28"/>
      <c r="B141" s="31"/>
    </row>
    <row r="142" spans="1:2" x14ac:dyDescent="0.3">
      <c r="A142" s="28"/>
      <c r="B142" s="31"/>
    </row>
    <row r="143" spans="1:2" x14ac:dyDescent="0.3">
      <c r="A143" s="28"/>
      <c r="B143" s="31"/>
    </row>
    <row r="144" spans="1:2" x14ac:dyDescent="0.3">
      <c r="A144" s="28"/>
      <c r="B144" s="31"/>
    </row>
    <row r="145" spans="1:2" x14ac:dyDescent="0.3">
      <c r="A145" s="28"/>
      <c r="B145" s="31"/>
    </row>
    <row r="146" spans="1:2" x14ac:dyDescent="0.3">
      <c r="A146" s="28"/>
      <c r="B146" s="31"/>
    </row>
    <row r="147" spans="1:2" x14ac:dyDescent="0.3">
      <c r="A147" s="28"/>
      <c r="B147" s="31"/>
    </row>
    <row r="148" spans="1:2" x14ac:dyDescent="0.3">
      <c r="A148" s="28"/>
      <c r="B148" s="31"/>
    </row>
    <row r="149" spans="1:2" x14ac:dyDescent="0.3">
      <c r="A149" s="28"/>
      <c r="B149" s="31"/>
    </row>
    <row r="150" spans="1:2" x14ac:dyDescent="0.3">
      <c r="A150" s="28"/>
      <c r="B150" s="31"/>
    </row>
    <row r="151" spans="1:2" x14ac:dyDescent="0.3">
      <c r="A151" s="28"/>
      <c r="B151" s="31"/>
    </row>
    <row r="152" spans="1:2" x14ac:dyDescent="0.3">
      <c r="A152" s="28"/>
      <c r="B152" s="31"/>
    </row>
    <row r="153" spans="1:2" x14ac:dyDescent="0.3">
      <c r="A153" s="28"/>
      <c r="B153" s="31"/>
    </row>
    <row r="154" spans="1:2" x14ac:dyDescent="0.3">
      <c r="A154" s="28"/>
      <c r="B154" s="31"/>
    </row>
    <row r="155" spans="1:2" x14ac:dyDescent="0.3">
      <c r="A155" s="28"/>
      <c r="B155" s="31"/>
    </row>
    <row r="156" spans="1:2" x14ac:dyDescent="0.3">
      <c r="A156" s="28"/>
      <c r="B156" s="31"/>
    </row>
    <row r="157" spans="1:2" x14ac:dyDescent="0.3">
      <c r="A157" s="28"/>
      <c r="B157" s="31"/>
    </row>
    <row r="158" spans="1:2" x14ac:dyDescent="0.3">
      <c r="A158" s="28"/>
      <c r="B158" s="31"/>
    </row>
    <row r="159" spans="1:2" x14ac:dyDescent="0.3">
      <c r="A159" s="28"/>
      <c r="B159" s="31"/>
    </row>
    <row r="160" spans="1:2" x14ac:dyDescent="0.3">
      <c r="A160" s="28"/>
      <c r="B160" s="31"/>
    </row>
    <row r="161" spans="1:2" x14ac:dyDescent="0.3">
      <c r="A161" s="28"/>
      <c r="B161" s="31"/>
    </row>
    <row r="162" spans="1:2" x14ac:dyDescent="0.3">
      <c r="A162" s="28"/>
      <c r="B162" s="31"/>
    </row>
    <row r="163" spans="1:2" x14ac:dyDescent="0.3">
      <c r="A163" s="28"/>
      <c r="B163" s="31"/>
    </row>
    <row r="164" spans="1:2" x14ac:dyDescent="0.3">
      <c r="A164" s="28"/>
      <c r="B164" s="31"/>
    </row>
    <row r="165" spans="1:2" x14ac:dyDescent="0.3">
      <c r="A165" s="28"/>
      <c r="B165" s="31"/>
    </row>
    <row r="166" spans="1:2" x14ac:dyDescent="0.3">
      <c r="A166" s="28"/>
      <c r="B166" s="31"/>
    </row>
    <row r="167" spans="1:2" x14ac:dyDescent="0.3">
      <c r="A167" s="28"/>
      <c r="B167" s="31"/>
    </row>
    <row r="168" spans="1:2" x14ac:dyDescent="0.3">
      <c r="A168" s="28"/>
      <c r="B168" s="31"/>
    </row>
    <row r="169" spans="1:2" x14ac:dyDescent="0.3">
      <c r="A169" s="28"/>
      <c r="B169" s="31"/>
    </row>
    <row r="170" spans="1:2" x14ac:dyDescent="0.3">
      <c r="A170" s="28"/>
      <c r="B170" s="31"/>
    </row>
    <row r="171" spans="1:2" x14ac:dyDescent="0.3">
      <c r="A171" s="28"/>
      <c r="B171" s="31"/>
    </row>
    <row r="172" spans="1:2" x14ac:dyDescent="0.3">
      <c r="A172" s="28"/>
      <c r="B172" s="31"/>
    </row>
    <row r="173" spans="1:2" x14ac:dyDescent="0.3">
      <c r="A173" s="28"/>
      <c r="B173" s="31"/>
    </row>
    <row r="174" spans="1:2" x14ac:dyDescent="0.3">
      <c r="A174" s="28"/>
      <c r="B174" s="31"/>
    </row>
    <row r="175" spans="1:2" x14ac:dyDescent="0.3">
      <c r="A175" s="28"/>
      <c r="B175" s="31"/>
    </row>
    <row r="176" spans="1:2" x14ac:dyDescent="0.3">
      <c r="A176" s="28"/>
      <c r="B176" s="31"/>
    </row>
    <row r="177" spans="1:2" x14ac:dyDescent="0.3">
      <c r="A177" s="28"/>
      <c r="B177" s="31"/>
    </row>
    <row r="178" spans="1:2" x14ac:dyDescent="0.3">
      <c r="A178" s="28"/>
      <c r="B178" s="31"/>
    </row>
    <row r="179" spans="1:2" x14ac:dyDescent="0.3">
      <c r="A179" s="28"/>
      <c r="B179" s="31"/>
    </row>
    <row r="180" spans="1:2" x14ac:dyDescent="0.3">
      <c r="A180" s="28"/>
      <c r="B180" s="31"/>
    </row>
    <row r="181" spans="1:2" x14ac:dyDescent="0.3">
      <c r="A181" s="28"/>
      <c r="B181" s="31"/>
    </row>
    <row r="182" spans="1:2" x14ac:dyDescent="0.3">
      <c r="A182" s="28"/>
      <c r="B182" s="31"/>
    </row>
    <row r="183" spans="1:2" x14ac:dyDescent="0.3">
      <c r="A183" s="28"/>
      <c r="B183" s="31"/>
    </row>
    <row r="184" spans="1:2" x14ac:dyDescent="0.3">
      <c r="A184" s="28"/>
      <c r="B184" s="31"/>
    </row>
    <row r="185" spans="1:2" x14ac:dyDescent="0.3">
      <c r="A185" s="28"/>
      <c r="B185" s="31"/>
    </row>
    <row r="186" spans="1:2" x14ac:dyDescent="0.3">
      <c r="A186" s="28"/>
      <c r="B186" s="31"/>
    </row>
    <row r="187" spans="1:2" x14ac:dyDescent="0.3">
      <c r="A187" s="28"/>
      <c r="B187" s="31"/>
    </row>
    <row r="188" spans="1:2" x14ac:dyDescent="0.3">
      <c r="A188" s="28"/>
      <c r="B188" s="31"/>
    </row>
    <row r="189" spans="1:2" x14ac:dyDescent="0.3">
      <c r="A189" s="28"/>
      <c r="B189" s="31"/>
    </row>
    <row r="190" spans="1:2" x14ac:dyDescent="0.3">
      <c r="A190" s="28"/>
      <c r="B190" s="31"/>
    </row>
    <row r="191" spans="1:2" x14ac:dyDescent="0.3">
      <c r="A191" s="28"/>
      <c r="B191" s="31"/>
    </row>
    <row r="192" spans="1:2" x14ac:dyDescent="0.3">
      <c r="A192" s="28"/>
      <c r="B192" s="31"/>
    </row>
    <row r="193" spans="1:2" x14ac:dyDescent="0.3">
      <c r="A193" s="28"/>
      <c r="B193" s="31"/>
    </row>
    <row r="194" spans="1:2" x14ac:dyDescent="0.3">
      <c r="A194" s="28"/>
      <c r="B194" s="31"/>
    </row>
    <row r="195" spans="1:2" x14ac:dyDescent="0.3">
      <c r="A195" s="28"/>
      <c r="B195" s="31"/>
    </row>
    <row r="196" spans="1:2" x14ac:dyDescent="0.3">
      <c r="A196" s="28"/>
      <c r="B196" s="31"/>
    </row>
    <row r="197" spans="1:2" x14ac:dyDescent="0.3">
      <c r="A197" s="28"/>
      <c r="B197" s="31"/>
    </row>
    <row r="198" spans="1:2" x14ac:dyDescent="0.3">
      <c r="A198" s="28"/>
      <c r="B198" s="31"/>
    </row>
    <row r="199" spans="1:2" x14ac:dyDescent="0.3">
      <c r="A199" s="28"/>
      <c r="B199" s="31"/>
    </row>
    <row r="200" spans="1:2" x14ac:dyDescent="0.3">
      <c r="A200" s="28"/>
      <c r="B200" s="31"/>
    </row>
    <row r="201" spans="1:2" x14ac:dyDescent="0.3">
      <c r="A201" s="28"/>
      <c r="B201" s="31"/>
    </row>
    <row r="202" spans="1:2" x14ac:dyDescent="0.3">
      <c r="A202" s="28"/>
      <c r="B202" s="31"/>
    </row>
    <row r="203" spans="1:2" x14ac:dyDescent="0.3">
      <c r="A203" s="28"/>
      <c r="B203" s="31"/>
    </row>
    <row r="204" spans="1:2" x14ac:dyDescent="0.3">
      <c r="A204" s="28"/>
      <c r="B204" s="31"/>
    </row>
    <row r="205" spans="1:2" x14ac:dyDescent="0.3">
      <c r="A205" s="28"/>
      <c r="B205" s="31"/>
    </row>
    <row r="206" spans="1:2" x14ac:dyDescent="0.3">
      <c r="A206" s="28"/>
      <c r="B206" s="31"/>
    </row>
    <row r="207" spans="1:2" x14ac:dyDescent="0.3">
      <c r="A207" s="28"/>
      <c r="B207" s="31"/>
    </row>
    <row r="208" spans="1:2" x14ac:dyDescent="0.3">
      <c r="A208" s="28"/>
      <c r="B208" s="31"/>
    </row>
    <row r="209" spans="1:2" x14ac:dyDescent="0.3">
      <c r="A209" s="28"/>
      <c r="B209" s="31"/>
    </row>
    <row r="210" spans="1:2" x14ac:dyDescent="0.3">
      <c r="A210" s="28"/>
      <c r="B210" s="31"/>
    </row>
    <row r="211" spans="1:2" x14ac:dyDescent="0.3">
      <c r="A211" s="28"/>
      <c r="B211" s="31"/>
    </row>
    <row r="212" spans="1:2" x14ac:dyDescent="0.3">
      <c r="A212" s="28"/>
      <c r="B212" s="31"/>
    </row>
    <row r="213" spans="1:2" x14ac:dyDescent="0.3">
      <c r="A213" s="28"/>
      <c r="B213" s="31"/>
    </row>
    <row r="214" spans="1:2" x14ac:dyDescent="0.3">
      <c r="A214" s="28"/>
      <c r="B214" s="31"/>
    </row>
    <row r="215" spans="1:2" x14ac:dyDescent="0.3">
      <c r="A215" s="28"/>
      <c r="B215" s="31"/>
    </row>
    <row r="216" spans="1:2" x14ac:dyDescent="0.3">
      <c r="A216" s="28"/>
      <c r="B216" s="31"/>
    </row>
    <row r="217" spans="1:2" x14ac:dyDescent="0.3">
      <c r="A217" s="28"/>
      <c r="B217" s="31"/>
    </row>
    <row r="218" spans="1:2" x14ac:dyDescent="0.3">
      <c r="A218" s="28"/>
      <c r="B218" s="31"/>
    </row>
    <row r="219" spans="1:2" x14ac:dyDescent="0.3">
      <c r="A219" s="28"/>
      <c r="B219" s="31"/>
    </row>
    <row r="220" spans="1:2" x14ac:dyDescent="0.3">
      <c r="A220" s="28"/>
      <c r="B220" s="31"/>
    </row>
    <row r="221" spans="1:2" x14ac:dyDescent="0.3">
      <c r="A221" s="28"/>
      <c r="B221" s="31"/>
    </row>
    <row r="222" spans="1:2" x14ac:dyDescent="0.3">
      <c r="A222" s="28"/>
      <c r="B222" s="31"/>
    </row>
    <row r="223" spans="1:2" x14ac:dyDescent="0.3">
      <c r="A223" s="28"/>
      <c r="B223" s="31"/>
    </row>
    <row r="224" spans="1:2" x14ac:dyDescent="0.3">
      <c r="A224" s="28"/>
      <c r="B224" s="31"/>
    </row>
    <row r="225" spans="1:2" x14ac:dyDescent="0.3">
      <c r="A225" s="28"/>
      <c r="B225" s="31"/>
    </row>
    <row r="226" spans="1:2" x14ac:dyDescent="0.3">
      <c r="A226" s="28"/>
      <c r="B226" s="31"/>
    </row>
    <row r="227" spans="1:2" x14ac:dyDescent="0.3">
      <c r="A227" s="28"/>
      <c r="B227" s="31"/>
    </row>
    <row r="228" spans="1:2" x14ac:dyDescent="0.3">
      <c r="A228" s="28"/>
      <c r="B228" s="31"/>
    </row>
    <row r="229" spans="1:2" x14ac:dyDescent="0.3">
      <c r="A229" s="28"/>
      <c r="B229" s="31"/>
    </row>
    <row r="230" spans="1:2" x14ac:dyDescent="0.3">
      <c r="A230" s="28"/>
      <c r="B230" s="31"/>
    </row>
    <row r="231" spans="1:2" x14ac:dyDescent="0.3">
      <c r="A231" s="28"/>
      <c r="B231" s="31"/>
    </row>
    <row r="232" spans="1:2" x14ac:dyDescent="0.3">
      <c r="A232" s="28"/>
      <c r="B232" s="31"/>
    </row>
    <row r="233" spans="1:2" x14ac:dyDescent="0.3">
      <c r="A233" s="28"/>
      <c r="B233" s="31"/>
    </row>
    <row r="234" spans="1:2" x14ac:dyDescent="0.3">
      <c r="A234" s="28"/>
      <c r="B234" s="31"/>
    </row>
    <row r="235" spans="1:2" x14ac:dyDescent="0.3">
      <c r="A235" s="28"/>
      <c r="B235" s="31"/>
    </row>
    <row r="236" spans="1:2" x14ac:dyDescent="0.3">
      <c r="A236" s="28"/>
      <c r="B236" s="31"/>
    </row>
    <row r="237" spans="1:2" x14ac:dyDescent="0.3">
      <c r="A237" s="28"/>
      <c r="B237" s="31"/>
    </row>
    <row r="238" spans="1:2" x14ac:dyDescent="0.3">
      <c r="A238" s="28"/>
      <c r="B238" s="31"/>
    </row>
    <row r="239" spans="1:2" x14ac:dyDescent="0.3">
      <c r="A239" s="28"/>
      <c r="B239" s="31"/>
    </row>
    <row r="240" spans="1:2" x14ac:dyDescent="0.3">
      <c r="A240" s="28"/>
      <c r="B240" s="31"/>
    </row>
    <row r="241" spans="1:2" x14ac:dyDescent="0.3">
      <c r="A241" s="28"/>
      <c r="B241" s="31"/>
    </row>
    <row r="242" spans="1:2" x14ac:dyDescent="0.3">
      <c r="A242" s="28"/>
      <c r="B242" s="31"/>
    </row>
    <row r="243" spans="1:2" x14ac:dyDescent="0.3">
      <c r="A243" s="28"/>
      <c r="B243" s="31"/>
    </row>
    <row r="244" spans="1:2" x14ac:dyDescent="0.3">
      <c r="A244" s="28"/>
      <c r="B244" s="31"/>
    </row>
    <row r="245" spans="1:2" x14ac:dyDescent="0.3">
      <c r="A245" s="28"/>
      <c r="B245" s="31"/>
    </row>
    <row r="246" spans="1:2" x14ac:dyDescent="0.3">
      <c r="A246" s="28"/>
      <c r="B246" s="31"/>
    </row>
    <row r="247" spans="1:2" x14ac:dyDescent="0.3">
      <c r="A247" s="28"/>
      <c r="B247" s="31"/>
    </row>
    <row r="248" spans="1:2" x14ac:dyDescent="0.3">
      <c r="A248" s="28"/>
      <c r="B248" s="31"/>
    </row>
    <row r="249" spans="1:2" x14ac:dyDescent="0.3">
      <c r="A249" s="28"/>
      <c r="B249" s="31"/>
    </row>
    <row r="250" spans="1:2" x14ac:dyDescent="0.3">
      <c r="A250" s="28"/>
      <c r="B250" s="31"/>
    </row>
    <row r="251" spans="1:2" x14ac:dyDescent="0.3">
      <c r="A251" s="28"/>
      <c r="B251" s="31"/>
    </row>
    <row r="252" spans="1:2" x14ac:dyDescent="0.3">
      <c r="A252" s="28"/>
      <c r="B252" s="31"/>
    </row>
    <row r="253" spans="1:2" x14ac:dyDescent="0.3">
      <c r="A253" s="28"/>
      <c r="B253" s="31"/>
    </row>
    <row r="254" spans="1:2" x14ac:dyDescent="0.3">
      <c r="A254" s="28"/>
      <c r="B254" s="31"/>
    </row>
    <row r="255" spans="1:2" x14ac:dyDescent="0.3">
      <c r="A255" s="28"/>
      <c r="B255" s="31"/>
    </row>
    <row r="256" spans="1:2" x14ac:dyDescent="0.3">
      <c r="A256" s="28"/>
      <c r="B256" s="31"/>
    </row>
    <row r="257" spans="1:2" x14ac:dyDescent="0.3">
      <c r="A257" s="28"/>
      <c r="B257" s="31"/>
    </row>
    <row r="258" spans="1:2" x14ac:dyDescent="0.3">
      <c r="A258" s="28"/>
      <c r="B258" s="31"/>
    </row>
    <row r="259" spans="1:2" x14ac:dyDescent="0.3">
      <c r="A259" s="28"/>
      <c r="B259" s="31"/>
    </row>
    <row r="260" spans="1:2" x14ac:dyDescent="0.3">
      <c r="A260" s="28"/>
      <c r="B260" s="31"/>
    </row>
    <row r="261" spans="1:2" x14ac:dyDescent="0.3">
      <c r="A261" s="28"/>
      <c r="B261" s="31"/>
    </row>
    <row r="262" spans="1:2" x14ac:dyDescent="0.3">
      <c r="A262" s="28"/>
      <c r="B262" s="31"/>
    </row>
    <row r="263" spans="1:2" x14ac:dyDescent="0.3">
      <c r="A263" s="28"/>
      <c r="B263" s="31"/>
    </row>
    <row r="264" spans="1:2" x14ac:dyDescent="0.3">
      <c r="A264" s="28"/>
      <c r="B264" s="31"/>
    </row>
    <row r="265" spans="1:2" x14ac:dyDescent="0.3">
      <c r="A265" s="28"/>
      <c r="B265" s="31"/>
    </row>
    <row r="266" spans="1:2" x14ac:dyDescent="0.3">
      <c r="A266" s="28"/>
      <c r="B266" s="31"/>
    </row>
    <row r="267" spans="1:2" x14ac:dyDescent="0.3">
      <c r="A267" s="28"/>
      <c r="B267" s="31"/>
    </row>
    <row r="268" spans="1:2" x14ac:dyDescent="0.3">
      <c r="A268" s="28"/>
      <c r="B268" s="31"/>
    </row>
    <row r="269" spans="1:2" x14ac:dyDescent="0.3">
      <c r="A269" s="28"/>
      <c r="B269" s="31"/>
    </row>
    <row r="270" spans="1:2" x14ac:dyDescent="0.3">
      <c r="A270" s="28"/>
      <c r="B270" s="31"/>
    </row>
    <row r="271" spans="1:2" x14ac:dyDescent="0.3">
      <c r="A271" s="28"/>
      <c r="B271" s="31"/>
    </row>
    <row r="272" spans="1:2" x14ac:dyDescent="0.3">
      <c r="A272" s="28"/>
      <c r="B272" s="31"/>
    </row>
    <row r="273" spans="1:2" x14ac:dyDescent="0.3">
      <c r="A273" s="28"/>
      <c r="B273" s="31"/>
    </row>
    <row r="274" spans="1:2" x14ac:dyDescent="0.3">
      <c r="A274" s="28"/>
      <c r="B274" s="31"/>
    </row>
    <row r="275" spans="1:2" x14ac:dyDescent="0.3">
      <c r="A275" s="28"/>
      <c r="B275" s="31"/>
    </row>
    <row r="276" spans="1:2" x14ac:dyDescent="0.3">
      <c r="A276" s="28"/>
      <c r="B276" s="31"/>
    </row>
    <row r="277" spans="1:2" x14ac:dyDescent="0.3">
      <c r="A277" s="28"/>
      <c r="B277" s="31"/>
    </row>
    <row r="278" spans="1:2" x14ac:dyDescent="0.3">
      <c r="A278" s="28"/>
      <c r="B278" s="31"/>
    </row>
    <row r="279" spans="1:2" x14ac:dyDescent="0.3">
      <c r="A279" s="28"/>
      <c r="B279" s="31"/>
    </row>
    <row r="280" spans="1:2" x14ac:dyDescent="0.3">
      <c r="A280" s="28"/>
      <c r="B280" s="31"/>
    </row>
    <row r="281" spans="1:2" x14ac:dyDescent="0.3">
      <c r="A281" s="28"/>
      <c r="B281" s="31"/>
    </row>
    <row r="282" spans="1:2" x14ac:dyDescent="0.3">
      <c r="A282" s="28"/>
      <c r="B282" s="31"/>
    </row>
    <row r="283" spans="1:2" x14ac:dyDescent="0.3">
      <c r="A283" s="28"/>
      <c r="B283" s="31"/>
    </row>
    <row r="284" spans="1:2" x14ac:dyDescent="0.3">
      <c r="A284" s="28"/>
      <c r="B284" s="31"/>
    </row>
    <row r="285" spans="1:2" x14ac:dyDescent="0.3">
      <c r="A285" s="28"/>
      <c r="B285" s="31"/>
    </row>
    <row r="286" spans="1:2" x14ac:dyDescent="0.3">
      <c r="A286" s="28"/>
      <c r="B286" s="31"/>
    </row>
    <row r="287" spans="1:2" x14ac:dyDescent="0.3">
      <c r="A287" s="28"/>
      <c r="B287" s="31"/>
    </row>
    <row r="288" spans="1:2" x14ac:dyDescent="0.3">
      <c r="A288" s="28"/>
      <c r="B288" s="31"/>
    </row>
    <row r="289" spans="1:2" x14ac:dyDescent="0.3">
      <c r="A289" s="28"/>
      <c r="B289" s="31"/>
    </row>
    <row r="290" spans="1:2" x14ac:dyDescent="0.3">
      <c r="A290" s="28"/>
      <c r="B290" s="31"/>
    </row>
    <row r="291" spans="1:2" x14ac:dyDescent="0.3">
      <c r="A291" s="28"/>
      <c r="B291" s="31"/>
    </row>
    <row r="292" spans="1:2" x14ac:dyDescent="0.3">
      <c r="A292" s="28"/>
      <c r="B292" s="31"/>
    </row>
    <row r="293" spans="1:2" x14ac:dyDescent="0.3">
      <c r="A293" s="28"/>
      <c r="B293" s="31"/>
    </row>
    <row r="294" spans="1:2" x14ac:dyDescent="0.3">
      <c r="A294" s="28"/>
      <c r="B294" s="31"/>
    </row>
    <row r="295" spans="1:2" x14ac:dyDescent="0.3">
      <c r="A295" s="28"/>
      <c r="B295" s="31"/>
    </row>
    <row r="296" spans="1:2" x14ac:dyDescent="0.3">
      <c r="A296" s="28"/>
      <c r="B296" s="31"/>
    </row>
    <row r="297" spans="1:2" x14ac:dyDescent="0.3">
      <c r="A297" s="28"/>
      <c r="B297" s="31"/>
    </row>
    <row r="298" spans="1:2" x14ac:dyDescent="0.3">
      <c r="A298" s="28"/>
      <c r="B298" s="31"/>
    </row>
    <row r="299" spans="1:2" x14ac:dyDescent="0.3">
      <c r="A299" s="28"/>
      <c r="B299" s="31"/>
    </row>
    <row r="300" spans="1:2" x14ac:dyDescent="0.3">
      <c r="A300" s="28"/>
      <c r="B300" s="31"/>
    </row>
    <row r="301" spans="1:2" x14ac:dyDescent="0.3">
      <c r="A301" s="28"/>
      <c r="B301" s="31"/>
    </row>
    <row r="302" spans="1:2" x14ac:dyDescent="0.3">
      <c r="A302" s="28"/>
      <c r="B302" s="31"/>
    </row>
    <row r="303" spans="1:2" x14ac:dyDescent="0.3">
      <c r="A303" s="28"/>
      <c r="B303" s="31"/>
    </row>
    <row r="304" spans="1:2" x14ac:dyDescent="0.3">
      <c r="A304" s="28"/>
      <c r="B304" s="31"/>
    </row>
    <row r="305" spans="1:2" x14ac:dyDescent="0.3">
      <c r="A305" s="28"/>
      <c r="B305" s="31"/>
    </row>
    <row r="306" spans="1:2" x14ac:dyDescent="0.3">
      <c r="A306" s="28"/>
      <c r="B306" s="31"/>
    </row>
    <row r="307" spans="1:2" x14ac:dyDescent="0.3">
      <c r="A307" s="28"/>
      <c r="B307" s="31"/>
    </row>
    <row r="308" spans="1:2" x14ac:dyDescent="0.3">
      <c r="A308" s="28"/>
      <c r="B308" s="31"/>
    </row>
    <row r="309" spans="1:2" x14ac:dyDescent="0.3">
      <c r="A309" s="28"/>
      <c r="B309" s="31"/>
    </row>
    <row r="310" spans="1:2" x14ac:dyDescent="0.3">
      <c r="A310" s="28"/>
      <c r="B310" s="31"/>
    </row>
    <row r="311" spans="1:2" x14ac:dyDescent="0.3">
      <c r="A311" s="28"/>
      <c r="B311" s="31"/>
    </row>
    <row r="312" spans="1:2" x14ac:dyDescent="0.3">
      <c r="A312" s="28"/>
      <c r="B312" s="31"/>
    </row>
    <row r="313" spans="1:2" x14ac:dyDescent="0.3">
      <c r="A313" s="28"/>
      <c r="B313" s="31"/>
    </row>
    <row r="314" spans="1:2" x14ac:dyDescent="0.3">
      <c r="A314" s="28"/>
      <c r="B314" s="31"/>
    </row>
    <row r="315" spans="1:2" x14ac:dyDescent="0.3">
      <c r="A315" s="28"/>
      <c r="B315" s="31"/>
    </row>
    <row r="316" spans="1:2" x14ac:dyDescent="0.3">
      <c r="A316" s="28"/>
      <c r="B316" s="31"/>
    </row>
    <row r="317" spans="1:2" x14ac:dyDescent="0.3">
      <c r="A317" s="28"/>
      <c r="B317" s="31"/>
    </row>
    <row r="318" spans="1:2" x14ac:dyDescent="0.3">
      <c r="A318" s="28"/>
      <c r="B318" s="31"/>
    </row>
    <row r="319" spans="1:2" x14ac:dyDescent="0.3">
      <c r="A319" s="28"/>
      <c r="B319" s="31"/>
    </row>
    <row r="320" spans="1:2" x14ac:dyDescent="0.3">
      <c r="A320" s="28"/>
      <c r="B320" s="31"/>
    </row>
    <row r="321" spans="1:2" x14ac:dyDescent="0.3">
      <c r="A321" s="28"/>
      <c r="B321" s="31"/>
    </row>
    <row r="322" spans="1:2" x14ac:dyDescent="0.3">
      <c r="A322" s="28"/>
      <c r="B322" s="31"/>
    </row>
    <row r="323" spans="1:2" x14ac:dyDescent="0.3">
      <c r="A323" s="28"/>
      <c r="B323" s="31"/>
    </row>
    <row r="324" spans="1:2" x14ac:dyDescent="0.3">
      <c r="A324" s="28"/>
      <c r="B324" s="31"/>
    </row>
    <row r="325" spans="1:2" x14ac:dyDescent="0.3">
      <c r="A325" s="28"/>
      <c r="B325" s="31"/>
    </row>
    <row r="326" spans="1:2" x14ac:dyDescent="0.3">
      <c r="A326" s="28"/>
      <c r="B326" s="31"/>
    </row>
    <row r="327" spans="1:2" x14ac:dyDescent="0.3">
      <c r="A327" s="28"/>
      <c r="B327" s="31"/>
    </row>
    <row r="328" spans="1:2" x14ac:dyDescent="0.3">
      <c r="A328" s="28"/>
      <c r="B328" s="31"/>
    </row>
    <row r="329" spans="1:2" x14ac:dyDescent="0.3">
      <c r="A329" s="28"/>
      <c r="B329" s="31"/>
    </row>
    <row r="330" spans="1:2" x14ac:dyDescent="0.3">
      <c r="A330" s="28"/>
      <c r="B330" s="31"/>
    </row>
    <row r="331" spans="1:2" x14ac:dyDescent="0.3">
      <c r="A331" s="28"/>
      <c r="B331" s="31"/>
    </row>
    <row r="332" spans="1:2" x14ac:dyDescent="0.3">
      <c r="A332" s="28"/>
      <c r="B332" s="31"/>
    </row>
    <row r="333" spans="1:2" x14ac:dyDescent="0.3">
      <c r="A333" s="28"/>
      <c r="B333" s="31"/>
    </row>
    <row r="334" spans="1:2" x14ac:dyDescent="0.3">
      <c r="A334" s="28"/>
      <c r="B334" s="31"/>
    </row>
    <row r="335" spans="1:2" x14ac:dyDescent="0.3">
      <c r="A335" s="28"/>
      <c r="B335" s="31"/>
    </row>
    <row r="336" spans="1:2" x14ac:dyDescent="0.3">
      <c r="A336" s="28"/>
      <c r="B336" s="31"/>
    </row>
    <row r="337" spans="1:2" x14ac:dyDescent="0.3">
      <c r="A337" s="28"/>
      <c r="B337" s="31"/>
    </row>
    <row r="338" spans="1:2" x14ac:dyDescent="0.3">
      <c r="A338" s="28"/>
      <c r="B338" s="31"/>
    </row>
    <row r="339" spans="1:2" x14ac:dyDescent="0.3">
      <c r="A339" s="28"/>
      <c r="B339" s="31"/>
    </row>
    <row r="340" spans="1:2" x14ac:dyDescent="0.3">
      <c r="A340" s="28"/>
      <c r="B340" s="31"/>
    </row>
    <row r="341" spans="1:2" x14ac:dyDescent="0.3">
      <c r="A341" s="28"/>
      <c r="B341" s="31"/>
    </row>
    <row r="342" spans="1:2" x14ac:dyDescent="0.3">
      <c r="A342" s="28"/>
      <c r="B342" s="31"/>
    </row>
    <row r="343" spans="1:2" x14ac:dyDescent="0.3">
      <c r="A343" s="28"/>
      <c r="B343" s="31"/>
    </row>
    <row r="344" spans="1:2" x14ac:dyDescent="0.3">
      <c r="A344" s="28"/>
      <c r="B344" s="31"/>
    </row>
    <row r="345" spans="1:2" x14ac:dyDescent="0.3">
      <c r="A345" s="28"/>
      <c r="B345" s="31"/>
    </row>
    <row r="346" spans="1:2" x14ac:dyDescent="0.3">
      <c r="A346" s="28"/>
      <c r="B346" s="31"/>
    </row>
    <row r="347" spans="1:2" x14ac:dyDescent="0.3">
      <c r="A347" s="28"/>
      <c r="B347" s="31"/>
    </row>
    <row r="348" spans="1:2" x14ac:dyDescent="0.3">
      <c r="A348" s="28"/>
      <c r="B348" s="31"/>
    </row>
    <row r="349" spans="1:2" x14ac:dyDescent="0.3">
      <c r="A349" s="28"/>
      <c r="B349" s="31"/>
    </row>
    <row r="350" spans="1:2" x14ac:dyDescent="0.3">
      <c r="A350" s="28"/>
      <c r="B350" s="31"/>
    </row>
    <row r="351" spans="1:2" x14ac:dyDescent="0.3">
      <c r="A351" s="28"/>
      <c r="B351" s="31"/>
    </row>
    <row r="352" spans="1:2" x14ac:dyDescent="0.3">
      <c r="A352" s="28"/>
      <c r="B352" s="31"/>
    </row>
    <row r="353" spans="1:2" x14ac:dyDescent="0.3">
      <c r="A353" s="28"/>
      <c r="B353" s="31"/>
    </row>
    <row r="354" spans="1:2" x14ac:dyDescent="0.3">
      <c r="A354" s="28"/>
      <c r="B354" s="31"/>
    </row>
    <row r="355" spans="1:2" x14ac:dyDescent="0.3">
      <c r="A355" s="28"/>
      <c r="B355" s="31"/>
    </row>
    <row r="356" spans="1:2" x14ac:dyDescent="0.3">
      <c r="A356" s="28"/>
      <c r="B356" s="31"/>
    </row>
    <row r="357" spans="1:2" x14ac:dyDescent="0.3">
      <c r="A357" s="28"/>
      <c r="B357" s="31"/>
    </row>
    <row r="358" spans="1:2" x14ac:dyDescent="0.3">
      <c r="A358" s="28"/>
      <c r="B358" s="31"/>
    </row>
    <row r="359" spans="1:2" x14ac:dyDescent="0.3">
      <c r="A359" s="28"/>
      <c r="B359" s="31"/>
    </row>
    <row r="360" spans="1:2" x14ac:dyDescent="0.3">
      <c r="A360" s="28"/>
      <c r="B360" s="31"/>
    </row>
    <row r="361" spans="1:2" x14ac:dyDescent="0.3">
      <c r="A361" s="28"/>
      <c r="B361" s="31"/>
    </row>
    <row r="362" spans="1:2" x14ac:dyDescent="0.3">
      <c r="A362" s="28"/>
      <c r="B362" s="31"/>
    </row>
    <row r="363" spans="1:2" x14ac:dyDescent="0.3">
      <c r="A363" s="28"/>
      <c r="B363" s="31"/>
    </row>
    <row r="364" spans="1:2" x14ac:dyDescent="0.3">
      <c r="A364" s="28"/>
      <c r="B364" s="31"/>
    </row>
    <row r="365" spans="1:2" x14ac:dyDescent="0.3">
      <c r="A365" s="28"/>
      <c r="B365" s="31"/>
    </row>
    <row r="366" spans="1:2" x14ac:dyDescent="0.3">
      <c r="A366" s="28"/>
      <c r="B366" s="31"/>
    </row>
    <row r="367" spans="1:2" x14ac:dyDescent="0.3">
      <c r="A367" s="28"/>
      <c r="B367" s="31"/>
    </row>
    <row r="368" spans="1:2" x14ac:dyDescent="0.3">
      <c r="A368" s="28"/>
      <c r="B368" s="31"/>
    </row>
    <row r="369" spans="1:2" x14ac:dyDescent="0.3">
      <c r="A369" s="28"/>
      <c r="B369" s="31"/>
    </row>
    <row r="370" spans="1:2" x14ac:dyDescent="0.3">
      <c r="A370" s="28"/>
      <c r="B370" s="31"/>
    </row>
    <row r="371" spans="1:2" x14ac:dyDescent="0.3">
      <c r="A371" s="28"/>
      <c r="B371" s="31"/>
    </row>
    <row r="372" spans="1:2" x14ac:dyDescent="0.3">
      <c r="A372" s="28"/>
      <c r="B372" s="31"/>
    </row>
    <row r="373" spans="1:2" x14ac:dyDescent="0.3">
      <c r="A373" s="28"/>
      <c r="B373" s="31"/>
    </row>
    <row r="374" spans="1:2" x14ac:dyDescent="0.3">
      <c r="A374" s="28"/>
      <c r="B374" s="31"/>
    </row>
    <row r="375" spans="1:2" x14ac:dyDescent="0.3">
      <c r="A375" s="28"/>
      <c r="B375" s="31"/>
    </row>
    <row r="376" spans="1:2" x14ac:dyDescent="0.3">
      <c r="A376" s="28"/>
      <c r="B376" s="31"/>
    </row>
    <row r="377" spans="1:2" x14ac:dyDescent="0.3">
      <c r="A377" s="28"/>
      <c r="B377" s="31"/>
    </row>
    <row r="378" spans="1:2" x14ac:dyDescent="0.3">
      <c r="A378" s="28"/>
      <c r="B378" s="31"/>
    </row>
    <row r="379" spans="1:2" x14ac:dyDescent="0.3">
      <c r="A379" s="28"/>
      <c r="B379" s="31"/>
    </row>
    <row r="380" spans="1:2" x14ac:dyDescent="0.3">
      <c r="A380" s="28"/>
      <c r="B380" s="31"/>
    </row>
    <row r="381" spans="1:2" x14ac:dyDescent="0.3">
      <c r="A381" s="28"/>
      <c r="B381" s="31"/>
    </row>
    <row r="382" spans="1:2" x14ac:dyDescent="0.3">
      <c r="A382" s="28"/>
      <c r="B382" s="31"/>
    </row>
    <row r="383" spans="1:2" x14ac:dyDescent="0.3">
      <c r="A383" s="28"/>
      <c r="B383" s="31"/>
    </row>
    <row r="384" spans="1:2" x14ac:dyDescent="0.3">
      <c r="A384" s="28"/>
      <c r="B384" s="31"/>
    </row>
    <row r="385" spans="1:2" x14ac:dyDescent="0.3">
      <c r="A385" s="28"/>
      <c r="B385" s="31"/>
    </row>
    <row r="386" spans="1:2" x14ac:dyDescent="0.3">
      <c r="A386" s="28"/>
      <c r="B386" s="31"/>
    </row>
    <row r="387" spans="1:2" x14ac:dyDescent="0.3">
      <c r="A387" s="28"/>
      <c r="B387" s="31"/>
    </row>
    <row r="388" spans="1:2" x14ac:dyDescent="0.3">
      <c r="A388" s="28"/>
      <c r="B388" s="31"/>
    </row>
    <row r="389" spans="1:2" x14ac:dyDescent="0.3">
      <c r="A389" s="28"/>
      <c r="B389" s="31"/>
    </row>
    <row r="390" spans="1:2" x14ac:dyDescent="0.3">
      <c r="A390" s="28"/>
      <c r="B390" s="31"/>
    </row>
    <row r="391" spans="1:2" x14ac:dyDescent="0.3">
      <c r="A391" s="28"/>
      <c r="B391" s="31"/>
    </row>
    <row r="392" spans="1:2" x14ac:dyDescent="0.3">
      <c r="A392" s="28"/>
      <c r="B392" s="31"/>
    </row>
    <row r="393" spans="1:2" x14ac:dyDescent="0.3">
      <c r="A393" s="28"/>
      <c r="B393" s="31"/>
    </row>
    <row r="394" spans="1:2" x14ac:dyDescent="0.3">
      <c r="A394" s="28"/>
      <c r="B394" s="31"/>
    </row>
    <row r="395" spans="1:2" x14ac:dyDescent="0.3">
      <c r="A395" s="28"/>
      <c r="B395" s="31"/>
    </row>
    <row r="396" spans="1:2" x14ac:dyDescent="0.3">
      <c r="A396" s="28"/>
      <c r="B396" s="31"/>
    </row>
    <row r="397" spans="1:2" x14ac:dyDescent="0.3">
      <c r="A397" s="28"/>
      <c r="B397" s="31"/>
    </row>
    <row r="398" spans="1:2" x14ac:dyDescent="0.3">
      <c r="A398" s="28"/>
      <c r="B398" s="31"/>
    </row>
    <row r="399" spans="1:2" x14ac:dyDescent="0.3">
      <c r="A399" s="28"/>
      <c r="B399" s="31"/>
    </row>
    <row r="400" spans="1:2" x14ac:dyDescent="0.3">
      <c r="A400" s="28"/>
      <c r="B400" s="31"/>
    </row>
    <row r="401" spans="1:2" x14ac:dyDescent="0.3">
      <c r="A401" s="28"/>
      <c r="B401" s="31"/>
    </row>
    <row r="402" spans="1:2" x14ac:dyDescent="0.3">
      <c r="A402" s="28"/>
      <c r="B402" s="31"/>
    </row>
    <row r="403" spans="1:2" x14ac:dyDescent="0.3">
      <c r="A403" s="28"/>
      <c r="B403" s="31"/>
    </row>
    <row r="404" spans="1:2" x14ac:dyDescent="0.3">
      <c r="A404" s="28"/>
      <c r="B404" s="31"/>
    </row>
    <row r="405" spans="1:2" x14ac:dyDescent="0.3">
      <c r="A405" s="28"/>
      <c r="B405" s="31"/>
    </row>
    <row r="406" spans="1:2" x14ac:dyDescent="0.3">
      <c r="A406" s="28"/>
      <c r="B406" s="31"/>
    </row>
    <row r="407" spans="1:2" x14ac:dyDescent="0.3">
      <c r="A407" s="28"/>
      <c r="B407" s="31"/>
    </row>
    <row r="408" spans="1:2" x14ac:dyDescent="0.3">
      <c r="A408" s="28"/>
      <c r="B408" s="31"/>
    </row>
    <row r="409" spans="1:2" x14ac:dyDescent="0.3">
      <c r="A409" s="28"/>
      <c r="B409" s="31"/>
    </row>
    <row r="410" spans="1:2" x14ac:dyDescent="0.3">
      <c r="A410" s="28"/>
      <c r="B410" s="31"/>
    </row>
    <row r="411" spans="1:2" x14ac:dyDescent="0.3">
      <c r="A411" s="28"/>
      <c r="B411" s="31"/>
    </row>
    <row r="412" spans="1:2" x14ac:dyDescent="0.3">
      <c r="A412" s="28"/>
      <c r="B412" s="31"/>
    </row>
    <row r="413" spans="1:2" x14ac:dyDescent="0.3">
      <c r="A413" s="28"/>
      <c r="B413" s="31"/>
    </row>
    <row r="414" spans="1:2" x14ac:dyDescent="0.3">
      <c r="A414" s="28"/>
      <c r="B414" s="31"/>
    </row>
    <row r="415" spans="1:2" x14ac:dyDescent="0.3">
      <c r="A415" s="28"/>
      <c r="B415" s="31"/>
    </row>
    <row r="416" spans="1:2" x14ac:dyDescent="0.3">
      <c r="A416" s="28"/>
      <c r="B416" s="31"/>
    </row>
    <row r="417" spans="1:2" x14ac:dyDescent="0.3">
      <c r="A417" s="28"/>
      <c r="B417" s="31"/>
    </row>
    <row r="418" spans="1:2" x14ac:dyDescent="0.3">
      <c r="A418" s="28"/>
      <c r="B418" s="31"/>
    </row>
    <row r="419" spans="1:2" x14ac:dyDescent="0.3">
      <c r="A419" s="28"/>
      <c r="B419" s="31"/>
    </row>
    <row r="420" spans="1:2" x14ac:dyDescent="0.3">
      <c r="A420" s="28"/>
      <c r="B420" s="31"/>
    </row>
    <row r="421" spans="1:2" x14ac:dyDescent="0.3">
      <c r="A421" s="28"/>
      <c r="B421" s="31"/>
    </row>
    <row r="422" spans="1:2" x14ac:dyDescent="0.3">
      <c r="A422" s="28"/>
      <c r="B422" s="31"/>
    </row>
    <row r="423" spans="1:2" x14ac:dyDescent="0.3">
      <c r="A423" s="28"/>
      <c r="B423" s="31"/>
    </row>
    <row r="424" spans="1:2" x14ac:dyDescent="0.3">
      <c r="A424" s="28"/>
      <c r="B424" s="31"/>
    </row>
    <row r="425" spans="1:2" x14ac:dyDescent="0.3">
      <c r="A425" s="28"/>
      <c r="B425" s="31"/>
    </row>
    <row r="426" spans="1:2" x14ac:dyDescent="0.3">
      <c r="A426" s="28"/>
      <c r="B426" s="31"/>
    </row>
    <row r="427" spans="1:2" x14ac:dyDescent="0.3">
      <c r="A427" s="28"/>
      <c r="B427" s="31"/>
    </row>
    <row r="428" spans="1:2" x14ac:dyDescent="0.3">
      <c r="A428" s="28"/>
      <c r="B428" s="31"/>
    </row>
    <row r="429" spans="1:2" x14ac:dyDescent="0.3">
      <c r="A429" s="28"/>
      <c r="B429" s="31"/>
    </row>
    <row r="430" spans="1:2" x14ac:dyDescent="0.3">
      <c r="A430" s="28"/>
      <c r="B430" s="31"/>
    </row>
    <row r="431" spans="1:2" x14ac:dyDescent="0.3">
      <c r="A431" s="28"/>
      <c r="B431" s="31"/>
    </row>
    <row r="432" spans="1:2" x14ac:dyDescent="0.3">
      <c r="A432" s="28"/>
      <c r="B432" s="31"/>
    </row>
    <row r="433" spans="1:2" x14ac:dyDescent="0.3">
      <c r="A433" s="28"/>
      <c r="B433" s="31"/>
    </row>
    <row r="434" spans="1:2" x14ac:dyDescent="0.3">
      <c r="A434" s="28"/>
      <c r="B434" s="31"/>
    </row>
    <row r="435" spans="1:2" x14ac:dyDescent="0.3">
      <c r="A435" s="28"/>
      <c r="B435" s="31"/>
    </row>
    <row r="436" spans="1:2" x14ac:dyDescent="0.3">
      <c r="A436" s="28"/>
      <c r="B436" s="31"/>
    </row>
    <row r="437" spans="1:2" x14ac:dyDescent="0.3">
      <c r="A437" s="28"/>
      <c r="B437" s="31"/>
    </row>
    <row r="438" spans="1:2" x14ac:dyDescent="0.3">
      <c r="A438" s="28"/>
      <c r="B438" s="31"/>
    </row>
    <row r="439" spans="1:2" x14ac:dyDescent="0.3">
      <c r="A439" s="28"/>
      <c r="B439" s="31"/>
    </row>
    <row r="440" spans="1:2" x14ac:dyDescent="0.3">
      <c r="A440" s="28"/>
      <c r="B440" s="31"/>
    </row>
    <row r="441" spans="1:2" x14ac:dyDescent="0.3">
      <c r="A441" s="28"/>
      <c r="B441" s="31"/>
    </row>
    <row r="442" spans="1:2" x14ac:dyDescent="0.3">
      <c r="A442" s="28"/>
      <c r="B442" s="31"/>
    </row>
    <row r="443" spans="1:2" x14ac:dyDescent="0.3">
      <c r="A443" s="28"/>
      <c r="B443" s="31"/>
    </row>
    <row r="444" spans="1:2" x14ac:dyDescent="0.3">
      <c r="A444" s="28"/>
      <c r="B444" s="31"/>
    </row>
    <row r="445" spans="1:2" x14ac:dyDescent="0.3">
      <c r="A445" s="28"/>
      <c r="B445" s="31"/>
    </row>
    <row r="446" spans="1:2" x14ac:dyDescent="0.3">
      <c r="A446" s="28"/>
      <c r="B446" s="31"/>
    </row>
    <row r="447" spans="1:2" x14ac:dyDescent="0.3">
      <c r="A447" s="28"/>
      <c r="B447" s="31"/>
    </row>
    <row r="448" spans="1:2" x14ac:dyDescent="0.3">
      <c r="A448" s="28"/>
      <c r="B448" s="31"/>
    </row>
    <row r="449" spans="1:2" x14ac:dyDescent="0.3">
      <c r="A449" s="28"/>
      <c r="B449" s="31"/>
    </row>
    <row r="450" spans="1:2" x14ac:dyDescent="0.3">
      <c r="A450" s="28"/>
      <c r="B450" s="31"/>
    </row>
    <row r="451" spans="1:2" x14ac:dyDescent="0.3">
      <c r="A451" s="28"/>
      <c r="B451" s="31"/>
    </row>
    <row r="452" spans="1:2" x14ac:dyDescent="0.3">
      <c r="A452" s="28"/>
      <c r="B452" s="31"/>
    </row>
    <row r="453" spans="1:2" x14ac:dyDescent="0.3">
      <c r="A453" s="28"/>
      <c r="B453" s="31"/>
    </row>
    <row r="454" spans="1:2" x14ac:dyDescent="0.3">
      <c r="A454" s="28"/>
      <c r="B454" s="31"/>
    </row>
    <row r="455" spans="1:2" x14ac:dyDescent="0.3">
      <c r="A455" s="28"/>
      <c r="B455" s="31"/>
    </row>
    <row r="456" spans="1:2" x14ac:dyDescent="0.3">
      <c r="A456" s="28"/>
      <c r="B456" s="31"/>
    </row>
    <row r="457" spans="1:2" x14ac:dyDescent="0.3">
      <c r="A457" s="28"/>
      <c r="B457" s="31"/>
    </row>
    <row r="458" spans="1:2" x14ac:dyDescent="0.3">
      <c r="A458" s="28"/>
      <c r="B458" s="31"/>
    </row>
    <row r="459" spans="1:2" x14ac:dyDescent="0.3">
      <c r="A459" s="28"/>
      <c r="B459" s="31"/>
    </row>
    <row r="460" spans="1:2" x14ac:dyDescent="0.3">
      <c r="A460" s="28"/>
      <c r="B460" s="31"/>
    </row>
    <row r="461" spans="1:2" x14ac:dyDescent="0.3">
      <c r="A461" s="28"/>
      <c r="B461" s="31"/>
    </row>
    <row r="462" spans="1:2" x14ac:dyDescent="0.3">
      <c r="A462" s="28"/>
      <c r="B462" s="31"/>
    </row>
    <row r="463" spans="1:2" x14ac:dyDescent="0.3">
      <c r="A463" s="28"/>
      <c r="B463" s="31"/>
    </row>
    <row r="464" spans="1:2" x14ac:dyDescent="0.3">
      <c r="A464" s="28"/>
      <c r="B464" s="31"/>
    </row>
    <row r="465" spans="1:2" x14ac:dyDescent="0.3">
      <c r="A465" s="28"/>
      <c r="B465" s="31"/>
    </row>
    <row r="466" spans="1:2" x14ac:dyDescent="0.3">
      <c r="A466" s="28"/>
      <c r="B466" s="31"/>
    </row>
    <row r="467" spans="1:2" x14ac:dyDescent="0.3">
      <c r="A467" s="28"/>
      <c r="B467" s="31"/>
    </row>
    <row r="468" spans="1:2" x14ac:dyDescent="0.3">
      <c r="A468" s="28"/>
      <c r="B468" s="31"/>
    </row>
    <row r="469" spans="1:2" x14ac:dyDescent="0.3">
      <c r="A469" s="28"/>
      <c r="B469" s="31"/>
    </row>
    <row r="470" spans="1:2" x14ac:dyDescent="0.3">
      <c r="A470" s="28"/>
      <c r="B470" s="31"/>
    </row>
    <row r="471" spans="1:2" x14ac:dyDescent="0.3">
      <c r="A471" s="28"/>
      <c r="B471" s="31"/>
    </row>
    <row r="472" spans="1:2" x14ac:dyDescent="0.3">
      <c r="A472" s="28"/>
      <c r="B472" s="31"/>
    </row>
    <row r="473" spans="1:2" x14ac:dyDescent="0.3">
      <c r="A473" s="28"/>
      <c r="B473" s="31"/>
    </row>
    <row r="474" spans="1:2" x14ac:dyDescent="0.3">
      <c r="A474" s="28"/>
      <c r="B474" s="31"/>
    </row>
    <row r="475" spans="1:2" x14ac:dyDescent="0.3">
      <c r="A475" s="28"/>
      <c r="B475" s="31"/>
    </row>
    <row r="476" spans="1:2" x14ac:dyDescent="0.3">
      <c r="A476" s="28"/>
      <c r="B476" s="31"/>
    </row>
    <row r="477" spans="1:2" x14ac:dyDescent="0.3">
      <c r="A477" s="28"/>
      <c r="B477" s="31"/>
    </row>
    <row r="478" spans="1:2" x14ac:dyDescent="0.3">
      <c r="A478" s="28"/>
      <c r="B478" s="31"/>
    </row>
    <row r="479" spans="1:2" x14ac:dyDescent="0.3">
      <c r="A479" s="28"/>
      <c r="B479" s="31"/>
    </row>
    <row r="480" spans="1:2" x14ac:dyDescent="0.3">
      <c r="A480" s="28"/>
      <c r="B480" s="31"/>
    </row>
    <row r="481" spans="1:2" x14ac:dyDescent="0.3">
      <c r="A481" s="28"/>
      <c r="B481" s="31"/>
    </row>
    <row r="482" spans="1:2" x14ac:dyDescent="0.3">
      <c r="A482" s="28"/>
      <c r="B482" s="31"/>
    </row>
    <row r="483" spans="1:2" x14ac:dyDescent="0.3">
      <c r="A483" s="28"/>
      <c r="B483" s="31"/>
    </row>
    <row r="484" spans="1:2" x14ac:dyDescent="0.3">
      <c r="A484" s="28"/>
      <c r="B484" s="31"/>
    </row>
    <row r="485" spans="1:2" x14ac:dyDescent="0.3">
      <c r="A485" s="28"/>
      <c r="B485" s="31"/>
    </row>
    <row r="486" spans="1:2" x14ac:dyDescent="0.3">
      <c r="A486" s="28"/>
      <c r="B486" s="31"/>
    </row>
    <row r="487" spans="1:2" x14ac:dyDescent="0.3">
      <c r="A487" s="28"/>
      <c r="B487" s="31"/>
    </row>
    <row r="488" spans="1:2" x14ac:dyDescent="0.3">
      <c r="A488" s="28"/>
      <c r="B488" s="31"/>
    </row>
    <row r="489" spans="1:2" x14ac:dyDescent="0.3">
      <c r="A489" s="28"/>
      <c r="B489" s="31"/>
    </row>
    <row r="490" spans="1:2" x14ac:dyDescent="0.3">
      <c r="A490" s="28"/>
      <c r="B490" s="31"/>
    </row>
    <row r="491" spans="1:2" x14ac:dyDescent="0.3">
      <c r="A491" s="28"/>
      <c r="B491" s="31"/>
    </row>
    <row r="492" spans="1:2" x14ac:dyDescent="0.3">
      <c r="A492" s="28"/>
      <c r="B492" s="31"/>
    </row>
    <row r="493" spans="1:2" x14ac:dyDescent="0.3">
      <c r="A493" s="28"/>
      <c r="B493" s="31"/>
    </row>
    <row r="494" spans="1:2" x14ac:dyDescent="0.3">
      <c r="A494" s="28"/>
      <c r="B494" s="31"/>
    </row>
    <row r="495" spans="1:2" x14ac:dyDescent="0.3">
      <c r="A495" s="28"/>
      <c r="B495" s="31"/>
    </row>
    <row r="496" spans="1:2" x14ac:dyDescent="0.3">
      <c r="A496" s="28"/>
      <c r="B496" s="31"/>
    </row>
    <row r="497" spans="1:2" x14ac:dyDescent="0.3">
      <c r="A497" s="28"/>
      <c r="B497" s="31"/>
    </row>
    <row r="498" spans="1:2" x14ac:dyDescent="0.3">
      <c r="A498" s="28"/>
      <c r="B498" s="31"/>
    </row>
    <row r="499" spans="1:2" x14ac:dyDescent="0.3">
      <c r="A499" s="28"/>
      <c r="B499" s="31"/>
    </row>
    <row r="500" spans="1:2" x14ac:dyDescent="0.3">
      <c r="A500" s="28"/>
      <c r="B500" s="31"/>
    </row>
    <row r="501" spans="1:2" x14ac:dyDescent="0.3">
      <c r="A501" s="28"/>
      <c r="B501" s="31"/>
    </row>
    <row r="502" spans="1:2" x14ac:dyDescent="0.3">
      <c r="A502" s="28"/>
      <c r="B502" s="31"/>
    </row>
    <row r="503" spans="1:2" x14ac:dyDescent="0.3">
      <c r="A503" s="28"/>
      <c r="B503" s="31"/>
    </row>
    <row r="504" spans="1:2" x14ac:dyDescent="0.3">
      <c r="A504" s="28"/>
      <c r="B504" s="31"/>
    </row>
    <row r="505" spans="1:2" x14ac:dyDescent="0.3">
      <c r="A505" s="28"/>
      <c r="B505" s="31"/>
    </row>
    <row r="506" spans="1:2" x14ac:dyDescent="0.3">
      <c r="A506" s="28"/>
      <c r="B506" s="31"/>
    </row>
    <row r="507" spans="1:2" x14ac:dyDescent="0.3">
      <c r="A507" s="28"/>
      <c r="B507" s="31"/>
    </row>
    <row r="508" spans="1:2" x14ac:dyDescent="0.3">
      <c r="A508" s="28"/>
      <c r="B508" s="31"/>
    </row>
    <row r="509" spans="1:2" x14ac:dyDescent="0.3">
      <c r="A509" s="28"/>
      <c r="B509" s="31"/>
    </row>
    <row r="510" spans="1:2" x14ac:dyDescent="0.3">
      <c r="A510" s="28"/>
      <c r="B510" s="31"/>
    </row>
    <row r="511" spans="1:2" x14ac:dyDescent="0.3">
      <c r="A511" s="28"/>
      <c r="B511" s="31"/>
    </row>
    <row r="512" spans="1:2" x14ac:dyDescent="0.3">
      <c r="A512" s="28"/>
      <c r="B512" s="31"/>
    </row>
    <row r="513" spans="1:2" x14ac:dyDescent="0.3">
      <c r="A513" s="28"/>
      <c r="B513" s="31"/>
    </row>
    <row r="514" spans="1:2" x14ac:dyDescent="0.3">
      <c r="A514" s="28"/>
      <c r="B514" s="31"/>
    </row>
    <row r="515" spans="1:2" x14ac:dyDescent="0.3">
      <c r="A515" s="28"/>
      <c r="B515" s="31"/>
    </row>
    <row r="516" spans="1:2" x14ac:dyDescent="0.3">
      <c r="A516" s="28"/>
      <c r="B516" s="31"/>
    </row>
    <row r="517" spans="1:2" x14ac:dyDescent="0.3">
      <c r="A517" s="28"/>
      <c r="B517" s="31"/>
    </row>
    <row r="518" spans="1:2" x14ac:dyDescent="0.3">
      <c r="A518" s="28"/>
      <c r="B518" s="31"/>
    </row>
    <row r="519" spans="1:2" x14ac:dyDescent="0.3">
      <c r="A519" s="28"/>
      <c r="B519" s="31"/>
    </row>
    <row r="520" spans="1:2" x14ac:dyDescent="0.3">
      <c r="A520" s="28"/>
      <c r="B520" s="31"/>
    </row>
    <row r="521" spans="1:2" x14ac:dyDescent="0.3">
      <c r="A521" s="28"/>
      <c r="B521" s="31"/>
    </row>
    <row r="522" spans="1:2" x14ac:dyDescent="0.3">
      <c r="A522" s="28"/>
      <c r="B522" s="31"/>
    </row>
    <row r="523" spans="1:2" x14ac:dyDescent="0.3">
      <c r="A523" s="28"/>
      <c r="B523" s="31"/>
    </row>
    <row r="524" spans="1:2" x14ac:dyDescent="0.3">
      <c r="A524" s="28"/>
      <c r="B524" s="31"/>
    </row>
    <row r="525" spans="1:2" x14ac:dyDescent="0.3">
      <c r="A525" s="28"/>
      <c r="B525" s="31"/>
    </row>
    <row r="526" spans="1:2" x14ac:dyDescent="0.3">
      <c r="A526" s="28"/>
      <c r="B526" s="31"/>
    </row>
    <row r="527" spans="1:2" x14ac:dyDescent="0.3">
      <c r="A527" s="28"/>
      <c r="B527" s="31"/>
    </row>
    <row r="528" spans="1:2" x14ac:dyDescent="0.3">
      <c r="A528" s="28"/>
      <c r="B528" s="31"/>
    </row>
    <row r="529" spans="1:2" x14ac:dyDescent="0.3">
      <c r="A529" s="28"/>
      <c r="B529" s="31"/>
    </row>
    <row r="530" spans="1:2" x14ac:dyDescent="0.3">
      <c r="A530" s="28"/>
      <c r="B530" s="31"/>
    </row>
    <row r="531" spans="1:2" x14ac:dyDescent="0.3">
      <c r="A531" s="28"/>
      <c r="B531" s="31"/>
    </row>
    <row r="532" spans="1:2" x14ac:dyDescent="0.3">
      <c r="A532" s="28"/>
      <c r="B532" s="31"/>
    </row>
    <row r="533" spans="1:2" x14ac:dyDescent="0.3">
      <c r="A533" s="28"/>
      <c r="B533" s="31"/>
    </row>
    <row r="534" spans="1:2" x14ac:dyDescent="0.3">
      <c r="A534" s="28"/>
      <c r="B534" s="31"/>
    </row>
    <row r="535" spans="1:2" x14ac:dyDescent="0.3">
      <c r="A535" s="28"/>
      <c r="B535" s="31"/>
    </row>
    <row r="536" spans="1:2" x14ac:dyDescent="0.3">
      <c r="A536" s="28"/>
      <c r="B536" s="31"/>
    </row>
    <row r="537" spans="1:2" x14ac:dyDescent="0.3">
      <c r="A537" s="28"/>
      <c r="B537" s="31"/>
    </row>
    <row r="538" spans="1:2" x14ac:dyDescent="0.3">
      <c r="A538" s="28"/>
      <c r="B538" s="31"/>
    </row>
    <row r="539" spans="1:2" x14ac:dyDescent="0.3">
      <c r="A539" s="28"/>
      <c r="B539" s="35"/>
    </row>
    <row r="540" spans="1:2" x14ac:dyDescent="0.3">
      <c r="A540" s="28"/>
      <c r="B540" s="35"/>
    </row>
    <row r="541" spans="1:2" x14ac:dyDescent="0.3">
      <c r="A541" s="28"/>
      <c r="B541" s="35"/>
    </row>
    <row r="542" spans="1:2" x14ac:dyDescent="0.3">
      <c r="A542" s="28"/>
      <c r="B542" s="35"/>
    </row>
    <row r="543" spans="1:2" x14ac:dyDescent="0.3">
      <c r="A543" s="28"/>
      <c r="B543" s="35"/>
    </row>
    <row r="544" spans="1:2" x14ac:dyDescent="0.3">
      <c r="A544" s="28"/>
      <c r="B544" s="35"/>
    </row>
    <row r="545" spans="1:2" x14ac:dyDescent="0.3">
      <c r="A545" s="28"/>
      <c r="B545" s="35"/>
    </row>
    <row r="546" spans="1:2" x14ac:dyDescent="0.3">
      <c r="A546" s="28"/>
      <c r="B546" s="35"/>
    </row>
    <row r="547" spans="1:2" x14ac:dyDescent="0.3">
      <c r="A547" s="28"/>
      <c r="B547" s="35"/>
    </row>
    <row r="548" spans="1:2" x14ac:dyDescent="0.3">
      <c r="A548" s="28"/>
      <c r="B548" s="35"/>
    </row>
    <row r="549" spans="1:2" x14ac:dyDescent="0.3">
      <c r="A549" s="28"/>
      <c r="B549" s="35"/>
    </row>
    <row r="550" spans="1:2" x14ac:dyDescent="0.3">
      <c r="A550" s="28"/>
      <c r="B550" s="35"/>
    </row>
    <row r="551" spans="1:2" x14ac:dyDescent="0.3">
      <c r="A551" s="28"/>
      <c r="B551" s="35"/>
    </row>
    <row r="552" spans="1:2" x14ac:dyDescent="0.3">
      <c r="A552" s="28"/>
      <c r="B552" s="35"/>
    </row>
    <row r="553" spans="1:2" x14ac:dyDescent="0.3">
      <c r="A553" s="28"/>
      <c r="B553" s="35"/>
    </row>
    <row r="554" spans="1:2" x14ac:dyDescent="0.3">
      <c r="A554" s="28"/>
      <c r="B554" s="35"/>
    </row>
    <row r="555" spans="1:2" x14ac:dyDescent="0.3">
      <c r="A555" s="28"/>
      <c r="B555" s="35"/>
    </row>
    <row r="556" spans="1:2" x14ac:dyDescent="0.3">
      <c r="A556" s="28"/>
      <c r="B556" s="35"/>
    </row>
    <row r="557" spans="1:2" x14ac:dyDescent="0.3">
      <c r="A557" s="28"/>
      <c r="B557" s="35"/>
    </row>
    <row r="558" spans="1:2" x14ac:dyDescent="0.3">
      <c r="A558" s="28"/>
      <c r="B558" s="35"/>
    </row>
    <row r="559" spans="1:2" x14ac:dyDescent="0.3">
      <c r="A559" s="28"/>
      <c r="B559" s="35"/>
    </row>
    <row r="560" spans="1:2" x14ac:dyDescent="0.3">
      <c r="A560" s="28"/>
      <c r="B560" s="35"/>
    </row>
    <row r="561" spans="1:2" x14ac:dyDescent="0.3">
      <c r="A561" s="28"/>
      <c r="B561" s="35"/>
    </row>
    <row r="562" spans="1:2" x14ac:dyDescent="0.3">
      <c r="A562" s="28"/>
      <c r="B562" s="35"/>
    </row>
    <row r="563" spans="1:2" x14ac:dyDescent="0.3">
      <c r="A563" s="28"/>
      <c r="B563" s="35"/>
    </row>
    <row r="564" spans="1:2" x14ac:dyDescent="0.3">
      <c r="A564" s="28"/>
      <c r="B564" s="35"/>
    </row>
    <row r="565" spans="1:2" x14ac:dyDescent="0.3">
      <c r="A565" s="28"/>
      <c r="B565" s="35"/>
    </row>
    <row r="566" spans="1:2" x14ac:dyDescent="0.3">
      <c r="A566" s="28"/>
      <c r="B566" s="35"/>
    </row>
    <row r="567" spans="1:2" x14ac:dyDescent="0.3">
      <c r="A567" s="28"/>
      <c r="B567" s="35"/>
    </row>
    <row r="568" spans="1:2" x14ac:dyDescent="0.3">
      <c r="A568" s="28"/>
      <c r="B568" s="35"/>
    </row>
    <row r="569" spans="1:2" x14ac:dyDescent="0.3">
      <c r="A569" s="28"/>
      <c r="B569" s="35"/>
    </row>
    <row r="570" spans="1:2" x14ac:dyDescent="0.3">
      <c r="A570" s="28"/>
      <c r="B570" s="35"/>
    </row>
    <row r="571" spans="1:2" x14ac:dyDescent="0.3">
      <c r="A571" s="28"/>
      <c r="B571" s="35"/>
    </row>
    <row r="572" spans="1:2" x14ac:dyDescent="0.3">
      <c r="A572" s="28"/>
      <c r="B572" s="35"/>
    </row>
    <row r="573" spans="1:2" x14ac:dyDescent="0.3">
      <c r="A573" s="28"/>
      <c r="B573" s="35"/>
    </row>
    <row r="574" spans="1:2" x14ac:dyDescent="0.3">
      <c r="A574" s="28"/>
      <c r="B574" s="35"/>
    </row>
    <row r="575" spans="1:2" x14ac:dyDescent="0.3">
      <c r="A575" s="28"/>
      <c r="B575" s="35"/>
    </row>
    <row r="576" spans="1:2" x14ac:dyDescent="0.3">
      <c r="A576" s="28"/>
      <c r="B576" s="35"/>
    </row>
    <row r="577" spans="1:2" x14ac:dyDescent="0.3">
      <c r="A577" s="28"/>
      <c r="B577" s="35"/>
    </row>
    <row r="578" spans="1:2" x14ac:dyDescent="0.3">
      <c r="A578" s="28"/>
      <c r="B578" s="35"/>
    </row>
    <row r="579" spans="1:2" x14ac:dyDescent="0.3">
      <c r="A579" s="28"/>
      <c r="B579" s="35"/>
    </row>
    <row r="580" spans="1:2" x14ac:dyDescent="0.3">
      <c r="A580" s="28"/>
      <c r="B580" s="35"/>
    </row>
    <row r="581" spans="1:2" x14ac:dyDescent="0.3">
      <c r="A581" s="28"/>
      <c r="B581" s="35"/>
    </row>
    <row r="582" spans="1:2" x14ac:dyDescent="0.3">
      <c r="A582" s="28"/>
      <c r="B582" s="35"/>
    </row>
    <row r="583" spans="1:2" x14ac:dyDescent="0.3">
      <c r="A583" s="28"/>
      <c r="B583" s="35"/>
    </row>
    <row r="584" spans="1:2" x14ac:dyDescent="0.3">
      <c r="A584" s="28"/>
      <c r="B584" s="35"/>
    </row>
    <row r="585" spans="1:2" x14ac:dyDescent="0.3">
      <c r="A585" s="28"/>
      <c r="B585" s="35"/>
    </row>
    <row r="586" spans="1:2" x14ac:dyDescent="0.3">
      <c r="A586" s="28"/>
      <c r="B586" s="35"/>
    </row>
    <row r="587" spans="1:2" x14ac:dyDescent="0.3">
      <c r="A587" s="28"/>
      <c r="B587" s="35"/>
    </row>
    <row r="588" spans="1:2" x14ac:dyDescent="0.3">
      <c r="A588" s="28"/>
      <c r="B588" s="35"/>
    </row>
    <row r="589" spans="1:2" x14ac:dyDescent="0.3">
      <c r="A589" s="28"/>
      <c r="B589" s="35"/>
    </row>
    <row r="590" spans="1:2" x14ac:dyDescent="0.3">
      <c r="A590" s="28"/>
      <c r="B590" s="35"/>
    </row>
    <row r="591" spans="1:2" x14ac:dyDescent="0.3">
      <c r="A591" s="28"/>
      <c r="B591" s="35"/>
    </row>
    <row r="592" spans="1:2" x14ac:dyDescent="0.3">
      <c r="A592" s="28"/>
      <c r="B592" s="35"/>
    </row>
    <row r="593" spans="1:8" x14ac:dyDescent="0.3">
      <c r="A593" s="28"/>
      <c r="B593" s="35"/>
    </row>
    <row r="594" spans="1:8" x14ac:dyDescent="0.3">
      <c r="A594" s="28"/>
      <c r="B594" s="35"/>
    </row>
    <row r="595" spans="1:8" x14ac:dyDescent="0.3">
      <c r="A595" s="28"/>
      <c r="B595" s="35"/>
    </row>
    <row r="596" spans="1:8" x14ac:dyDescent="0.3">
      <c r="A596" s="28"/>
      <c r="B596" s="35"/>
    </row>
    <row r="597" spans="1:8" x14ac:dyDescent="0.3">
      <c r="A597" s="28"/>
      <c r="B597" s="35"/>
    </row>
    <row r="598" spans="1:8" x14ac:dyDescent="0.3">
      <c r="A598" s="28"/>
      <c r="B598" s="35"/>
    </row>
    <row r="599" spans="1:8" x14ac:dyDescent="0.3">
      <c r="A599" s="28"/>
      <c r="B599" s="35"/>
    </row>
    <row r="600" spans="1:8" x14ac:dyDescent="0.3">
      <c r="A600" s="28"/>
      <c r="B600" s="35"/>
    </row>
    <row r="601" spans="1:8" x14ac:dyDescent="0.3">
      <c r="A601" s="42" t="s">
        <v>90</v>
      </c>
      <c r="B601" s="43">
        <v>63230104134613</v>
      </c>
      <c r="C601" s="44" t="s">
        <v>97</v>
      </c>
      <c r="E601" s="32">
        <f>SUBTOTAL(9,표8[입금액])</f>
        <v>0</v>
      </c>
      <c r="F601" s="32">
        <f>SUBTOTAL(9,표8[출금액])</f>
        <v>0</v>
      </c>
      <c r="G601" s="32">
        <f>E601-F601</f>
        <v>0</v>
      </c>
    </row>
    <row r="602" spans="1:8" x14ac:dyDescent="0.3">
      <c r="A602" s="36" t="s">
        <v>91</v>
      </c>
      <c r="B602" s="37" t="s">
        <v>35</v>
      </c>
      <c r="C602" s="38" t="s">
        <v>92</v>
      </c>
      <c r="D602" s="39" t="s">
        <v>93</v>
      </c>
      <c r="E602" s="40" t="s">
        <v>94</v>
      </c>
      <c r="F602" s="40" t="s">
        <v>95</v>
      </c>
      <c r="G602" s="40" t="s">
        <v>34</v>
      </c>
      <c r="H602" s="41" t="s">
        <v>36</v>
      </c>
    </row>
    <row r="603" spans="1:8" x14ac:dyDescent="0.3">
      <c r="A603" s="28"/>
      <c r="B603" s="35"/>
    </row>
    <row r="604" spans="1:8" x14ac:dyDescent="0.3">
      <c r="A604" s="28"/>
      <c r="B604" s="35"/>
    </row>
    <row r="605" spans="1:8" x14ac:dyDescent="0.3">
      <c r="A605" s="28"/>
      <c r="B605" s="35"/>
    </row>
    <row r="606" spans="1:8" x14ac:dyDescent="0.3">
      <c r="A606" s="28"/>
      <c r="B606" s="35"/>
    </row>
    <row r="607" spans="1:8" x14ac:dyDescent="0.3">
      <c r="A607" s="28"/>
      <c r="B607" s="35"/>
    </row>
    <row r="608" spans="1:8" x14ac:dyDescent="0.3">
      <c r="A608" s="28"/>
      <c r="B608" s="35"/>
    </row>
    <row r="609" spans="1:2" x14ac:dyDescent="0.3">
      <c r="A609" s="28"/>
      <c r="B609" s="35"/>
    </row>
    <row r="610" spans="1:2" x14ac:dyDescent="0.3">
      <c r="A610" s="28"/>
      <c r="B610" s="35"/>
    </row>
    <row r="611" spans="1:2" x14ac:dyDescent="0.3">
      <c r="A611" s="28"/>
      <c r="B611" s="35"/>
    </row>
    <row r="612" spans="1:2" x14ac:dyDescent="0.3">
      <c r="A612" s="28"/>
      <c r="B612" s="35"/>
    </row>
    <row r="613" spans="1:2" x14ac:dyDescent="0.3">
      <c r="A613" s="28"/>
      <c r="B613" s="35"/>
    </row>
    <row r="614" spans="1:2" x14ac:dyDescent="0.3">
      <c r="A614" s="28"/>
      <c r="B614" s="35"/>
    </row>
    <row r="615" spans="1:2" x14ac:dyDescent="0.3">
      <c r="A615" s="28"/>
      <c r="B615" s="35"/>
    </row>
    <row r="616" spans="1:2" x14ac:dyDescent="0.3">
      <c r="A616" s="28"/>
      <c r="B616" s="35"/>
    </row>
    <row r="617" spans="1:2" x14ac:dyDescent="0.3">
      <c r="A617" s="28"/>
      <c r="B617" s="35"/>
    </row>
    <row r="618" spans="1:2" x14ac:dyDescent="0.3">
      <c r="A618" s="28"/>
      <c r="B618" s="35"/>
    </row>
    <row r="619" spans="1:2" x14ac:dyDescent="0.3">
      <c r="A619" s="28"/>
      <c r="B619" s="35"/>
    </row>
    <row r="620" spans="1:2" x14ac:dyDescent="0.3">
      <c r="A620" s="28"/>
      <c r="B620" s="35"/>
    </row>
    <row r="621" spans="1:2" x14ac:dyDescent="0.3">
      <c r="A621" s="28"/>
      <c r="B621" s="35"/>
    </row>
    <row r="622" spans="1:2" x14ac:dyDescent="0.3">
      <c r="A622" s="28"/>
      <c r="B622" s="35"/>
    </row>
    <row r="623" spans="1:2" x14ac:dyDescent="0.3">
      <c r="A623" s="28"/>
      <c r="B623" s="35"/>
    </row>
    <row r="624" spans="1:2" x14ac:dyDescent="0.3">
      <c r="A624" s="28"/>
      <c r="B624" s="35"/>
    </row>
    <row r="625" spans="1:2" x14ac:dyDescent="0.3">
      <c r="A625" s="28"/>
      <c r="B625" s="35"/>
    </row>
    <row r="626" spans="1:2" x14ac:dyDescent="0.3">
      <c r="A626" s="28"/>
      <c r="B626" s="35"/>
    </row>
    <row r="627" spans="1:2" x14ac:dyDescent="0.3">
      <c r="A627" s="28"/>
      <c r="B627" s="35"/>
    </row>
    <row r="628" spans="1:2" x14ac:dyDescent="0.3">
      <c r="A628" s="28"/>
      <c r="B628" s="35"/>
    </row>
    <row r="629" spans="1:2" x14ac:dyDescent="0.3">
      <c r="A629" s="28"/>
      <c r="B629" s="35"/>
    </row>
    <row r="630" spans="1:2" x14ac:dyDescent="0.3">
      <c r="A630" s="28"/>
      <c r="B630" s="35"/>
    </row>
    <row r="631" spans="1:2" x14ac:dyDescent="0.3">
      <c r="A631" s="28"/>
      <c r="B631" s="35"/>
    </row>
    <row r="632" spans="1:2" x14ac:dyDescent="0.3">
      <c r="A632" s="28"/>
      <c r="B632" s="35"/>
    </row>
    <row r="633" spans="1:2" x14ac:dyDescent="0.3">
      <c r="A633" s="28"/>
      <c r="B633" s="35"/>
    </row>
    <row r="634" spans="1:2" x14ac:dyDescent="0.3">
      <c r="A634" s="28"/>
      <c r="B634" s="35"/>
    </row>
    <row r="635" spans="1:2" x14ac:dyDescent="0.3">
      <c r="A635" s="28"/>
      <c r="B635" s="35"/>
    </row>
    <row r="636" spans="1:2" x14ac:dyDescent="0.3">
      <c r="A636" s="28"/>
      <c r="B636" s="35"/>
    </row>
    <row r="637" spans="1:2" x14ac:dyDescent="0.3">
      <c r="A637" s="28"/>
      <c r="B637" s="35"/>
    </row>
    <row r="638" spans="1:2" x14ac:dyDescent="0.3">
      <c r="A638" s="28"/>
      <c r="B638" s="35"/>
    </row>
    <row r="639" spans="1:2" x14ac:dyDescent="0.3">
      <c r="A639" s="28"/>
      <c r="B639" s="35"/>
    </row>
    <row r="640" spans="1:2" x14ac:dyDescent="0.3">
      <c r="A640" s="28"/>
      <c r="B640" s="35"/>
    </row>
    <row r="641" spans="1:2" hidden="1" x14ac:dyDescent="0.3">
      <c r="A641" s="28"/>
      <c r="B641" s="35"/>
    </row>
    <row r="642" spans="1:2" hidden="1" x14ac:dyDescent="0.3">
      <c r="A642" s="28"/>
      <c r="B642" s="35"/>
    </row>
    <row r="643" spans="1:2" hidden="1" x14ac:dyDescent="0.3">
      <c r="A643" s="28"/>
      <c r="B643" s="35"/>
    </row>
    <row r="644" spans="1:2" hidden="1" x14ac:dyDescent="0.3">
      <c r="A644" s="28"/>
      <c r="B644" s="35"/>
    </row>
    <row r="645" spans="1:2" hidden="1" x14ac:dyDescent="0.3">
      <c r="A645" s="28"/>
      <c r="B645" s="35"/>
    </row>
    <row r="646" spans="1:2" hidden="1" x14ac:dyDescent="0.3">
      <c r="A646" s="28"/>
      <c r="B646" s="35"/>
    </row>
    <row r="647" spans="1:2" hidden="1" x14ac:dyDescent="0.3">
      <c r="A647" s="28"/>
      <c r="B647" s="35"/>
    </row>
    <row r="648" spans="1:2" hidden="1" x14ac:dyDescent="0.3">
      <c r="A648" s="28"/>
      <c r="B648" s="35"/>
    </row>
    <row r="649" spans="1:2" hidden="1" x14ac:dyDescent="0.3">
      <c r="A649" s="28"/>
      <c r="B649" s="35"/>
    </row>
    <row r="650" spans="1:2" hidden="1" x14ac:dyDescent="0.3">
      <c r="A650" s="28"/>
      <c r="B650" s="35"/>
    </row>
    <row r="651" spans="1:2" hidden="1" x14ac:dyDescent="0.3">
      <c r="A651" s="28"/>
      <c r="B651" s="35"/>
    </row>
    <row r="652" spans="1:2" hidden="1" x14ac:dyDescent="0.3">
      <c r="A652" s="28"/>
      <c r="B652" s="35"/>
    </row>
    <row r="653" spans="1:2" hidden="1" x14ac:dyDescent="0.3">
      <c r="A653" s="28"/>
      <c r="B653" s="35"/>
    </row>
    <row r="654" spans="1:2" hidden="1" x14ac:dyDescent="0.3">
      <c r="A654" s="28"/>
      <c r="B654" s="35"/>
    </row>
    <row r="655" spans="1:2" hidden="1" x14ac:dyDescent="0.3">
      <c r="A655" s="28"/>
      <c r="B655" s="35"/>
    </row>
    <row r="656" spans="1:2" hidden="1" x14ac:dyDescent="0.3">
      <c r="A656" s="28"/>
      <c r="B656" s="35"/>
    </row>
    <row r="657" spans="1:2" hidden="1" x14ac:dyDescent="0.3">
      <c r="A657" s="28"/>
      <c r="B657" s="35"/>
    </row>
    <row r="658" spans="1:2" hidden="1" x14ac:dyDescent="0.3">
      <c r="A658" s="28"/>
      <c r="B658" s="35"/>
    </row>
    <row r="659" spans="1:2" hidden="1" x14ac:dyDescent="0.3">
      <c r="A659" s="28"/>
      <c r="B659" s="35"/>
    </row>
    <row r="660" spans="1:2" hidden="1" x14ac:dyDescent="0.3">
      <c r="A660" s="28"/>
      <c r="B660" s="35"/>
    </row>
    <row r="661" spans="1:2" hidden="1" x14ac:dyDescent="0.3">
      <c r="A661" s="28"/>
      <c r="B661" s="35"/>
    </row>
    <row r="662" spans="1:2" hidden="1" x14ac:dyDescent="0.3">
      <c r="A662" s="28"/>
      <c r="B662" s="35"/>
    </row>
    <row r="663" spans="1:2" hidden="1" x14ac:dyDescent="0.3">
      <c r="A663" s="28"/>
      <c r="B663" s="35"/>
    </row>
    <row r="664" spans="1:2" hidden="1" x14ac:dyDescent="0.3">
      <c r="A664" s="28"/>
      <c r="B664" s="35"/>
    </row>
    <row r="665" spans="1:2" hidden="1" x14ac:dyDescent="0.3">
      <c r="A665" s="28"/>
      <c r="B665" s="35"/>
    </row>
    <row r="666" spans="1:2" hidden="1" x14ac:dyDescent="0.3">
      <c r="A666" s="28"/>
      <c r="B666" s="35"/>
    </row>
    <row r="667" spans="1:2" hidden="1" x14ac:dyDescent="0.3">
      <c r="A667" s="28"/>
      <c r="B667" s="35"/>
    </row>
    <row r="668" spans="1:2" hidden="1" x14ac:dyDescent="0.3">
      <c r="A668" s="28"/>
      <c r="B668" s="35"/>
    </row>
    <row r="669" spans="1:2" hidden="1" x14ac:dyDescent="0.3">
      <c r="A669" s="28"/>
      <c r="B669" s="35"/>
    </row>
    <row r="670" spans="1:2" hidden="1" x14ac:dyDescent="0.3">
      <c r="A670" s="28"/>
      <c r="B670" s="35"/>
    </row>
    <row r="671" spans="1:2" hidden="1" x14ac:dyDescent="0.3">
      <c r="A671" s="28"/>
      <c r="B671" s="35"/>
    </row>
    <row r="672" spans="1:2" hidden="1" x14ac:dyDescent="0.3">
      <c r="A672" s="28"/>
      <c r="B672" s="35"/>
    </row>
    <row r="673" spans="1:2" hidden="1" x14ac:dyDescent="0.3">
      <c r="A673" s="28"/>
      <c r="B673" s="35"/>
    </row>
    <row r="674" spans="1:2" hidden="1" x14ac:dyDescent="0.3">
      <c r="A674" s="28"/>
      <c r="B674" s="35"/>
    </row>
    <row r="675" spans="1:2" hidden="1" x14ac:dyDescent="0.3">
      <c r="A675" s="28"/>
      <c r="B675" s="35"/>
    </row>
    <row r="676" spans="1:2" hidden="1" x14ac:dyDescent="0.3">
      <c r="A676" s="28"/>
      <c r="B676" s="35"/>
    </row>
    <row r="677" spans="1:2" hidden="1" x14ac:dyDescent="0.3">
      <c r="A677" s="28"/>
      <c r="B677" s="35"/>
    </row>
    <row r="678" spans="1:2" hidden="1" x14ac:dyDescent="0.3">
      <c r="A678" s="28"/>
      <c r="B678" s="35"/>
    </row>
    <row r="679" spans="1:2" hidden="1" x14ac:dyDescent="0.3">
      <c r="A679" s="28"/>
      <c r="B679" s="35"/>
    </row>
    <row r="680" spans="1:2" hidden="1" x14ac:dyDescent="0.3">
      <c r="A680" s="28"/>
      <c r="B680" s="35"/>
    </row>
    <row r="681" spans="1:2" hidden="1" x14ac:dyDescent="0.3">
      <c r="A681" s="28"/>
      <c r="B681" s="35"/>
    </row>
    <row r="682" spans="1:2" hidden="1" x14ac:dyDescent="0.3">
      <c r="A682" s="28"/>
      <c r="B682" s="35"/>
    </row>
    <row r="683" spans="1:2" hidden="1" x14ac:dyDescent="0.3">
      <c r="A683" s="28"/>
      <c r="B683" s="35"/>
    </row>
    <row r="684" spans="1:2" hidden="1" x14ac:dyDescent="0.3">
      <c r="A684" s="28"/>
      <c r="B684" s="35"/>
    </row>
    <row r="685" spans="1:2" hidden="1" x14ac:dyDescent="0.3">
      <c r="A685" s="28"/>
      <c r="B685" s="35"/>
    </row>
    <row r="686" spans="1:2" hidden="1" x14ac:dyDescent="0.3">
      <c r="A686" s="28"/>
      <c r="B686" s="35"/>
    </row>
    <row r="687" spans="1:2" hidden="1" x14ac:dyDescent="0.3">
      <c r="A687" s="28"/>
      <c r="B687" s="35"/>
    </row>
    <row r="688" spans="1:2" hidden="1" x14ac:dyDescent="0.3">
      <c r="A688" s="28"/>
      <c r="B688" s="35"/>
    </row>
    <row r="689" spans="1:2" hidden="1" x14ac:dyDescent="0.3">
      <c r="A689" s="28"/>
      <c r="B689" s="35"/>
    </row>
    <row r="690" spans="1:2" hidden="1" x14ac:dyDescent="0.3">
      <c r="A690" s="28"/>
      <c r="B690" s="35"/>
    </row>
    <row r="691" spans="1:2" hidden="1" x14ac:dyDescent="0.3">
      <c r="A691" s="28"/>
      <c r="B691" s="35"/>
    </row>
    <row r="692" spans="1:2" hidden="1" x14ac:dyDescent="0.3">
      <c r="A692" s="28"/>
      <c r="B692" s="35"/>
    </row>
    <row r="693" spans="1:2" hidden="1" x14ac:dyDescent="0.3">
      <c r="A693" s="28"/>
      <c r="B693" s="35"/>
    </row>
    <row r="694" spans="1:2" hidden="1" x14ac:dyDescent="0.3">
      <c r="A694" s="28"/>
      <c r="B694" s="35"/>
    </row>
    <row r="695" spans="1:2" hidden="1" x14ac:dyDescent="0.3">
      <c r="A695" s="28"/>
      <c r="B695" s="35"/>
    </row>
    <row r="696" spans="1:2" hidden="1" x14ac:dyDescent="0.3">
      <c r="A696" s="28"/>
      <c r="B696" s="35"/>
    </row>
    <row r="697" spans="1:2" hidden="1" x14ac:dyDescent="0.3">
      <c r="A697" s="28"/>
      <c r="B697" s="35"/>
    </row>
    <row r="698" spans="1:2" hidden="1" x14ac:dyDescent="0.3">
      <c r="A698" s="28"/>
      <c r="B698" s="35"/>
    </row>
    <row r="699" spans="1:2" hidden="1" x14ac:dyDescent="0.3">
      <c r="A699" s="28"/>
      <c r="B699" s="35"/>
    </row>
    <row r="700" spans="1:2" hidden="1" x14ac:dyDescent="0.3">
      <c r="A700" s="28"/>
      <c r="B700" s="35"/>
    </row>
    <row r="701" spans="1:2" hidden="1" x14ac:dyDescent="0.3">
      <c r="A701" s="28"/>
      <c r="B701" s="35"/>
    </row>
    <row r="702" spans="1:2" hidden="1" x14ac:dyDescent="0.3">
      <c r="A702" s="28"/>
      <c r="B702" s="35"/>
    </row>
    <row r="703" spans="1:2" hidden="1" x14ac:dyDescent="0.3">
      <c r="A703" s="28"/>
      <c r="B703" s="35"/>
    </row>
    <row r="704" spans="1:2" hidden="1" x14ac:dyDescent="0.3">
      <c r="A704" s="28"/>
      <c r="B704" s="35"/>
    </row>
    <row r="705" spans="1:2" hidden="1" x14ac:dyDescent="0.3">
      <c r="A705" s="28"/>
      <c r="B705" s="35"/>
    </row>
    <row r="706" spans="1:2" hidden="1" x14ac:dyDescent="0.3">
      <c r="A706" s="28"/>
      <c r="B706" s="35"/>
    </row>
    <row r="707" spans="1:2" hidden="1" x14ac:dyDescent="0.3">
      <c r="A707" s="28"/>
      <c r="B707" s="35"/>
    </row>
    <row r="708" spans="1:2" hidden="1" x14ac:dyDescent="0.3">
      <c r="A708" s="28"/>
      <c r="B708" s="35"/>
    </row>
    <row r="709" spans="1:2" hidden="1" x14ac:dyDescent="0.3">
      <c r="A709" s="28"/>
      <c r="B709" s="35"/>
    </row>
    <row r="710" spans="1:2" hidden="1" x14ac:dyDescent="0.3">
      <c r="A710" s="28"/>
      <c r="B710" s="35"/>
    </row>
    <row r="711" spans="1:2" hidden="1" x14ac:dyDescent="0.3">
      <c r="A711" s="28"/>
      <c r="B711" s="35"/>
    </row>
    <row r="712" spans="1:2" hidden="1" x14ac:dyDescent="0.3">
      <c r="A712" s="28"/>
      <c r="B712" s="35"/>
    </row>
    <row r="713" spans="1:2" hidden="1" x14ac:dyDescent="0.3">
      <c r="A713" s="28"/>
      <c r="B713" s="35"/>
    </row>
    <row r="714" spans="1:2" hidden="1" x14ac:dyDescent="0.3">
      <c r="A714" s="28"/>
      <c r="B714" s="35"/>
    </row>
    <row r="715" spans="1:2" hidden="1" x14ac:dyDescent="0.3">
      <c r="A715" s="28"/>
      <c r="B715" s="35"/>
    </row>
    <row r="716" spans="1:2" hidden="1" x14ac:dyDescent="0.3">
      <c r="A716" s="28"/>
      <c r="B716" s="35"/>
    </row>
    <row r="717" spans="1:2" hidden="1" x14ac:dyDescent="0.3">
      <c r="A717" s="28"/>
      <c r="B717" s="35"/>
    </row>
    <row r="718" spans="1:2" hidden="1" x14ac:dyDescent="0.3">
      <c r="A718" s="28"/>
      <c r="B718" s="35"/>
    </row>
    <row r="719" spans="1:2" hidden="1" x14ac:dyDescent="0.3">
      <c r="A719" s="28"/>
      <c r="B719" s="35"/>
    </row>
    <row r="720" spans="1:2" hidden="1" x14ac:dyDescent="0.3">
      <c r="A720" s="28"/>
      <c r="B720" s="35"/>
    </row>
    <row r="721" spans="1:2" hidden="1" x14ac:dyDescent="0.3">
      <c r="A721" s="28"/>
      <c r="B721" s="35"/>
    </row>
    <row r="722" spans="1:2" hidden="1" x14ac:dyDescent="0.3">
      <c r="A722" s="28"/>
      <c r="B722" s="35"/>
    </row>
    <row r="723" spans="1:2" hidden="1" x14ac:dyDescent="0.3">
      <c r="A723" s="28"/>
      <c r="B723" s="35"/>
    </row>
    <row r="724" spans="1:2" hidden="1" x14ac:dyDescent="0.3">
      <c r="A724" s="28"/>
      <c r="B724" s="35"/>
    </row>
    <row r="725" spans="1:2" hidden="1" x14ac:dyDescent="0.3">
      <c r="A725" s="28"/>
      <c r="B725" s="35"/>
    </row>
    <row r="726" spans="1:2" hidden="1" x14ac:dyDescent="0.3">
      <c r="A726" s="28"/>
      <c r="B726" s="35"/>
    </row>
    <row r="727" spans="1:2" hidden="1" x14ac:dyDescent="0.3">
      <c r="A727" s="28"/>
      <c r="B727" s="35"/>
    </row>
    <row r="728" spans="1:2" hidden="1" x14ac:dyDescent="0.3">
      <c r="A728" s="28"/>
      <c r="B728" s="35"/>
    </row>
    <row r="729" spans="1:2" hidden="1" x14ac:dyDescent="0.3">
      <c r="A729" s="28"/>
      <c r="B729" s="35"/>
    </row>
    <row r="730" spans="1:2" hidden="1" x14ac:dyDescent="0.3">
      <c r="A730" s="28"/>
      <c r="B730" s="35"/>
    </row>
    <row r="731" spans="1:2" hidden="1" x14ac:dyDescent="0.3">
      <c r="A731" s="28"/>
      <c r="B731" s="35"/>
    </row>
    <row r="732" spans="1:2" hidden="1" x14ac:dyDescent="0.3">
      <c r="A732" s="28"/>
      <c r="B732" s="35"/>
    </row>
    <row r="733" spans="1:2" hidden="1" x14ac:dyDescent="0.3">
      <c r="A733" s="28"/>
      <c r="B733" s="35"/>
    </row>
    <row r="734" spans="1:2" hidden="1" x14ac:dyDescent="0.3">
      <c r="A734" s="28"/>
      <c r="B734" s="35"/>
    </row>
    <row r="735" spans="1:2" hidden="1" x14ac:dyDescent="0.3">
      <c r="A735" s="28"/>
      <c r="B735" s="35"/>
    </row>
    <row r="736" spans="1:2" hidden="1" x14ac:dyDescent="0.3">
      <c r="A736" s="28"/>
      <c r="B736" s="35"/>
    </row>
    <row r="737" spans="1:2" hidden="1" x14ac:dyDescent="0.3">
      <c r="A737" s="28"/>
      <c r="B737" s="35"/>
    </row>
    <row r="738" spans="1:2" hidden="1" x14ac:dyDescent="0.3">
      <c r="A738" s="28"/>
      <c r="B738" s="35"/>
    </row>
    <row r="739" spans="1:2" hidden="1" x14ac:dyDescent="0.3">
      <c r="A739" s="28"/>
      <c r="B739" s="35"/>
    </row>
    <row r="740" spans="1:2" hidden="1" x14ac:dyDescent="0.3">
      <c r="A740" s="28"/>
      <c r="B740" s="35"/>
    </row>
    <row r="741" spans="1:2" hidden="1" x14ac:dyDescent="0.3">
      <c r="A741" s="28"/>
      <c r="B741" s="35"/>
    </row>
    <row r="742" spans="1:2" hidden="1" x14ac:dyDescent="0.3">
      <c r="A742" s="28"/>
      <c r="B742" s="35"/>
    </row>
    <row r="743" spans="1:2" hidden="1" x14ac:dyDescent="0.3">
      <c r="A743" s="28"/>
      <c r="B743" s="35"/>
    </row>
    <row r="744" spans="1:2" hidden="1" x14ac:dyDescent="0.3">
      <c r="A744" s="28"/>
      <c r="B744" s="35"/>
    </row>
    <row r="745" spans="1:2" hidden="1" x14ac:dyDescent="0.3">
      <c r="A745" s="28"/>
      <c r="B745" s="35"/>
    </row>
    <row r="746" spans="1:2" hidden="1" x14ac:dyDescent="0.3">
      <c r="A746" s="28"/>
      <c r="B746" s="35"/>
    </row>
    <row r="747" spans="1:2" hidden="1" x14ac:dyDescent="0.3">
      <c r="A747" s="28"/>
      <c r="B747" s="35"/>
    </row>
    <row r="748" spans="1:2" hidden="1" x14ac:dyDescent="0.3">
      <c r="A748" s="28"/>
      <c r="B748" s="35"/>
    </row>
    <row r="749" spans="1:2" hidden="1" x14ac:dyDescent="0.3">
      <c r="A749" s="28"/>
      <c r="B749" s="35"/>
    </row>
    <row r="750" spans="1:2" hidden="1" x14ac:dyDescent="0.3">
      <c r="A750" s="28"/>
      <c r="B750" s="35"/>
    </row>
    <row r="751" spans="1:2" hidden="1" x14ac:dyDescent="0.3">
      <c r="A751" s="28"/>
      <c r="B751" s="35"/>
    </row>
    <row r="752" spans="1:2" hidden="1" x14ac:dyDescent="0.3">
      <c r="A752" s="28"/>
      <c r="B752" s="35"/>
    </row>
    <row r="753" spans="1:2" hidden="1" x14ac:dyDescent="0.3">
      <c r="A753" s="28"/>
      <c r="B753" s="35"/>
    </row>
    <row r="754" spans="1:2" hidden="1" x14ac:dyDescent="0.3">
      <c r="A754" s="28"/>
      <c r="B754" s="35"/>
    </row>
    <row r="755" spans="1:2" hidden="1" x14ac:dyDescent="0.3">
      <c r="A755" s="28"/>
      <c r="B755" s="35"/>
    </row>
    <row r="756" spans="1:2" hidden="1" x14ac:dyDescent="0.3">
      <c r="A756" s="28"/>
      <c r="B756" s="35"/>
    </row>
    <row r="757" spans="1:2" hidden="1" x14ac:dyDescent="0.3">
      <c r="A757" s="28"/>
      <c r="B757" s="35"/>
    </row>
    <row r="758" spans="1:2" hidden="1" x14ac:dyDescent="0.3">
      <c r="A758" s="28"/>
      <c r="B758" s="35"/>
    </row>
    <row r="759" spans="1:2" hidden="1" x14ac:dyDescent="0.3">
      <c r="A759" s="28"/>
      <c r="B759" s="35"/>
    </row>
    <row r="760" spans="1:2" hidden="1" x14ac:dyDescent="0.3">
      <c r="A760" s="28"/>
      <c r="B760" s="35"/>
    </row>
    <row r="761" spans="1:2" hidden="1" x14ac:dyDescent="0.3">
      <c r="A761" s="28"/>
      <c r="B761" s="35"/>
    </row>
    <row r="762" spans="1:2" hidden="1" x14ac:dyDescent="0.3">
      <c r="A762" s="28"/>
      <c r="B762" s="35"/>
    </row>
    <row r="763" spans="1:2" hidden="1" x14ac:dyDescent="0.3">
      <c r="A763" s="28"/>
      <c r="B763" s="35"/>
    </row>
    <row r="764" spans="1:2" hidden="1" x14ac:dyDescent="0.3">
      <c r="A764" s="28"/>
      <c r="B764" s="35"/>
    </row>
    <row r="765" spans="1:2" hidden="1" x14ac:dyDescent="0.3">
      <c r="A765" s="28"/>
      <c r="B765" s="35"/>
    </row>
    <row r="766" spans="1:2" hidden="1" x14ac:dyDescent="0.3">
      <c r="A766" s="28"/>
      <c r="B766" s="35"/>
    </row>
    <row r="767" spans="1:2" hidden="1" x14ac:dyDescent="0.3">
      <c r="A767" s="28"/>
      <c r="B767" s="35"/>
    </row>
    <row r="768" spans="1:2" hidden="1" x14ac:dyDescent="0.3">
      <c r="A768" s="28"/>
      <c r="B768" s="35"/>
    </row>
    <row r="769" spans="1:2" hidden="1" x14ac:dyDescent="0.3">
      <c r="A769" s="28"/>
      <c r="B769" s="35"/>
    </row>
    <row r="770" spans="1:2" hidden="1" x14ac:dyDescent="0.3">
      <c r="A770" s="28"/>
      <c r="B770" s="35"/>
    </row>
    <row r="771" spans="1:2" hidden="1" x14ac:dyDescent="0.3">
      <c r="A771" s="28"/>
      <c r="B771" s="35"/>
    </row>
    <row r="772" spans="1:2" hidden="1" x14ac:dyDescent="0.3">
      <c r="A772" s="28"/>
      <c r="B772" s="35"/>
    </row>
    <row r="773" spans="1:2" hidden="1" x14ac:dyDescent="0.3">
      <c r="A773" s="28"/>
      <c r="B773" s="35"/>
    </row>
    <row r="774" spans="1:2" hidden="1" x14ac:dyDescent="0.3">
      <c r="A774" s="28"/>
      <c r="B774" s="35"/>
    </row>
    <row r="775" spans="1:2" hidden="1" x14ac:dyDescent="0.3">
      <c r="A775" s="28"/>
      <c r="B775" s="35"/>
    </row>
    <row r="776" spans="1:2" hidden="1" x14ac:dyDescent="0.3">
      <c r="A776" s="28"/>
      <c r="B776" s="35"/>
    </row>
    <row r="777" spans="1:2" hidden="1" x14ac:dyDescent="0.3">
      <c r="A777" s="28"/>
      <c r="B777" s="35"/>
    </row>
    <row r="778" spans="1:2" hidden="1" x14ac:dyDescent="0.3">
      <c r="A778" s="28"/>
      <c r="B778" s="35"/>
    </row>
    <row r="779" spans="1:2" hidden="1" x14ac:dyDescent="0.3">
      <c r="A779" s="28"/>
      <c r="B779" s="35"/>
    </row>
    <row r="780" spans="1:2" hidden="1" x14ac:dyDescent="0.3">
      <c r="A780" s="28"/>
      <c r="B780" s="35"/>
    </row>
    <row r="781" spans="1:2" hidden="1" x14ac:dyDescent="0.3">
      <c r="A781" s="28"/>
      <c r="B781" s="35"/>
    </row>
    <row r="782" spans="1:2" hidden="1" x14ac:dyDescent="0.3">
      <c r="A782" s="28"/>
      <c r="B782" s="35"/>
    </row>
    <row r="783" spans="1:2" hidden="1" x14ac:dyDescent="0.3">
      <c r="A783" s="28"/>
      <c r="B783" s="35"/>
    </row>
    <row r="784" spans="1:2" hidden="1" x14ac:dyDescent="0.3">
      <c r="A784" s="28"/>
      <c r="B784" s="35"/>
    </row>
    <row r="785" spans="1:2" hidden="1" x14ac:dyDescent="0.3">
      <c r="A785" s="28"/>
      <c r="B785" s="35"/>
    </row>
    <row r="786" spans="1:2" hidden="1" x14ac:dyDescent="0.3">
      <c r="A786" s="28"/>
      <c r="B786" s="35"/>
    </row>
    <row r="787" spans="1:2" hidden="1" x14ac:dyDescent="0.3">
      <c r="A787" s="28"/>
      <c r="B787" s="35"/>
    </row>
    <row r="788" spans="1:2" hidden="1" x14ac:dyDescent="0.3">
      <c r="A788" s="28"/>
      <c r="B788" s="35"/>
    </row>
    <row r="789" spans="1:2" hidden="1" x14ac:dyDescent="0.3">
      <c r="A789" s="28"/>
      <c r="B789" s="35"/>
    </row>
    <row r="790" spans="1:2" hidden="1" x14ac:dyDescent="0.3">
      <c r="A790" s="28"/>
      <c r="B790" s="35"/>
    </row>
    <row r="791" spans="1:2" hidden="1" x14ac:dyDescent="0.3">
      <c r="A791" s="28"/>
      <c r="B791" s="35"/>
    </row>
    <row r="792" spans="1:2" hidden="1" x14ac:dyDescent="0.3">
      <c r="A792" s="28"/>
      <c r="B792" s="35"/>
    </row>
    <row r="793" spans="1:2" hidden="1" x14ac:dyDescent="0.3">
      <c r="A793" s="28"/>
      <c r="B793" s="35"/>
    </row>
    <row r="794" spans="1:2" hidden="1" x14ac:dyDescent="0.3">
      <c r="A794" s="28"/>
      <c r="B794" s="35"/>
    </row>
    <row r="795" spans="1:2" hidden="1" x14ac:dyDescent="0.3">
      <c r="A795" s="28"/>
      <c r="B795" s="35"/>
    </row>
    <row r="796" spans="1:2" hidden="1" x14ac:dyDescent="0.3">
      <c r="A796" s="28"/>
      <c r="B796" s="35"/>
    </row>
    <row r="797" spans="1:2" hidden="1" x14ac:dyDescent="0.3">
      <c r="A797" s="28"/>
      <c r="B797" s="35"/>
    </row>
    <row r="798" spans="1:2" hidden="1" x14ac:dyDescent="0.3">
      <c r="A798" s="28"/>
      <c r="B798" s="35"/>
    </row>
    <row r="799" spans="1:2" hidden="1" x14ac:dyDescent="0.3">
      <c r="A799" s="28"/>
      <c r="B799" s="35"/>
    </row>
    <row r="800" spans="1:2" hidden="1" x14ac:dyDescent="0.3">
      <c r="A800" s="28"/>
      <c r="B800" s="35"/>
    </row>
    <row r="801" spans="1:2" hidden="1" x14ac:dyDescent="0.3">
      <c r="A801" s="28"/>
      <c r="B801" s="35"/>
    </row>
    <row r="802" spans="1:2" hidden="1" x14ac:dyDescent="0.3">
      <c r="A802" s="28"/>
      <c r="B802" s="35"/>
    </row>
    <row r="803" spans="1:2" hidden="1" x14ac:dyDescent="0.3">
      <c r="A803" s="28"/>
      <c r="B803" s="35"/>
    </row>
    <row r="804" spans="1:2" hidden="1" x14ac:dyDescent="0.3">
      <c r="A804" s="28"/>
      <c r="B804" s="35"/>
    </row>
    <row r="805" spans="1:2" hidden="1" x14ac:dyDescent="0.3">
      <c r="A805" s="28"/>
      <c r="B805" s="35"/>
    </row>
    <row r="806" spans="1:2" hidden="1" x14ac:dyDescent="0.3">
      <c r="A806" s="28"/>
      <c r="B806" s="35"/>
    </row>
    <row r="807" spans="1:2" hidden="1" x14ac:dyDescent="0.3">
      <c r="A807" s="28"/>
      <c r="B807" s="35"/>
    </row>
    <row r="808" spans="1:2" hidden="1" x14ac:dyDescent="0.3">
      <c r="A808" s="28"/>
      <c r="B808" s="35"/>
    </row>
    <row r="809" spans="1:2" hidden="1" x14ac:dyDescent="0.3">
      <c r="A809" s="28"/>
      <c r="B809" s="35"/>
    </row>
    <row r="810" spans="1:2" hidden="1" x14ac:dyDescent="0.3">
      <c r="A810" s="28"/>
      <c r="B810" s="35"/>
    </row>
    <row r="811" spans="1:2" hidden="1" x14ac:dyDescent="0.3">
      <c r="A811" s="28"/>
      <c r="B811" s="35"/>
    </row>
    <row r="812" spans="1:2" hidden="1" x14ac:dyDescent="0.3">
      <c r="A812" s="28"/>
      <c r="B812" s="35"/>
    </row>
    <row r="813" spans="1:2" hidden="1" x14ac:dyDescent="0.3">
      <c r="A813" s="28"/>
      <c r="B813" s="35"/>
    </row>
    <row r="814" spans="1:2" hidden="1" x14ac:dyDescent="0.3">
      <c r="A814" s="28"/>
      <c r="B814" s="35"/>
    </row>
    <row r="815" spans="1:2" hidden="1" x14ac:dyDescent="0.3">
      <c r="A815" s="28"/>
      <c r="B815" s="35"/>
    </row>
    <row r="816" spans="1:2" hidden="1" x14ac:dyDescent="0.3">
      <c r="A816" s="28"/>
      <c r="B816" s="35"/>
    </row>
    <row r="817" spans="1:2" hidden="1" x14ac:dyDescent="0.3">
      <c r="A817" s="28"/>
      <c r="B817" s="35"/>
    </row>
    <row r="818" spans="1:2" hidden="1" x14ac:dyDescent="0.3">
      <c r="A818" s="28"/>
      <c r="B818" s="35"/>
    </row>
    <row r="819" spans="1:2" hidden="1" x14ac:dyDescent="0.3">
      <c r="A819" s="28"/>
      <c r="B819" s="35"/>
    </row>
    <row r="820" spans="1:2" hidden="1" x14ac:dyDescent="0.3">
      <c r="A820" s="28"/>
      <c r="B820" s="35"/>
    </row>
    <row r="821" spans="1:2" hidden="1" x14ac:dyDescent="0.3">
      <c r="A821" s="28"/>
      <c r="B821" s="35"/>
    </row>
    <row r="822" spans="1:2" hidden="1" x14ac:dyDescent="0.3">
      <c r="A822" s="28"/>
      <c r="B822" s="35"/>
    </row>
    <row r="823" spans="1:2" hidden="1" x14ac:dyDescent="0.3">
      <c r="A823" s="28"/>
      <c r="B823" s="35"/>
    </row>
    <row r="824" spans="1:2" hidden="1" x14ac:dyDescent="0.3">
      <c r="A824" s="28"/>
      <c r="B824" s="35"/>
    </row>
    <row r="825" spans="1:2" hidden="1" x14ac:dyDescent="0.3">
      <c r="A825" s="28"/>
      <c r="B825" s="35"/>
    </row>
    <row r="826" spans="1:2" hidden="1" x14ac:dyDescent="0.3">
      <c r="A826" s="28"/>
      <c r="B826" s="35"/>
    </row>
    <row r="827" spans="1:2" hidden="1" x14ac:dyDescent="0.3">
      <c r="A827" s="28"/>
      <c r="B827" s="35"/>
    </row>
    <row r="828" spans="1:2" hidden="1" x14ac:dyDescent="0.3">
      <c r="A828" s="28"/>
      <c r="B828" s="35"/>
    </row>
    <row r="829" spans="1:2" hidden="1" x14ac:dyDescent="0.3">
      <c r="A829" s="28"/>
      <c r="B829" s="35"/>
    </row>
    <row r="830" spans="1:2" hidden="1" x14ac:dyDescent="0.3">
      <c r="A830" s="28"/>
      <c r="B830" s="35"/>
    </row>
    <row r="831" spans="1:2" hidden="1" x14ac:dyDescent="0.3">
      <c r="A831" s="28"/>
      <c r="B831" s="35"/>
    </row>
    <row r="832" spans="1:2" hidden="1" x14ac:dyDescent="0.3">
      <c r="A832" s="28"/>
      <c r="B832" s="35"/>
    </row>
    <row r="833" spans="1:2" hidden="1" x14ac:dyDescent="0.3">
      <c r="A833" s="28"/>
      <c r="B833" s="35"/>
    </row>
    <row r="834" spans="1:2" hidden="1" x14ac:dyDescent="0.3">
      <c r="A834" s="28"/>
      <c r="B834" s="35"/>
    </row>
    <row r="835" spans="1:2" hidden="1" x14ac:dyDescent="0.3">
      <c r="A835" s="28"/>
      <c r="B835" s="35"/>
    </row>
    <row r="836" spans="1:2" hidden="1" x14ac:dyDescent="0.3">
      <c r="A836" s="28"/>
      <c r="B836" s="35"/>
    </row>
    <row r="837" spans="1:2" hidden="1" x14ac:dyDescent="0.3">
      <c r="A837" s="28"/>
      <c r="B837" s="35"/>
    </row>
    <row r="838" spans="1:2" hidden="1" x14ac:dyDescent="0.3">
      <c r="A838" s="28"/>
      <c r="B838" s="35"/>
    </row>
    <row r="839" spans="1:2" hidden="1" x14ac:dyDescent="0.3">
      <c r="A839" s="28"/>
      <c r="B839" s="35"/>
    </row>
    <row r="840" spans="1:2" hidden="1" x14ac:dyDescent="0.3">
      <c r="A840" s="28"/>
      <c r="B840" s="35"/>
    </row>
    <row r="841" spans="1:2" hidden="1" x14ac:dyDescent="0.3">
      <c r="A841" s="28"/>
      <c r="B841" s="35"/>
    </row>
    <row r="842" spans="1:2" hidden="1" x14ac:dyDescent="0.3">
      <c r="A842" s="28"/>
      <c r="B842" s="35"/>
    </row>
    <row r="843" spans="1:2" hidden="1" x14ac:dyDescent="0.3">
      <c r="A843" s="28"/>
      <c r="B843" s="35"/>
    </row>
    <row r="844" spans="1:2" hidden="1" x14ac:dyDescent="0.3">
      <c r="A844" s="28"/>
      <c r="B844" s="35"/>
    </row>
    <row r="845" spans="1:2" hidden="1" x14ac:dyDescent="0.3">
      <c r="A845" s="28"/>
      <c r="B845" s="35"/>
    </row>
    <row r="846" spans="1:2" hidden="1" x14ac:dyDescent="0.3">
      <c r="A846" s="28"/>
      <c r="B846" s="35"/>
    </row>
    <row r="847" spans="1:2" hidden="1" x14ac:dyDescent="0.3">
      <c r="A847" s="28"/>
      <c r="B847" s="35"/>
    </row>
    <row r="848" spans="1:2" hidden="1" x14ac:dyDescent="0.3">
      <c r="A848" s="28"/>
      <c r="B848" s="35"/>
    </row>
    <row r="849" spans="1:2" hidden="1" x14ac:dyDescent="0.3">
      <c r="A849" s="28"/>
      <c r="B849" s="35"/>
    </row>
    <row r="850" spans="1:2" hidden="1" x14ac:dyDescent="0.3">
      <c r="A850" s="28"/>
      <c r="B850" s="35"/>
    </row>
    <row r="851" spans="1:2" hidden="1" x14ac:dyDescent="0.3">
      <c r="A851" s="28"/>
      <c r="B851" s="35"/>
    </row>
    <row r="852" spans="1:2" hidden="1" x14ac:dyDescent="0.3">
      <c r="A852" s="28"/>
      <c r="B852" s="35"/>
    </row>
    <row r="853" spans="1:2" hidden="1" x14ac:dyDescent="0.3">
      <c r="A853" s="28"/>
      <c r="B853" s="35"/>
    </row>
    <row r="854" spans="1:2" hidden="1" x14ac:dyDescent="0.3">
      <c r="A854" s="28"/>
      <c r="B854" s="35"/>
    </row>
    <row r="855" spans="1:2" hidden="1" x14ac:dyDescent="0.3">
      <c r="A855" s="28"/>
      <c r="B855" s="35"/>
    </row>
    <row r="856" spans="1:2" hidden="1" x14ac:dyDescent="0.3">
      <c r="A856" s="28"/>
      <c r="B856" s="35"/>
    </row>
    <row r="857" spans="1:2" hidden="1" x14ac:dyDescent="0.3">
      <c r="A857" s="28"/>
      <c r="B857" s="35"/>
    </row>
    <row r="858" spans="1:2" hidden="1" x14ac:dyDescent="0.3">
      <c r="A858" s="28"/>
      <c r="B858" s="35"/>
    </row>
    <row r="859" spans="1:2" hidden="1" x14ac:dyDescent="0.3">
      <c r="A859" s="28"/>
      <c r="B859" s="35"/>
    </row>
    <row r="860" spans="1:2" hidden="1" x14ac:dyDescent="0.3">
      <c r="A860" s="28"/>
      <c r="B860" s="35"/>
    </row>
    <row r="861" spans="1:2" hidden="1" x14ac:dyDescent="0.3">
      <c r="A861" s="28"/>
      <c r="B861" s="35"/>
    </row>
    <row r="862" spans="1:2" hidden="1" x14ac:dyDescent="0.3">
      <c r="A862" s="28"/>
      <c r="B862" s="35"/>
    </row>
    <row r="863" spans="1:2" hidden="1" x14ac:dyDescent="0.3">
      <c r="A863" s="28"/>
      <c r="B863" s="35"/>
    </row>
    <row r="864" spans="1:2" hidden="1" x14ac:dyDescent="0.3">
      <c r="A864" s="28"/>
      <c r="B864" s="35"/>
    </row>
    <row r="865" spans="1:2" hidden="1" x14ac:dyDescent="0.3">
      <c r="A865" s="28"/>
      <c r="B865" s="35"/>
    </row>
    <row r="866" spans="1:2" hidden="1" x14ac:dyDescent="0.3">
      <c r="A866" s="28"/>
      <c r="B866" s="35"/>
    </row>
    <row r="867" spans="1:2" hidden="1" x14ac:dyDescent="0.3">
      <c r="A867" s="28"/>
      <c r="B867" s="35"/>
    </row>
    <row r="868" spans="1:2" hidden="1" x14ac:dyDescent="0.3">
      <c r="A868" s="28"/>
      <c r="B868" s="35"/>
    </row>
    <row r="869" spans="1:2" hidden="1" x14ac:dyDescent="0.3">
      <c r="A869" s="28"/>
      <c r="B869" s="35"/>
    </row>
    <row r="870" spans="1:2" hidden="1" x14ac:dyDescent="0.3">
      <c r="A870" s="28"/>
      <c r="B870" s="35"/>
    </row>
    <row r="871" spans="1:2" hidden="1" x14ac:dyDescent="0.3">
      <c r="A871" s="28"/>
      <c r="B871" s="35"/>
    </row>
    <row r="872" spans="1:2" hidden="1" x14ac:dyDescent="0.3">
      <c r="A872" s="28"/>
      <c r="B872" s="35"/>
    </row>
    <row r="873" spans="1:2" hidden="1" x14ac:dyDescent="0.3">
      <c r="A873" s="28"/>
      <c r="B873" s="35"/>
    </row>
    <row r="874" spans="1:2" hidden="1" x14ac:dyDescent="0.3">
      <c r="A874" s="28"/>
      <c r="B874" s="35"/>
    </row>
    <row r="875" spans="1:2" hidden="1" x14ac:dyDescent="0.3">
      <c r="A875" s="28"/>
      <c r="B875" s="35"/>
    </row>
    <row r="876" spans="1:2" hidden="1" x14ac:dyDescent="0.3">
      <c r="A876" s="28"/>
      <c r="B876" s="35"/>
    </row>
    <row r="877" spans="1:2" hidden="1" x14ac:dyDescent="0.3">
      <c r="A877" s="28"/>
      <c r="B877" s="35"/>
    </row>
    <row r="878" spans="1:2" hidden="1" x14ac:dyDescent="0.3">
      <c r="A878" s="28"/>
      <c r="B878" s="35"/>
    </row>
    <row r="879" spans="1:2" hidden="1" x14ac:dyDescent="0.3">
      <c r="A879" s="28"/>
      <c r="B879" s="35"/>
    </row>
    <row r="880" spans="1:2" hidden="1" x14ac:dyDescent="0.3">
      <c r="A880" s="28"/>
      <c r="B880" s="35"/>
    </row>
    <row r="881" spans="1:2" hidden="1" x14ac:dyDescent="0.3">
      <c r="A881" s="28"/>
      <c r="B881" s="35"/>
    </row>
    <row r="882" spans="1:2" hidden="1" x14ac:dyDescent="0.3">
      <c r="A882" s="28"/>
      <c r="B882" s="35"/>
    </row>
    <row r="883" spans="1:2" hidden="1" x14ac:dyDescent="0.3">
      <c r="A883" s="28"/>
      <c r="B883" s="35"/>
    </row>
    <row r="884" spans="1:2" hidden="1" x14ac:dyDescent="0.3">
      <c r="A884" s="28"/>
      <c r="B884" s="35"/>
    </row>
    <row r="885" spans="1:2" hidden="1" x14ac:dyDescent="0.3">
      <c r="A885" s="28"/>
      <c r="B885" s="35"/>
    </row>
    <row r="886" spans="1:2" hidden="1" x14ac:dyDescent="0.3">
      <c r="A886" s="28"/>
      <c r="B886" s="35"/>
    </row>
    <row r="887" spans="1:2" hidden="1" x14ac:dyDescent="0.3">
      <c r="A887" s="28"/>
      <c r="B887" s="35"/>
    </row>
    <row r="888" spans="1:2" hidden="1" x14ac:dyDescent="0.3">
      <c r="A888" s="28"/>
      <c r="B888" s="35"/>
    </row>
    <row r="889" spans="1:2" hidden="1" x14ac:dyDescent="0.3">
      <c r="A889" s="28"/>
      <c r="B889" s="35"/>
    </row>
    <row r="890" spans="1:2" hidden="1" x14ac:dyDescent="0.3">
      <c r="A890" s="28"/>
      <c r="B890" s="35"/>
    </row>
    <row r="891" spans="1:2" hidden="1" x14ac:dyDescent="0.3">
      <c r="A891" s="28"/>
      <c r="B891" s="35"/>
    </row>
    <row r="892" spans="1:2" hidden="1" x14ac:dyDescent="0.3">
      <c r="A892" s="28"/>
      <c r="B892" s="35"/>
    </row>
    <row r="893" spans="1:2" hidden="1" x14ac:dyDescent="0.3">
      <c r="A893" s="28"/>
      <c r="B893" s="35"/>
    </row>
    <row r="894" spans="1:2" hidden="1" x14ac:dyDescent="0.3">
      <c r="A894" s="28"/>
      <c r="B894" s="35"/>
    </row>
    <row r="895" spans="1:2" hidden="1" x14ac:dyDescent="0.3">
      <c r="A895" s="28"/>
      <c r="B895" s="35"/>
    </row>
    <row r="896" spans="1:2" hidden="1" x14ac:dyDescent="0.3">
      <c r="A896" s="28"/>
      <c r="B896" s="35"/>
    </row>
    <row r="897" spans="1:2" hidden="1" x14ac:dyDescent="0.3">
      <c r="A897" s="28"/>
      <c r="B897" s="35"/>
    </row>
    <row r="898" spans="1:2" hidden="1" x14ac:dyDescent="0.3">
      <c r="A898" s="28"/>
      <c r="B898" s="35"/>
    </row>
    <row r="899" spans="1:2" hidden="1" x14ac:dyDescent="0.3">
      <c r="A899" s="28"/>
      <c r="B899" s="35"/>
    </row>
    <row r="900" spans="1:2" hidden="1" x14ac:dyDescent="0.3">
      <c r="A900" s="28"/>
      <c r="B900" s="35"/>
    </row>
    <row r="901" spans="1:2" hidden="1" x14ac:dyDescent="0.3">
      <c r="A901" s="28"/>
      <c r="B901" s="35"/>
    </row>
    <row r="902" spans="1:2" hidden="1" x14ac:dyDescent="0.3">
      <c r="A902" s="28"/>
      <c r="B902" s="35"/>
    </row>
    <row r="903" spans="1:2" hidden="1" x14ac:dyDescent="0.3">
      <c r="A903" s="28"/>
      <c r="B903" s="35"/>
    </row>
    <row r="904" spans="1:2" hidden="1" x14ac:dyDescent="0.3">
      <c r="A904" s="28"/>
      <c r="B904" s="35"/>
    </row>
    <row r="905" spans="1:2" hidden="1" x14ac:dyDescent="0.3">
      <c r="A905" s="28"/>
      <c r="B905" s="35"/>
    </row>
    <row r="906" spans="1:2" hidden="1" x14ac:dyDescent="0.3">
      <c r="A906" s="28"/>
      <c r="B906" s="35"/>
    </row>
    <row r="907" spans="1:2" hidden="1" x14ac:dyDescent="0.3">
      <c r="A907" s="28"/>
      <c r="B907" s="35"/>
    </row>
    <row r="908" spans="1:2" hidden="1" x14ac:dyDescent="0.3">
      <c r="A908" s="28"/>
      <c r="B908" s="35"/>
    </row>
    <row r="909" spans="1:2" hidden="1" x14ac:dyDescent="0.3">
      <c r="A909" s="28"/>
      <c r="B909" s="35"/>
    </row>
    <row r="910" spans="1:2" hidden="1" x14ac:dyDescent="0.3">
      <c r="A910" s="28"/>
      <c r="B910" s="35"/>
    </row>
    <row r="911" spans="1:2" hidden="1" x14ac:dyDescent="0.3">
      <c r="A911" s="28"/>
      <c r="B911" s="35"/>
    </row>
    <row r="912" spans="1:2" hidden="1" x14ac:dyDescent="0.3">
      <c r="A912" s="28"/>
      <c r="B912" s="35"/>
    </row>
    <row r="913" spans="1:2" hidden="1" x14ac:dyDescent="0.3">
      <c r="A913" s="28"/>
      <c r="B913" s="35"/>
    </row>
    <row r="914" spans="1:2" hidden="1" x14ac:dyDescent="0.3">
      <c r="A914" s="28"/>
      <c r="B914" s="35"/>
    </row>
    <row r="915" spans="1:2" hidden="1" x14ac:dyDescent="0.3">
      <c r="A915" s="28"/>
      <c r="B915" s="35"/>
    </row>
    <row r="916" spans="1:2" hidden="1" x14ac:dyDescent="0.3">
      <c r="A916" s="28"/>
      <c r="B916" s="35"/>
    </row>
    <row r="917" spans="1:2" hidden="1" x14ac:dyDescent="0.3">
      <c r="A917" s="28"/>
      <c r="B917" s="35"/>
    </row>
    <row r="918" spans="1:2" hidden="1" x14ac:dyDescent="0.3">
      <c r="A918" s="28"/>
      <c r="B918" s="35"/>
    </row>
    <row r="919" spans="1:2" hidden="1" x14ac:dyDescent="0.3">
      <c r="A919" s="28"/>
      <c r="B919" s="35"/>
    </row>
    <row r="920" spans="1:2" hidden="1" x14ac:dyDescent="0.3">
      <c r="A920" s="28"/>
      <c r="B920" s="35"/>
    </row>
    <row r="921" spans="1:2" hidden="1" x14ac:dyDescent="0.3">
      <c r="A921" s="28"/>
      <c r="B921" s="35"/>
    </row>
    <row r="922" spans="1:2" hidden="1" x14ac:dyDescent="0.3">
      <c r="A922" s="28"/>
      <c r="B922" s="35"/>
    </row>
    <row r="923" spans="1:2" hidden="1" x14ac:dyDescent="0.3">
      <c r="A923" s="28"/>
      <c r="B923" s="35"/>
    </row>
    <row r="924" spans="1:2" hidden="1" x14ac:dyDescent="0.3">
      <c r="A924" s="28"/>
      <c r="B924" s="35"/>
    </row>
    <row r="925" spans="1:2" hidden="1" x14ac:dyDescent="0.3">
      <c r="A925" s="28"/>
      <c r="B925" s="35"/>
    </row>
    <row r="926" spans="1:2" hidden="1" x14ac:dyDescent="0.3">
      <c r="A926" s="28"/>
      <c r="B926" s="35"/>
    </row>
    <row r="927" spans="1:2" hidden="1" x14ac:dyDescent="0.3">
      <c r="A927" s="28"/>
      <c r="B927" s="35"/>
    </row>
    <row r="928" spans="1:2" hidden="1" x14ac:dyDescent="0.3">
      <c r="A928" s="28"/>
      <c r="B928" s="35"/>
    </row>
    <row r="929" spans="1:2" hidden="1" x14ac:dyDescent="0.3">
      <c r="A929" s="28"/>
      <c r="B929" s="35"/>
    </row>
    <row r="930" spans="1:2" hidden="1" x14ac:dyDescent="0.3">
      <c r="A930" s="28"/>
      <c r="B930" s="35"/>
    </row>
    <row r="931" spans="1:2" hidden="1" x14ac:dyDescent="0.3">
      <c r="A931" s="28"/>
      <c r="B931" s="35"/>
    </row>
    <row r="932" spans="1:2" hidden="1" x14ac:dyDescent="0.3">
      <c r="A932" s="28"/>
      <c r="B932" s="35"/>
    </row>
    <row r="933" spans="1:2" hidden="1" x14ac:dyDescent="0.3">
      <c r="A933" s="28"/>
      <c r="B933" s="35"/>
    </row>
    <row r="934" spans="1:2" hidden="1" x14ac:dyDescent="0.3">
      <c r="A934" s="28"/>
      <c r="B934" s="35"/>
    </row>
    <row r="935" spans="1:2" hidden="1" x14ac:dyDescent="0.3">
      <c r="A935" s="28"/>
      <c r="B935" s="35"/>
    </row>
    <row r="936" spans="1:2" hidden="1" x14ac:dyDescent="0.3">
      <c r="A936" s="28"/>
      <c r="B936" s="35"/>
    </row>
    <row r="937" spans="1:2" hidden="1" x14ac:dyDescent="0.3">
      <c r="A937" s="28"/>
      <c r="B937" s="35"/>
    </row>
    <row r="938" spans="1:2" hidden="1" x14ac:dyDescent="0.3">
      <c r="A938" s="28"/>
      <c r="B938" s="35"/>
    </row>
    <row r="939" spans="1:2" hidden="1" x14ac:dyDescent="0.3">
      <c r="A939" s="28"/>
      <c r="B939" s="35"/>
    </row>
    <row r="940" spans="1:2" hidden="1" x14ac:dyDescent="0.3">
      <c r="A940" s="28"/>
      <c r="B940" s="35"/>
    </row>
    <row r="941" spans="1:2" hidden="1" x14ac:dyDescent="0.3">
      <c r="A941" s="28"/>
      <c r="B941" s="35"/>
    </row>
    <row r="942" spans="1:2" hidden="1" x14ac:dyDescent="0.3">
      <c r="A942" s="28"/>
      <c r="B942" s="35"/>
    </row>
    <row r="943" spans="1:2" hidden="1" x14ac:dyDescent="0.3">
      <c r="A943" s="28"/>
      <c r="B943" s="35"/>
    </row>
    <row r="944" spans="1:2" hidden="1" x14ac:dyDescent="0.3">
      <c r="A944" s="28"/>
      <c r="B944" s="35"/>
    </row>
    <row r="945" spans="1:2" hidden="1" x14ac:dyDescent="0.3">
      <c r="A945" s="28"/>
      <c r="B945" s="35"/>
    </row>
    <row r="946" spans="1:2" hidden="1" x14ac:dyDescent="0.3">
      <c r="A946" s="28"/>
      <c r="B946" s="35"/>
    </row>
    <row r="947" spans="1:2" hidden="1" x14ac:dyDescent="0.3">
      <c r="A947" s="28"/>
      <c r="B947" s="35"/>
    </row>
    <row r="948" spans="1:2" hidden="1" x14ac:dyDescent="0.3">
      <c r="A948" s="28"/>
      <c r="B948" s="35"/>
    </row>
    <row r="949" spans="1:2" hidden="1" x14ac:dyDescent="0.3">
      <c r="A949" s="28"/>
      <c r="B949" s="35"/>
    </row>
    <row r="950" spans="1:2" hidden="1" x14ac:dyDescent="0.3">
      <c r="A950" s="28"/>
      <c r="B950" s="35"/>
    </row>
    <row r="951" spans="1:2" hidden="1" x14ac:dyDescent="0.3">
      <c r="A951" s="28"/>
      <c r="B951" s="35"/>
    </row>
    <row r="952" spans="1:2" hidden="1" x14ac:dyDescent="0.3">
      <c r="A952" s="28"/>
      <c r="B952" s="35"/>
    </row>
    <row r="953" spans="1:2" hidden="1" x14ac:dyDescent="0.3">
      <c r="A953" s="28"/>
      <c r="B953" s="35"/>
    </row>
    <row r="954" spans="1:2" hidden="1" x14ac:dyDescent="0.3">
      <c r="A954" s="28"/>
      <c r="B954" s="35"/>
    </row>
    <row r="955" spans="1:2" hidden="1" x14ac:dyDescent="0.3">
      <c r="A955" s="28"/>
      <c r="B955" s="35"/>
    </row>
    <row r="956" spans="1:2" hidden="1" x14ac:dyDescent="0.3">
      <c r="A956" s="28"/>
      <c r="B956" s="35"/>
    </row>
    <row r="957" spans="1:2" hidden="1" x14ac:dyDescent="0.3">
      <c r="A957" s="28"/>
      <c r="B957" s="35"/>
    </row>
    <row r="958" spans="1:2" hidden="1" x14ac:dyDescent="0.3">
      <c r="A958" s="28"/>
      <c r="B958" s="35"/>
    </row>
    <row r="959" spans="1:2" hidden="1" x14ac:dyDescent="0.3">
      <c r="A959" s="28"/>
      <c r="B959" s="35"/>
    </row>
    <row r="960" spans="1:2" hidden="1" x14ac:dyDescent="0.3">
      <c r="A960" s="28"/>
      <c r="B960" s="35"/>
    </row>
    <row r="961" spans="1:2" hidden="1" x14ac:dyDescent="0.3">
      <c r="A961" s="28"/>
      <c r="B961" s="35"/>
    </row>
    <row r="962" spans="1:2" hidden="1" x14ac:dyDescent="0.3">
      <c r="A962" s="28"/>
      <c r="B962" s="35"/>
    </row>
    <row r="963" spans="1:2" hidden="1" x14ac:dyDescent="0.3">
      <c r="A963" s="28"/>
      <c r="B963" s="35"/>
    </row>
    <row r="964" spans="1:2" hidden="1" x14ac:dyDescent="0.3">
      <c r="A964" s="28"/>
      <c r="B964" s="35"/>
    </row>
    <row r="965" spans="1:2" hidden="1" x14ac:dyDescent="0.3">
      <c r="A965" s="28"/>
      <c r="B965" s="35"/>
    </row>
    <row r="966" spans="1:2" hidden="1" x14ac:dyDescent="0.3">
      <c r="A966" s="28"/>
      <c r="B966" s="35"/>
    </row>
    <row r="967" spans="1:2" hidden="1" x14ac:dyDescent="0.3">
      <c r="A967" s="28"/>
      <c r="B967" s="35"/>
    </row>
    <row r="968" spans="1:2" hidden="1" x14ac:dyDescent="0.3">
      <c r="A968" s="28"/>
      <c r="B968" s="35"/>
    </row>
    <row r="969" spans="1:2" hidden="1" x14ac:dyDescent="0.3">
      <c r="A969" s="28"/>
      <c r="B969" s="35"/>
    </row>
    <row r="970" spans="1:2" hidden="1" x14ac:dyDescent="0.3">
      <c r="A970" s="28"/>
      <c r="B970" s="35"/>
    </row>
    <row r="971" spans="1:2" hidden="1" x14ac:dyDescent="0.3">
      <c r="A971" s="28"/>
      <c r="B971" s="35"/>
    </row>
    <row r="972" spans="1:2" hidden="1" x14ac:dyDescent="0.3">
      <c r="A972" s="28"/>
      <c r="B972" s="35"/>
    </row>
    <row r="973" spans="1:2" hidden="1" x14ac:dyDescent="0.3">
      <c r="A973" s="28"/>
      <c r="B973" s="35"/>
    </row>
    <row r="974" spans="1:2" hidden="1" x14ac:dyDescent="0.3">
      <c r="A974" s="28"/>
      <c r="B974" s="35"/>
    </row>
    <row r="975" spans="1:2" hidden="1" x14ac:dyDescent="0.3">
      <c r="A975" s="28"/>
      <c r="B975" s="35"/>
    </row>
    <row r="976" spans="1:2" hidden="1" x14ac:dyDescent="0.3">
      <c r="A976" s="28"/>
      <c r="B976" s="35"/>
    </row>
    <row r="977" spans="1:2" hidden="1" x14ac:dyDescent="0.3">
      <c r="A977" s="28"/>
      <c r="B977" s="35"/>
    </row>
    <row r="978" spans="1:2" hidden="1" x14ac:dyDescent="0.3">
      <c r="A978" s="28"/>
      <c r="B978" s="35"/>
    </row>
    <row r="979" spans="1:2" hidden="1" x14ac:dyDescent="0.3">
      <c r="A979" s="28"/>
      <c r="B979" s="35"/>
    </row>
    <row r="980" spans="1:2" hidden="1" x14ac:dyDescent="0.3">
      <c r="A980" s="28"/>
      <c r="B980" s="35"/>
    </row>
    <row r="981" spans="1:2" hidden="1" x14ac:dyDescent="0.3">
      <c r="A981" s="28"/>
      <c r="B981" s="35"/>
    </row>
    <row r="982" spans="1:2" hidden="1" x14ac:dyDescent="0.3">
      <c r="A982" s="28"/>
      <c r="B982" s="35"/>
    </row>
    <row r="983" spans="1:2" hidden="1" x14ac:dyDescent="0.3">
      <c r="A983" s="28"/>
      <c r="B983" s="35"/>
    </row>
    <row r="984" spans="1:2" hidden="1" x14ac:dyDescent="0.3">
      <c r="A984" s="28"/>
      <c r="B984" s="35"/>
    </row>
    <row r="985" spans="1:2" hidden="1" x14ac:dyDescent="0.3">
      <c r="A985" s="28"/>
      <c r="B985" s="35"/>
    </row>
    <row r="986" spans="1:2" hidden="1" x14ac:dyDescent="0.3">
      <c r="A986" s="28"/>
      <c r="B986" s="35"/>
    </row>
    <row r="987" spans="1:2" hidden="1" x14ac:dyDescent="0.3">
      <c r="A987" s="28"/>
      <c r="B987" s="35"/>
    </row>
    <row r="988" spans="1:2" hidden="1" x14ac:dyDescent="0.3">
      <c r="A988" s="28"/>
      <c r="B988" s="35"/>
    </row>
    <row r="989" spans="1:2" hidden="1" x14ac:dyDescent="0.3">
      <c r="A989" s="28"/>
      <c r="B989" s="35"/>
    </row>
    <row r="990" spans="1:2" hidden="1" x14ac:dyDescent="0.3">
      <c r="A990" s="28"/>
      <c r="B990" s="35"/>
    </row>
    <row r="991" spans="1:2" hidden="1" x14ac:dyDescent="0.3">
      <c r="A991" s="28"/>
      <c r="B991" s="35"/>
    </row>
    <row r="992" spans="1:2" hidden="1" x14ac:dyDescent="0.3">
      <c r="A992" s="28"/>
      <c r="B992" s="35"/>
    </row>
    <row r="993" spans="1:2" hidden="1" x14ac:dyDescent="0.3">
      <c r="A993" s="28"/>
      <c r="B993" s="35"/>
    </row>
    <row r="994" spans="1:2" hidden="1" x14ac:dyDescent="0.3">
      <c r="A994" s="28"/>
      <c r="B994" s="35"/>
    </row>
    <row r="995" spans="1:2" hidden="1" x14ac:dyDescent="0.3">
      <c r="A995" s="28"/>
      <c r="B995" s="35"/>
    </row>
    <row r="996" spans="1:2" hidden="1" x14ac:dyDescent="0.3">
      <c r="A996" s="28"/>
      <c r="B996" s="35"/>
    </row>
    <row r="997" spans="1:2" hidden="1" x14ac:dyDescent="0.3">
      <c r="A997" s="28"/>
      <c r="B997" s="35"/>
    </row>
    <row r="998" spans="1:2" hidden="1" x14ac:dyDescent="0.3">
      <c r="A998" s="28"/>
      <c r="B998" s="35"/>
    </row>
    <row r="999" spans="1:2" hidden="1" x14ac:dyDescent="0.3">
      <c r="A999" s="28"/>
      <c r="B999" s="35"/>
    </row>
    <row r="1000" spans="1:2" hidden="1" x14ac:dyDescent="0.3">
      <c r="A1000" s="28"/>
      <c r="B1000" s="35"/>
    </row>
    <row r="1001" spans="1:2" hidden="1" x14ac:dyDescent="0.3">
      <c r="A1001" s="28"/>
      <c r="B1001" s="35"/>
    </row>
    <row r="1002" spans="1:2" hidden="1" x14ac:dyDescent="0.3">
      <c r="A1002" s="28"/>
      <c r="B1002" s="35"/>
    </row>
    <row r="1003" spans="1:2" hidden="1" x14ac:dyDescent="0.3">
      <c r="A1003" s="28"/>
      <c r="B1003" s="35"/>
    </row>
    <row r="1004" spans="1:2" hidden="1" x14ac:dyDescent="0.3">
      <c r="A1004" s="28"/>
      <c r="B1004" s="35"/>
    </row>
    <row r="1005" spans="1:2" hidden="1" x14ac:dyDescent="0.3">
      <c r="A1005" s="28"/>
      <c r="B1005" s="35"/>
    </row>
    <row r="1006" spans="1:2" hidden="1" x14ac:dyDescent="0.3">
      <c r="A1006" s="28"/>
      <c r="B1006" s="35"/>
    </row>
    <row r="1007" spans="1:2" hidden="1" x14ac:dyDescent="0.3">
      <c r="A1007" s="28"/>
      <c r="B1007" s="35"/>
    </row>
    <row r="1008" spans="1:2" hidden="1" x14ac:dyDescent="0.3">
      <c r="A1008" s="28"/>
      <c r="B1008" s="35"/>
    </row>
    <row r="1009" spans="1:2" hidden="1" x14ac:dyDescent="0.3">
      <c r="A1009" s="28"/>
      <c r="B1009" s="35"/>
    </row>
    <row r="1010" spans="1:2" hidden="1" x14ac:dyDescent="0.3">
      <c r="A1010" s="28"/>
      <c r="B1010" s="35"/>
    </row>
    <row r="1011" spans="1:2" hidden="1" x14ac:dyDescent="0.3">
      <c r="A1011" s="28"/>
      <c r="B1011" s="35"/>
    </row>
    <row r="1012" spans="1:2" hidden="1" x14ac:dyDescent="0.3">
      <c r="A1012" s="28"/>
      <c r="B1012" s="35"/>
    </row>
    <row r="1013" spans="1:2" hidden="1" x14ac:dyDescent="0.3">
      <c r="A1013" s="28"/>
      <c r="B1013" s="35"/>
    </row>
    <row r="1014" spans="1:2" hidden="1" x14ac:dyDescent="0.3">
      <c r="A1014" s="28"/>
      <c r="B1014" s="35"/>
    </row>
    <row r="1015" spans="1:2" hidden="1" x14ac:dyDescent="0.3">
      <c r="A1015" s="28"/>
      <c r="B1015" s="35"/>
    </row>
    <row r="1016" spans="1:2" hidden="1" x14ac:dyDescent="0.3">
      <c r="A1016" s="28"/>
      <c r="B1016" s="35"/>
    </row>
    <row r="1017" spans="1:2" hidden="1" x14ac:dyDescent="0.3">
      <c r="A1017" s="28"/>
      <c r="B1017" s="35"/>
    </row>
    <row r="1018" spans="1:2" hidden="1" x14ac:dyDescent="0.3">
      <c r="A1018" s="28"/>
      <c r="B1018" s="35"/>
    </row>
    <row r="1019" spans="1:2" hidden="1" x14ac:dyDescent="0.3">
      <c r="A1019" s="28"/>
      <c r="B1019" s="35"/>
    </row>
    <row r="1020" spans="1:2" hidden="1" x14ac:dyDescent="0.3">
      <c r="A1020" s="28"/>
      <c r="B1020" s="35"/>
    </row>
    <row r="1021" spans="1:2" hidden="1" x14ac:dyDescent="0.3">
      <c r="A1021" s="28"/>
      <c r="B1021" s="35"/>
    </row>
    <row r="1022" spans="1:2" hidden="1" x14ac:dyDescent="0.3">
      <c r="A1022" s="28"/>
      <c r="B1022" s="35"/>
    </row>
    <row r="1023" spans="1:2" hidden="1" x14ac:dyDescent="0.3">
      <c r="A1023" s="28"/>
      <c r="B1023" s="35"/>
    </row>
    <row r="1024" spans="1:2" hidden="1" x14ac:dyDescent="0.3">
      <c r="A1024" s="28"/>
      <c r="B1024" s="35"/>
    </row>
    <row r="1025" spans="1:2" hidden="1" x14ac:dyDescent="0.3">
      <c r="A1025" s="28"/>
      <c r="B1025" s="35"/>
    </row>
    <row r="1026" spans="1:2" hidden="1" x14ac:dyDescent="0.3">
      <c r="A1026" s="28"/>
      <c r="B1026" s="35"/>
    </row>
    <row r="1027" spans="1:2" hidden="1" x14ac:dyDescent="0.3">
      <c r="A1027" s="28"/>
      <c r="B1027" s="35"/>
    </row>
    <row r="1028" spans="1:2" hidden="1" x14ac:dyDescent="0.3">
      <c r="A1028" s="28"/>
      <c r="B1028" s="35"/>
    </row>
    <row r="1029" spans="1:2" hidden="1" x14ac:dyDescent="0.3">
      <c r="A1029" s="28"/>
      <c r="B1029" s="35"/>
    </row>
    <row r="1030" spans="1:2" hidden="1" x14ac:dyDescent="0.3">
      <c r="A1030" s="28"/>
      <c r="B1030" s="35"/>
    </row>
    <row r="1031" spans="1:2" hidden="1" x14ac:dyDescent="0.3">
      <c r="A1031" s="28"/>
      <c r="B1031" s="35"/>
    </row>
    <row r="1032" spans="1:2" hidden="1" x14ac:dyDescent="0.3">
      <c r="A1032" s="28"/>
      <c r="B1032" s="35"/>
    </row>
    <row r="1033" spans="1:2" hidden="1" x14ac:dyDescent="0.3">
      <c r="A1033" s="28"/>
      <c r="B1033" s="35"/>
    </row>
    <row r="1034" spans="1:2" hidden="1" x14ac:dyDescent="0.3">
      <c r="A1034" s="28"/>
      <c r="B1034" s="35"/>
    </row>
    <row r="1035" spans="1:2" hidden="1" x14ac:dyDescent="0.3">
      <c r="A1035" s="28"/>
      <c r="B1035" s="35"/>
    </row>
    <row r="1036" spans="1:2" hidden="1" x14ac:dyDescent="0.3">
      <c r="A1036" s="28"/>
      <c r="B1036" s="35"/>
    </row>
    <row r="1037" spans="1:2" hidden="1" x14ac:dyDescent="0.3">
      <c r="A1037" s="28"/>
      <c r="B1037" s="35"/>
    </row>
    <row r="1038" spans="1:2" hidden="1" x14ac:dyDescent="0.3">
      <c r="A1038" s="28"/>
      <c r="B1038" s="35"/>
    </row>
    <row r="1039" spans="1:2" hidden="1" x14ac:dyDescent="0.3">
      <c r="A1039" s="28"/>
      <c r="B1039" s="35"/>
    </row>
    <row r="1040" spans="1:2" hidden="1" x14ac:dyDescent="0.3">
      <c r="A1040" s="28"/>
      <c r="B1040" s="35"/>
    </row>
    <row r="1041" spans="1:2" hidden="1" x14ac:dyDescent="0.3">
      <c r="A1041" s="28"/>
      <c r="B1041" s="35"/>
    </row>
    <row r="1042" spans="1:2" hidden="1" x14ac:dyDescent="0.3">
      <c r="A1042" s="28"/>
      <c r="B1042" s="35"/>
    </row>
    <row r="1043" spans="1:2" hidden="1" x14ac:dyDescent="0.3">
      <c r="A1043" s="28"/>
      <c r="B1043" s="35"/>
    </row>
    <row r="1044" spans="1:2" hidden="1" x14ac:dyDescent="0.3">
      <c r="A1044" s="28"/>
      <c r="B1044" s="35"/>
    </row>
    <row r="1045" spans="1:2" hidden="1" x14ac:dyDescent="0.3">
      <c r="A1045" s="28"/>
      <c r="B1045" s="35"/>
    </row>
    <row r="1046" spans="1:2" hidden="1" x14ac:dyDescent="0.3">
      <c r="A1046" s="28"/>
      <c r="B1046" s="35"/>
    </row>
    <row r="1047" spans="1:2" hidden="1" x14ac:dyDescent="0.3">
      <c r="A1047" s="28"/>
      <c r="B1047" s="35"/>
    </row>
    <row r="1048" spans="1:2" hidden="1" x14ac:dyDescent="0.3">
      <c r="A1048" s="28"/>
      <c r="B1048" s="35"/>
    </row>
    <row r="1049" spans="1:2" hidden="1" x14ac:dyDescent="0.3">
      <c r="A1049" s="28"/>
      <c r="B1049" s="35"/>
    </row>
    <row r="1050" spans="1:2" hidden="1" x14ac:dyDescent="0.3">
      <c r="A1050" s="28"/>
      <c r="B1050" s="35"/>
    </row>
    <row r="1051" spans="1:2" hidden="1" x14ac:dyDescent="0.3">
      <c r="A1051" s="28"/>
      <c r="B1051" s="35"/>
    </row>
    <row r="1052" spans="1:2" hidden="1" x14ac:dyDescent="0.3">
      <c r="A1052" s="28"/>
      <c r="B1052" s="35"/>
    </row>
    <row r="1053" spans="1:2" hidden="1" x14ac:dyDescent="0.3">
      <c r="A1053" s="28"/>
      <c r="B1053" s="35"/>
    </row>
    <row r="1054" spans="1:2" hidden="1" x14ac:dyDescent="0.3">
      <c r="A1054" s="28"/>
      <c r="B1054" s="35"/>
    </row>
    <row r="1055" spans="1:2" hidden="1" x14ac:dyDescent="0.3">
      <c r="A1055" s="28"/>
      <c r="B1055" s="35"/>
    </row>
    <row r="1056" spans="1:2" hidden="1" x14ac:dyDescent="0.3">
      <c r="A1056" s="28"/>
      <c r="B1056" s="35"/>
    </row>
    <row r="1057" spans="1:2" hidden="1" x14ac:dyDescent="0.3">
      <c r="A1057" s="28"/>
      <c r="B1057" s="35"/>
    </row>
    <row r="1058" spans="1:2" hidden="1" x14ac:dyDescent="0.3">
      <c r="A1058" s="28"/>
      <c r="B1058" s="35"/>
    </row>
    <row r="1059" spans="1:2" hidden="1" x14ac:dyDescent="0.3">
      <c r="A1059" s="28"/>
      <c r="B1059" s="35"/>
    </row>
    <row r="1060" spans="1:2" hidden="1" x14ac:dyDescent="0.3">
      <c r="A1060" s="28"/>
      <c r="B1060" s="35"/>
    </row>
    <row r="1061" spans="1:2" hidden="1" x14ac:dyDescent="0.3">
      <c r="A1061" s="28"/>
      <c r="B1061" s="35"/>
    </row>
    <row r="1062" spans="1:2" hidden="1" x14ac:dyDescent="0.3">
      <c r="A1062" s="28"/>
      <c r="B1062" s="35"/>
    </row>
    <row r="1063" spans="1:2" hidden="1" x14ac:dyDescent="0.3">
      <c r="A1063" s="28"/>
      <c r="B1063" s="35"/>
    </row>
    <row r="1064" spans="1:2" hidden="1" x14ac:dyDescent="0.3">
      <c r="A1064" s="28"/>
      <c r="B1064" s="35"/>
    </row>
    <row r="1065" spans="1:2" hidden="1" x14ac:dyDescent="0.3">
      <c r="A1065" s="28"/>
      <c r="B1065" s="35"/>
    </row>
    <row r="1066" spans="1:2" hidden="1" x14ac:dyDescent="0.3">
      <c r="A1066" s="28"/>
      <c r="B1066" s="35"/>
    </row>
    <row r="1067" spans="1:2" hidden="1" x14ac:dyDescent="0.3">
      <c r="A1067" s="28"/>
      <c r="B1067" s="35"/>
    </row>
    <row r="1068" spans="1:2" hidden="1" x14ac:dyDescent="0.3">
      <c r="A1068" s="28"/>
      <c r="B1068" s="35"/>
    </row>
    <row r="1069" spans="1:2" hidden="1" x14ac:dyDescent="0.3">
      <c r="A1069" s="28"/>
      <c r="B1069" s="35"/>
    </row>
    <row r="1070" spans="1:2" hidden="1" x14ac:dyDescent="0.3">
      <c r="A1070" s="28"/>
      <c r="B1070" s="35"/>
    </row>
    <row r="1071" spans="1:2" hidden="1" x14ac:dyDescent="0.3">
      <c r="A1071" s="28"/>
      <c r="B1071" s="35"/>
    </row>
    <row r="1072" spans="1:2" hidden="1" x14ac:dyDescent="0.3">
      <c r="A1072" s="28"/>
      <c r="B1072" s="35"/>
    </row>
    <row r="1073" spans="1:2" hidden="1" x14ac:dyDescent="0.3">
      <c r="A1073" s="28"/>
      <c r="B1073" s="35"/>
    </row>
    <row r="1074" spans="1:2" hidden="1" x14ac:dyDescent="0.3">
      <c r="A1074" s="28"/>
      <c r="B1074" s="35"/>
    </row>
    <row r="1075" spans="1:2" hidden="1" x14ac:dyDescent="0.3">
      <c r="A1075" s="28"/>
      <c r="B1075" s="35"/>
    </row>
    <row r="1076" spans="1:2" hidden="1" x14ac:dyDescent="0.3">
      <c r="A1076" s="28"/>
      <c r="B1076" s="35"/>
    </row>
    <row r="1077" spans="1:2" hidden="1" x14ac:dyDescent="0.3">
      <c r="A1077" s="28"/>
      <c r="B1077" s="35"/>
    </row>
    <row r="1078" spans="1:2" hidden="1" x14ac:dyDescent="0.3">
      <c r="A1078" s="28"/>
      <c r="B1078" s="35"/>
    </row>
    <row r="1079" spans="1:2" hidden="1" x14ac:dyDescent="0.3">
      <c r="A1079" s="28"/>
      <c r="B1079" s="35"/>
    </row>
    <row r="1080" spans="1:2" hidden="1" x14ac:dyDescent="0.3">
      <c r="A1080" s="28"/>
      <c r="B1080" s="35"/>
    </row>
    <row r="1081" spans="1:2" hidden="1" x14ac:dyDescent="0.3">
      <c r="A1081" s="28"/>
      <c r="B1081" s="35"/>
    </row>
    <row r="1082" spans="1:2" hidden="1" x14ac:dyDescent="0.3">
      <c r="A1082" s="28"/>
      <c r="B1082" s="35"/>
    </row>
    <row r="1083" spans="1:2" hidden="1" x14ac:dyDescent="0.3">
      <c r="A1083" s="28"/>
      <c r="B1083" s="35"/>
    </row>
    <row r="1084" spans="1:2" hidden="1" x14ac:dyDescent="0.3">
      <c r="A1084" s="28"/>
      <c r="B1084" s="35"/>
    </row>
    <row r="1085" spans="1:2" hidden="1" x14ac:dyDescent="0.3">
      <c r="A1085" s="28"/>
      <c r="B1085" s="35"/>
    </row>
    <row r="1086" spans="1:2" hidden="1" x14ac:dyDescent="0.3">
      <c r="A1086" s="28"/>
      <c r="B1086" s="35"/>
    </row>
    <row r="1087" spans="1:2" hidden="1" x14ac:dyDescent="0.3">
      <c r="A1087" s="28"/>
      <c r="B1087" s="35"/>
    </row>
    <row r="1088" spans="1:2" hidden="1" x14ac:dyDescent="0.3">
      <c r="A1088" s="28"/>
      <c r="B1088" s="35"/>
    </row>
    <row r="1089" spans="1:2" hidden="1" x14ac:dyDescent="0.3">
      <c r="A1089" s="28"/>
      <c r="B1089" s="35"/>
    </row>
    <row r="1090" spans="1:2" hidden="1" x14ac:dyDescent="0.3">
      <c r="A1090" s="28"/>
      <c r="B1090" s="35"/>
    </row>
    <row r="1091" spans="1:2" hidden="1" x14ac:dyDescent="0.3">
      <c r="A1091" s="28"/>
      <c r="B1091" s="35"/>
    </row>
    <row r="1092" spans="1:2" hidden="1" x14ac:dyDescent="0.3">
      <c r="A1092" s="28"/>
      <c r="B1092" s="35"/>
    </row>
    <row r="1093" spans="1:2" hidden="1" x14ac:dyDescent="0.3">
      <c r="A1093" s="28"/>
      <c r="B1093" s="35"/>
    </row>
    <row r="1094" spans="1:2" hidden="1" x14ac:dyDescent="0.3">
      <c r="A1094" s="28"/>
      <c r="B1094" s="35"/>
    </row>
    <row r="1095" spans="1:2" hidden="1" x14ac:dyDescent="0.3">
      <c r="A1095" s="28"/>
      <c r="B1095" s="35"/>
    </row>
    <row r="1096" spans="1:2" hidden="1" x14ac:dyDescent="0.3">
      <c r="A1096" s="28"/>
      <c r="B1096" s="35"/>
    </row>
    <row r="1097" spans="1:2" hidden="1" x14ac:dyDescent="0.3">
      <c r="A1097" s="28"/>
      <c r="B1097" s="35"/>
    </row>
    <row r="1098" spans="1:2" hidden="1" x14ac:dyDescent="0.3">
      <c r="A1098" s="28"/>
      <c r="B1098" s="35"/>
    </row>
    <row r="1099" spans="1:2" hidden="1" x14ac:dyDescent="0.3">
      <c r="A1099" s="28"/>
      <c r="B1099" s="35"/>
    </row>
    <row r="1100" spans="1:2" hidden="1" x14ac:dyDescent="0.3">
      <c r="A1100" s="28"/>
      <c r="B1100" s="35"/>
    </row>
    <row r="1101" spans="1:2" hidden="1" x14ac:dyDescent="0.3">
      <c r="A1101" s="28"/>
      <c r="B1101" s="35"/>
    </row>
    <row r="1102" spans="1:2" hidden="1" x14ac:dyDescent="0.3">
      <c r="A1102" s="28"/>
      <c r="B1102" s="35"/>
    </row>
    <row r="1103" spans="1:2" hidden="1" x14ac:dyDescent="0.3">
      <c r="A1103" s="28"/>
      <c r="B1103" s="35"/>
    </row>
    <row r="1104" spans="1:2" hidden="1" x14ac:dyDescent="0.3">
      <c r="A1104" s="28"/>
      <c r="B1104" s="35"/>
    </row>
    <row r="1105" spans="1:2" hidden="1" x14ac:dyDescent="0.3">
      <c r="A1105" s="28"/>
      <c r="B1105" s="35"/>
    </row>
    <row r="1106" spans="1:2" hidden="1" x14ac:dyDescent="0.3">
      <c r="A1106" s="28"/>
      <c r="B1106" s="35"/>
    </row>
    <row r="1107" spans="1:2" hidden="1" x14ac:dyDescent="0.3">
      <c r="A1107" s="28"/>
      <c r="B1107" s="35"/>
    </row>
    <row r="1108" spans="1:2" hidden="1" x14ac:dyDescent="0.3">
      <c r="A1108" s="28"/>
      <c r="B1108" s="35"/>
    </row>
    <row r="1109" spans="1:2" hidden="1" x14ac:dyDescent="0.3">
      <c r="A1109" s="28"/>
      <c r="B1109" s="35"/>
    </row>
    <row r="1110" spans="1:2" hidden="1" x14ac:dyDescent="0.3">
      <c r="A1110" s="28"/>
      <c r="B1110" s="35"/>
    </row>
    <row r="1111" spans="1:2" hidden="1" x14ac:dyDescent="0.3">
      <c r="A1111" s="28"/>
      <c r="B1111" s="35"/>
    </row>
    <row r="1112" spans="1:2" hidden="1" x14ac:dyDescent="0.3">
      <c r="A1112" s="28"/>
      <c r="B1112" s="35"/>
    </row>
    <row r="1113" spans="1:2" hidden="1" x14ac:dyDescent="0.3">
      <c r="A1113" s="28"/>
      <c r="B1113" s="35"/>
    </row>
    <row r="1114" spans="1:2" hidden="1" x14ac:dyDescent="0.3">
      <c r="A1114" s="28"/>
      <c r="B1114" s="35"/>
    </row>
    <row r="1115" spans="1:2" hidden="1" x14ac:dyDescent="0.3">
      <c r="A1115" s="28"/>
      <c r="B1115" s="35"/>
    </row>
    <row r="1116" spans="1:2" hidden="1" x14ac:dyDescent="0.3">
      <c r="A1116" s="28"/>
      <c r="B1116" s="35"/>
    </row>
    <row r="1117" spans="1:2" hidden="1" x14ac:dyDescent="0.3">
      <c r="A1117" s="28"/>
      <c r="B1117" s="35"/>
    </row>
    <row r="1118" spans="1:2" hidden="1" x14ac:dyDescent="0.3">
      <c r="A1118" s="28"/>
      <c r="B1118" s="35"/>
    </row>
    <row r="1119" spans="1:2" hidden="1" x14ac:dyDescent="0.3">
      <c r="A1119" s="28"/>
      <c r="B1119" s="35"/>
    </row>
    <row r="1120" spans="1:2" hidden="1" x14ac:dyDescent="0.3">
      <c r="A1120" s="28"/>
      <c r="B1120" s="35"/>
    </row>
    <row r="1121" spans="1:2" hidden="1" x14ac:dyDescent="0.3">
      <c r="A1121" s="28"/>
      <c r="B1121" s="35"/>
    </row>
    <row r="1122" spans="1:2" hidden="1" x14ac:dyDescent="0.3">
      <c r="A1122" s="28"/>
      <c r="B1122" s="35"/>
    </row>
    <row r="1123" spans="1:2" hidden="1" x14ac:dyDescent="0.3">
      <c r="A1123" s="28"/>
      <c r="B1123" s="35"/>
    </row>
    <row r="1124" spans="1:2" hidden="1" x14ac:dyDescent="0.3">
      <c r="A1124" s="28"/>
      <c r="B1124" s="35"/>
    </row>
    <row r="1125" spans="1:2" hidden="1" x14ac:dyDescent="0.3">
      <c r="A1125" s="28"/>
      <c r="B1125" s="35"/>
    </row>
    <row r="1126" spans="1:2" hidden="1" x14ac:dyDescent="0.3">
      <c r="A1126" s="28"/>
      <c r="B1126" s="35"/>
    </row>
    <row r="1127" spans="1:2" hidden="1" x14ac:dyDescent="0.3">
      <c r="A1127" s="28"/>
      <c r="B1127" s="35"/>
    </row>
    <row r="1128" spans="1:2" hidden="1" x14ac:dyDescent="0.3">
      <c r="A1128" s="28"/>
      <c r="B1128" s="35"/>
    </row>
    <row r="1129" spans="1:2" hidden="1" x14ac:dyDescent="0.3">
      <c r="A1129" s="28"/>
      <c r="B1129" s="35"/>
    </row>
    <row r="1130" spans="1:2" hidden="1" x14ac:dyDescent="0.3">
      <c r="A1130" s="28"/>
      <c r="B1130" s="35"/>
    </row>
    <row r="1131" spans="1:2" hidden="1" x14ac:dyDescent="0.3">
      <c r="A1131" s="28"/>
      <c r="B1131" s="35"/>
    </row>
    <row r="1132" spans="1:2" hidden="1" x14ac:dyDescent="0.3">
      <c r="A1132" s="28"/>
      <c r="B1132" s="35"/>
    </row>
    <row r="1133" spans="1:2" hidden="1" x14ac:dyDescent="0.3">
      <c r="A1133" s="28"/>
      <c r="B1133" s="35"/>
    </row>
    <row r="1134" spans="1:2" hidden="1" x14ac:dyDescent="0.3">
      <c r="A1134" s="28"/>
      <c r="B1134" s="35"/>
    </row>
    <row r="1135" spans="1:2" hidden="1" x14ac:dyDescent="0.3">
      <c r="A1135" s="28"/>
      <c r="B1135" s="35"/>
    </row>
    <row r="1136" spans="1:2" hidden="1" x14ac:dyDescent="0.3">
      <c r="A1136" s="28"/>
      <c r="B1136" s="35"/>
    </row>
    <row r="1137" spans="1:2" hidden="1" x14ac:dyDescent="0.3">
      <c r="A1137" s="28"/>
      <c r="B1137" s="35"/>
    </row>
    <row r="1138" spans="1:2" hidden="1" x14ac:dyDescent="0.3">
      <c r="A1138" s="28"/>
      <c r="B1138" s="35"/>
    </row>
    <row r="1139" spans="1:2" hidden="1" x14ac:dyDescent="0.3">
      <c r="A1139" s="28"/>
      <c r="B1139" s="35"/>
    </row>
    <row r="1140" spans="1:2" hidden="1" x14ac:dyDescent="0.3">
      <c r="A1140" s="28"/>
      <c r="B1140" s="35"/>
    </row>
    <row r="1141" spans="1:2" hidden="1" x14ac:dyDescent="0.3">
      <c r="A1141" s="28"/>
      <c r="B1141" s="35"/>
    </row>
    <row r="1142" spans="1:2" hidden="1" x14ac:dyDescent="0.3">
      <c r="A1142" s="28"/>
      <c r="B1142" s="35"/>
    </row>
    <row r="1143" spans="1:2" hidden="1" x14ac:dyDescent="0.3">
      <c r="A1143" s="28"/>
      <c r="B1143" s="35"/>
    </row>
    <row r="1144" spans="1:2" hidden="1" x14ac:dyDescent="0.3">
      <c r="A1144" s="28"/>
      <c r="B1144" s="35"/>
    </row>
    <row r="1145" spans="1:2" hidden="1" x14ac:dyDescent="0.3">
      <c r="A1145" s="28"/>
      <c r="B1145" s="35"/>
    </row>
    <row r="1146" spans="1:2" hidden="1" x14ac:dyDescent="0.3">
      <c r="A1146" s="28"/>
      <c r="B1146" s="35"/>
    </row>
    <row r="1147" spans="1:2" hidden="1" x14ac:dyDescent="0.3">
      <c r="A1147" s="28"/>
      <c r="B1147" s="35"/>
    </row>
    <row r="1148" spans="1:2" hidden="1" x14ac:dyDescent="0.3">
      <c r="A1148" s="28"/>
      <c r="B1148" s="35"/>
    </row>
    <row r="1149" spans="1:2" hidden="1" x14ac:dyDescent="0.3">
      <c r="A1149" s="28"/>
      <c r="B1149" s="35"/>
    </row>
    <row r="1150" spans="1:2" hidden="1" x14ac:dyDescent="0.3">
      <c r="A1150" s="28"/>
      <c r="B1150" s="35"/>
    </row>
    <row r="1151" spans="1:2" hidden="1" x14ac:dyDescent="0.3">
      <c r="A1151" s="28"/>
      <c r="B1151" s="35"/>
    </row>
    <row r="1152" spans="1:2" hidden="1" x14ac:dyDescent="0.3">
      <c r="A1152" s="28"/>
      <c r="B1152" s="35"/>
    </row>
    <row r="1153" spans="1:2" hidden="1" x14ac:dyDescent="0.3">
      <c r="A1153" s="28"/>
      <c r="B1153" s="35"/>
    </row>
    <row r="1154" spans="1:2" hidden="1" x14ac:dyDescent="0.3">
      <c r="A1154" s="28"/>
      <c r="B1154" s="35"/>
    </row>
    <row r="1155" spans="1:2" hidden="1" x14ac:dyDescent="0.3">
      <c r="A1155" s="28"/>
      <c r="B1155" s="35"/>
    </row>
    <row r="1156" spans="1:2" hidden="1" x14ac:dyDescent="0.3">
      <c r="A1156" s="28"/>
      <c r="B1156" s="35"/>
    </row>
    <row r="1157" spans="1:2" hidden="1" x14ac:dyDescent="0.3">
      <c r="A1157" s="28"/>
      <c r="B1157" s="35"/>
    </row>
    <row r="1158" spans="1:2" hidden="1" x14ac:dyDescent="0.3">
      <c r="A1158" s="28"/>
      <c r="B1158" s="35"/>
    </row>
    <row r="1159" spans="1:2" hidden="1" x14ac:dyDescent="0.3">
      <c r="A1159" s="28"/>
      <c r="B1159" s="35"/>
    </row>
    <row r="1160" spans="1:2" hidden="1" x14ac:dyDescent="0.3">
      <c r="A1160" s="28"/>
      <c r="B1160" s="35"/>
    </row>
    <row r="1161" spans="1:2" hidden="1" x14ac:dyDescent="0.3">
      <c r="A1161" s="28"/>
      <c r="B1161" s="35"/>
    </row>
    <row r="1162" spans="1:2" hidden="1" x14ac:dyDescent="0.3">
      <c r="A1162" s="28"/>
      <c r="B1162" s="35"/>
    </row>
    <row r="1163" spans="1:2" hidden="1" x14ac:dyDescent="0.3">
      <c r="A1163" s="28"/>
      <c r="B1163" s="35"/>
    </row>
    <row r="1164" spans="1:2" hidden="1" x14ac:dyDescent="0.3">
      <c r="A1164" s="28"/>
      <c r="B1164" s="35"/>
    </row>
    <row r="1165" spans="1:2" hidden="1" x14ac:dyDescent="0.3">
      <c r="A1165" s="28"/>
      <c r="B1165" s="35"/>
    </row>
    <row r="1166" spans="1:2" hidden="1" x14ac:dyDescent="0.3">
      <c r="A1166" s="28"/>
      <c r="B1166" s="35"/>
    </row>
    <row r="1167" spans="1:2" hidden="1" x14ac:dyDescent="0.3">
      <c r="A1167" s="28"/>
      <c r="B1167" s="35"/>
    </row>
    <row r="1168" spans="1:2" hidden="1" x14ac:dyDescent="0.3">
      <c r="A1168" s="28"/>
      <c r="B1168" s="35"/>
    </row>
    <row r="1169" spans="1:2" hidden="1" x14ac:dyDescent="0.3">
      <c r="A1169" s="28"/>
      <c r="B1169" s="35"/>
    </row>
    <row r="1170" spans="1:2" hidden="1" x14ac:dyDescent="0.3">
      <c r="A1170" s="28"/>
      <c r="B1170" s="35"/>
    </row>
    <row r="1171" spans="1:2" hidden="1" x14ac:dyDescent="0.3">
      <c r="A1171" s="28"/>
      <c r="B1171" s="35"/>
    </row>
    <row r="1172" spans="1:2" hidden="1" x14ac:dyDescent="0.3">
      <c r="A1172" s="28"/>
      <c r="B1172" s="35"/>
    </row>
    <row r="1173" spans="1:2" hidden="1" x14ac:dyDescent="0.3">
      <c r="A1173" s="28"/>
      <c r="B1173" s="35"/>
    </row>
    <row r="1174" spans="1:2" hidden="1" x14ac:dyDescent="0.3">
      <c r="A1174" s="28"/>
      <c r="B1174" s="35"/>
    </row>
    <row r="1175" spans="1:2" hidden="1" x14ac:dyDescent="0.3">
      <c r="A1175" s="28"/>
      <c r="B1175" s="35"/>
    </row>
    <row r="1176" spans="1:2" hidden="1" x14ac:dyDescent="0.3">
      <c r="A1176" s="28"/>
      <c r="B1176" s="35"/>
    </row>
    <row r="1177" spans="1:2" hidden="1" x14ac:dyDescent="0.3">
      <c r="A1177" s="28"/>
      <c r="B1177" s="35"/>
    </row>
    <row r="1178" spans="1:2" hidden="1" x14ac:dyDescent="0.3">
      <c r="A1178" s="28"/>
      <c r="B1178" s="35"/>
    </row>
    <row r="1179" spans="1:2" hidden="1" x14ac:dyDescent="0.3">
      <c r="A1179" s="28"/>
      <c r="B1179" s="35"/>
    </row>
    <row r="1180" spans="1:2" hidden="1" x14ac:dyDescent="0.3">
      <c r="A1180" s="28"/>
      <c r="B1180" s="35"/>
    </row>
    <row r="1181" spans="1:2" hidden="1" x14ac:dyDescent="0.3">
      <c r="A1181" s="28"/>
      <c r="B1181" s="35"/>
    </row>
    <row r="1182" spans="1:2" hidden="1" x14ac:dyDescent="0.3">
      <c r="A1182" s="28"/>
      <c r="B1182" s="35"/>
    </row>
    <row r="1183" spans="1:2" hidden="1" x14ac:dyDescent="0.3">
      <c r="A1183" s="28"/>
      <c r="B1183" s="35"/>
    </row>
    <row r="1184" spans="1:2" hidden="1" x14ac:dyDescent="0.3">
      <c r="A1184" s="28"/>
      <c r="B1184" s="35"/>
    </row>
    <row r="1185" spans="1:2" hidden="1" x14ac:dyDescent="0.3">
      <c r="A1185" s="28"/>
      <c r="B1185" s="35"/>
    </row>
    <row r="1186" spans="1:2" hidden="1" x14ac:dyDescent="0.3">
      <c r="A1186" s="28"/>
      <c r="B1186" s="35"/>
    </row>
    <row r="1187" spans="1:2" hidden="1" x14ac:dyDescent="0.3">
      <c r="A1187" s="28"/>
      <c r="B1187" s="35"/>
    </row>
    <row r="1188" spans="1:2" hidden="1" x14ac:dyDescent="0.3">
      <c r="A1188" s="28"/>
      <c r="B1188" s="35"/>
    </row>
    <row r="1189" spans="1:2" hidden="1" x14ac:dyDescent="0.3">
      <c r="A1189" s="28"/>
      <c r="B1189" s="35"/>
    </row>
    <row r="1190" spans="1:2" hidden="1" x14ac:dyDescent="0.3">
      <c r="A1190" s="28"/>
      <c r="B1190" s="35"/>
    </row>
    <row r="1191" spans="1:2" hidden="1" x14ac:dyDescent="0.3">
      <c r="A1191" s="28"/>
      <c r="B1191" s="35"/>
    </row>
    <row r="1192" spans="1:2" hidden="1" x14ac:dyDescent="0.3">
      <c r="A1192" s="28"/>
      <c r="B1192" s="35"/>
    </row>
    <row r="1193" spans="1:2" hidden="1" x14ac:dyDescent="0.3">
      <c r="A1193" s="28"/>
      <c r="B1193" s="35"/>
    </row>
    <row r="1194" spans="1:2" hidden="1" x14ac:dyDescent="0.3">
      <c r="A1194" s="28"/>
      <c r="B1194" s="35"/>
    </row>
    <row r="1195" spans="1:2" hidden="1" x14ac:dyDescent="0.3">
      <c r="A1195" s="28"/>
      <c r="B1195" s="35"/>
    </row>
    <row r="1196" spans="1:2" hidden="1" x14ac:dyDescent="0.3">
      <c r="A1196" s="28"/>
      <c r="B1196" s="35"/>
    </row>
    <row r="1197" spans="1:2" hidden="1" x14ac:dyDescent="0.3">
      <c r="A1197" s="28"/>
      <c r="B1197" s="35"/>
    </row>
    <row r="1198" spans="1:2" hidden="1" x14ac:dyDescent="0.3">
      <c r="A1198" s="28"/>
      <c r="B1198" s="35"/>
    </row>
    <row r="1199" spans="1:2" hidden="1" x14ac:dyDescent="0.3">
      <c r="A1199" s="28"/>
      <c r="B1199" s="35"/>
    </row>
    <row r="1200" spans="1:2" hidden="1" x14ac:dyDescent="0.3">
      <c r="A1200" s="28"/>
      <c r="B1200" s="35"/>
    </row>
    <row r="1201" spans="1:2" hidden="1" x14ac:dyDescent="0.3">
      <c r="A1201" s="28"/>
      <c r="B1201" s="35"/>
    </row>
    <row r="1202" spans="1:2" hidden="1" x14ac:dyDescent="0.3">
      <c r="A1202" s="28"/>
      <c r="B1202" s="35"/>
    </row>
    <row r="1203" spans="1:2" hidden="1" x14ac:dyDescent="0.3">
      <c r="A1203" s="28"/>
      <c r="B1203" s="35"/>
    </row>
    <row r="1204" spans="1:2" hidden="1" x14ac:dyDescent="0.3">
      <c r="A1204" s="28"/>
      <c r="B1204" s="35"/>
    </row>
    <row r="1205" spans="1:2" hidden="1" x14ac:dyDescent="0.3">
      <c r="A1205" s="28"/>
      <c r="B1205" s="35"/>
    </row>
    <row r="1206" spans="1:2" hidden="1" x14ac:dyDescent="0.3">
      <c r="A1206" s="28"/>
      <c r="B1206" s="35"/>
    </row>
    <row r="1207" spans="1:2" hidden="1" x14ac:dyDescent="0.3">
      <c r="A1207" s="28"/>
      <c r="B1207" s="35"/>
    </row>
    <row r="1208" spans="1:2" hidden="1" x14ac:dyDescent="0.3">
      <c r="A1208" s="28"/>
      <c r="B1208" s="35"/>
    </row>
    <row r="1209" spans="1:2" hidden="1" x14ac:dyDescent="0.3">
      <c r="A1209" s="28"/>
      <c r="B1209" s="35"/>
    </row>
    <row r="1210" spans="1:2" hidden="1" x14ac:dyDescent="0.3">
      <c r="A1210" s="28"/>
      <c r="B1210" s="35"/>
    </row>
    <row r="1211" spans="1:2" hidden="1" x14ac:dyDescent="0.3">
      <c r="A1211" s="28"/>
      <c r="B1211" s="35"/>
    </row>
    <row r="1212" spans="1:2" hidden="1" x14ac:dyDescent="0.3">
      <c r="A1212" s="28"/>
      <c r="B1212" s="35"/>
    </row>
    <row r="1213" spans="1:2" hidden="1" x14ac:dyDescent="0.3">
      <c r="A1213" s="28"/>
      <c r="B1213" s="35"/>
    </row>
    <row r="1214" spans="1:2" hidden="1" x14ac:dyDescent="0.3">
      <c r="A1214" s="28"/>
      <c r="B1214" s="35"/>
    </row>
    <row r="1215" spans="1:2" hidden="1" x14ac:dyDescent="0.3">
      <c r="A1215" s="28"/>
      <c r="B1215" s="35"/>
    </row>
    <row r="1216" spans="1:2" hidden="1" x14ac:dyDescent="0.3">
      <c r="A1216" s="28"/>
      <c r="B1216" s="35"/>
    </row>
    <row r="1217" spans="1:2" hidden="1" x14ac:dyDescent="0.3">
      <c r="A1217" s="28"/>
      <c r="B1217" s="35"/>
    </row>
    <row r="1218" spans="1:2" hidden="1" x14ac:dyDescent="0.3">
      <c r="A1218" s="28"/>
      <c r="B1218" s="35"/>
    </row>
    <row r="1219" spans="1:2" hidden="1" x14ac:dyDescent="0.3">
      <c r="A1219" s="28"/>
      <c r="B1219" s="35"/>
    </row>
    <row r="1220" spans="1:2" hidden="1" x14ac:dyDescent="0.3">
      <c r="A1220" s="28"/>
      <c r="B1220" s="35"/>
    </row>
    <row r="1221" spans="1:2" hidden="1" x14ac:dyDescent="0.3">
      <c r="A1221" s="28"/>
      <c r="B1221" s="35"/>
    </row>
    <row r="1222" spans="1:2" hidden="1" x14ac:dyDescent="0.3">
      <c r="A1222" s="28"/>
      <c r="B1222" s="35"/>
    </row>
    <row r="1223" spans="1:2" hidden="1" x14ac:dyDescent="0.3">
      <c r="A1223" s="28"/>
      <c r="B1223" s="35"/>
    </row>
    <row r="1224" spans="1:2" hidden="1" x14ac:dyDescent="0.3">
      <c r="A1224" s="28"/>
      <c r="B1224" s="35"/>
    </row>
    <row r="1225" spans="1:2" hidden="1" x14ac:dyDescent="0.3">
      <c r="A1225" s="28"/>
      <c r="B1225" s="35"/>
    </row>
    <row r="1226" spans="1:2" hidden="1" x14ac:dyDescent="0.3">
      <c r="A1226" s="28"/>
      <c r="B1226" s="35"/>
    </row>
    <row r="1227" spans="1:2" hidden="1" x14ac:dyDescent="0.3">
      <c r="A1227" s="28"/>
      <c r="B1227" s="35"/>
    </row>
    <row r="1228" spans="1:2" hidden="1" x14ac:dyDescent="0.3">
      <c r="A1228" s="28"/>
      <c r="B1228" s="35"/>
    </row>
    <row r="1229" spans="1:2" hidden="1" x14ac:dyDescent="0.3">
      <c r="A1229" s="28"/>
      <c r="B1229" s="35"/>
    </row>
    <row r="1230" spans="1:2" hidden="1" x14ac:dyDescent="0.3">
      <c r="A1230" s="28"/>
      <c r="B1230" s="35"/>
    </row>
    <row r="1231" spans="1:2" hidden="1" x14ac:dyDescent="0.3">
      <c r="A1231" s="28"/>
      <c r="B1231" s="35"/>
    </row>
    <row r="1232" spans="1:2" hidden="1" x14ac:dyDescent="0.3">
      <c r="A1232" s="28"/>
      <c r="B1232" s="35"/>
    </row>
    <row r="1233" spans="1:2" hidden="1" x14ac:dyDescent="0.3">
      <c r="A1233" s="28"/>
      <c r="B1233" s="35"/>
    </row>
    <row r="1234" spans="1:2" hidden="1" x14ac:dyDescent="0.3">
      <c r="A1234" s="28"/>
      <c r="B1234" s="35"/>
    </row>
    <row r="1235" spans="1:2" hidden="1" x14ac:dyDescent="0.3">
      <c r="A1235" s="28"/>
      <c r="B1235" s="35"/>
    </row>
    <row r="1236" spans="1:2" hidden="1" x14ac:dyDescent="0.3">
      <c r="A1236" s="28"/>
      <c r="B1236" s="35"/>
    </row>
    <row r="1237" spans="1:2" hidden="1" x14ac:dyDescent="0.3">
      <c r="A1237" s="28"/>
      <c r="B1237" s="35"/>
    </row>
    <row r="1238" spans="1:2" hidden="1" x14ac:dyDescent="0.3">
      <c r="A1238" s="28"/>
      <c r="B1238" s="35"/>
    </row>
    <row r="1239" spans="1:2" hidden="1" x14ac:dyDescent="0.3">
      <c r="A1239" s="28"/>
      <c r="B1239" s="35"/>
    </row>
    <row r="1240" spans="1:2" hidden="1" x14ac:dyDescent="0.3">
      <c r="A1240" s="28"/>
      <c r="B1240" s="35"/>
    </row>
    <row r="1241" spans="1:2" hidden="1" x14ac:dyDescent="0.3">
      <c r="A1241" s="28"/>
      <c r="B1241" s="35"/>
    </row>
    <row r="1242" spans="1:2" hidden="1" x14ac:dyDescent="0.3">
      <c r="A1242" s="28"/>
      <c r="B1242" s="35"/>
    </row>
    <row r="1243" spans="1:2" hidden="1" x14ac:dyDescent="0.3">
      <c r="A1243" s="28"/>
      <c r="B1243" s="35"/>
    </row>
    <row r="1244" spans="1:2" hidden="1" x14ac:dyDescent="0.3">
      <c r="A1244" s="28"/>
      <c r="B1244" s="35"/>
    </row>
    <row r="1245" spans="1:2" hidden="1" x14ac:dyDescent="0.3">
      <c r="A1245" s="28"/>
      <c r="B1245" s="35"/>
    </row>
    <row r="1246" spans="1:2" hidden="1" x14ac:dyDescent="0.3">
      <c r="A1246" s="28"/>
      <c r="B1246" s="35"/>
    </row>
    <row r="1247" spans="1:2" hidden="1" x14ac:dyDescent="0.3">
      <c r="A1247" s="28"/>
      <c r="B1247" s="35"/>
    </row>
    <row r="1248" spans="1:2" hidden="1" x14ac:dyDescent="0.3">
      <c r="A1248" s="28"/>
      <c r="B1248" s="35"/>
    </row>
    <row r="1249" spans="1:2" hidden="1" x14ac:dyDescent="0.3">
      <c r="A1249" s="28"/>
      <c r="B1249" s="35"/>
    </row>
    <row r="1250" spans="1:2" hidden="1" x14ac:dyDescent="0.3">
      <c r="A1250" s="28"/>
      <c r="B1250" s="35"/>
    </row>
    <row r="1251" spans="1:2" hidden="1" x14ac:dyDescent="0.3">
      <c r="A1251" s="28"/>
      <c r="B1251" s="35"/>
    </row>
    <row r="1252" spans="1:2" hidden="1" x14ac:dyDescent="0.3">
      <c r="A1252" s="28"/>
      <c r="B1252" s="35"/>
    </row>
    <row r="1253" spans="1:2" hidden="1" x14ac:dyDescent="0.3">
      <c r="A1253" s="28"/>
      <c r="B1253" s="35"/>
    </row>
    <row r="1254" spans="1:2" hidden="1" x14ac:dyDescent="0.3">
      <c r="A1254" s="28"/>
      <c r="B1254" s="35"/>
    </row>
    <row r="1255" spans="1:2" hidden="1" x14ac:dyDescent="0.3">
      <c r="A1255" s="28"/>
      <c r="B1255" s="35"/>
    </row>
    <row r="1256" spans="1:2" hidden="1" x14ac:dyDescent="0.3">
      <c r="A1256" s="28"/>
      <c r="B1256" s="35"/>
    </row>
    <row r="1257" spans="1:2" hidden="1" x14ac:dyDescent="0.3">
      <c r="A1257" s="28"/>
      <c r="B1257" s="35"/>
    </row>
    <row r="1258" spans="1:2" hidden="1" x14ac:dyDescent="0.3">
      <c r="A1258" s="28"/>
      <c r="B1258" s="35"/>
    </row>
    <row r="1259" spans="1:2" hidden="1" x14ac:dyDescent="0.3">
      <c r="A1259" s="28"/>
      <c r="B1259" s="35"/>
    </row>
    <row r="1260" spans="1:2" hidden="1" x14ac:dyDescent="0.3">
      <c r="A1260" s="28"/>
      <c r="B1260" s="35"/>
    </row>
    <row r="1261" spans="1:2" hidden="1" x14ac:dyDescent="0.3">
      <c r="A1261" s="28"/>
      <c r="B1261" s="35"/>
    </row>
    <row r="1262" spans="1:2" hidden="1" x14ac:dyDescent="0.3">
      <c r="A1262" s="28"/>
      <c r="B1262" s="35"/>
    </row>
    <row r="1263" spans="1:2" hidden="1" x14ac:dyDescent="0.3">
      <c r="A1263" s="28"/>
      <c r="B1263" s="35"/>
    </row>
    <row r="1264" spans="1:2" hidden="1" x14ac:dyDescent="0.3">
      <c r="A1264" s="28"/>
      <c r="B1264" s="35"/>
    </row>
    <row r="1265" spans="1:2" hidden="1" x14ac:dyDescent="0.3">
      <c r="A1265" s="28"/>
      <c r="B1265" s="35"/>
    </row>
    <row r="1266" spans="1:2" hidden="1" x14ac:dyDescent="0.3">
      <c r="A1266" s="28"/>
      <c r="B1266" s="35"/>
    </row>
    <row r="1267" spans="1:2" hidden="1" x14ac:dyDescent="0.3">
      <c r="A1267" s="28"/>
      <c r="B1267" s="35"/>
    </row>
    <row r="1268" spans="1:2" hidden="1" x14ac:dyDescent="0.3">
      <c r="A1268" s="28"/>
      <c r="B1268" s="35"/>
    </row>
    <row r="1269" spans="1:2" hidden="1" x14ac:dyDescent="0.3">
      <c r="A1269" s="28"/>
      <c r="B1269" s="35"/>
    </row>
    <row r="1270" spans="1:2" hidden="1" x14ac:dyDescent="0.3">
      <c r="A1270" s="28"/>
      <c r="B1270" s="35"/>
    </row>
    <row r="1271" spans="1:2" hidden="1" x14ac:dyDescent="0.3">
      <c r="A1271" s="28"/>
      <c r="B1271" s="35"/>
    </row>
    <row r="1272" spans="1:2" hidden="1" x14ac:dyDescent="0.3">
      <c r="A1272" s="28"/>
      <c r="B1272" s="35"/>
    </row>
    <row r="1273" spans="1:2" hidden="1" x14ac:dyDescent="0.3">
      <c r="A1273" s="28"/>
      <c r="B1273" s="35"/>
    </row>
    <row r="1274" spans="1:2" hidden="1" x14ac:dyDescent="0.3">
      <c r="A1274" s="28"/>
      <c r="B1274" s="35"/>
    </row>
    <row r="1275" spans="1:2" hidden="1" x14ac:dyDescent="0.3">
      <c r="A1275" s="28"/>
      <c r="B1275" s="35"/>
    </row>
    <row r="1276" spans="1:2" hidden="1" x14ac:dyDescent="0.3">
      <c r="A1276" s="28"/>
      <c r="B1276" s="35"/>
    </row>
    <row r="1277" spans="1:2" hidden="1" x14ac:dyDescent="0.3">
      <c r="A1277" s="28"/>
      <c r="B1277" s="35"/>
    </row>
    <row r="1278" spans="1:2" hidden="1" x14ac:dyDescent="0.3">
      <c r="A1278" s="28"/>
      <c r="B1278" s="35"/>
    </row>
    <row r="1279" spans="1:2" hidden="1" x14ac:dyDescent="0.3">
      <c r="A1279" s="28"/>
      <c r="B1279" s="35"/>
    </row>
    <row r="1280" spans="1:2" hidden="1" x14ac:dyDescent="0.3">
      <c r="A1280" s="28"/>
      <c r="B1280" s="35"/>
    </row>
    <row r="1281" spans="1:2" hidden="1" x14ac:dyDescent="0.3">
      <c r="A1281" s="28"/>
      <c r="B1281" s="35"/>
    </row>
    <row r="1282" spans="1:2" hidden="1" x14ac:dyDescent="0.3">
      <c r="A1282" s="28"/>
      <c r="B1282" s="35"/>
    </row>
    <row r="1283" spans="1:2" hidden="1" x14ac:dyDescent="0.3">
      <c r="A1283" s="28"/>
      <c r="B1283" s="35"/>
    </row>
    <row r="1284" spans="1:2" hidden="1" x14ac:dyDescent="0.3">
      <c r="A1284" s="28"/>
      <c r="B1284" s="35"/>
    </row>
    <row r="1285" spans="1:2" hidden="1" x14ac:dyDescent="0.3">
      <c r="A1285" s="28"/>
      <c r="B1285" s="35"/>
    </row>
    <row r="1286" spans="1:2" hidden="1" x14ac:dyDescent="0.3">
      <c r="A1286" s="28"/>
      <c r="B1286" s="35"/>
    </row>
    <row r="1287" spans="1:2" hidden="1" x14ac:dyDescent="0.3">
      <c r="A1287" s="28"/>
      <c r="B1287" s="35"/>
    </row>
    <row r="1288" spans="1:2" hidden="1" x14ac:dyDescent="0.3">
      <c r="A1288" s="28"/>
      <c r="B1288" s="35"/>
    </row>
    <row r="1289" spans="1:2" hidden="1" x14ac:dyDescent="0.3">
      <c r="A1289" s="28"/>
      <c r="B1289" s="35"/>
    </row>
    <row r="1290" spans="1:2" hidden="1" x14ac:dyDescent="0.3">
      <c r="A1290" s="28"/>
      <c r="B1290" s="35"/>
    </row>
    <row r="1291" spans="1:2" hidden="1" x14ac:dyDescent="0.3">
      <c r="A1291" s="28"/>
      <c r="B1291" s="35"/>
    </row>
    <row r="1292" spans="1:2" hidden="1" x14ac:dyDescent="0.3">
      <c r="A1292" s="28"/>
      <c r="B1292" s="35"/>
    </row>
    <row r="1293" spans="1:2" hidden="1" x14ac:dyDescent="0.3">
      <c r="A1293" s="28"/>
      <c r="B1293" s="35"/>
    </row>
    <row r="1294" spans="1:2" hidden="1" x14ac:dyDescent="0.3">
      <c r="A1294" s="28"/>
      <c r="B1294" s="35"/>
    </row>
    <row r="1295" spans="1:2" hidden="1" x14ac:dyDescent="0.3">
      <c r="A1295" s="28"/>
      <c r="B1295" s="35"/>
    </row>
    <row r="1296" spans="1:2" hidden="1" x14ac:dyDescent="0.3">
      <c r="A1296" s="28"/>
      <c r="B1296" s="35"/>
    </row>
    <row r="1297" spans="1:2" hidden="1" x14ac:dyDescent="0.3">
      <c r="A1297" s="28"/>
      <c r="B1297" s="35"/>
    </row>
    <row r="1298" spans="1:2" hidden="1" x14ac:dyDescent="0.3">
      <c r="A1298" s="28"/>
      <c r="B1298" s="35"/>
    </row>
    <row r="1299" spans="1:2" hidden="1" x14ac:dyDescent="0.3">
      <c r="A1299" s="28"/>
      <c r="B1299" s="35"/>
    </row>
    <row r="1300" spans="1:2" hidden="1" x14ac:dyDescent="0.3">
      <c r="A1300" s="28"/>
      <c r="B1300" s="35"/>
    </row>
    <row r="1301" spans="1:2" hidden="1" x14ac:dyDescent="0.3">
      <c r="A1301" s="28"/>
      <c r="B1301" s="35"/>
    </row>
    <row r="1302" spans="1:2" hidden="1" x14ac:dyDescent="0.3">
      <c r="A1302" s="28"/>
      <c r="B1302" s="35"/>
    </row>
    <row r="1303" spans="1:2" hidden="1" x14ac:dyDescent="0.3">
      <c r="A1303" s="28"/>
      <c r="B1303" s="35"/>
    </row>
    <row r="1304" spans="1:2" hidden="1" x14ac:dyDescent="0.3">
      <c r="A1304" s="28"/>
      <c r="B1304" s="35"/>
    </row>
    <row r="1305" spans="1:2" hidden="1" x14ac:dyDescent="0.3">
      <c r="A1305" s="28"/>
      <c r="B1305" s="35"/>
    </row>
    <row r="1306" spans="1:2" hidden="1" x14ac:dyDescent="0.3">
      <c r="A1306" s="28"/>
      <c r="B1306" s="35"/>
    </row>
    <row r="1307" spans="1:2" hidden="1" x14ac:dyDescent="0.3">
      <c r="A1307" s="28"/>
      <c r="B1307" s="35"/>
    </row>
    <row r="1308" spans="1:2" hidden="1" x14ac:dyDescent="0.3">
      <c r="A1308" s="28"/>
      <c r="B1308" s="35"/>
    </row>
    <row r="1309" spans="1:2" hidden="1" x14ac:dyDescent="0.3">
      <c r="A1309" s="28"/>
      <c r="B1309" s="35"/>
    </row>
    <row r="1310" spans="1:2" hidden="1" x14ac:dyDescent="0.3">
      <c r="A1310" s="28"/>
      <c r="B1310" s="35"/>
    </row>
    <row r="1311" spans="1:2" hidden="1" x14ac:dyDescent="0.3">
      <c r="A1311" s="28"/>
      <c r="B1311" s="35"/>
    </row>
    <row r="1312" spans="1:2" hidden="1" x14ac:dyDescent="0.3">
      <c r="A1312" s="28"/>
      <c r="B1312" s="35"/>
    </row>
    <row r="1313" spans="1:2" hidden="1" x14ac:dyDescent="0.3">
      <c r="A1313" s="28"/>
      <c r="B1313" s="35"/>
    </row>
    <row r="1314" spans="1:2" hidden="1" x14ac:dyDescent="0.3">
      <c r="A1314" s="28"/>
      <c r="B1314" s="35"/>
    </row>
    <row r="1315" spans="1:2" hidden="1" x14ac:dyDescent="0.3">
      <c r="A1315" s="28"/>
      <c r="B1315" s="35"/>
    </row>
    <row r="1316" spans="1:2" hidden="1" x14ac:dyDescent="0.3">
      <c r="A1316" s="28"/>
      <c r="B1316" s="35"/>
    </row>
    <row r="1317" spans="1:2" hidden="1" x14ac:dyDescent="0.3">
      <c r="A1317" s="28"/>
      <c r="B1317" s="35"/>
    </row>
    <row r="1318" spans="1:2" hidden="1" x14ac:dyDescent="0.3">
      <c r="A1318" s="28"/>
      <c r="B1318" s="35"/>
    </row>
    <row r="1319" spans="1:2" hidden="1" x14ac:dyDescent="0.3">
      <c r="A1319" s="28"/>
      <c r="B1319" s="35"/>
    </row>
    <row r="1320" spans="1:2" hidden="1" x14ac:dyDescent="0.3">
      <c r="A1320" s="28"/>
      <c r="B1320" s="35"/>
    </row>
    <row r="1321" spans="1:2" hidden="1" x14ac:dyDescent="0.3">
      <c r="A1321" s="28"/>
      <c r="B1321" s="35"/>
    </row>
    <row r="1322" spans="1:2" hidden="1" x14ac:dyDescent="0.3">
      <c r="A1322" s="28"/>
      <c r="B1322" s="35"/>
    </row>
    <row r="1323" spans="1:2" hidden="1" x14ac:dyDescent="0.3">
      <c r="A1323" s="28"/>
      <c r="B1323" s="35"/>
    </row>
    <row r="1324" spans="1:2" hidden="1" x14ac:dyDescent="0.3">
      <c r="A1324" s="28"/>
      <c r="B1324" s="35"/>
    </row>
    <row r="1325" spans="1:2" hidden="1" x14ac:dyDescent="0.3">
      <c r="A1325" s="28"/>
      <c r="B1325" s="35"/>
    </row>
    <row r="1326" spans="1:2" hidden="1" x14ac:dyDescent="0.3">
      <c r="A1326" s="28"/>
      <c r="B1326" s="35"/>
    </row>
    <row r="1327" spans="1:2" hidden="1" x14ac:dyDescent="0.3">
      <c r="A1327" s="28"/>
      <c r="B1327" s="35"/>
    </row>
    <row r="1328" spans="1:2" hidden="1" x14ac:dyDescent="0.3">
      <c r="A1328" s="28"/>
      <c r="B1328" s="35"/>
    </row>
    <row r="1329" spans="1:2" hidden="1" x14ac:dyDescent="0.3">
      <c r="A1329" s="28"/>
      <c r="B1329" s="35"/>
    </row>
    <row r="1330" spans="1:2" hidden="1" x14ac:dyDescent="0.3">
      <c r="A1330" s="28"/>
      <c r="B1330" s="35"/>
    </row>
    <row r="1331" spans="1:2" hidden="1" x14ac:dyDescent="0.3">
      <c r="A1331" s="28"/>
      <c r="B1331" s="35"/>
    </row>
    <row r="1332" spans="1:2" hidden="1" x14ac:dyDescent="0.3">
      <c r="A1332" s="28"/>
      <c r="B1332" s="35"/>
    </row>
    <row r="1333" spans="1:2" hidden="1" x14ac:dyDescent="0.3">
      <c r="A1333" s="28"/>
      <c r="B1333" s="35"/>
    </row>
    <row r="1334" spans="1:2" hidden="1" x14ac:dyDescent="0.3">
      <c r="A1334" s="28"/>
      <c r="B1334" s="35"/>
    </row>
    <row r="1335" spans="1:2" hidden="1" x14ac:dyDescent="0.3">
      <c r="A1335" s="28"/>
      <c r="B1335" s="35"/>
    </row>
    <row r="1336" spans="1:2" hidden="1" x14ac:dyDescent="0.3">
      <c r="A1336" s="28"/>
      <c r="B1336" s="35"/>
    </row>
    <row r="1337" spans="1:2" hidden="1" x14ac:dyDescent="0.3">
      <c r="A1337" s="28"/>
      <c r="B1337" s="35"/>
    </row>
    <row r="1338" spans="1:2" hidden="1" x14ac:dyDescent="0.3">
      <c r="A1338" s="28"/>
      <c r="B1338" s="35"/>
    </row>
    <row r="1339" spans="1:2" hidden="1" x14ac:dyDescent="0.3">
      <c r="A1339" s="28"/>
      <c r="B1339" s="35"/>
    </row>
    <row r="1340" spans="1:2" hidden="1" x14ac:dyDescent="0.3">
      <c r="A1340" s="28"/>
      <c r="B1340" s="35"/>
    </row>
    <row r="1341" spans="1:2" hidden="1" x14ac:dyDescent="0.3">
      <c r="A1341" s="28"/>
      <c r="B1341" s="35"/>
    </row>
    <row r="1342" spans="1:2" hidden="1" x14ac:dyDescent="0.3">
      <c r="A1342" s="28"/>
      <c r="B1342" s="35"/>
    </row>
    <row r="1343" spans="1:2" hidden="1" x14ac:dyDescent="0.3">
      <c r="A1343" s="28"/>
      <c r="B1343" s="35"/>
    </row>
    <row r="1344" spans="1:2" hidden="1" x14ac:dyDescent="0.3">
      <c r="A1344" s="28"/>
      <c r="B1344" s="35"/>
    </row>
    <row r="1345" spans="1:2" hidden="1" x14ac:dyDescent="0.3">
      <c r="A1345" s="28"/>
      <c r="B1345" s="35"/>
    </row>
    <row r="1346" spans="1:2" hidden="1" x14ac:dyDescent="0.3">
      <c r="A1346" s="28"/>
      <c r="B1346" s="35"/>
    </row>
    <row r="1347" spans="1:2" hidden="1" x14ac:dyDescent="0.3">
      <c r="A1347" s="28"/>
      <c r="B1347" s="35"/>
    </row>
    <row r="1348" spans="1:2" hidden="1" x14ac:dyDescent="0.3">
      <c r="A1348" s="28"/>
      <c r="B1348" s="35"/>
    </row>
    <row r="1349" spans="1:2" hidden="1" x14ac:dyDescent="0.3">
      <c r="A1349" s="28"/>
      <c r="B1349" s="35"/>
    </row>
    <row r="1350" spans="1:2" hidden="1" x14ac:dyDescent="0.3">
      <c r="A1350" s="28"/>
      <c r="B1350" s="35"/>
    </row>
    <row r="1351" spans="1:2" hidden="1" x14ac:dyDescent="0.3">
      <c r="A1351" s="28"/>
      <c r="B1351" s="35"/>
    </row>
    <row r="1352" spans="1:2" hidden="1" x14ac:dyDescent="0.3">
      <c r="A1352" s="28"/>
      <c r="B1352" s="35"/>
    </row>
    <row r="1353" spans="1:2" hidden="1" x14ac:dyDescent="0.3">
      <c r="A1353" s="28"/>
      <c r="B1353" s="35"/>
    </row>
    <row r="1354" spans="1:2" hidden="1" x14ac:dyDescent="0.3">
      <c r="A1354" s="28"/>
      <c r="B1354" s="35"/>
    </row>
    <row r="1355" spans="1:2" hidden="1" x14ac:dyDescent="0.3">
      <c r="A1355" s="28"/>
      <c r="B1355" s="35"/>
    </row>
    <row r="1356" spans="1:2" hidden="1" x14ac:dyDescent="0.3">
      <c r="A1356" s="28"/>
      <c r="B1356" s="35"/>
    </row>
    <row r="1357" spans="1:2" hidden="1" x14ac:dyDescent="0.3">
      <c r="A1357" s="28"/>
      <c r="B1357" s="35"/>
    </row>
    <row r="1358" spans="1:2" hidden="1" x14ac:dyDescent="0.3">
      <c r="A1358" s="28"/>
      <c r="B1358" s="35"/>
    </row>
    <row r="1359" spans="1:2" hidden="1" x14ac:dyDescent="0.3">
      <c r="A1359" s="28"/>
      <c r="B1359" s="35"/>
    </row>
    <row r="1360" spans="1:2" hidden="1" x14ac:dyDescent="0.3">
      <c r="A1360" s="28"/>
      <c r="B1360" s="35"/>
    </row>
    <row r="1361" spans="1:2" hidden="1" x14ac:dyDescent="0.3">
      <c r="A1361" s="28"/>
      <c r="B1361" s="35"/>
    </row>
    <row r="1362" spans="1:2" hidden="1" x14ac:dyDescent="0.3">
      <c r="A1362" s="28"/>
      <c r="B1362" s="35"/>
    </row>
    <row r="1363" spans="1:2" hidden="1" x14ac:dyDescent="0.3">
      <c r="A1363" s="28"/>
      <c r="B1363" s="35"/>
    </row>
    <row r="1364" spans="1:2" hidden="1" x14ac:dyDescent="0.3">
      <c r="A1364" s="28"/>
      <c r="B1364" s="35"/>
    </row>
    <row r="1365" spans="1:2" hidden="1" x14ac:dyDescent="0.3">
      <c r="A1365" s="28"/>
      <c r="B1365" s="35"/>
    </row>
    <row r="1366" spans="1:2" hidden="1" x14ac:dyDescent="0.3">
      <c r="A1366" s="28"/>
      <c r="B1366" s="35"/>
    </row>
    <row r="1367" spans="1:2" hidden="1" x14ac:dyDescent="0.3">
      <c r="A1367" s="28"/>
      <c r="B1367" s="35"/>
    </row>
    <row r="1368" spans="1:2" hidden="1" x14ac:dyDescent="0.3">
      <c r="A1368" s="28"/>
      <c r="B1368" s="35"/>
    </row>
    <row r="1369" spans="1:2" hidden="1" x14ac:dyDescent="0.3">
      <c r="A1369" s="28"/>
      <c r="B1369" s="35"/>
    </row>
    <row r="1370" spans="1:2" hidden="1" x14ac:dyDescent="0.3">
      <c r="A1370" s="28"/>
      <c r="B1370" s="35"/>
    </row>
    <row r="1371" spans="1:2" hidden="1" x14ac:dyDescent="0.3">
      <c r="A1371" s="28"/>
      <c r="B1371" s="35"/>
    </row>
    <row r="1372" spans="1:2" hidden="1" x14ac:dyDescent="0.3">
      <c r="A1372" s="28"/>
      <c r="B1372" s="35"/>
    </row>
    <row r="1373" spans="1:2" hidden="1" x14ac:dyDescent="0.3">
      <c r="A1373" s="28"/>
      <c r="B1373" s="35"/>
    </row>
    <row r="1374" spans="1:2" hidden="1" x14ac:dyDescent="0.3">
      <c r="A1374" s="28"/>
      <c r="B1374" s="35"/>
    </row>
    <row r="1375" spans="1:2" hidden="1" x14ac:dyDescent="0.3">
      <c r="A1375" s="28"/>
      <c r="B1375" s="35"/>
    </row>
    <row r="1376" spans="1:2" hidden="1" x14ac:dyDescent="0.3">
      <c r="A1376" s="28"/>
      <c r="B1376" s="35"/>
    </row>
    <row r="1377" spans="1:2" hidden="1" x14ac:dyDescent="0.3">
      <c r="A1377" s="28"/>
      <c r="B1377" s="35"/>
    </row>
    <row r="1378" spans="1:2" hidden="1" x14ac:dyDescent="0.3">
      <c r="A1378" s="28"/>
      <c r="B1378" s="35"/>
    </row>
    <row r="1379" spans="1:2" hidden="1" x14ac:dyDescent="0.3">
      <c r="A1379" s="28"/>
      <c r="B1379" s="35"/>
    </row>
    <row r="1380" spans="1:2" hidden="1" x14ac:dyDescent="0.3">
      <c r="A1380" s="28"/>
      <c r="B1380" s="35"/>
    </row>
    <row r="1381" spans="1:2" hidden="1" x14ac:dyDescent="0.3">
      <c r="A1381" s="28"/>
      <c r="B1381" s="35"/>
    </row>
    <row r="1382" spans="1:2" hidden="1" x14ac:dyDescent="0.3">
      <c r="A1382" s="28"/>
      <c r="B1382" s="35"/>
    </row>
    <row r="1383" spans="1:2" hidden="1" x14ac:dyDescent="0.3">
      <c r="A1383" s="28"/>
      <c r="B1383" s="35"/>
    </row>
    <row r="1384" spans="1:2" hidden="1" x14ac:dyDescent="0.3">
      <c r="A1384" s="28"/>
      <c r="B1384" s="35"/>
    </row>
    <row r="1385" spans="1:2" hidden="1" x14ac:dyDescent="0.3">
      <c r="A1385" s="28"/>
      <c r="B1385" s="35"/>
    </row>
    <row r="1386" spans="1:2" hidden="1" x14ac:dyDescent="0.3">
      <c r="A1386" s="28"/>
      <c r="B1386" s="35"/>
    </row>
    <row r="1387" spans="1:2" hidden="1" x14ac:dyDescent="0.3">
      <c r="A1387" s="28"/>
      <c r="B1387" s="35"/>
    </row>
    <row r="1388" spans="1:2" hidden="1" x14ac:dyDescent="0.3">
      <c r="A1388" s="28"/>
      <c r="B1388" s="35"/>
    </row>
    <row r="1389" spans="1:2" hidden="1" x14ac:dyDescent="0.3">
      <c r="A1389" s="28"/>
      <c r="B1389" s="35"/>
    </row>
    <row r="1390" spans="1:2" hidden="1" x14ac:dyDescent="0.3">
      <c r="A1390" s="28"/>
      <c r="B1390" s="35"/>
    </row>
    <row r="1391" spans="1:2" hidden="1" x14ac:dyDescent="0.3">
      <c r="A1391" s="28"/>
      <c r="B1391" s="35"/>
    </row>
    <row r="1392" spans="1:2" hidden="1" x14ac:dyDescent="0.3">
      <c r="A1392" s="28"/>
      <c r="B1392" s="35"/>
    </row>
    <row r="1393" spans="1:2" hidden="1" x14ac:dyDescent="0.3">
      <c r="A1393" s="28"/>
      <c r="B1393" s="35"/>
    </row>
    <row r="1394" spans="1:2" hidden="1" x14ac:dyDescent="0.3">
      <c r="A1394" s="28"/>
      <c r="B1394" s="35"/>
    </row>
    <row r="1395" spans="1:2" hidden="1" x14ac:dyDescent="0.3">
      <c r="A1395" s="28"/>
      <c r="B1395" s="35"/>
    </row>
    <row r="1396" spans="1:2" hidden="1" x14ac:dyDescent="0.3">
      <c r="A1396" s="28"/>
      <c r="B1396" s="35"/>
    </row>
    <row r="1397" spans="1:2" hidden="1" x14ac:dyDescent="0.3">
      <c r="A1397" s="28"/>
      <c r="B1397" s="35"/>
    </row>
    <row r="1398" spans="1:2" hidden="1" x14ac:dyDescent="0.3">
      <c r="A1398" s="28"/>
      <c r="B1398" s="35"/>
    </row>
    <row r="1399" spans="1:2" hidden="1" x14ac:dyDescent="0.3">
      <c r="A1399" s="28"/>
      <c r="B1399" s="35"/>
    </row>
    <row r="1400" spans="1:2" hidden="1" x14ac:dyDescent="0.3">
      <c r="A1400" s="28"/>
      <c r="B1400" s="35"/>
    </row>
    <row r="1401" spans="1:2" hidden="1" x14ac:dyDescent="0.3">
      <c r="A1401" s="28"/>
      <c r="B1401" s="35"/>
    </row>
    <row r="1402" spans="1:2" hidden="1" x14ac:dyDescent="0.3">
      <c r="A1402" s="28"/>
      <c r="B1402" s="35"/>
    </row>
    <row r="1403" spans="1:2" hidden="1" x14ac:dyDescent="0.3">
      <c r="A1403" s="28"/>
      <c r="B1403" s="35"/>
    </row>
    <row r="1404" spans="1:2" hidden="1" x14ac:dyDescent="0.3">
      <c r="A1404" s="28"/>
      <c r="B1404" s="35"/>
    </row>
    <row r="1405" spans="1:2" hidden="1" x14ac:dyDescent="0.3">
      <c r="A1405" s="28"/>
      <c r="B1405" s="35"/>
    </row>
    <row r="1406" spans="1:2" hidden="1" x14ac:dyDescent="0.3">
      <c r="A1406" s="28"/>
      <c r="B1406" s="35"/>
    </row>
    <row r="1407" spans="1:2" hidden="1" x14ac:dyDescent="0.3">
      <c r="A1407" s="28"/>
      <c r="B1407" s="35"/>
    </row>
    <row r="1408" spans="1:2" hidden="1" x14ac:dyDescent="0.3">
      <c r="A1408" s="28"/>
      <c r="B1408" s="35"/>
    </row>
    <row r="1409" spans="1:2" hidden="1" x14ac:dyDescent="0.3">
      <c r="A1409" s="28"/>
      <c r="B1409" s="35"/>
    </row>
    <row r="1410" spans="1:2" hidden="1" x14ac:dyDescent="0.3">
      <c r="A1410" s="28"/>
      <c r="B1410" s="35"/>
    </row>
    <row r="1411" spans="1:2" hidden="1" x14ac:dyDescent="0.3">
      <c r="A1411" s="28"/>
      <c r="B1411" s="35"/>
    </row>
    <row r="1412" spans="1:2" hidden="1" x14ac:dyDescent="0.3">
      <c r="A1412" s="28"/>
      <c r="B1412" s="35"/>
    </row>
    <row r="1413" spans="1:2" hidden="1" x14ac:dyDescent="0.3">
      <c r="A1413" s="28"/>
      <c r="B1413" s="35"/>
    </row>
    <row r="1414" spans="1:2" hidden="1" x14ac:dyDescent="0.3">
      <c r="A1414" s="28"/>
      <c r="B1414" s="35"/>
    </row>
    <row r="1415" spans="1:2" hidden="1" x14ac:dyDescent="0.3">
      <c r="A1415" s="28"/>
      <c r="B1415" s="35"/>
    </row>
    <row r="1416" spans="1:2" hidden="1" x14ac:dyDescent="0.3">
      <c r="A1416" s="28"/>
      <c r="B1416" s="35"/>
    </row>
    <row r="1417" spans="1:2" hidden="1" x14ac:dyDescent="0.3">
      <c r="A1417" s="28"/>
      <c r="B1417" s="35"/>
    </row>
    <row r="1418" spans="1:2" hidden="1" x14ac:dyDescent="0.3">
      <c r="A1418" s="28"/>
      <c r="B1418" s="35"/>
    </row>
    <row r="1419" spans="1:2" hidden="1" x14ac:dyDescent="0.3">
      <c r="A1419" s="28"/>
      <c r="B1419" s="35"/>
    </row>
    <row r="1420" spans="1:2" hidden="1" x14ac:dyDescent="0.3">
      <c r="A1420" s="28"/>
      <c r="B1420" s="35"/>
    </row>
    <row r="1421" spans="1:2" hidden="1" x14ac:dyDescent="0.3">
      <c r="A1421" s="28"/>
      <c r="B1421" s="35"/>
    </row>
    <row r="1422" spans="1:2" hidden="1" x14ac:dyDescent="0.3">
      <c r="A1422" s="28"/>
      <c r="B1422" s="35"/>
    </row>
    <row r="1423" spans="1:2" hidden="1" x14ac:dyDescent="0.3">
      <c r="A1423" s="28"/>
      <c r="B1423" s="35"/>
    </row>
    <row r="1424" spans="1:2" hidden="1" x14ac:dyDescent="0.3">
      <c r="A1424" s="28"/>
      <c r="B1424" s="35"/>
    </row>
    <row r="1425" spans="1:2" hidden="1" x14ac:dyDescent="0.3">
      <c r="A1425" s="28"/>
      <c r="B1425" s="35"/>
    </row>
    <row r="1426" spans="1:2" hidden="1" x14ac:dyDescent="0.3">
      <c r="A1426" s="28"/>
      <c r="B1426" s="35"/>
    </row>
    <row r="1427" spans="1:2" hidden="1" x14ac:dyDescent="0.3">
      <c r="A1427" s="28"/>
      <c r="B1427" s="35"/>
    </row>
    <row r="1428" spans="1:2" hidden="1" x14ac:dyDescent="0.3">
      <c r="A1428" s="28"/>
      <c r="B1428" s="35"/>
    </row>
    <row r="1429" spans="1:2" hidden="1" x14ac:dyDescent="0.3">
      <c r="A1429" s="28"/>
      <c r="B1429" s="35"/>
    </row>
    <row r="1430" spans="1:2" hidden="1" x14ac:dyDescent="0.3">
      <c r="A1430" s="28"/>
      <c r="B1430" s="35"/>
    </row>
    <row r="1431" spans="1:2" hidden="1" x14ac:dyDescent="0.3">
      <c r="A1431" s="28"/>
      <c r="B1431" s="35"/>
    </row>
    <row r="1432" spans="1:2" hidden="1" x14ac:dyDescent="0.3">
      <c r="A1432" s="28"/>
      <c r="B1432" s="35"/>
    </row>
    <row r="1433" spans="1:2" hidden="1" x14ac:dyDescent="0.3">
      <c r="A1433" s="28"/>
      <c r="B1433" s="35"/>
    </row>
    <row r="1434" spans="1:2" hidden="1" x14ac:dyDescent="0.3">
      <c r="A1434" s="28"/>
      <c r="B1434" s="35"/>
    </row>
    <row r="1435" spans="1:2" hidden="1" x14ac:dyDescent="0.3">
      <c r="A1435" s="28"/>
      <c r="B1435" s="35"/>
    </row>
    <row r="1436" spans="1:2" hidden="1" x14ac:dyDescent="0.3">
      <c r="A1436" s="28"/>
      <c r="B1436" s="35"/>
    </row>
    <row r="1437" spans="1:2" hidden="1" x14ac:dyDescent="0.3">
      <c r="A1437" s="28"/>
      <c r="B1437" s="35"/>
    </row>
    <row r="1438" spans="1:2" hidden="1" x14ac:dyDescent="0.3">
      <c r="A1438" s="28"/>
      <c r="B1438" s="35"/>
    </row>
    <row r="1439" spans="1:2" hidden="1" x14ac:dyDescent="0.3">
      <c r="A1439" s="28"/>
      <c r="B1439" s="35"/>
    </row>
    <row r="1440" spans="1:2" hidden="1" x14ac:dyDescent="0.3">
      <c r="A1440" s="28"/>
      <c r="B1440" s="35"/>
    </row>
    <row r="1441" spans="1:2" hidden="1" x14ac:dyDescent="0.3">
      <c r="A1441" s="28"/>
      <c r="B1441" s="35"/>
    </row>
    <row r="1442" spans="1:2" hidden="1" x14ac:dyDescent="0.3">
      <c r="A1442" s="28"/>
      <c r="B1442" s="35"/>
    </row>
    <row r="1443" spans="1:2" hidden="1" x14ac:dyDescent="0.3">
      <c r="A1443" s="28"/>
      <c r="B1443" s="35"/>
    </row>
    <row r="1444" spans="1:2" hidden="1" x14ac:dyDescent="0.3">
      <c r="A1444" s="28"/>
      <c r="B1444" s="35"/>
    </row>
    <row r="1445" spans="1:2" hidden="1" x14ac:dyDescent="0.3">
      <c r="A1445" s="28"/>
      <c r="B1445" s="35"/>
    </row>
    <row r="1446" spans="1:2" hidden="1" x14ac:dyDescent="0.3">
      <c r="A1446" s="28"/>
      <c r="B1446" s="35"/>
    </row>
    <row r="1447" spans="1:2" hidden="1" x14ac:dyDescent="0.3">
      <c r="A1447" s="28"/>
      <c r="B1447" s="35"/>
    </row>
    <row r="1448" spans="1:2" hidden="1" x14ac:dyDescent="0.3">
      <c r="A1448" s="28"/>
      <c r="B1448" s="35"/>
    </row>
    <row r="1449" spans="1:2" hidden="1" x14ac:dyDescent="0.3">
      <c r="A1449" s="28"/>
      <c r="B1449" s="35"/>
    </row>
    <row r="1450" spans="1:2" hidden="1" x14ac:dyDescent="0.3">
      <c r="A1450" s="28"/>
      <c r="B1450" s="35"/>
    </row>
    <row r="1451" spans="1:2" hidden="1" x14ac:dyDescent="0.3">
      <c r="A1451" s="28"/>
      <c r="B1451" s="35"/>
    </row>
    <row r="1452" spans="1:2" hidden="1" x14ac:dyDescent="0.3">
      <c r="A1452" s="28"/>
      <c r="B1452" s="35"/>
    </row>
    <row r="1453" spans="1:2" hidden="1" x14ac:dyDescent="0.3">
      <c r="A1453" s="28"/>
      <c r="B1453" s="35"/>
    </row>
    <row r="1454" spans="1:2" hidden="1" x14ac:dyDescent="0.3">
      <c r="A1454" s="28"/>
      <c r="B1454" s="35"/>
    </row>
    <row r="1455" spans="1:2" hidden="1" x14ac:dyDescent="0.3">
      <c r="A1455" s="28"/>
      <c r="B1455" s="35"/>
    </row>
    <row r="1456" spans="1:2" hidden="1" x14ac:dyDescent="0.3">
      <c r="A1456" s="28"/>
      <c r="B1456" s="35"/>
    </row>
    <row r="1457" spans="1:2" hidden="1" x14ac:dyDescent="0.3">
      <c r="A1457" s="28"/>
      <c r="B1457" s="35"/>
    </row>
    <row r="1458" spans="1:2" hidden="1" x14ac:dyDescent="0.3">
      <c r="A1458" s="28"/>
      <c r="B1458" s="35"/>
    </row>
    <row r="1459" spans="1:2" hidden="1" x14ac:dyDescent="0.3">
      <c r="A1459" s="28"/>
      <c r="B1459" s="35"/>
    </row>
    <row r="1460" spans="1:2" hidden="1" x14ac:dyDescent="0.3">
      <c r="A1460" s="28"/>
      <c r="B1460" s="35"/>
    </row>
    <row r="1461" spans="1:2" hidden="1" x14ac:dyDescent="0.3">
      <c r="A1461" s="28"/>
      <c r="B1461" s="35"/>
    </row>
    <row r="1462" spans="1:2" hidden="1" x14ac:dyDescent="0.3">
      <c r="A1462" s="28"/>
      <c r="B1462" s="35"/>
    </row>
    <row r="1463" spans="1:2" hidden="1" x14ac:dyDescent="0.3">
      <c r="A1463" s="28"/>
      <c r="B1463" s="35"/>
    </row>
    <row r="1464" spans="1:2" hidden="1" x14ac:dyDescent="0.3">
      <c r="A1464" s="28"/>
      <c r="B1464" s="35"/>
    </row>
    <row r="1465" spans="1:2" hidden="1" x14ac:dyDescent="0.3">
      <c r="A1465" s="28"/>
      <c r="B1465" s="35"/>
    </row>
    <row r="1466" spans="1:2" hidden="1" x14ac:dyDescent="0.3">
      <c r="A1466" s="28"/>
      <c r="B1466" s="35"/>
    </row>
    <row r="1467" spans="1:2" hidden="1" x14ac:dyDescent="0.3">
      <c r="A1467" s="28"/>
      <c r="B1467" s="35"/>
    </row>
    <row r="1468" spans="1:2" hidden="1" x14ac:dyDescent="0.3">
      <c r="A1468" s="28"/>
      <c r="B1468" s="35"/>
    </row>
    <row r="1469" spans="1:2" hidden="1" x14ac:dyDescent="0.3">
      <c r="A1469" s="28"/>
      <c r="B1469" s="35"/>
    </row>
    <row r="1470" spans="1:2" hidden="1" x14ac:dyDescent="0.3">
      <c r="A1470" s="28"/>
      <c r="B1470" s="35"/>
    </row>
    <row r="1471" spans="1:2" hidden="1" x14ac:dyDescent="0.3">
      <c r="A1471" s="28"/>
      <c r="B1471" s="35"/>
    </row>
    <row r="1472" spans="1:2" hidden="1" x14ac:dyDescent="0.3">
      <c r="A1472" s="28"/>
      <c r="B1472" s="35"/>
    </row>
    <row r="1473" spans="1:2" hidden="1" x14ac:dyDescent="0.3">
      <c r="A1473" s="28"/>
      <c r="B1473" s="35"/>
    </row>
    <row r="1474" spans="1:2" hidden="1" x14ac:dyDescent="0.3">
      <c r="A1474" s="28"/>
      <c r="B1474" s="35"/>
    </row>
    <row r="1475" spans="1:2" hidden="1" x14ac:dyDescent="0.3">
      <c r="A1475" s="28"/>
      <c r="B1475" s="35"/>
    </row>
    <row r="1476" spans="1:2" hidden="1" x14ac:dyDescent="0.3">
      <c r="A1476" s="28"/>
      <c r="B1476" s="35"/>
    </row>
    <row r="1477" spans="1:2" hidden="1" x14ac:dyDescent="0.3">
      <c r="A1477" s="28"/>
      <c r="B1477" s="35"/>
    </row>
    <row r="1478" spans="1:2" hidden="1" x14ac:dyDescent="0.3">
      <c r="A1478" s="28"/>
      <c r="B1478" s="35"/>
    </row>
    <row r="1479" spans="1:2" hidden="1" x14ac:dyDescent="0.3">
      <c r="A1479" s="28"/>
      <c r="B1479" s="35"/>
    </row>
    <row r="1480" spans="1:2" hidden="1" x14ac:dyDescent="0.3">
      <c r="A1480" s="28"/>
      <c r="B1480" s="35"/>
    </row>
    <row r="1481" spans="1:2" hidden="1" x14ac:dyDescent="0.3">
      <c r="A1481" s="28"/>
      <c r="B1481" s="35"/>
    </row>
    <row r="1482" spans="1:2" hidden="1" x14ac:dyDescent="0.3">
      <c r="A1482" s="28"/>
      <c r="B1482" s="35"/>
    </row>
    <row r="1483" spans="1:2" hidden="1" x14ac:dyDescent="0.3">
      <c r="A1483" s="28"/>
      <c r="B1483" s="35"/>
    </row>
    <row r="1484" spans="1:2" hidden="1" x14ac:dyDescent="0.3">
      <c r="A1484" s="28"/>
      <c r="B1484" s="35"/>
    </row>
    <row r="1485" spans="1:2" hidden="1" x14ac:dyDescent="0.3">
      <c r="A1485" s="28"/>
      <c r="B1485" s="35"/>
    </row>
    <row r="1486" spans="1:2" hidden="1" x14ac:dyDescent="0.3">
      <c r="A1486" s="28"/>
      <c r="B1486" s="35"/>
    </row>
    <row r="1487" spans="1:2" hidden="1" x14ac:dyDescent="0.3">
      <c r="A1487" s="28"/>
      <c r="B1487" s="35"/>
    </row>
    <row r="1488" spans="1:2" hidden="1" x14ac:dyDescent="0.3">
      <c r="A1488" s="28"/>
      <c r="B1488" s="35"/>
    </row>
    <row r="1489" spans="1:2" hidden="1" x14ac:dyDescent="0.3">
      <c r="A1489" s="28"/>
      <c r="B1489" s="35"/>
    </row>
    <row r="1490" spans="1:2" hidden="1" x14ac:dyDescent="0.3">
      <c r="A1490" s="28"/>
      <c r="B1490" s="35"/>
    </row>
    <row r="1491" spans="1:2" hidden="1" x14ac:dyDescent="0.3">
      <c r="A1491" s="28"/>
      <c r="B1491" s="35"/>
    </row>
    <row r="1492" spans="1:2" hidden="1" x14ac:dyDescent="0.3">
      <c r="A1492" s="28"/>
      <c r="B1492" s="35"/>
    </row>
    <row r="1493" spans="1:2" hidden="1" x14ac:dyDescent="0.3">
      <c r="A1493" s="28"/>
      <c r="B1493" s="35"/>
    </row>
    <row r="1494" spans="1:2" hidden="1" x14ac:dyDescent="0.3">
      <c r="A1494" s="28"/>
      <c r="B1494" s="35"/>
    </row>
    <row r="1495" spans="1:2" hidden="1" x14ac:dyDescent="0.3">
      <c r="A1495" s="28"/>
      <c r="B1495" s="35"/>
    </row>
    <row r="1496" spans="1:2" hidden="1" x14ac:dyDescent="0.3">
      <c r="A1496" s="28"/>
      <c r="B1496" s="35"/>
    </row>
    <row r="1497" spans="1:2" hidden="1" x14ac:dyDescent="0.3">
      <c r="A1497" s="28"/>
      <c r="B1497" s="35"/>
    </row>
    <row r="1498" spans="1:2" hidden="1" x14ac:dyDescent="0.3">
      <c r="A1498" s="28"/>
      <c r="B1498" s="35"/>
    </row>
    <row r="1499" spans="1:2" hidden="1" x14ac:dyDescent="0.3">
      <c r="A1499" s="28"/>
      <c r="B1499" s="35"/>
    </row>
    <row r="1500" spans="1:2" hidden="1" x14ac:dyDescent="0.3">
      <c r="A1500" s="28"/>
      <c r="B1500" s="35"/>
    </row>
    <row r="1501" spans="1:2" hidden="1" x14ac:dyDescent="0.3">
      <c r="A1501" s="28"/>
      <c r="B1501" s="35"/>
    </row>
    <row r="1502" spans="1:2" hidden="1" x14ac:dyDescent="0.3">
      <c r="A1502" s="28"/>
      <c r="B1502" s="35"/>
    </row>
    <row r="1503" spans="1:2" hidden="1" x14ac:dyDescent="0.3">
      <c r="A1503" s="28"/>
      <c r="B1503" s="35"/>
    </row>
    <row r="1504" spans="1:2" hidden="1" x14ac:dyDescent="0.3">
      <c r="A1504" s="28"/>
      <c r="B1504" s="35"/>
    </row>
    <row r="1505" spans="1:2" hidden="1" x14ac:dyDescent="0.3">
      <c r="A1505" s="28"/>
      <c r="B1505" s="35"/>
    </row>
    <row r="1506" spans="1:2" hidden="1" x14ac:dyDescent="0.3">
      <c r="A1506" s="28"/>
      <c r="B1506" s="35"/>
    </row>
    <row r="1507" spans="1:2" hidden="1" x14ac:dyDescent="0.3">
      <c r="A1507" s="28"/>
      <c r="B1507" s="35"/>
    </row>
    <row r="1508" spans="1:2" hidden="1" x14ac:dyDescent="0.3">
      <c r="A1508" s="28"/>
      <c r="B1508" s="35"/>
    </row>
    <row r="1509" spans="1:2" hidden="1" x14ac:dyDescent="0.3">
      <c r="A1509" s="28"/>
      <c r="B1509" s="35"/>
    </row>
    <row r="1510" spans="1:2" hidden="1" x14ac:dyDescent="0.3">
      <c r="A1510" s="28"/>
      <c r="B1510" s="35"/>
    </row>
    <row r="1511" spans="1:2" hidden="1" x14ac:dyDescent="0.3">
      <c r="A1511" s="28"/>
      <c r="B1511" s="35"/>
    </row>
    <row r="1512" spans="1:2" hidden="1" x14ac:dyDescent="0.3">
      <c r="A1512" s="28"/>
      <c r="B1512" s="35"/>
    </row>
    <row r="1513" spans="1:2" hidden="1" x14ac:dyDescent="0.3">
      <c r="A1513" s="28"/>
      <c r="B1513" s="35"/>
    </row>
    <row r="1514" spans="1:2" hidden="1" x14ac:dyDescent="0.3">
      <c r="A1514" s="28"/>
      <c r="B1514" s="35"/>
    </row>
    <row r="1515" spans="1:2" hidden="1" x14ac:dyDescent="0.3">
      <c r="A1515" s="28"/>
      <c r="B1515" s="35"/>
    </row>
    <row r="1516" spans="1:2" hidden="1" x14ac:dyDescent="0.3">
      <c r="A1516" s="28"/>
      <c r="B1516" s="35"/>
    </row>
    <row r="1517" spans="1:2" hidden="1" x14ac:dyDescent="0.3">
      <c r="A1517" s="28"/>
      <c r="B1517" s="35"/>
    </row>
    <row r="1518" spans="1:2" hidden="1" x14ac:dyDescent="0.3">
      <c r="A1518" s="28"/>
      <c r="B1518" s="35"/>
    </row>
    <row r="1519" spans="1:2" hidden="1" x14ac:dyDescent="0.3">
      <c r="A1519" s="28"/>
      <c r="B1519" s="35"/>
    </row>
    <row r="1520" spans="1:2" hidden="1" x14ac:dyDescent="0.3">
      <c r="A1520" s="28"/>
      <c r="B1520" s="35"/>
    </row>
    <row r="1521" spans="1:2" hidden="1" x14ac:dyDescent="0.3">
      <c r="A1521" s="28"/>
      <c r="B1521" s="35"/>
    </row>
    <row r="1522" spans="1:2" hidden="1" x14ac:dyDescent="0.3">
      <c r="A1522" s="28"/>
      <c r="B1522" s="35"/>
    </row>
    <row r="1523" spans="1:2" hidden="1" x14ac:dyDescent="0.3">
      <c r="A1523" s="28"/>
      <c r="B1523" s="35"/>
    </row>
    <row r="1524" spans="1:2" hidden="1" x14ac:dyDescent="0.3">
      <c r="A1524" s="28"/>
      <c r="B1524" s="35"/>
    </row>
    <row r="1525" spans="1:2" hidden="1" x14ac:dyDescent="0.3">
      <c r="A1525" s="28"/>
      <c r="B1525" s="35"/>
    </row>
    <row r="1526" spans="1:2" hidden="1" x14ac:dyDescent="0.3">
      <c r="A1526" s="28"/>
      <c r="B1526" s="35"/>
    </row>
    <row r="1527" spans="1:2" hidden="1" x14ac:dyDescent="0.3">
      <c r="A1527" s="28"/>
      <c r="B1527" s="35"/>
    </row>
    <row r="1528" spans="1:2" hidden="1" x14ac:dyDescent="0.3">
      <c r="A1528" s="28"/>
      <c r="B1528" s="35"/>
    </row>
    <row r="1529" spans="1:2" hidden="1" x14ac:dyDescent="0.3">
      <c r="A1529" s="28"/>
      <c r="B1529" s="35"/>
    </row>
    <row r="1530" spans="1:2" hidden="1" x14ac:dyDescent="0.3">
      <c r="A1530" s="28"/>
      <c r="B1530" s="35"/>
    </row>
    <row r="1531" spans="1:2" hidden="1" x14ac:dyDescent="0.3">
      <c r="A1531" s="28"/>
      <c r="B1531" s="35"/>
    </row>
    <row r="1532" spans="1:2" hidden="1" x14ac:dyDescent="0.3">
      <c r="A1532" s="28"/>
      <c r="B1532" s="35"/>
    </row>
    <row r="1533" spans="1:2" hidden="1" x14ac:dyDescent="0.3">
      <c r="A1533" s="28"/>
      <c r="B1533" s="35"/>
    </row>
    <row r="1534" spans="1:2" hidden="1" x14ac:dyDescent="0.3">
      <c r="A1534" s="28"/>
      <c r="B1534" s="35"/>
    </row>
    <row r="1535" spans="1:2" hidden="1" x14ac:dyDescent="0.3">
      <c r="A1535" s="28"/>
      <c r="B1535" s="35"/>
    </row>
    <row r="1536" spans="1:2" hidden="1" x14ac:dyDescent="0.3">
      <c r="A1536" s="28"/>
      <c r="B1536" s="35"/>
    </row>
    <row r="1537" spans="1:2" hidden="1" x14ac:dyDescent="0.3">
      <c r="A1537" s="28"/>
      <c r="B1537" s="35"/>
    </row>
    <row r="1538" spans="1:2" hidden="1" x14ac:dyDescent="0.3">
      <c r="A1538" s="28"/>
      <c r="B1538" s="35"/>
    </row>
    <row r="1539" spans="1:2" hidden="1" x14ac:dyDescent="0.3">
      <c r="A1539" s="28"/>
      <c r="B1539" s="35"/>
    </row>
    <row r="1540" spans="1:2" hidden="1" x14ac:dyDescent="0.3">
      <c r="A1540" s="28"/>
      <c r="B1540" s="35"/>
    </row>
    <row r="1541" spans="1:2" hidden="1" x14ac:dyDescent="0.3">
      <c r="A1541" s="28"/>
      <c r="B1541" s="35"/>
    </row>
    <row r="1542" spans="1:2" hidden="1" x14ac:dyDescent="0.3">
      <c r="A1542" s="28"/>
      <c r="B1542" s="35"/>
    </row>
    <row r="1543" spans="1:2" hidden="1" x14ac:dyDescent="0.3">
      <c r="A1543" s="28"/>
      <c r="B1543" s="35"/>
    </row>
    <row r="1544" spans="1:2" hidden="1" x14ac:dyDescent="0.3">
      <c r="A1544" s="28"/>
      <c r="B1544" s="35"/>
    </row>
    <row r="1545" spans="1:2" hidden="1" x14ac:dyDescent="0.3">
      <c r="A1545" s="28"/>
      <c r="B1545" s="35"/>
    </row>
    <row r="1546" spans="1:2" hidden="1" x14ac:dyDescent="0.3">
      <c r="A1546" s="28"/>
      <c r="B1546" s="35"/>
    </row>
    <row r="1547" spans="1:2" hidden="1" x14ac:dyDescent="0.3">
      <c r="A1547" s="28"/>
      <c r="B1547" s="35"/>
    </row>
    <row r="1548" spans="1:2" hidden="1" x14ac:dyDescent="0.3">
      <c r="A1548" s="28"/>
      <c r="B1548" s="35"/>
    </row>
    <row r="1549" spans="1:2" hidden="1" x14ac:dyDescent="0.3">
      <c r="A1549" s="28"/>
      <c r="B1549" s="35"/>
    </row>
    <row r="1550" spans="1:2" hidden="1" x14ac:dyDescent="0.3">
      <c r="A1550" s="28"/>
      <c r="B1550" s="35"/>
    </row>
    <row r="1551" spans="1:2" hidden="1" x14ac:dyDescent="0.3">
      <c r="A1551" s="28"/>
      <c r="B1551" s="35"/>
    </row>
    <row r="1552" spans="1:2" hidden="1" x14ac:dyDescent="0.3">
      <c r="A1552" s="28"/>
      <c r="B1552" s="35"/>
    </row>
    <row r="1553" spans="1:2" hidden="1" x14ac:dyDescent="0.3">
      <c r="A1553" s="28"/>
      <c r="B1553" s="35"/>
    </row>
    <row r="1554" spans="1:2" hidden="1" x14ac:dyDescent="0.3">
      <c r="A1554" s="28"/>
      <c r="B1554" s="35"/>
    </row>
    <row r="1555" spans="1:2" hidden="1" x14ac:dyDescent="0.3">
      <c r="A1555" s="28"/>
      <c r="B1555" s="35"/>
    </row>
    <row r="1556" spans="1:2" hidden="1" x14ac:dyDescent="0.3">
      <c r="A1556" s="28"/>
      <c r="B1556" s="35"/>
    </row>
    <row r="1557" spans="1:2" hidden="1" x14ac:dyDescent="0.3">
      <c r="A1557" s="28"/>
      <c r="B1557" s="35"/>
    </row>
    <row r="1558" spans="1:2" hidden="1" x14ac:dyDescent="0.3">
      <c r="A1558" s="28"/>
      <c r="B1558" s="35"/>
    </row>
    <row r="1559" spans="1:2" hidden="1" x14ac:dyDescent="0.3">
      <c r="A1559" s="28"/>
      <c r="B1559" s="35"/>
    </row>
    <row r="1560" spans="1:2" hidden="1" x14ac:dyDescent="0.3">
      <c r="A1560" s="28"/>
      <c r="B1560" s="35"/>
    </row>
    <row r="1561" spans="1:2" hidden="1" x14ac:dyDescent="0.3">
      <c r="A1561" s="28"/>
      <c r="B1561" s="35"/>
    </row>
    <row r="1562" spans="1:2" hidden="1" x14ac:dyDescent="0.3">
      <c r="A1562" s="28"/>
      <c r="B1562" s="35"/>
    </row>
    <row r="1563" spans="1:2" hidden="1" x14ac:dyDescent="0.3">
      <c r="A1563" s="28"/>
      <c r="B1563" s="35"/>
    </row>
    <row r="1564" spans="1:2" hidden="1" x14ac:dyDescent="0.3">
      <c r="A1564" s="28"/>
      <c r="B1564" s="35"/>
    </row>
    <row r="1565" spans="1:2" hidden="1" x14ac:dyDescent="0.3">
      <c r="A1565" s="28"/>
      <c r="B1565" s="35"/>
    </row>
    <row r="1566" spans="1:2" hidden="1" x14ac:dyDescent="0.3">
      <c r="A1566" s="28"/>
      <c r="B1566" s="35"/>
    </row>
    <row r="1567" spans="1:2" hidden="1" x14ac:dyDescent="0.3">
      <c r="A1567" s="28"/>
      <c r="B1567" s="35"/>
    </row>
    <row r="1568" spans="1:2" hidden="1" x14ac:dyDescent="0.3">
      <c r="A1568" s="28"/>
      <c r="B1568" s="35"/>
    </row>
    <row r="1569" spans="1:2" hidden="1" x14ac:dyDescent="0.3">
      <c r="A1569" s="28"/>
      <c r="B1569" s="35"/>
    </row>
    <row r="1570" spans="1:2" hidden="1" x14ac:dyDescent="0.3">
      <c r="A1570" s="28"/>
      <c r="B1570" s="35"/>
    </row>
    <row r="1571" spans="1:2" hidden="1" x14ac:dyDescent="0.3">
      <c r="A1571" s="28"/>
      <c r="B1571" s="35"/>
    </row>
    <row r="1572" spans="1:2" hidden="1" x14ac:dyDescent="0.3">
      <c r="A1572" s="28"/>
      <c r="B1572" s="35"/>
    </row>
    <row r="1573" spans="1:2" hidden="1" x14ac:dyDescent="0.3">
      <c r="A1573" s="28"/>
      <c r="B1573" s="35"/>
    </row>
    <row r="1574" spans="1:2" hidden="1" x14ac:dyDescent="0.3">
      <c r="A1574" s="28"/>
      <c r="B1574" s="35"/>
    </row>
    <row r="1575" spans="1:2" hidden="1" x14ac:dyDescent="0.3">
      <c r="A1575" s="28"/>
      <c r="B1575" s="35"/>
    </row>
    <row r="1576" spans="1:2" hidden="1" x14ac:dyDescent="0.3">
      <c r="A1576" s="28"/>
      <c r="B1576" s="35"/>
    </row>
    <row r="1577" spans="1:2" hidden="1" x14ac:dyDescent="0.3">
      <c r="A1577" s="28"/>
      <c r="B1577" s="35"/>
    </row>
    <row r="1578" spans="1:2" hidden="1" x14ac:dyDescent="0.3">
      <c r="A1578" s="28"/>
      <c r="B1578" s="35"/>
    </row>
    <row r="1579" spans="1:2" hidden="1" x14ac:dyDescent="0.3">
      <c r="A1579" s="28"/>
      <c r="B1579" s="35"/>
    </row>
    <row r="1580" spans="1:2" hidden="1" x14ac:dyDescent="0.3">
      <c r="A1580" s="28"/>
      <c r="B1580" s="35"/>
    </row>
    <row r="1581" spans="1:2" hidden="1" x14ac:dyDescent="0.3">
      <c r="A1581" s="28"/>
      <c r="B1581" s="35"/>
    </row>
    <row r="1582" spans="1:2" hidden="1" x14ac:dyDescent="0.3">
      <c r="A1582" s="28"/>
      <c r="B1582" s="35"/>
    </row>
    <row r="1583" spans="1:2" hidden="1" x14ac:dyDescent="0.3">
      <c r="A1583" s="28"/>
      <c r="B1583" s="35"/>
    </row>
    <row r="1584" spans="1:2" hidden="1" x14ac:dyDescent="0.3">
      <c r="A1584" s="28"/>
      <c r="B1584" s="35"/>
    </row>
    <row r="1585" spans="1:2" hidden="1" x14ac:dyDescent="0.3">
      <c r="A1585" s="28"/>
      <c r="B1585" s="35"/>
    </row>
    <row r="1586" spans="1:2" hidden="1" x14ac:dyDescent="0.3">
      <c r="A1586" s="28"/>
      <c r="B1586" s="35"/>
    </row>
    <row r="1587" spans="1:2" hidden="1" x14ac:dyDescent="0.3">
      <c r="A1587" s="28"/>
      <c r="B1587" s="35"/>
    </row>
    <row r="1588" spans="1:2" hidden="1" x14ac:dyDescent="0.3">
      <c r="A1588" s="28"/>
      <c r="B1588" s="35"/>
    </row>
    <row r="1589" spans="1:2" hidden="1" x14ac:dyDescent="0.3">
      <c r="A1589" s="28"/>
      <c r="B1589" s="35"/>
    </row>
    <row r="1590" spans="1:2" hidden="1" x14ac:dyDescent="0.3">
      <c r="A1590" s="28"/>
      <c r="B1590" s="35"/>
    </row>
    <row r="1591" spans="1:2" hidden="1" x14ac:dyDescent="0.3">
      <c r="A1591" s="28"/>
      <c r="B1591" s="35"/>
    </row>
    <row r="1592" spans="1:2" hidden="1" x14ac:dyDescent="0.3">
      <c r="A1592" s="28"/>
      <c r="B1592" s="35"/>
    </row>
    <row r="1593" spans="1:2" hidden="1" x14ac:dyDescent="0.3">
      <c r="A1593" s="28"/>
      <c r="B1593" s="35"/>
    </row>
    <row r="1594" spans="1:2" hidden="1" x14ac:dyDescent="0.3">
      <c r="A1594" s="28"/>
      <c r="B1594" s="35"/>
    </row>
    <row r="1595" spans="1:2" hidden="1" x14ac:dyDescent="0.3">
      <c r="A1595" s="28"/>
      <c r="B1595" s="35"/>
    </row>
    <row r="1596" spans="1:2" hidden="1" x14ac:dyDescent="0.3">
      <c r="A1596" s="28"/>
      <c r="B1596" s="35"/>
    </row>
    <row r="1597" spans="1:2" hidden="1" x14ac:dyDescent="0.3">
      <c r="A1597" s="28"/>
      <c r="B1597" s="35"/>
    </row>
    <row r="1598" spans="1:2" hidden="1" x14ac:dyDescent="0.3">
      <c r="A1598" s="28"/>
      <c r="B1598" s="35"/>
    </row>
    <row r="1599" spans="1:2" hidden="1" x14ac:dyDescent="0.3">
      <c r="A1599" s="28"/>
      <c r="B1599" s="35"/>
    </row>
    <row r="1600" spans="1:2" hidden="1" x14ac:dyDescent="0.3">
      <c r="A1600" s="28"/>
      <c r="B1600" s="35"/>
    </row>
    <row r="1601" spans="1:2" hidden="1" x14ac:dyDescent="0.3">
      <c r="A1601" s="28"/>
      <c r="B1601" s="35"/>
    </row>
    <row r="1602" spans="1:2" hidden="1" x14ac:dyDescent="0.3">
      <c r="A1602" s="28"/>
      <c r="B1602" s="35"/>
    </row>
    <row r="1603" spans="1:2" hidden="1" x14ac:dyDescent="0.3">
      <c r="A1603" s="28"/>
      <c r="B1603" s="35"/>
    </row>
    <row r="1604" spans="1:2" hidden="1" x14ac:dyDescent="0.3">
      <c r="A1604" s="28"/>
      <c r="B1604" s="35"/>
    </row>
    <row r="1605" spans="1:2" hidden="1" x14ac:dyDescent="0.3">
      <c r="A1605" s="28"/>
      <c r="B1605" s="35"/>
    </row>
    <row r="1606" spans="1:2" hidden="1" x14ac:dyDescent="0.3">
      <c r="A1606" s="28"/>
      <c r="B1606" s="35"/>
    </row>
    <row r="1607" spans="1:2" hidden="1" x14ac:dyDescent="0.3">
      <c r="A1607" s="28"/>
      <c r="B1607" s="35"/>
    </row>
    <row r="1608" spans="1:2" hidden="1" x14ac:dyDescent="0.3">
      <c r="A1608" s="28"/>
      <c r="B1608" s="35"/>
    </row>
    <row r="1609" spans="1:2" hidden="1" x14ac:dyDescent="0.3">
      <c r="A1609" s="28"/>
      <c r="B1609" s="35"/>
    </row>
    <row r="1610" spans="1:2" hidden="1" x14ac:dyDescent="0.3">
      <c r="A1610" s="28"/>
      <c r="B1610" s="35"/>
    </row>
    <row r="1611" spans="1:2" hidden="1" x14ac:dyDescent="0.3">
      <c r="A1611" s="28"/>
      <c r="B1611" s="35"/>
    </row>
    <row r="1612" spans="1:2" hidden="1" x14ac:dyDescent="0.3">
      <c r="A1612" s="28"/>
      <c r="B1612" s="35"/>
    </row>
    <row r="1613" spans="1:2" hidden="1" x14ac:dyDescent="0.3">
      <c r="A1613" s="28"/>
      <c r="B1613" s="35"/>
    </row>
    <row r="1614" spans="1:2" hidden="1" x14ac:dyDescent="0.3">
      <c r="A1614" s="28"/>
      <c r="B1614" s="35"/>
    </row>
    <row r="1615" spans="1:2" hidden="1" x14ac:dyDescent="0.3">
      <c r="A1615" s="28"/>
      <c r="B1615" s="35"/>
    </row>
    <row r="1616" spans="1:2" hidden="1" x14ac:dyDescent="0.3">
      <c r="A1616" s="28"/>
      <c r="B1616" s="35"/>
    </row>
    <row r="1617" spans="1:2" hidden="1" x14ac:dyDescent="0.3">
      <c r="A1617" s="28"/>
      <c r="B1617" s="35"/>
    </row>
    <row r="1618" spans="1:2" hidden="1" x14ac:dyDescent="0.3">
      <c r="A1618" s="28"/>
      <c r="B1618" s="35"/>
    </row>
    <row r="1619" spans="1:2" hidden="1" x14ac:dyDescent="0.3">
      <c r="A1619" s="28"/>
      <c r="B1619" s="35"/>
    </row>
    <row r="1620" spans="1:2" hidden="1" x14ac:dyDescent="0.3">
      <c r="A1620" s="28"/>
      <c r="B1620" s="35"/>
    </row>
    <row r="1621" spans="1:2" hidden="1" x14ac:dyDescent="0.3">
      <c r="A1621" s="28"/>
      <c r="B1621" s="35"/>
    </row>
    <row r="1622" spans="1:2" hidden="1" x14ac:dyDescent="0.3">
      <c r="A1622" s="28"/>
      <c r="B1622" s="35"/>
    </row>
    <row r="1623" spans="1:2" hidden="1" x14ac:dyDescent="0.3">
      <c r="A1623" s="28"/>
      <c r="B1623" s="35"/>
    </row>
    <row r="1624" spans="1:2" hidden="1" x14ac:dyDescent="0.3">
      <c r="A1624" s="28"/>
      <c r="B1624" s="35"/>
    </row>
    <row r="1625" spans="1:2" hidden="1" x14ac:dyDescent="0.3">
      <c r="A1625" s="28"/>
      <c r="B1625" s="35"/>
    </row>
    <row r="1626" spans="1:2" hidden="1" x14ac:dyDescent="0.3">
      <c r="A1626" s="28"/>
      <c r="B1626" s="35"/>
    </row>
    <row r="1627" spans="1:2" hidden="1" x14ac:dyDescent="0.3">
      <c r="A1627" s="28"/>
      <c r="B1627" s="35"/>
    </row>
    <row r="1628" spans="1:2" hidden="1" x14ac:dyDescent="0.3">
      <c r="A1628" s="28"/>
      <c r="B1628" s="35"/>
    </row>
    <row r="1629" spans="1:2" hidden="1" x14ac:dyDescent="0.3">
      <c r="A1629" s="28"/>
      <c r="B1629" s="35"/>
    </row>
    <row r="1630" spans="1:2" hidden="1" x14ac:dyDescent="0.3">
      <c r="A1630" s="28"/>
      <c r="B1630" s="35"/>
    </row>
    <row r="1631" spans="1:2" hidden="1" x14ac:dyDescent="0.3">
      <c r="A1631" s="28"/>
      <c r="B1631" s="35"/>
    </row>
    <row r="1632" spans="1:2" hidden="1" x14ac:dyDescent="0.3">
      <c r="A1632" s="28"/>
      <c r="B1632" s="35"/>
    </row>
    <row r="1633" spans="1:2" hidden="1" x14ac:dyDescent="0.3">
      <c r="A1633" s="28"/>
      <c r="B1633" s="35"/>
    </row>
    <row r="1634" spans="1:2" hidden="1" x14ac:dyDescent="0.3">
      <c r="A1634" s="28"/>
      <c r="B1634" s="35"/>
    </row>
    <row r="1635" spans="1:2" hidden="1" x14ac:dyDescent="0.3">
      <c r="A1635" s="28"/>
      <c r="B1635" s="35"/>
    </row>
    <row r="1636" spans="1:2" hidden="1" x14ac:dyDescent="0.3">
      <c r="A1636" s="28"/>
      <c r="B1636" s="35"/>
    </row>
    <row r="1637" spans="1:2" hidden="1" x14ac:dyDescent="0.3">
      <c r="A1637" s="28"/>
      <c r="B1637" s="35"/>
    </row>
    <row r="1638" spans="1:2" hidden="1" x14ac:dyDescent="0.3">
      <c r="A1638" s="28"/>
      <c r="B1638" s="35"/>
    </row>
    <row r="1639" spans="1:2" hidden="1" x14ac:dyDescent="0.3">
      <c r="A1639" s="28"/>
      <c r="B1639" s="35"/>
    </row>
    <row r="1640" spans="1:2" hidden="1" x14ac:dyDescent="0.3">
      <c r="A1640" s="28"/>
      <c r="B1640" s="35"/>
    </row>
    <row r="1641" spans="1:2" hidden="1" x14ac:dyDescent="0.3">
      <c r="A1641" s="28"/>
      <c r="B1641" s="35"/>
    </row>
    <row r="1642" spans="1:2" hidden="1" x14ac:dyDescent="0.3">
      <c r="A1642" s="28"/>
      <c r="B1642" s="35"/>
    </row>
    <row r="1643" spans="1:2" hidden="1" x14ac:dyDescent="0.3">
      <c r="A1643" s="28"/>
      <c r="B1643" s="35"/>
    </row>
    <row r="1644" spans="1:2" hidden="1" x14ac:dyDescent="0.3">
      <c r="A1644" s="28"/>
      <c r="B1644" s="35"/>
    </row>
    <row r="1645" spans="1:2" hidden="1" x14ac:dyDescent="0.3">
      <c r="A1645" s="28"/>
      <c r="B1645" s="35"/>
    </row>
    <row r="1646" spans="1:2" hidden="1" x14ac:dyDescent="0.3">
      <c r="A1646" s="28"/>
      <c r="B1646" s="35"/>
    </row>
    <row r="1647" spans="1:2" hidden="1" x14ac:dyDescent="0.3">
      <c r="A1647" s="28"/>
      <c r="B1647" s="35"/>
    </row>
    <row r="1648" spans="1:2" hidden="1" x14ac:dyDescent="0.3">
      <c r="A1648" s="28"/>
      <c r="B1648" s="35"/>
    </row>
    <row r="1649" spans="1:2" hidden="1" x14ac:dyDescent="0.3">
      <c r="A1649" s="28"/>
      <c r="B1649" s="35"/>
    </row>
    <row r="1650" spans="1:2" hidden="1" x14ac:dyDescent="0.3">
      <c r="A1650" s="28"/>
      <c r="B1650" s="35"/>
    </row>
    <row r="1651" spans="1:2" hidden="1" x14ac:dyDescent="0.3">
      <c r="A1651" s="28"/>
      <c r="B1651" s="35"/>
    </row>
    <row r="1652" spans="1:2" hidden="1" x14ac:dyDescent="0.3">
      <c r="A1652" s="28"/>
      <c r="B1652" s="35"/>
    </row>
    <row r="1653" spans="1:2" hidden="1" x14ac:dyDescent="0.3">
      <c r="A1653" s="28"/>
      <c r="B1653" s="35"/>
    </row>
    <row r="1654" spans="1:2" hidden="1" x14ac:dyDescent="0.3">
      <c r="A1654" s="28"/>
      <c r="B1654" s="35"/>
    </row>
    <row r="1655" spans="1:2" hidden="1" x14ac:dyDescent="0.3">
      <c r="A1655" s="28"/>
      <c r="B1655" s="35"/>
    </row>
    <row r="1656" spans="1:2" hidden="1" x14ac:dyDescent="0.3">
      <c r="A1656" s="28"/>
      <c r="B1656" s="35"/>
    </row>
    <row r="1657" spans="1:2" hidden="1" x14ac:dyDescent="0.3">
      <c r="A1657" s="28"/>
      <c r="B1657" s="35"/>
    </row>
    <row r="1658" spans="1:2" hidden="1" x14ac:dyDescent="0.3">
      <c r="A1658" s="28"/>
      <c r="B1658" s="35"/>
    </row>
    <row r="1659" spans="1:2" hidden="1" x14ac:dyDescent="0.3">
      <c r="A1659" s="28"/>
      <c r="B1659" s="35"/>
    </row>
    <row r="1660" spans="1:2" hidden="1" x14ac:dyDescent="0.3">
      <c r="A1660" s="28"/>
      <c r="B1660" s="35"/>
    </row>
    <row r="1661" spans="1:2" hidden="1" x14ac:dyDescent="0.3">
      <c r="A1661" s="28"/>
      <c r="B1661" s="35"/>
    </row>
    <row r="1662" spans="1:2" hidden="1" x14ac:dyDescent="0.3">
      <c r="A1662" s="28"/>
      <c r="B1662" s="35"/>
    </row>
    <row r="1663" spans="1:2" hidden="1" x14ac:dyDescent="0.3">
      <c r="A1663" s="28"/>
      <c r="B1663" s="35"/>
    </row>
    <row r="1664" spans="1:2" hidden="1" x14ac:dyDescent="0.3">
      <c r="A1664" s="28"/>
      <c r="B1664" s="35"/>
    </row>
    <row r="1665" spans="1:2" hidden="1" x14ac:dyDescent="0.3">
      <c r="A1665" s="28"/>
      <c r="B1665" s="35"/>
    </row>
    <row r="1666" spans="1:2" hidden="1" x14ac:dyDescent="0.3">
      <c r="A1666" s="28"/>
      <c r="B1666" s="35"/>
    </row>
    <row r="1667" spans="1:2" hidden="1" x14ac:dyDescent="0.3">
      <c r="A1667" s="28"/>
      <c r="B1667" s="35"/>
    </row>
    <row r="1668" spans="1:2" hidden="1" x14ac:dyDescent="0.3">
      <c r="A1668" s="28"/>
      <c r="B1668" s="35"/>
    </row>
    <row r="1669" spans="1:2" hidden="1" x14ac:dyDescent="0.3">
      <c r="A1669" s="28"/>
      <c r="B1669" s="35"/>
    </row>
    <row r="1670" spans="1:2" hidden="1" x14ac:dyDescent="0.3">
      <c r="A1670" s="28"/>
      <c r="B1670" s="35"/>
    </row>
    <row r="1671" spans="1:2" hidden="1" x14ac:dyDescent="0.3">
      <c r="A1671" s="28"/>
      <c r="B1671" s="35"/>
    </row>
    <row r="1672" spans="1:2" hidden="1" x14ac:dyDescent="0.3">
      <c r="A1672" s="28"/>
      <c r="B1672" s="35"/>
    </row>
    <row r="1673" spans="1:2" hidden="1" x14ac:dyDescent="0.3">
      <c r="A1673" s="28"/>
      <c r="B1673" s="35"/>
    </row>
    <row r="1674" spans="1:2" hidden="1" x14ac:dyDescent="0.3">
      <c r="A1674" s="28"/>
      <c r="B1674" s="35"/>
    </row>
    <row r="1675" spans="1:2" hidden="1" x14ac:dyDescent="0.3">
      <c r="A1675" s="28"/>
      <c r="B1675" s="35"/>
    </row>
    <row r="1676" spans="1:2" hidden="1" x14ac:dyDescent="0.3">
      <c r="A1676" s="28"/>
      <c r="B1676" s="35"/>
    </row>
    <row r="1677" spans="1:2" hidden="1" x14ac:dyDescent="0.3">
      <c r="A1677" s="28"/>
      <c r="B1677" s="35"/>
    </row>
    <row r="1678" spans="1:2" hidden="1" x14ac:dyDescent="0.3">
      <c r="A1678" s="28"/>
      <c r="B1678" s="35"/>
    </row>
    <row r="1679" spans="1:2" hidden="1" x14ac:dyDescent="0.3">
      <c r="A1679" s="28"/>
      <c r="B1679" s="35"/>
    </row>
    <row r="1680" spans="1:2" hidden="1" x14ac:dyDescent="0.3">
      <c r="A1680" s="28"/>
      <c r="B1680" s="35"/>
    </row>
    <row r="1681" spans="1:2" hidden="1" x14ac:dyDescent="0.3">
      <c r="A1681" s="28"/>
      <c r="B1681" s="35"/>
    </row>
    <row r="1682" spans="1:2" hidden="1" x14ac:dyDescent="0.3">
      <c r="A1682" s="28"/>
      <c r="B1682" s="35"/>
    </row>
    <row r="1683" spans="1:2" hidden="1" x14ac:dyDescent="0.3">
      <c r="A1683" s="28"/>
      <c r="B1683" s="35"/>
    </row>
    <row r="1684" spans="1:2" hidden="1" x14ac:dyDescent="0.3">
      <c r="A1684" s="28"/>
      <c r="B1684" s="35"/>
    </row>
    <row r="1685" spans="1:2" hidden="1" x14ac:dyDescent="0.3">
      <c r="A1685" s="28"/>
      <c r="B1685" s="35"/>
    </row>
    <row r="1686" spans="1:2" hidden="1" x14ac:dyDescent="0.3">
      <c r="A1686" s="28"/>
      <c r="B1686" s="35"/>
    </row>
    <row r="1687" spans="1:2" hidden="1" x14ac:dyDescent="0.3">
      <c r="A1687" s="28"/>
      <c r="B1687" s="35"/>
    </row>
    <row r="1688" spans="1:2" hidden="1" x14ac:dyDescent="0.3">
      <c r="A1688" s="28"/>
      <c r="B1688" s="35"/>
    </row>
    <row r="1689" spans="1:2" hidden="1" x14ac:dyDescent="0.3">
      <c r="A1689" s="28"/>
      <c r="B1689" s="35"/>
    </row>
    <row r="1690" spans="1:2" hidden="1" x14ac:dyDescent="0.3">
      <c r="A1690" s="28"/>
      <c r="B1690" s="35"/>
    </row>
    <row r="1691" spans="1:2" hidden="1" x14ac:dyDescent="0.3">
      <c r="A1691" s="28"/>
      <c r="B1691" s="35"/>
    </row>
    <row r="1692" spans="1:2" hidden="1" x14ac:dyDescent="0.3">
      <c r="A1692" s="28"/>
      <c r="B1692" s="35"/>
    </row>
    <row r="1693" spans="1:2" hidden="1" x14ac:dyDescent="0.3">
      <c r="A1693" s="28"/>
      <c r="B1693" s="35"/>
    </row>
    <row r="1694" spans="1:2" hidden="1" x14ac:dyDescent="0.3">
      <c r="A1694" s="28"/>
      <c r="B1694" s="35"/>
    </row>
    <row r="1695" spans="1:2" hidden="1" x14ac:dyDescent="0.3">
      <c r="A1695" s="28"/>
      <c r="B1695" s="35"/>
    </row>
    <row r="1696" spans="1:2" hidden="1" x14ac:dyDescent="0.3">
      <c r="A1696" s="28"/>
      <c r="B1696" s="35"/>
    </row>
    <row r="1697" spans="1:2" hidden="1" x14ac:dyDescent="0.3">
      <c r="A1697" s="28"/>
      <c r="B1697" s="35"/>
    </row>
    <row r="1698" spans="1:2" hidden="1" x14ac:dyDescent="0.3">
      <c r="A1698" s="28"/>
      <c r="B1698" s="35"/>
    </row>
    <row r="1699" spans="1:2" hidden="1" x14ac:dyDescent="0.3">
      <c r="A1699" s="28"/>
      <c r="B1699" s="35"/>
    </row>
    <row r="1700" spans="1:2" hidden="1" x14ac:dyDescent="0.3">
      <c r="A1700" s="28"/>
      <c r="B1700" s="35"/>
    </row>
    <row r="1701" spans="1:2" hidden="1" x14ac:dyDescent="0.3">
      <c r="A1701" s="28"/>
      <c r="B1701" s="35"/>
    </row>
    <row r="1702" spans="1:2" hidden="1" x14ac:dyDescent="0.3">
      <c r="A1702" s="28"/>
      <c r="B1702" s="35"/>
    </row>
    <row r="1703" spans="1:2" hidden="1" x14ac:dyDescent="0.3">
      <c r="A1703" s="28"/>
      <c r="B1703" s="35"/>
    </row>
    <row r="1704" spans="1:2" hidden="1" x14ac:dyDescent="0.3">
      <c r="A1704" s="28"/>
      <c r="B1704" s="35"/>
    </row>
    <row r="1705" spans="1:2" hidden="1" x14ac:dyDescent="0.3">
      <c r="A1705" s="28"/>
      <c r="B1705" s="35"/>
    </row>
    <row r="1706" spans="1:2" hidden="1" x14ac:dyDescent="0.3">
      <c r="A1706" s="28"/>
      <c r="B1706" s="35"/>
    </row>
    <row r="1707" spans="1:2" hidden="1" x14ac:dyDescent="0.3">
      <c r="A1707" s="28"/>
      <c r="B1707" s="35"/>
    </row>
    <row r="1708" spans="1:2" hidden="1" x14ac:dyDescent="0.3">
      <c r="A1708" s="28"/>
      <c r="B1708" s="35"/>
    </row>
    <row r="1709" spans="1:2" hidden="1" x14ac:dyDescent="0.3">
      <c r="A1709" s="28"/>
      <c r="B1709" s="35"/>
    </row>
    <row r="1710" spans="1:2" hidden="1" x14ac:dyDescent="0.3">
      <c r="A1710" s="28"/>
      <c r="B1710" s="35"/>
    </row>
    <row r="1711" spans="1:2" hidden="1" x14ac:dyDescent="0.3">
      <c r="A1711" s="28"/>
      <c r="B1711" s="35"/>
    </row>
    <row r="1712" spans="1:2" hidden="1" x14ac:dyDescent="0.3">
      <c r="A1712" s="28"/>
      <c r="B1712" s="35"/>
    </row>
    <row r="1713" spans="1:2" hidden="1" x14ac:dyDescent="0.3">
      <c r="A1713" s="28"/>
      <c r="B1713" s="35"/>
    </row>
    <row r="1714" spans="1:2" hidden="1" x14ac:dyDescent="0.3">
      <c r="A1714" s="28"/>
      <c r="B1714" s="35"/>
    </row>
    <row r="1715" spans="1:2" hidden="1" x14ac:dyDescent="0.3">
      <c r="A1715" s="28"/>
      <c r="B1715" s="35"/>
    </row>
    <row r="1716" spans="1:2" hidden="1" x14ac:dyDescent="0.3">
      <c r="A1716" s="28"/>
      <c r="B1716" s="35"/>
    </row>
    <row r="1717" spans="1:2" hidden="1" x14ac:dyDescent="0.3">
      <c r="A1717" s="28"/>
      <c r="B1717" s="35"/>
    </row>
    <row r="1718" spans="1:2" hidden="1" x14ac:dyDescent="0.3">
      <c r="A1718" s="28"/>
      <c r="B1718" s="35"/>
    </row>
    <row r="1719" spans="1:2" hidden="1" x14ac:dyDescent="0.3">
      <c r="A1719" s="28"/>
      <c r="B1719" s="35"/>
    </row>
    <row r="1720" spans="1:2" hidden="1" x14ac:dyDescent="0.3">
      <c r="A1720" s="28"/>
      <c r="B1720" s="35"/>
    </row>
    <row r="1721" spans="1:2" hidden="1" x14ac:dyDescent="0.3">
      <c r="A1721" s="28"/>
      <c r="B1721" s="35"/>
    </row>
    <row r="1722" spans="1:2" hidden="1" x14ac:dyDescent="0.3">
      <c r="A1722" s="28"/>
      <c r="B1722" s="35"/>
    </row>
    <row r="1723" spans="1:2" hidden="1" x14ac:dyDescent="0.3">
      <c r="A1723" s="28"/>
      <c r="B1723" s="35"/>
    </row>
    <row r="1724" spans="1:2" hidden="1" x14ac:dyDescent="0.3">
      <c r="A1724" s="28"/>
      <c r="B1724" s="35"/>
    </row>
    <row r="1725" spans="1:2" hidden="1" x14ac:dyDescent="0.3">
      <c r="A1725" s="28"/>
      <c r="B1725" s="35"/>
    </row>
    <row r="1726" spans="1:2" hidden="1" x14ac:dyDescent="0.3">
      <c r="A1726" s="28"/>
      <c r="B1726" s="35"/>
    </row>
    <row r="1727" spans="1:2" hidden="1" x14ac:dyDescent="0.3">
      <c r="A1727" s="28"/>
      <c r="B1727" s="35"/>
    </row>
    <row r="1728" spans="1:2" hidden="1" x14ac:dyDescent="0.3">
      <c r="A1728" s="28"/>
      <c r="B1728" s="35"/>
    </row>
    <row r="1729" spans="1:2" hidden="1" x14ac:dyDescent="0.3">
      <c r="A1729" s="28"/>
      <c r="B1729" s="35"/>
    </row>
    <row r="1730" spans="1:2" hidden="1" x14ac:dyDescent="0.3">
      <c r="A1730" s="28"/>
      <c r="B1730" s="35"/>
    </row>
    <row r="1731" spans="1:2" hidden="1" x14ac:dyDescent="0.3">
      <c r="A1731" s="28"/>
      <c r="B1731" s="35"/>
    </row>
    <row r="1732" spans="1:2" hidden="1" x14ac:dyDescent="0.3">
      <c r="A1732" s="28"/>
      <c r="B1732" s="35"/>
    </row>
    <row r="1733" spans="1:2" hidden="1" x14ac:dyDescent="0.3">
      <c r="A1733" s="28"/>
      <c r="B1733" s="35"/>
    </row>
    <row r="1734" spans="1:2" hidden="1" x14ac:dyDescent="0.3">
      <c r="A1734" s="28"/>
      <c r="B1734" s="35"/>
    </row>
    <row r="1735" spans="1:2" hidden="1" x14ac:dyDescent="0.3">
      <c r="A1735" s="28"/>
      <c r="B1735" s="35"/>
    </row>
    <row r="1736" spans="1:2" hidden="1" x14ac:dyDescent="0.3">
      <c r="A1736" s="28"/>
      <c r="B1736" s="35"/>
    </row>
    <row r="1737" spans="1:2" hidden="1" x14ac:dyDescent="0.3">
      <c r="A1737" s="28"/>
      <c r="B1737" s="35"/>
    </row>
    <row r="1738" spans="1:2" hidden="1" x14ac:dyDescent="0.3">
      <c r="A1738" s="28"/>
      <c r="B1738" s="35"/>
    </row>
    <row r="1739" spans="1:2" hidden="1" x14ac:dyDescent="0.3">
      <c r="A1739" s="28"/>
      <c r="B1739" s="35"/>
    </row>
    <row r="1740" spans="1:2" hidden="1" x14ac:dyDescent="0.3">
      <c r="A1740" s="28"/>
      <c r="B1740" s="35"/>
    </row>
    <row r="1741" spans="1:2" hidden="1" x14ac:dyDescent="0.3">
      <c r="A1741" s="28"/>
      <c r="B1741" s="35"/>
    </row>
    <row r="1742" spans="1:2" hidden="1" x14ac:dyDescent="0.3">
      <c r="A1742" s="28"/>
      <c r="B1742" s="35"/>
    </row>
    <row r="1743" spans="1:2" hidden="1" x14ac:dyDescent="0.3">
      <c r="A1743" s="28"/>
      <c r="B1743" s="35"/>
    </row>
    <row r="1744" spans="1:2" hidden="1" x14ac:dyDescent="0.3">
      <c r="A1744" s="28"/>
      <c r="B1744" s="35"/>
    </row>
    <row r="1745" spans="1:2" hidden="1" x14ac:dyDescent="0.3">
      <c r="A1745" s="28"/>
      <c r="B1745" s="35"/>
    </row>
    <row r="1746" spans="1:2" hidden="1" x14ac:dyDescent="0.3">
      <c r="A1746" s="28"/>
      <c r="B1746" s="35"/>
    </row>
    <row r="1747" spans="1:2" hidden="1" x14ac:dyDescent="0.3">
      <c r="A1747" s="28"/>
      <c r="B1747" s="35"/>
    </row>
    <row r="1748" spans="1:2" hidden="1" x14ac:dyDescent="0.3">
      <c r="A1748" s="28"/>
      <c r="B1748" s="35"/>
    </row>
    <row r="1749" spans="1:2" hidden="1" x14ac:dyDescent="0.3">
      <c r="A1749" s="28"/>
      <c r="B1749" s="35"/>
    </row>
    <row r="1750" spans="1:2" hidden="1" x14ac:dyDescent="0.3">
      <c r="A1750" s="28"/>
      <c r="B1750" s="35"/>
    </row>
    <row r="1751" spans="1:2" hidden="1" x14ac:dyDescent="0.3">
      <c r="A1751" s="28"/>
      <c r="B1751" s="35"/>
    </row>
    <row r="1752" spans="1:2" hidden="1" x14ac:dyDescent="0.3">
      <c r="A1752" s="28"/>
      <c r="B1752" s="35"/>
    </row>
    <row r="1753" spans="1:2" hidden="1" x14ac:dyDescent="0.3">
      <c r="A1753" s="28"/>
      <c r="B1753" s="35"/>
    </row>
    <row r="1754" spans="1:2" hidden="1" x14ac:dyDescent="0.3">
      <c r="A1754" s="28"/>
      <c r="B1754" s="35"/>
    </row>
    <row r="1755" spans="1:2" hidden="1" x14ac:dyDescent="0.3">
      <c r="A1755" s="28"/>
      <c r="B1755" s="35"/>
    </row>
    <row r="1756" spans="1:2" hidden="1" x14ac:dyDescent="0.3">
      <c r="A1756" s="28"/>
      <c r="B1756" s="35"/>
    </row>
    <row r="1757" spans="1:2" hidden="1" x14ac:dyDescent="0.3">
      <c r="A1757" s="28"/>
      <c r="B1757" s="35"/>
    </row>
    <row r="1758" spans="1:2" hidden="1" x14ac:dyDescent="0.3">
      <c r="A1758" s="28"/>
      <c r="B1758" s="35"/>
    </row>
    <row r="1759" spans="1:2" hidden="1" x14ac:dyDescent="0.3">
      <c r="A1759" s="28"/>
      <c r="B1759" s="35"/>
    </row>
    <row r="1760" spans="1:2" hidden="1" x14ac:dyDescent="0.3">
      <c r="A1760" s="28"/>
      <c r="B1760" s="35"/>
    </row>
    <row r="1761" spans="1:2" hidden="1" x14ac:dyDescent="0.3">
      <c r="A1761" s="28"/>
      <c r="B1761" s="35"/>
    </row>
    <row r="1762" spans="1:2" hidden="1" x14ac:dyDescent="0.3">
      <c r="A1762" s="28"/>
      <c r="B1762" s="35"/>
    </row>
    <row r="1763" spans="1:2" hidden="1" x14ac:dyDescent="0.3">
      <c r="A1763" s="28"/>
      <c r="B1763" s="35"/>
    </row>
    <row r="1764" spans="1:2" hidden="1" x14ac:dyDescent="0.3">
      <c r="A1764" s="28"/>
      <c r="B1764" s="35"/>
    </row>
    <row r="1765" spans="1:2" hidden="1" x14ac:dyDescent="0.3">
      <c r="A1765" s="28"/>
      <c r="B1765" s="35"/>
    </row>
    <row r="1766" spans="1:2" hidden="1" x14ac:dyDescent="0.3">
      <c r="A1766" s="28"/>
      <c r="B1766" s="35"/>
    </row>
    <row r="1767" spans="1:2" hidden="1" x14ac:dyDescent="0.3">
      <c r="A1767" s="28"/>
      <c r="B1767" s="35"/>
    </row>
    <row r="1768" spans="1:2" hidden="1" x14ac:dyDescent="0.3">
      <c r="A1768" s="28"/>
      <c r="B1768" s="35"/>
    </row>
    <row r="1769" spans="1:2" hidden="1" x14ac:dyDescent="0.3">
      <c r="A1769" s="28"/>
      <c r="B1769" s="35"/>
    </row>
    <row r="1770" spans="1:2" hidden="1" x14ac:dyDescent="0.3">
      <c r="A1770" s="28"/>
      <c r="B1770" s="35"/>
    </row>
    <row r="1771" spans="1:2" hidden="1" x14ac:dyDescent="0.3">
      <c r="A1771" s="28"/>
      <c r="B1771" s="35"/>
    </row>
    <row r="1772" spans="1:2" hidden="1" x14ac:dyDescent="0.3">
      <c r="A1772" s="28"/>
      <c r="B1772" s="35"/>
    </row>
    <row r="1773" spans="1:2" hidden="1" x14ac:dyDescent="0.3">
      <c r="A1773" s="28"/>
      <c r="B1773" s="35"/>
    </row>
    <row r="1774" spans="1:2" hidden="1" x14ac:dyDescent="0.3">
      <c r="A1774" s="28"/>
      <c r="B1774" s="35"/>
    </row>
    <row r="1775" spans="1:2" hidden="1" x14ac:dyDescent="0.3">
      <c r="A1775" s="28"/>
      <c r="B1775" s="35"/>
    </row>
    <row r="1776" spans="1:2" hidden="1" x14ac:dyDescent="0.3">
      <c r="A1776" s="28"/>
      <c r="B1776" s="35"/>
    </row>
    <row r="1777" spans="1:2" hidden="1" x14ac:dyDescent="0.3">
      <c r="A1777" s="28"/>
      <c r="B1777" s="35"/>
    </row>
    <row r="1778" spans="1:2" hidden="1" x14ac:dyDescent="0.3">
      <c r="A1778" s="28"/>
      <c r="B1778" s="35"/>
    </row>
    <row r="1779" spans="1:2" hidden="1" x14ac:dyDescent="0.3">
      <c r="A1779" s="28"/>
      <c r="B1779" s="35"/>
    </row>
    <row r="1780" spans="1:2" hidden="1" x14ac:dyDescent="0.3">
      <c r="A1780" s="28"/>
      <c r="B1780" s="35"/>
    </row>
    <row r="1781" spans="1:2" hidden="1" x14ac:dyDescent="0.3">
      <c r="A1781" s="28"/>
      <c r="B1781" s="35"/>
    </row>
    <row r="1782" spans="1:2" hidden="1" x14ac:dyDescent="0.3">
      <c r="A1782" s="28"/>
      <c r="B1782" s="35"/>
    </row>
    <row r="1783" spans="1:2" hidden="1" x14ac:dyDescent="0.3">
      <c r="A1783" s="28"/>
      <c r="B1783" s="35"/>
    </row>
    <row r="1784" spans="1:2" hidden="1" x14ac:dyDescent="0.3">
      <c r="A1784" s="28"/>
      <c r="B1784" s="35"/>
    </row>
    <row r="1785" spans="1:2" hidden="1" x14ac:dyDescent="0.3">
      <c r="A1785" s="28"/>
      <c r="B1785" s="35"/>
    </row>
    <row r="1786" spans="1:2" hidden="1" x14ac:dyDescent="0.3">
      <c r="A1786" s="28"/>
      <c r="B1786" s="35"/>
    </row>
    <row r="1787" spans="1:2" hidden="1" x14ac:dyDescent="0.3">
      <c r="A1787" s="28"/>
      <c r="B1787" s="35"/>
    </row>
    <row r="1788" spans="1:2" hidden="1" x14ac:dyDescent="0.3">
      <c r="A1788" s="28"/>
      <c r="B1788" s="35"/>
    </row>
    <row r="1789" spans="1:2" hidden="1" x14ac:dyDescent="0.3">
      <c r="A1789" s="28"/>
      <c r="B1789" s="35"/>
    </row>
    <row r="1790" spans="1:2" hidden="1" x14ac:dyDescent="0.3">
      <c r="A1790" s="28"/>
      <c r="B1790" s="35"/>
    </row>
    <row r="1791" spans="1:2" hidden="1" x14ac:dyDescent="0.3">
      <c r="A1791" s="28"/>
      <c r="B1791" s="35"/>
    </row>
    <row r="1792" spans="1:2" hidden="1" x14ac:dyDescent="0.3">
      <c r="A1792" s="28"/>
      <c r="B1792" s="35"/>
    </row>
    <row r="1793" spans="1:2" hidden="1" x14ac:dyDescent="0.3">
      <c r="A1793" s="28"/>
      <c r="B1793" s="35"/>
    </row>
    <row r="1794" spans="1:2" hidden="1" x14ac:dyDescent="0.3">
      <c r="A1794" s="28"/>
      <c r="B1794" s="35"/>
    </row>
    <row r="1795" spans="1:2" hidden="1" x14ac:dyDescent="0.3">
      <c r="A1795" s="28"/>
      <c r="B1795" s="35"/>
    </row>
    <row r="1796" spans="1:2" hidden="1" x14ac:dyDescent="0.3">
      <c r="A1796" s="28"/>
      <c r="B1796" s="35"/>
    </row>
    <row r="1797" spans="1:2" hidden="1" x14ac:dyDescent="0.3">
      <c r="A1797" s="28"/>
      <c r="B1797" s="35"/>
    </row>
    <row r="1798" spans="1:2" hidden="1" x14ac:dyDescent="0.3">
      <c r="A1798" s="28"/>
      <c r="B1798" s="35"/>
    </row>
    <row r="1799" spans="1:2" hidden="1" x14ac:dyDescent="0.3">
      <c r="A1799" s="28"/>
      <c r="B1799" s="35"/>
    </row>
    <row r="1800" spans="1:2" hidden="1" x14ac:dyDescent="0.3">
      <c r="A1800" s="28"/>
      <c r="B1800" s="35"/>
    </row>
    <row r="1801" spans="1:2" hidden="1" x14ac:dyDescent="0.3">
      <c r="A1801" s="28"/>
      <c r="B1801" s="35"/>
    </row>
    <row r="1802" spans="1:2" hidden="1" x14ac:dyDescent="0.3">
      <c r="A1802" s="28"/>
      <c r="B1802" s="35"/>
    </row>
    <row r="1803" spans="1:2" hidden="1" x14ac:dyDescent="0.3">
      <c r="A1803" s="28"/>
      <c r="B1803" s="35"/>
    </row>
    <row r="1804" spans="1:2" hidden="1" x14ac:dyDescent="0.3">
      <c r="A1804" s="28"/>
      <c r="B1804" s="35"/>
    </row>
    <row r="1805" spans="1:2" hidden="1" x14ac:dyDescent="0.3">
      <c r="A1805" s="28"/>
      <c r="B1805" s="35"/>
    </row>
    <row r="1806" spans="1:2" hidden="1" x14ac:dyDescent="0.3">
      <c r="A1806" s="28"/>
      <c r="B1806" s="35"/>
    </row>
    <row r="1807" spans="1:2" hidden="1" x14ac:dyDescent="0.3">
      <c r="A1807" s="28"/>
      <c r="B1807" s="35"/>
    </row>
    <row r="1808" spans="1:2" hidden="1" x14ac:dyDescent="0.3">
      <c r="A1808" s="28"/>
      <c r="B1808" s="35"/>
    </row>
    <row r="1809" spans="1:2" hidden="1" x14ac:dyDescent="0.3">
      <c r="A1809" s="28"/>
      <c r="B1809" s="35"/>
    </row>
    <row r="1810" spans="1:2" hidden="1" x14ac:dyDescent="0.3">
      <c r="A1810" s="28"/>
      <c r="B1810" s="35"/>
    </row>
    <row r="1811" spans="1:2" hidden="1" x14ac:dyDescent="0.3">
      <c r="A1811" s="28"/>
      <c r="B1811" s="35"/>
    </row>
    <row r="1812" spans="1:2" hidden="1" x14ac:dyDescent="0.3">
      <c r="A1812" s="28"/>
      <c r="B1812" s="35"/>
    </row>
    <row r="1813" spans="1:2" hidden="1" x14ac:dyDescent="0.3">
      <c r="A1813" s="28"/>
      <c r="B1813" s="35"/>
    </row>
    <row r="1814" spans="1:2" hidden="1" x14ac:dyDescent="0.3">
      <c r="A1814" s="28"/>
      <c r="B1814" s="35"/>
    </row>
    <row r="1815" spans="1:2" hidden="1" x14ac:dyDescent="0.3">
      <c r="A1815" s="28"/>
      <c r="B1815" s="35"/>
    </row>
    <row r="1816" spans="1:2" hidden="1" x14ac:dyDescent="0.3">
      <c r="A1816" s="28"/>
      <c r="B1816" s="35"/>
    </row>
    <row r="1817" spans="1:2" hidden="1" x14ac:dyDescent="0.3">
      <c r="A1817" s="28"/>
      <c r="B1817" s="35"/>
    </row>
    <row r="1818" spans="1:2" hidden="1" x14ac:dyDescent="0.3">
      <c r="A1818" s="28"/>
      <c r="B1818" s="35"/>
    </row>
    <row r="1819" spans="1:2" hidden="1" x14ac:dyDescent="0.3">
      <c r="A1819" s="28"/>
      <c r="B1819" s="35"/>
    </row>
    <row r="1820" spans="1:2" hidden="1" x14ac:dyDescent="0.3">
      <c r="A1820" s="28"/>
      <c r="B1820" s="35"/>
    </row>
    <row r="1821" spans="1:2" hidden="1" x14ac:dyDescent="0.3">
      <c r="A1821" s="28"/>
      <c r="B1821" s="35"/>
    </row>
    <row r="1822" spans="1:2" hidden="1" x14ac:dyDescent="0.3">
      <c r="A1822" s="28"/>
      <c r="B1822" s="35"/>
    </row>
    <row r="1823" spans="1:2" hidden="1" x14ac:dyDescent="0.3">
      <c r="A1823" s="28"/>
      <c r="B1823" s="35"/>
    </row>
    <row r="1824" spans="1:2" hidden="1" x14ac:dyDescent="0.3">
      <c r="A1824" s="28"/>
      <c r="B1824" s="35"/>
    </row>
    <row r="1825" spans="1:2" hidden="1" x14ac:dyDescent="0.3">
      <c r="A1825" s="28"/>
      <c r="B1825" s="35"/>
    </row>
    <row r="1826" spans="1:2" hidden="1" x14ac:dyDescent="0.3">
      <c r="A1826" s="28"/>
      <c r="B1826" s="35"/>
    </row>
    <row r="1827" spans="1:2" hidden="1" x14ac:dyDescent="0.3">
      <c r="A1827" s="28"/>
      <c r="B1827" s="35"/>
    </row>
    <row r="1828" spans="1:2" hidden="1" x14ac:dyDescent="0.3">
      <c r="A1828" s="28"/>
      <c r="B1828" s="35"/>
    </row>
    <row r="1829" spans="1:2" hidden="1" x14ac:dyDescent="0.3">
      <c r="A1829" s="28"/>
      <c r="B1829" s="35"/>
    </row>
    <row r="1830" spans="1:2" hidden="1" x14ac:dyDescent="0.3">
      <c r="A1830" s="28"/>
      <c r="B1830" s="35"/>
    </row>
    <row r="1831" spans="1:2" hidden="1" x14ac:dyDescent="0.3">
      <c r="A1831" s="28"/>
      <c r="B1831" s="35"/>
    </row>
    <row r="1832" spans="1:2" hidden="1" x14ac:dyDescent="0.3">
      <c r="A1832" s="28"/>
      <c r="B1832" s="35"/>
    </row>
    <row r="1833" spans="1:2" hidden="1" x14ac:dyDescent="0.3">
      <c r="A1833" s="28"/>
      <c r="B1833" s="35"/>
    </row>
    <row r="1834" spans="1:2" hidden="1" x14ac:dyDescent="0.3">
      <c r="A1834" s="28"/>
      <c r="B1834" s="35"/>
    </row>
    <row r="1835" spans="1:2" hidden="1" x14ac:dyDescent="0.3">
      <c r="A1835" s="28"/>
      <c r="B1835" s="35"/>
    </row>
    <row r="1836" spans="1:2" hidden="1" x14ac:dyDescent="0.3">
      <c r="A1836" s="28"/>
      <c r="B1836" s="35"/>
    </row>
    <row r="1837" spans="1:2" hidden="1" x14ac:dyDescent="0.3">
      <c r="A1837" s="28"/>
      <c r="B1837" s="35"/>
    </row>
    <row r="1838" spans="1:2" hidden="1" x14ac:dyDescent="0.3">
      <c r="A1838" s="28"/>
      <c r="B1838" s="35"/>
    </row>
    <row r="1839" spans="1:2" hidden="1" x14ac:dyDescent="0.3">
      <c r="A1839" s="28"/>
      <c r="B1839" s="35"/>
    </row>
    <row r="1840" spans="1:2" hidden="1" x14ac:dyDescent="0.3">
      <c r="A1840" s="28"/>
      <c r="B1840" s="35"/>
    </row>
    <row r="1841" spans="1:2" hidden="1" x14ac:dyDescent="0.3">
      <c r="A1841" s="28"/>
      <c r="B1841" s="35"/>
    </row>
    <row r="1842" spans="1:2" hidden="1" x14ac:dyDescent="0.3">
      <c r="A1842" s="28"/>
      <c r="B1842" s="35"/>
    </row>
    <row r="1843" spans="1:2" hidden="1" x14ac:dyDescent="0.3">
      <c r="A1843" s="28"/>
      <c r="B1843" s="35"/>
    </row>
    <row r="1844" spans="1:2" hidden="1" x14ac:dyDescent="0.3">
      <c r="A1844" s="28"/>
      <c r="B1844" s="35"/>
    </row>
    <row r="1845" spans="1:2" hidden="1" x14ac:dyDescent="0.3">
      <c r="A1845" s="28"/>
      <c r="B1845" s="35"/>
    </row>
    <row r="1846" spans="1:2" hidden="1" x14ac:dyDescent="0.3">
      <c r="A1846" s="28"/>
      <c r="B1846" s="35"/>
    </row>
    <row r="1847" spans="1:2" hidden="1" x14ac:dyDescent="0.3">
      <c r="A1847" s="28"/>
      <c r="B1847" s="35"/>
    </row>
    <row r="1848" spans="1:2" hidden="1" x14ac:dyDescent="0.3">
      <c r="A1848" s="28"/>
      <c r="B1848" s="35"/>
    </row>
    <row r="1849" spans="1:2" hidden="1" x14ac:dyDescent="0.3">
      <c r="A1849" s="28"/>
      <c r="B1849" s="35"/>
    </row>
    <row r="1850" spans="1:2" hidden="1" x14ac:dyDescent="0.3">
      <c r="A1850" s="28"/>
      <c r="B1850" s="35"/>
    </row>
    <row r="1851" spans="1:2" hidden="1" x14ac:dyDescent="0.3">
      <c r="A1851" s="28"/>
      <c r="B1851" s="35"/>
    </row>
    <row r="1852" spans="1:2" hidden="1" x14ac:dyDescent="0.3">
      <c r="A1852" s="28"/>
      <c r="B1852" s="35"/>
    </row>
    <row r="1853" spans="1:2" hidden="1" x14ac:dyDescent="0.3">
      <c r="A1853" s="28"/>
      <c r="B1853" s="35"/>
    </row>
    <row r="1854" spans="1:2" hidden="1" x14ac:dyDescent="0.3">
      <c r="A1854" s="28"/>
      <c r="B1854" s="35"/>
    </row>
    <row r="1855" spans="1:2" hidden="1" x14ac:dyDescent="0.3">
      <c r="A1855" s="28"/>
      <c r="B1855" s="35"/>
    </row>
    <row r="1856" spans="1:2" hidden="1" x14ac:dyDescent="0.3">
      <c r="A1856" s="28"/>
      <c r="B1856" s="35"/>
    </row>
    <row r="1857" spans="1:2" hidden="1" x14ac:dyDescent="0.3">
      <c r="A1857" s="28"/>
      <c r="B1857" s="35"/>
    </row>
    <row r="1858" spans="1:2" hidden="1" x14ac:dyDescent="0.3">
      <c r="A1858" s="28"/>
      <c r="B1858" s="35"/>
    </row>
    <row r="1859" spans="1:2" hidden="1" x14ac:dyDescent="0.3">
      <c r="A1859" s="28"/>
      <c r="B1859" s="35"/>
    </row>
    <row r="1860" spans="1:2" hidden="1" x14ac:dyDescent="0.3">
      <c r="A1860" s="28"/>
      <c r="B1860" s="35"/>
    </row>
    <row r="1861" spans="1:2" hidden="1" x14ac:dyDescent="0.3">
      <c r="A1861" s="28"/>
      <c r="B1861" s="35"/>
    </row>
    <row r="1862" spans="1:2" hidden="1" x14ac:dyDescent="0.3">
      <c r="A1862" s="28"/>
      <c r="B1862" s="35"/>
    </row>
    <row r="1863" spans="1:2" hidden="1" x14ac:dyDescent="0.3">
      <c r="A1863" s="28"/>
      <c r="B1863" s="35"/>
    </row>
    <row r="1864" spans="1:2" hidden="1" x14ac:dyDescent="0.3">
      <c r="A1864" s="28"/>
      <c r="B1864" s="35"/>
    </row>
    <row r="1865" spans="1:2" hidden="1" x14ac:dyDescent="0.3">
      <c r="A1865" s="28"/>
      <c r="B1865" s="35"/>
    </row>
    <row r="1866" spans="1:2" hidden="1" x14ac:dyDescent="0.3">
      <c r="A1866" s="28"/>
      <c r="B1866" s="35"/>
    </row>
    <row r="1867" spans="1:2" hidden="1" x14ac:dyDescent="0.3">
      <c r="A1867" s="28"/>
      <c r="B1867" s="35"/>
    </row>
    <row r="1868" spans="1:2" hidden="1" x14ac:dyDescent="0.3">
      <c r="A1868" s="28"/>
      <c r="B1868" s="35"/>
    </row>
    <row r="1869" spans="1:2" hidden="1" x14ac:dyDescent="0.3">
      <c r="A1869" s="28"/>
      <c r="B1869" s="35"/>
    </row>
    <row r="1870" spans="1:2" hidden="1" x14ac:dyDescent="0.3">
      <c r="A1870" s="28"/>
      <c r="B1870" s="35"/>
    </row>
    <row r="1871" spans="1:2" hidden="1" x14ac:dyDescent="0.3">
      <c r="A1871" s="28"/>
      <c r="B1871" s="35"/>
    </row>
    <row r="1872" spans="1:2" hidden="1" x14ac:dyDescent="0.3">
      <c r="A1872" s="28"/>
      <c r="B1872" s="35"/>
    </row>
    <row r="1873" spans="1:2" hidden="1" x14ac:dyDescent="0.3">
      <c r="A1873" s="28"/>
      <c r="B1873" s="35"/>
    </row>
    <row r="1874" spans="1:2" hidden="1" x14ac:dyDescent="0.3">
      <c r="A1874" s="28"/>
      <c r="B1874" s="35"/>
    </row>
    <row r="1875" spans="1:2" hidden="1" x14ac:dyDescent="0.3">
      <c r="A1875" s="28"/>
      <c r="B1875" s="35"/>
    </row>
    <row r="1876" spans="1:2" hidden="1" x14ac:dyDescent="0.3">
      <c r="A1876" s="28"/>
      <c r="B1876" s="35"/>
    </row>
    <row r="1877" spans="1:2" hidden="1" x14ac:dyDescent="0.3">
      <c r="A1877" s="28"/>
      <c r="B1877" s="35"/>
    </row>
    <row r="1878" spans="1:2" hidden="1" x14ac:dyDescent="0.3">
      <c r="A1878" s="28"/>
      <c r="B1878" s="35"/>
    </row>
    <row r="1879" spans="1:2" hidden="1" x14ac:dyDescent="0.3">
      <c r="A1879" s="28"/>
      <c r="B1879" s="35"/>
    </row>
    <row r="1880" spans="1:2" hidden="1" x14ac:dyDescent="0.3">
      <c r="A1880" s="28"/>
      <c r="B1880" s="35"/>
    </row>
    <row r="1881" spans="1:2" hidden="1" x14ac:dyDescent="0.3">
      <c r="A1881" s="28"/>
      <c r="B1881" s="35"/>
    </row>
    <row r="1882" spans="1:2" hidden="1" x14ac:dyDescent="0.3">
      <c r="A1882" s="28"/>
      <c r="B1882" s="35"/>
    </row>
    <row r="1883" spans="1:2" hidden="1" x14ac:dyDescent="0.3">
      <c r="A1883" s="28"/>
      <c r="B1883" s="35"/>
    </row>
    <row r="1884" spans="1:2" hidden="1" x14ac:dyDescent="0.3">
      <c r="A1884" s="28"/>
      <c r="B1884" s="35"/>
    </row>
    <row r="1885" spans="1:2" hidden="1" x14ac:dyDescent="0.3">
      <c r="A1885" s="28"/>
      <c r="B1885" s="35"/>
    </row>
    <row r="1886" spans="1:2" hidden="1" x14ac:dyDescent="0.3">
      <c r="A1886" s="28"/>
      <c r="B1886" s="35"/>
    </row>
    <row r="1887" spans="1:2" hidden="1" x14ac:dyDescent="0.3">
      <c r="A1887" s="28"/>
      <c r="B1887" s="35"/>
    </row>
    <row r="1888" spans="1:2" hidden="1" x14ac:dyDescent="0.3">
      <c r="A1888" s="28"/>
      <c r="B1888" s="35"/>
    </row>
    <row r="1889" spans="1:2" hidden="1" x14ac:dyDescent="0.3">
      <c r="A1889" s="28"/>
      <c r="B1889" s="35"/>
    </row>
    <row r="1890" spans="1:2" hidden="1" x14ac:dyDescent="0.3">
      <c r="A1890" s="28"/>
      <c r="B1890" s="35"/>
    </row>
    <row r="1891" spans="1:2" hidden="1" x14ac:dyDescent="0.3">
      <c r="A1891" s="28"/>
      <c r="B1891" s="35"/>
    </row>
    <row r="1892" spans="1:2" hidden="1" x14ac:dyDescent="0.3">
      <c r="A1892" s="28"/>
      <c r="B1892" s="35"/>
    </row>
    <row r="1893" spans="1:2" hidden="1" x14ac:dyDescent="0.3">
      <c r="A1893" s="28"/>
      <c r="B1893" s="35"/>
    </row>
    <row r="1894" spans="1:2" hidden="1" x14ac:dyDescent="0.3">
      <c r="A1894" s="28"/>
      <c r="B1894" s="35"/>
    </row>
    <row r="1895" spans="1:2" hidden="1" x14ac:dyDescent="0.3">
      <c r="A1895" s="28"/>
      <c r="B1895" s="35"/>
    </row>
    <row r="1896" spans="1:2" hidden="1" x14ac:dyDescent="0.3">
      <c r="A1896" s="28"/>
      <c r="B1896" s="35"/>
    </row>
    <row r="1897" spans="1:2" hidden="1" x14ac:dyDescent="0.3">
      <c r="A1897" s="28"/>
      <c r="B1897" s="35"/>
    </row>
    <row r="1898" spans="1:2" hidden="1" x14ac:dyDescent="0.3">
      <c r="A1898" s="28"/>
      <c r="B1898" s="35"/>
    </row>
    <row r="1899" spans="1:2" hidden="1" x14ac:dyDescent="0.3">
      <c r="A1899" s="28"/>
      <c r="B1899" s="35"/>
    </row>
    <row r="1900" spans="1:2" hidden="1" x14ac:dyDescent="0.3">
      <c r="A1900" s="28"/>
      <c r="B1900" s="35"/>
    </row>
    <row r="1901" spans="1:2" hidden="1" x14ac:dyDescent="0.3">
      <c r="A1901" s="28"/>
      <c r="B1901" s="35"/>
    </row>
    <row r="1902" spans="1:2" hidden="1" x14ac:dyDescent="0.3">
      <c r="A1902" s="28"/>
      <c r="B1902" s="35"/>
    </row>
    <row r="1903" spans="1:2" hidden="1" x14ac:dyDescent="0.3">
      <c r="A1903" s="28"/>
      <c r="B1903" s="35"/>
    </row>
    <row r="1904" spans="1:2" hidden="1" x14ac:dyDescent="0.3">
      <c r="A1904" s="28"/>
      <c r="B1904" s="35"/>
    </row>
    <row r="1905" spans="1:2" hidden="1" x14ac:dyDescent="0.3">
      <c r="A1905" s="28"/>
      <c r="B1905" s="35"/>
    </row>
    <row r="1906" spans="1:2" hidden="1" x14ac:dyDescent="0.3">
      <c r="A1906" s="28"/>
      <c r="B1906" s="35"/>
    </row>
    <row r="1907" spans="1:2" hidden="1" x14ac:dyDescent="0.3">
      <c r="A1907" s="28"/>
      <c r="B1907" s="35"/>
    </row>
    <row r="1908" spans="1:2" hidden="1" x14ac:dyDescent="0.3">
      <c r="A1908" s="28"/>
      <c r="B1908" s="35"/>
    </row>
    <row r="1909" spans="1:2" hidden="1" x14ac:dyDescent="0.3">
      <c r="A1909" s="28"/>
      <c r="B1909" s="35"/>
    </row>
    <row r="1910" spans="1:2" hidden="1" x14ac:dyDescent="0.3">
      <c r="A1910" s="28"/>
      <c r="B1910" s="35"/>
    </row>
    <row r="1911" spans="1:2" hidden="1" x14ac:dyDescent="0.3">
      <c r="A1911" s="28"/>
      <c r="B1911" s="35"/>
    </row>
    <row r="1912" spans="1:2" hidden="1" x14ac:dyDescent="0.3">
      <c r="A1912" s="28"/>
      <c r="B1912" s="35"/>
    </row>
    <row r="1913" spans="1:2" hidden="1" x14ac:dyDescent="0.3">
      <c r="A1913" s="28"/>
      <c r="B1913" s="35"/>
    </row>
    <row r="1914" spans="1:2" hidden="1" x14ac:dyDescent="0.3">
      <c r="A1914" s="28"/>
      <c r="B1914" s="35"/>
    </row>
    <row r="1915" spans="1:2" hidden="1" x14ac:dyDescent="0.3">
      <c r="A1915" s="28"/>
      <c r="B1915" s="35"/>
    </row>
    <row r="1916" spans="1:2" hidden="1" x14ac:dyDescent="0.3">
      <c r="A1916" s="28"/>
      <c r="B1916" s="35"/>
    </row>
    <row r="1917" spans="1:2" hidden="1" x14ac:dyDescent="0.3">
      <c r="A1917" s="28"/>
      <c r="B1917" s="35"/>
    </row>
    <row r="1918" spans="1:2" hidden="1" x14ac:dyDescent="0.3">
      <c r="A1918" s="28"/>
      <c r="B1918" s="35"/>
    </row>
    <row r="1919" spans="1:2" hidden="1" x14ac:dyDescent="0.3">
      <c r="A1919" s="28"/>
      <c r="B1919" s="35"/>
    </row>
    <row r="1920" spans="1:2" hidden="1" x14ac:dyDescent="0.3">
      <c r="A1920" s="28"/>
      <c r="B1920" s="35"/>
    </row>
    <row r="1921" spans="1:2" hidden="1" x14ac:dyDescent="0.3">
      <c r="A1921" s="28"/>
      <c r="B1921" s="35"/>
    </row>
    <row r="1922" spans="1:2" hidden="1" x14ac:dyDescent="0.3">
      <c r="A1922" s="28"/>
      <c r="B1922" s="35"/>
    </row>
    <row r="1923" spans="1:2" hidden="1" x14ac:dyDescent="0.3">
      <c r="A1923" s="28"/>
      <c r="B1923" s="35"/>
    </row>
    <row r="1924" spans="1:2" hidden="1" x14ac:dyDescent="0.3">
      <c r="A1924" s="28"/>
      <c r="B1924" s="35"/>
    </row>
    <row r="1925" spans="1:2" hidden="1" x14ac:dyDescent="0.3">
      <c r="A1925" s="28"/>
      <c r="B1925" s="35"/>
    </row>
    <row r="1926" spans="1:2" hidden="1" x14ac:dyDescent="0.3">
      <c r="A1926" s="28"/>
      <c r="B1926" s="35"/>
    </row>
    <row r="1927" spans="1:2" hidden="1" x14ac:dyDescent="0.3">
      <c r="A1927" s="28"/>
      <c r="B1927" s="35"/>
    </row>
    <row r="1928" spans="1:2" hidden="1" x14ac:dyDescent="0.3">
      <c r="A1928" s="28"/>
      <c r="B1928" s="35"/>
    </row>
    <row r="1929" spans="1:2" hidden="1" x14ac:dyDescent="0.3">
      <c r="A1929" s="28"/>
      <c r="B1929" s="35"/>
    </row>
    <row r="1930" spans="1:2" hidden="1" x14ac:dyDescent="0.3">
      <c r="A1930" s="28"/>
      <c r="B1930" s="35"/>
    </row>
    <row r="1931" spans="1:2" hidden="1" x14ac:dyDescent="0.3">
      <c r="A1931" s="28"/>
      <c r="B1931" s="35"/>
    </row>
    <row r="1932" spans="1:2" hidden="1" x14ac:dyDescent="0.3">
      <c r="A1932" s="28"/>
      <c r="B1932" s="35"/>
    </row>
    <row r="1933" spans="1:2" hidden="1" x14ac:dyDescent="0.3">
      <c r="A1933" s="28"/>
      <c r="B1933" s="35"/>
    </row>
    <row r="1934" spans="1:2" hidden="1" x14ac:dyDescent="0.3">
      <c r="A1934" s="28"/>
      <c r="B1934" s="35"/>
    </row>
    <row r="1935" spans="1:2" hidden="1" x14ac:dyDescent="0.3">
      <c r="A1935" s="28"/>
      <c r="B1935" s="35"/>
    </row>
    <row r="1936" spans="1:2" hidden="1" x14ac:dyDescent="0.3">
      <c r="A1936" s="28"/>
      <c r="B1936" s="35"/>
    </row>
    <row r="1937" spans="1:2" hidden="1" x14ac:dyDescent="0.3">
      <c r="A1937" s="28"/>
      <c r="B1937" s="35"/>
    </row>
    <row r="1938" spans="1:2" hidden="1" x14ac:dyDescent="0.3">
      <c r="A1938" s="28"/>
      <c r="B1938" s="35"/>
    </row>
    <row r="1939" spans="1:2" hidden="1" x14ac:dyDescent="0.3">
      <c r="A1939" s="28"/>
      <c r="B1939" s="35"/>
    </row>
    <row r="1940" spans="1:2" hidden="1" x14ac:dyDescent="0.3">
      <c r="A1940" s="28"/>
      <c r="B1940" s="35"/>
    </row>
    <row r="1941" spans="1:2" hidden="1" x14ac:dyDescent="0.3">
      <c r="A1941" s="28"/>
      <c r="B1941" s="35"/>
    </row>
    <row r="1942" spans="1:2" hidden="1" x14ac:dyDescent="0.3">
      <c r="A1942" s="28"/>
      <c r="B1942" s="35"/>
    </row>
    <row r="1943" spans="1:2" hidden="1" x14ac:dyDescent="0.3">
      <c r="A1943" s="28"/>
      <c r="B1943" s="35"/>
    </row>
    <row r="1944" spans="1:2" hidden="1" x14ac:dyDescent="0.3">
      <c r="A1944" s="28"/>
      <c r="B1944" s="35"/>
    </row>
    <row r="1945" spans="1:2" hidden="1" x14ac:dyDescent="0.3">
      <c r="A1945" s="28"/>
      <c r="B1945" s="35"/>
    </row>
    <row r="1946" spans="1:2" hidden="1" x14ac:dyDescent="0.3">
      <c r="A1946" s="28"/>
      <c r="B1946" s="35"/>
    </row>
    <row r="1947" spans="1:2" hidden="1" x14ac:dyDescent="0.3">
      <c r="A1947" s="28"/>
      <c r="B1947" s="35"/>
    </row>
    <row r="1948" spans="1:2" hidden="1" x14ac:dyDescent="0.3">
      <c r="A1948" s="28"/>
      <c r="B1948" s="35"/>
    </row>
    <row r="1949" spans="1:2" hidden="1" x14ac:dyDescent="0.3">
      <c r="A1949" s="28"/>
      <c r="B1949" s="35"/>
    </row>
    <row r="1950" spans="1:2" hidden="1" x14ac:dyDescent="0.3">
      <c r="A1950" s="28"/>
      <c r="B1950" s="35"/>
    </row>
    <row r="1951" spans="1:2" hidden="1" x14ac:dyDescent="0.3">
      <c r="A1951" s="28"/>
      <c r="B1951" s="35"/>
    </row>
    <row r="1952" spans="1:2" hidden="1" x14ac:dyDescent="0.3">
      <c r="A1952" s="28"/>
      <c r="B1952" s="35"/>
    </row>
    <row r="1953" spans="1:2" hidden="1" x14ac:dyDescent="0.3">
      <c r="A1953" s="28"/>
      <c r="B1953" s="35"/>
    </row>
    <row r="1954" spans="1:2" hidden="1" x14ac:dyDescent="0.3">
      <c r="A1954" s="28"/>
      <c r="B1954" s="35"/>
    </row>
    <row r="1955" spans="1:2" hidden="1" x14ac:dyDescent="0.3">
      <c r="A1955" s="28"/>
      <c r="B1955" s="35"/>
    </row>
    <row r="1956" spans="1:2" hidden="1" x14ac:dyDescent="0.3">
      <c r="A1956" s="28"/>
      <c r="B1956" s="35"/>
    </row>
    <row r="1957" spans="1:2" hidden="1" x14ac:dyDescent="0.3">
      <c r="A1957" s="28"/>
      <c r="B1957" s="35"/>
    </row>
    <row r="1958" spans="1:2" hidden="1" x14ac:dyDescent="0.3">
      <c r="A1958" s="28"/>
      <c r="B1958" s="35"/>
    </row>
    <row r="1959" spans="1:2" hidden="1" x14ac:dyDescent="0.3">
      <c r="A1959" s="28"/>
      <c r="B1959" s="35"/>
    </row>
    <row r="1960" spans="1:2" hidden="1" x14ac:dyDescent="0.3">
      <c r="A1960" s="28"/>
      <c r="B1960" s="35"/>
    </row>
    <row r="1961" spans="1:2" hidden="1" x14ac:dyDescent="0.3">
      <c r="A1961" s="28"/>
      <c r="B1961" s="35"/>
    </row>
    <row r="1962" spans="1:2" hidden="1" x14ac:dyDescent="0.3">
      <c r="A1962" s="28"/>
      <c r="B1962" s="35"/>
    </row>
    <row r="1963" spans="1:2" hidden="1" x14ac:dyDescent="0.3">
      <c r="A1963" s="28"/>
      <c r="B1963" s="35"/>
    </row>
    <row r="1964" spans="1:2" hidden="1" x14ac:dyDescent="0.3">
      <c r="A1964" s="28"/>
      <c r="B1964" s="35"/>
    </row>
    <row r="1965" spans="1:2" hidden="1" x14ac:dyDescent="0.3">
      <c r="A1965" s="28"/>
      <c r="B1965" s="35"/>
    </row>
    <row r="1966" spans="1:2" hidden="1" x14ac:dyDescent="0.3">
      <c r="A1966" s="28"/>
      <c r="B1966" s="35"/>
    </row>
    <row r="1967" spans="1:2" hidden="1" x14ac:dyDescent="0.3">
      <c r="A1967" s="28"/>
      <c r="B1967" s="35"/>
    </row>
    <row r="1968" spans="1:2" hidden="1" x14ac:dyDescent="0.3">
      <c r="A1968" s="28"/>
      <c r="B1968" s="35"/>
    </row>
    <row r="1969" spans="1:2" hidden="1" x14ac:dyDescent="0.3">
      <c r="A1969" s="28"/>
      <c r="B1969" s="35"/>
    </row>
    <row r="1970" spans="1:2" hidden="1" x14ac:dyDescent="0.3">
      <c r="A1970" s="28"/>
      <c r="B1970" s="35"/>
    </row>
    <row r="1971" spans="1:2" hidden="1" x14ac:dyDescent="0.3">
      <c r="A1971" s="28"/>
      <c r="B1971" s="35"/>
    </row>
    <row r="1972" spans="1:2" hidden="1" x14ac:dyDescent="0.3">
      <c r="A1972" s="28"/>
      <c r="B1972" s="35"/>
    </row>
    <row r="1973" spans="1:2" hidden="1" x14ac:dyDescent="0.3">
      <c r="A1973" s="28"/>
      <c r="B1973" s="35"/>
    </row>
    <row r="1974" spans="1:2" hidden="1" x14ac:dyDescent="0.3">
      <c r="A1974" s="28"/>
      <c r="B1974" s="35"/>
    </row>
    <row r="1975" spans="1:2" hidden="1" x14ac:dyDescent="0.3">
      <c r="A1975" s="28"/>
      <c r="B1975" s="35"/>
    </row>
    <row r="1976" spans="1:2" hidden="1" x14ac:dyDescent="0.3">
      <c r="A1976" s="28"/>
      <c r="B1976" s="35"/>
    </row>
    <row r="1977" spans="1:2" hidden="1" x14ac:dyDescent="0.3">
      <c r="A1977" s="28"/>
      <c r="B1977" s="35"/>
    </row>
    <row r="1978" spans="1:2" hidden="1" x14ac:dyDescent="0.3">
      <c r="A1978" s="28"/>
      <c r="B1978" s="35"/>
    </row>
    <row r="1979" spans="1:2" hidden="1" x14ac:dyDescent="0.3">
      <c r="A1979" s="28"/>
      <c r="B1979" s="35"/>
    </row>
    <row r="1980" spans="1:2" hidden="1" x14ac:dyDescent="0.3">
      <c r="A1980" s="28"/>
      <c r="B1980" s="35"/>
    </row>
    <row r="1981" spans="1:2" hidden="1" x14ac:dyDescent="0.3">
      <c r="A1981" s="28"/>
      <c r="B1981" s="35"/>
    </row>
    <row r="1982" spans="1:2" hidden="1" x14ac:dyDescent="0.3">
      <c r="A1982" s="28"/>
      <c r="B1982" s="35"/>
    </row>
    <row r="1983" spans="1:2" hidden="1" x14ac:dyDescent="0.3">
      <c r="A1983" s="28"/>
      <c r="B1983" s="35"/>
    </row>
    <row r="1984" spans="1:2" hidden="1" x14ac:dyDescent="0.3">
      <c r="A1984" s="28"/>
      <c r="B1984" s="35"/>
    </row>
    <row r="1985" spans="1:2" hidden="1" x14ac:dyDescent="0.3">
      <c r="A1985" s="28"/>
      <c r="B1985" s="35"/>
    </row>
    <row r="1986" spans="1:2" hidden="1" x14ac:dyDescent="0.3">
      <c r="A1986" s="28"/>
      <c r="B1986" s="35"/>
    </row>
    <row r="1987" spans="1:2" hidden="1" x14ac:dyDescent="0.3">
      <c r="A1987" s="28"/>
      <c r="B1987" s="35"/>
    </row>
    <row r="1988" spans="1:2" hidden="1" x14ac:dyDescent="0.3">
      <c r="A1988" s="28"/>
      <c r="B1988" s="35"/>
    </row>
    <row r="1989" spans="1:2" hidden="1" x14ac:dyDescent="0.3">
      <c r="A1989" s="28"/>
      <c r="B1989" s="35"/>
    </row>
    <row r="1990" spans="1:2" hidden="1" x14ac:dyDescent="0.3">
      <c r="A1990" s="28"/>
      <c r="B1990" s="35"/>
    </row>
    <row r="1991" spans="1:2" hidden="1" x14ac:dyDescent="0.3">
      <c r="A1991" s="28"/>
      <c r="B1991" s="35"/>
    </row>
    <row r="1992" spans="1:2" hidden="1" x14ac:dyDescent="0.3">
      <c r="A1992" s="28"/>
      <c r="B1992" s="35"/>
    </row>
    <row r="1993" spans="1:2" hidden="1" x14ac:dyDescent="0.3">
      <c r="A1993" s="28"/>
      <c r="B1993" s="35"/>
    </row>
    <row r="1994" spans="1:2" hidden="1" x14ac:dyDescent="0.3">
      <c r="A1994" s="28"/>
      <c r="B1994" s="35"/>
    </row>
    <row r="1995" spans="1:2" hidden="1" x14ac:dyDescent="0.3">
      <c r="A1995" s="28"/>
      <c r="B1995" s="35"/>
    </row>
    <row r="1996" spans="1:2" hidden="1" x14ac:dyDescent="0.3">
      <c r="A1996" s="28"/>
      <c r="B1996" s="35"/>
    </row>
    <row r="1997" spans="1:2" hidden="1" x14ac:dyDescent="0.3">
      <c r="A1997" s="28"/>
      <c r="B1997" s="35"/>
    </row>
    <row r="1998" spans="1:2" hidden="1" x14ac:dyDescent="0.3">
      <c r="A1998" s="28"/>
      <c r="B1998" s="35"/>
    </row>
    <row r="1999" spans="1:2" hidden="1" x14ac:dyDescent="0.3">
      <c r="A1999" s="28"/>
      <c r="B1999" s="35"/>
    </row>
    <row r="2000" spans="1:2" hidden="1" x14ac:dyDescent="0.3">
      <c r="A2000" s="28"/>
      <c r="B2000" s="35"/>
    </row>
    <row r="2001" spans="1:2" hidden="1" x14ac:dyDescent="0.3">
      <c r="A2001" s="28"/>
      <c r="B2001" s="35"/>
    </row>
    <row r="2002" spans="1:2" hidden="1" x14ac:dyDescent="0.3">
      <c r="A2002" s="28"/>
      <c r="B2002" s="35"/>
    </row>
    <row r="2003" spans="1:2" hidden="1" x14ac:dyDescent="0.3">
      <c r="A2003" s="28"/>
      <c r="B2003" s="35"/>
    </row>
    <row r="2004" spans="1:2" hidden="1" x14ac:dyDescent="0.3">
      <c r="A2004" s="28"/>
      <c r="B2004" s="35"/>
    </row>
    <row r="2005" spans="1:2" hidden="1" x14ac:dyDescent="0.3">
      <c r="A2005" s="28"/>
      <c r="B2005" s="35"/>
    </row>
    <row r="2006" spans="1:2" hidden="1" x14ac:dyDescent="0.3">
      <c r="A2006" s="28"/>
      <c r="B2006" s="35"/>
    </row>
    <row r="2007" spans="1:2" hidden="1" x14ac:dyDescent="0.3">
      <c r="A2007" s="28"/>
      <c r="B2007" s="35"/>
    </row>
    <row r="2008" spans="1:2" hidden="1" x14ac:dyDescent="0.3">
      <c r="A2008" s="28"/>
      <c r="B2008" s="35"/>
    </row>
    <row r="2009" spans="1:2" hidden="1" x14ac:dyDescent="0.3">
      <c r="A2009" s="28"/>
      <c r="B2009" s="35"/>
    </row>
    <row r="2010" spans="1:2" hidden="1" x14ac:dyDescent="0.3">
      <c r="A2010" s="28"/>
      <c r="B2010" s="35"/>
    </row>
    <row r="2011" spans="1:2" hidden="1" x14ac:dyDescent="0.3">
      <c r="A2011" s="28"/>
      <c r="B2011" s="35"/>
    </row>
    <row r="2012" spans="1:2" hidden="1" x14ac:dyDescent="0.3">
      <c r="A2012" s="28"/>
      <c r="B2012" s="35"/>
    </row>
    <row r="2013" spans="1:2" hidden="1" x14ac:dyDescent="0.3">
      <c r="A2013" s="28"/>
      <c r="B2013" s="35"/>
    </row>
    <row r="2014" spans="1:2" hidden="1" x14ac:dyDescent="0.3">
      <c r="A2014" s="28"/>
      <c r="B2014" s="35"/>
    </row>
    <row r="2015" spans="1:2" hidden="1" x14ac:dyDescent="0.3">
      <c r="A2015" s="28"/>
      <c r="B2015" s="35"/>
    </row>
    <row r="2016" spans="1:2" hidden="1" x14ac:dyDescent="0.3">
      <c r="A2016" s="28"/>
      <c r="B2016" s="35"/>
    </row>
    <row r="2017" spans="1:2" hidden="1" x14ac:dyDescent="0.3">
      <c r="A2017" s="28"/>
      <c r="B2017" s="35"/>
    </row>
    <row r="2018" spans="1:2" hidden="1" x14ac:dyDescent="0.3">
      <c r="A2018" s="28"/>
      <c r="B2018" s="35"/>
    </row>
    <row r="2019" spans="1:2" hidden="1" x14ac:dyDescent="0.3">
      <c r="A2019" s="28"/>
      <c r="B2019" s="35"/>
    </row>
    <row r="2020" spans="1:2" hidden="1" x14ac:dyDescent="0.3">
      <c r="A2020" s="28"/>
      <c r="B2020" s="35"/>
    </row>
    <row r="2021" spans="1:2" hidden="1" x14ac:dyDescent="0.3">
      <c r="A2021" s="28"/>
      <c r="B2021" s="35"/>
    </row>
    <row r="2022" spans="1:2" hidden="1" x14ac:dyDescent="0.3">
      <c r="A2022" s="28"/>
      <c r="B2022" s="35"/>
    </row>
    <row r="2023" spans="1:2" hidden="1" x14ac:dyDescent="0.3">
      <c r="A2023" s="28"/>
      <c r="B2023" s="35"/>
    </row>
    <row r="2024" spans="1:2" hidden="1" x14ac:dyDescent="0.3">
      <c r="A2024" s="28"/>
      <c r="B2024" s="35"/>
    </row>
    <row r="2025" spans="1:2" hidden="1" x14ac:dyDescent="0.3">
      <c r="A2025" s="28"/>
      <c r="B2025" s="35"/>
    </row>
    <row r="2026" spans="1:2" hidden="1" x14ac:dyDescent="0.3">
      <c r="A2026" s="28"/>
      <c r="B2026" s="35"/>
    </row>
    <row r="2027" spans="1:2" hidden="1" x14ac:dyDescent="0.3">
      <c r="A2027" s="28"/>
      <c r="B2027" s="35"/>
    </row>
    <row r="2028" spans="1:2" hidden="1" x14ac:dyDescent="0.3">
      <c r="A2028" s="28"/>
      <c r="B2028" s="35"/>
    </row>
    <row r="2029" spans="1:2" hidden="1" x14ac:dyDescent="0.3">
      <c r="A2029" s="28"/>
      <c r="B2029" s="35"/>
    </row>
    <row r="2030" spans="1:2" hidden="1" x14ac:dyDescent="0.3">
      <c r="A2030" s="28"/>
      <c r="B2030" s="35"/>
    </row>
    <row r="2031" spans="1:2" hidden="1" x14ac:dyDescent="0.3">
      <c r="A2031" s="28"/>
      <c r="B2031" s="35"/>
    </row>
    <row r="2032" spans="1:2" hidden="1" x14ac:dyDescent="0.3">
      <c r="A2032" s="28"/>
      <c r="B2032" s="35"/>
    </row>
    <row r="2033" spans="1:2" hidden="1" x14ac:dyDescent="0.3">
      <c r="A2033" s="28"/>
      <c r="B2033" s="35"/>
    </row>
    <row r="2034" spans="1:2" hidden="1" x14ac:dyDescent="0.3">
      <c r="A2034" s="28"/>
      <c r="B2034" s="35"/>
    </row>
    <row r="2035" spans="1:2" hidden="1" x14ac:dyDescent="0.3">
      <c r="A2035" s="28"/>
      <c r="B2035" s="35"/>
    </row>
    <row r="2036" spans="1:2" hidden="1" x14ac:dyDescent="0.3">
      <c r="A2036" s="28"/>
      <c r="B2036" s="35"/>
    </row>
    <row r="2037" spans="1:2" hidden="1" x14ac:dyDescent="0.3">
      <c r="A2037" s="28"/>
      <c r="B2037" s="35"/>
    </row>
    <row r="2038" spans="1:2" hidden="1" x14ac:dyDescent="0.3">
      <c r="A2038" s="28"/>
      <c r="B2038" s="35"/>
    </row>
    <row r="2039" spans="1:2" hidden="1" x14ac:dyDescent="0.3">
      <c r="A2039" s="28"/>
      <c r="B2039" s="35"/>
    </row>
    <row r="2040" spans="1:2" hidden="1" x14ac:dyDescent="0.3">
      <c r="A2040" s="28"/>
      <c r="B2040" s="35"/>
    </row>
    <row r="2041" spans="1:2" hidden="1" x14ac:dyDescent="0.3">
      <c r="A2041" s="28"/>
      <c r="B2041" s="35"/>
    </row>
    <row r="2042" spans="1:2" hidden="1" x14ac:dyDescent="0.3">
      <c r="A2042" s="28"/>
      <c r="B2042" s="35"/>
    </row>
    <row r="2043" spans="1:2" hidden="1" x14ac:dyDescent="0.3">
      <c r="A2043" s="28"/>
      <c r="B2043" s="35"/>
    </row>
    <row r="2044" spans="1:2" hidden="1" x14ac:dyDescent="0.3">
      <c r="A2044" s="28"/>
      <c r="B2044" s="35"/>
    </row>
    <row r="2045" spans="1:2" hidden="1" x14ac:dyDescent="0.3">
      <c r="A2045" s="28"/>
      <c r="B2045" s="35"/>
    </row>
    <row r="2046" spans="1:2" hidden="1" x14ac:dyDescent="0.3">
      <c r="A2046" s="28"/>
      <c r="B2046" s="35"/>
    </row>
    <row r="2047" spans="1:2" hidden="1" x14ac:dyDescent="0.3">
      <c r="A2047" s="28"/>
      <c r="B2047" s="35"/>
    </row>
    <row r="2048" spans="1:2" hidden="1" x14ac:dyDescent="0.3">
      <c r="A2048" s="28"/>
      <c r="B2048" s="35"/>
    </row>
    <row r="2049" spans="1:2" hidden="1" x14ac:dyDescent="0.3">
      <c r="A2049" s="28"/>
      <c r="B2049" s="35"/>
    </row>
    <row r="2050" spans="1:2" hidden="1" x14ac:dyDescent="0.3">
      <c r="A2050" s="28"/>
      <c r="B2050" s="35"/>
    </row>
    <row r="2051" spans="1:2" hidden="1" x14ac:dyDescent="0.3">
      <c r="A2051" s="28"/>
      <c r="B2051" s="35"/>
    </row>
    <row r="2052" spans="1:2" hidden="1" x14ac:dyDescent="0.3">
      <c r="A2052" s="28"/>
      <c r="B2052" s="35"/>
    </row>
    <row r="2053" spans="1:2" hidden="1" x14ac:dyDescent="0.3">
      <c r="A2053" s="28"/>
      <c r="B2053" s="35"/>
    </row>
    <row r="2054" spans="1:2" hidden="1" x14ac:dyDescent="0.3">
      <c r="A2054" s="28"/>
      <c r="B2054" s="35"/>
    </row>
    <row r="2055" spans="1:2" hidden="1" x14ac:dyDescent="0.3">
      <c r="A2055" s="28"/>
      <c r="B2055" s="35"/>
    </row>
    <row r="2056" spans="1:2" hidden="1" x14ac:dyDescent="0.3">
      <c r="A2056" s="28"/>
      <c r="B2056" s="35"/>
    </row>
    <row r="2057" spans="1:2" hidden="1" x14ac:dyDescent="0.3">
      <c r="A2057" s="28"/>
      <c r="B2057" s="35"/>
    </row>
    <row r="2058" spans="1:2" hidden="1" x14ac:dyDescent="0.3">
      <c r="A2058" s="28"/>
      <c r="B2058" s="35"/>
    </row>
    <row r="2059" spans="1:2" hidden="1" x14ac:dyDescent="0.3">
      <c r="A2059" s="28"/>
      <c r="B2059" s="35"/>
    </row>
    <row r="2060" spans="1:2" hidden="1" x14ac:dyDescent="0.3">
      <c r="A2060" s="28"/>
      <c r="B2060" s="35"/>
    </row>
    <row r="2061" spans="1:2" hidden="1" x14ac:dyDescent="0.3">
      <c r="A2061" s="28"/>
      <c r="B2061" s="35"/>
    </row>
    <row r="2062" spans="1:2" hidden="1" x14ac:dyDescent="0.3">
      <c r="A2062" s="28"/>
      <c r="B2062" s="35"/>
    </row>
    <row r="2063" spans="1:2" hidden="1" x14ac:dyDescent="0.3">
      <c r="A2063" s="28"/>
      <c r="B2063" s="35"/>
    </row>
    <row r="2064" spans="1:2" hidden="1" x14ac:dyDescent="0.3">
      <c r="A2064" s="28"/>
      <c r="B2064" s="35"/>
    </row>
    <row r="2065" spans="1:2" hidden="1" x14ac:dyDescent="0.3">
      <c r="A2065" s="28"/>
      <c r="B2065" s="35"/>
    </row>
    <row r="2066" spans="1:2" hidden="1" x14ac:dyDescent="0.3">
      <c r="A2066" s="28"/>
      <c r="B2066" s="35"/>
    </row>
    <row r="2067" spans="1:2" hidden="1" x14ac:dyDescent="0.3">
      <c r="A2067" s="28"/>
      <c r="B2067" s="35"/>
    </row>
    <row r="2068" spans="1:2" hidden="1" x14ac:dyDescent="0.3">
      <c r="A2068" s="28"/>
      <c r="B2068" s="35"/>
    </row>
    <row r="2069" spans="1:2" hidden="1" x14ac:dyDescent="0.3">
      <c r="A2069" s="28"/>
      <c r="B2069" s="35"/>
    </row>
    <row r="2070" spans="1:2" hidden="1" x14ac:dyDescent="0.3">
      <c r="A2070" s="28"/>
      <c r="B2070" s="35"/>
    </row>
    <row r="2071" spans="1:2" hidden="1" x14ac:dyDescent="0.3">
      <c r="A2071" s="28"/>
      <c r="B2071" s="35"/>
    </row>
    <row r="2072" spans="1:2" hidden="1" x14ac:dyDescent="0.3">
      <c r="A2072" s="28"/>
      <c r="B2072" s="35"/>
    </row>
    <row r="2073" spans="1:2" hidden="1" x14ac:dyDescent="0.3">
      <c r="A2073" s="28"/>
      <c r="B2073" s="35"/>
    </row>
    <row r="2074" spans="1:2" hidden="1" x14ac:dyDescent="0.3">
      <c r="A2074" s="28"/>
      <c r="B2074" s="35"/>
    </row>
    <row r="2075" spans="1:2" hidden="1" x14ac:dyDescent="0.3">
      <c r="A2075" s="28"/>
      <c r="B2075" s="35"/>
    </row>
    <row r="2076" spans="1:2" hidden="1" x14ac:dyDescent="0.3">
      <c r="A2076" s="28"/>
      <c r="B2076" s="35"/>
    </row>
    <row r="2077" spans="1:2" hidden="1" x14ac:dyDescent="0.3">
      <c r="A2077" s="28"/>
      <c r="B2077" s="35"/>
    </row>
    <row r="2078" spans="1:2" hidden="1" x14ac:dyDescent="0.3">
      <c r="A2078" s="28"/>
      <c r="B2078" s="35"/>
    </row>
    <row r="2079" spans="1:2" hidden="1" x14ac:dyDescent="0.3">
      <c r="A2079" s="28"/>
      <c r="B2079" s="35"/>
    </row>
    <row r="2080" spans="1:2" hidden="1" x14ac:dyDescent="0.3">
      <c r="A2080" s="28"/>
      <c r="B2080" s="35"/>
    </row>
    <row r="2081" spans="1:2" hidden="1" x14ac:dyDescent="0.3">
      <c r="A2081" s="28"/>
      <c r="B2081" s="35"/>
    </row>
    <row r="2082" spans="1:2" hidden="1" x14ac:dyDescent="0.3">
      <c r="A2082" s="28"/>
      <c r="B2082" s="35"/>
    </row>
    <row r="2083" spans="1:2" hidden="1" x14ac:dyDescent="0.3">
      <c r="A2083" s="28"/>
      <c r="B2083" s="35"/>
    </row>
    <row r="2084" spans="1:2" hidden="1" x14ac:dyDescent="0.3">
      <c r="A2084" s="28"/>
      <c r="B2084" s="35"/>
    </row>
    <row r="2085" spans="1:2" hidden="1" x14ac:dyDescent="0.3">
      <c r="A2085" s="28"/>
      <c r="B2085" s="35"/>
    </row>
    <row r="2086" spans="1:2" hidden="1" x14ac:dyDescent="0.3">
      <c r="A2086" s="28"/>
      <c r="B2086" s="35"/>
    </row>
    <row r="2087" spans="1:2" hidden="1" x14ac:dyDescent="0.3">
      <c r="A2087" s="28"/>
      <c r="B2087" s="35"/>
    </row>
    <row r="2088" spans="1:2" hidden="1" x14ac:dyDescent="0.3">
      <c r="A2088" s="28"/>
      <c r="B2088" s="35"/>
    </row>
    <row r="2089" spans="1:2" hidden="1" x14ac:dyDescent="0.3">
      <c r="A2089" s="28"/>
      <c r="B2089" s="35"/>
    </row>
    <row r="2090" spans="1:2" hidden="1" x14ac:dyDescent="0.3">
      <c r="A2090" s="28"/>
      <c r="B2090" s="35"/>
    </row>
    <row r="2091" spans="1:2" hidden="1" x14ac:dyDescent="0.3">
      <c r="A2091" s="28"/>
      <c r="B2091" s="35"/>
    </row>
    <row r="2092" spans="1:2" hidden="1" x14ac:dyDescent="0.3">
      <c r="A2092" s="28"/>
      <c r="B2092" s="35"/>
    </row>
    <row r="2093" spans="1:2" hidden="1" x14ac:dyDescent="0.3">
      <c r="A2093" s="28"/>
      <c r="B2093" s="35"/>
    </row>
    <row r="2094" spans="1:2" hidden="1" x14ac:dyDescent="0.3">
      <c r="A2094" s="28"/>
      <c r="B2094" s="35"/>
    </row>
    <row r="2095" spans="1:2" hidden="1" x14ac:dyDescent="0.3">
      <c r="A2095" s="28"/>
      <c r="B2095" s="35"/>
    </row>
    <row r="2096" spans="1:2" hidden="1" x14ac:dyDescent="0.3">
      <c r="A2096" s="28"/>
      <c r="B2096" s="35"/>
    </row>
    <row r="2097" spans="1:2" hidden="1" x14ac:dyDescent="0.3">
      <c r="A2097" s="28"/>
      <c r="B2097" s="35"/>
    </row>
    <row r="2098" spans="1:2" hidden="1" x14ac:dyDescent="0.3">
      <c r="A2098" s="28"/>
      <c r="B2098" s="35"/>
    </row>
    <row r="2099" spans="1:2" hidden="1" x14ac:dyDescent="0.3">
      <c r="A2099" s="28"/>
      <c r="B2099" s="35"/>
    </row>
    <row r="2100" spans="1:2" hidden="1" x14ac:dyDescent="0.3">
      <c r="A2100" s="28"/>
      <c r="B2100" s="35"/>
    </row>
    <row r="2101" spans="1:2" hidden="1" x14ac:dyDescent="0.3">
      <c r="A2101" s="28"/>
      <c r="B2101" s="35"/>
    </row>
    <row r="2102" spans="1:2" hidden="1" x14ac:dyDescent="0.3">
      <c r="A2102" s="28"/>
      <c r="B2102" s="35"/>
    </row>
    <row r="2103" spans="1:2" hidden="1" x14ac:dyDescent="0.3">
      <c r="A2103" s="28"/>
      <c r="B2103" s="35"/>
    </row>
    <row r="2104" spans="1:2" hidden="1" x14ac:dyDescent="0.3">
      <c r="A2104" s="28"/>
      <c r="B2104" s="35"/>
    </row>
    <row r="2105" spans="1:2" hidden="1" x14ac:dyDescent="0.3">
      <c r="A2105" s="28"/>
      <c r="B2105" s="35"/>
    </row>
    <row r="2106" spans="1:2" hidden="1" x14ac:dyDescent="0.3">
      <c r="A2106" s="28"/>
      <c r="B2106" s="35"/>
    </row>
    <row r="2107" spans="1:2" hidden="1" x14ac:dyDescent="0.3">
      <c r="A2107" s="28"/>
      <c r="B2107" s="35"/>
    </row>
    <row r="2108" spans="1:2" hidden="1" x14ac:dyDescent="0.3">
      <c r="A2108" s="28"/>
      <c r="B2108" s="35"/>
    </row>
    <row r="2109" spans="1:2" hidden="1" x14ac:dyDescent="0.3">
      <c r="A2109" s="28"/>
      <c r="B2109" s="35"/>
    </row>
    <row r="2110" spans="1:2" hidden="1" x14ac:dyDescent="0.3">
      <c r="A2110" s="28"/>
      <c r="B2110" s="35"/>
    </row>
    <row r="2111" spans="1:2" hidden="1" x14ac:dyDescent="0.3">
      <c r="A2111" s="28"/>
      <c r="B2111" s="35"/>
    </row>
    <row r="2112" spans="1:2" hidden="1" x14ac:dyDescent="0.3">
      <c r="A2112" s="28"/>
      <c r="B2112" s="35"/>
    </row>
    <row r="2113" spans="1:2" hidden="1" x14ac:dyDescent="0.3">
      <c r="A2113" s="28"/>
      <c r="B2113" s="35"/>
    </row>
    <row r="2114" spans="1:2" hidden="1" x14ac:dyDescent="0.3">
      <c r="A2114" s="28"/>
      <c r="B2114" s="35"/>
    </row>
    <row r="2115" spans="1:2" hidden="1" x14ac:dyDescent="0.3">
      <c r="A2115" s="28"/>
      <c r="B2115" s="35"/>
    </row>
    <row r="2116" spans="1:2" hidden="1" x14ac:dyDescent="0.3">
      <c r="A2116" s="28"/>
      <c r="B2116" s="35"/>
    </row>
    <row r="2117" spans="1:2" hidden="1" x14ac:dyDescent="0.3">
      <c r="A2117" s="28"/>
      <c r="B2117" s="35"/>
    </row>
    <row r="2118" spans="1:2" hidden="1" x14ac:dyDescent="0.3">
      <c r="A2118" s="28"/>
      <c r="B2118" s="35"/>
    </row>
    <row r="2119" spans="1:2" hidden="1" x14ac:dyDescent="0.3">
      <c r="A2119" s="28"/>
      <c r="B2119" s="35"/>
    </row>
    <row r="2120" spans="1:2" hidden="1" x14ac:dyDescent="0.3">
      <c r="A2120" s="28"/>
      <c r="B2120" s="35"/>
    </row>
    <row r="2121" spans="1:2" hidden="1" x14ac:dyDescent="0.3">
      <c r="A2121" s="28"/>
      <c r="B2121" s="35"/>
    </row>
    <row r="2122" spans="1:2" hidden="1" x14ac:dyDescent="0.3">
      <c r="A2122" s="28"/>
      <c r="B2122" s="35"/>
    </row>
    <row r="2123" spans="1:2" hidden="1" x14ac:dyDescent="0.3">
      <c r="A2123" s="28"/>
      <c r="B2123" s="35"/>
    </row>
    <row r="2124" spans="1:2" hidden="1" x14ac:dyDescent="0.3">
      <c r="A2124" s="28"/>
      <c r="B2124" s="35"/>
    </row>
    <row r="2125" spans="1:2" hidden="1" x14ac:dyDescent="0.3">
      <c r="A2125" s="28"/>
      <c r="B2125" s="35"/>
    </row>
    <row r="2126" spans="1:2" hidden="1" x14ac:dyDescent="0.3">
      <c r="A2126" s="28"/>
      <c r="B2126" s="35"/>
    </row>
    <row r="2127" spans="1:2" hidden="1" x14ac:dyDescent="0.3">
      <c r="A2127" s="28"/>
      <c r="B2127" s="35"/>
    </row>
    <row r="2128" spans="1:2" hidden="1" x14ac:dyDescent="0.3">
      <c r="A2128" s="28"/>
      <c r="B2128" s="35"/>
    </row>
    <row r="2129" spans="1:2" hidden="1" x14ac:dyDescent="0.3">
      <c r="A2129" s="28"/>
      <c r="B2129" s="35"/>
    </row>
    <row r="2130" spans="1:2" hidden="1" x14ac:dyDescent="0.3">
      <c r="A2130" s="28"/>
      <c r="B2130" s="35"/>
    </row>
    <row r="2131" spans="1:2" hidden="1" x14ac:dyDescent="0.3">
      <c r="A2131" s="28"/>
      <c r="B2131" s="35"/>
    </row>
    <row r="2132" spans="1:2" hidden="1" x14ac:dyDescent="0.3">
      <c r="A2132" s="28"/>
      <c r="B2132" s="35"/>
    </row>
    <row r="2133" spans="1:2" hidden="1" x14ac:dyDescent="0.3">
      <c r="A2133" s="28"/>
      <c r="B2133" s="35"/>
    </row>
    <row r="2134" spans="1:2" hidden="1" x14ac:dyDescent="0.3">
      <c r="A2134" s="28"/>
      <c r="B2134" s="35"/>
    </row>
    <row r="2135" spans="1:2" hidden="1" x14ac:dyDescent="0.3">
      <c r="A2135" s="28"/>
      <c r="B2135" s="35"/>
    </row>
    <row r="2136" spans="1:2" hidden="1" x14ac:dyDescent="0.3">
      <c r="A2136" s="28"/>
      <c r="B2136" s="35"/>
    </row>
    <row r="2137" spans="1:2" hidden="1" x14ac:dyDescent="0.3">
      <c r="A2137" s="28"/>
      <c r="B2137" s="35"/>
    </row>
    <row r="2138" spans="1:2" hidden="1" x14ac:dyDescent="0.3">
      <c r="A2138" s="28"/>
      <c r="B2138" s="35"/>
    </row>
    <row r="2139" spans="1:2" hidden="1" x14ac:dyDescent="0.3">
      <c r="A2139" s="28"/>
      <c r="B2139" s="35"/>
    </row>
    <row r="2140" spans="1:2" hidden="1" x14ac:dyDescent="0.3">
      <c r="A2140" s="28"/>
      <c r="B2140" s="35"/>
    </row>
    <row r="2141" spans="1:2" hidden="1" x14ac:dyDescent="0.3">
      <c r="A2141" s="28"/>
      <c r="B2141" s="35"/>
    </row>
    <row r="2142" spans="1:2" hidden="1" x14ac:dyDescent="0.3">
      <c r="A2142" s="28"/>
      <c r="B2142" s="35"/>
    </row>
    <row r="2143" spans="1:2" hidden="1" x14ac:dyDescent="0.3">
      <c r="A2143" s="28"/>
      <c r="B2143" s="35"/>
    </row>
    <row r="2144" spans="1:2" hidden="1" x14ac:dyDescent="0.3">
      <c r="A2144" s="28"/>
      <c r="B2144" s="35"/>
    </row>
    <row r="2145" spans="1:2" hidden="1" x14ac:dyDescent="0.3">
      <c r="A2145" s="28"/>
      <c r="B2145" s="35"/>
    </row>
    <row r="2146" spans="1:2" hidden="1" x14ac:dyDescent="0.3">
      <c r="A2146" s="28"/>
      <c r="B2146" s="35"/>
    </row>
    <row r="2147" spans="1:2" hidden="1" x14ac:dyDescent="0.3">
      <c r="A2147" s="28"/>
      <c r="B2147" s="35"/>
    </row>
    <row r="2148" spans="1:2" hidden="1" x14ac:dyDescent="0.3">
      <c r="A2148" s="28"/>
      <c r="B2148" s="35"/>
    </row>
    <row r="2149" spans="1:2" hidden="1" x14ac:dyDescent="0.3">
      <c r="A2149" s="28"/>
      <c r="B2149" s="35"/>
    </row>
    <row r="2150" spans="1:2" hidden="1" x14ac:dyDescent="0.3">
      <c r="A2150" s="28"/>
      <c r="B2150" s="35"/>
    </row>
    <row r="2151" spans="1:2" hidden="1" x14ac:dyDescent="0.3">
      <c r="A2151" s="28"/>
      <c r="B2151" s="35"/>
    </row>
    <row r="2152" spans="1:2" hidden="1" x14ac:dyDescent="0.3">
      <c r="A2152" s="28"/>
      <c r="B2152" s="35"/>
    </row>
    <row r="2153" spans="1:2" hidden="1" x14ac:dyDescent="0.3">
      <c r="A2153" s="28"/>
      <c r="B2153" s="35"/>
    </row>
    <row r="2154" spans="1:2" hidden="1" x14ac:dyDescent="0.3">
      <c r="A2154" s="28"/>
      <c r="B2154" s="35"/>
    </row>
    <row r="2155" spans="1:2" hidden="1" x14ac:dyDescent="0.3">
      <c r="A2155" s="28"/>
      <c r="B2155" s="35"/>
    </row>
    <row r="2156" spans="1:2" hidden="1" x14ac:dyDescent="0.3">
      <c r="A2156" s="28"/>
      <c r="B2156" s="35"/>
    </row>
    <row r="2157" spans="1:2" hidden="1" x14ac:dyDescent="0.3">
      <c r="A2157" s="28"/>
      <c r="B2157" s="35"/>
    </row>
    <row r="2158" spans="1:2" hidden="1" x14ac:dyDescent="0.3">
      <c r="A2158" s="28"/>
      <c r="B2158" s="35"/>
    </row>
    <row r="2159" spans="1:2" hidden="1" x14ac:dyDescent="0.3">
      <c r="A2159" s="28"/>
      <c r="B2159" s="35"/>
    </row>
    <row r="2160" spans="1:2" hidden="1" x14ac:dyDescent="0.3">
      <c r="A2160" s="28"/>
      <c r="B2160" s="35"/>
    </row>
    <row r="2161" spans="1:2" hidden="1" x14ac:dyDescent="0.3">
      <c r="A2161" s="28"/>
      <c r="B2161" s="35"/>
    </row>
    <row r="2162" spans="1:2" hidden="1" x14ac:dyDescent="0.3">
      <c r="A2162" s="28"/>
      <c r="B2162" s="35"/>
    </row>
    <row r="2163" spans="1:2" hidden="1" x14ac:dyDescent="0.3">
      <c r="A2163" s="28"/>
      <c r="B2163" s="35"/>
    </row>
    <row r="2164" spans="1:2" hidden="1" x14ac:dyDescent="0.3">
      <c r="A2164" s="28"/>
      <c r="B2164" s="35"/>
    </row>
    <row r="2165" spans="1:2" hidden="1" x14ac:dyDescent="0.3">
      <c r="A2165" s="28"/>
      <c r="B2165" s="35"/>
    </row>
    <row r="2166" spans="1:2" hidden="1" x14ac:dyDescent="0.3">
      <c r="A2166" s="28"/>
      <c r="B2166" s="35"/>
    </row>
    <row r="2167" spans="1:2" hidden="1" x14ac:dyDescent="0.3">
      <c r="A2167" s="28"/>
      <c r="B2167" s="35"/>
    </row>
    <row r="2168" spans="1:2" hidden="1" x14ac:dyDescent="0.3">
      <c r="A2168" s="28"/>
      <c r="B2168" s="35"/>
    </row>
    <row r="2169" spans="1:2" hidden="1" x14ac:dyDescent="0.3">
      <c r="A2169" s="28"/>
      <c r="B2169" s="35"/>
    </row>
    <row r="2170" spans="1:2" hidden="1" x14ac:dyDescent="0.3">
      <c r="A2170" s="28"/>
      <c r="B2170" s="35"/>
    </row>
    <row r="2171" spans="1:2" hidden="1" x14ac:dyDescent="0.3">
      <c r="A2171" s="28"/>
      <c r="B2171" s="35"/>
    </row>
    <row r="2172" spans="1:2" hidden="1" x14ac:dyDescent="0.3">
      <c r="A2172" s="28"/>
      <c r="B2172" s="35"/>
    </row>
    <row r="2173" spans="1:2" hidden="1" x14ac:dyDescent="0.3">
      <c r="A2173" s="28"/>
      <c r="B2173" s="35"/>
    </row>
    <row r="2174" spans="1:2" hidden="1" x14ac:dyDescent="0.3">
      <c r="A2174" s="28"/>
      <c r="B2174" s="35"/>
    </row>
    <row r="2175" spans="1:2" hidden="1" x14ac:dyDescent="0.3">
      <c r="A2175" s="28"/>
      <c r="B2175" s="35"/>
    </row>
    <row r="2176" spans="1:2" hidden="1" x14ac:dyDescent="0.3">
      <c r="A2176" s="28"/>
      <c r="B2176" s="35"/>
    </row>
    <row r="2177" spans="1:2" hidden="1" x14ac:dyDescent="0.3">
      <c r="A2177" s="28"/>
      <c r="B2177" s="35"/>
    </row>
    <row r="2178" spans="1:2" hidden="1" x14ac:dyDescent="0.3">
      <c r="A2178" s="28"/>
      <c r="B2178" s="35"/>
    </row>
    <row r="2179" spans="1:2" hidden="1" x14ac:dyDescent="0.3">
      <c r="A2179" s="28"/>
      <c r="B2179" s="35"/>
    </row>
    <row r="2180" spans="1:2" hidden="1" x14ac:dyDescent="0.3">
      <c r="A2180" s="28"/>
      <c r="B2180" s="35"/>
    </row>
    <row r="2181" spans="1:2" hidden="1" x14ac:dyDescent="0.3">
      <c r="A2181" s="28"/>
      <c r="B2181" s="35"/>
    </row>
    <row r="2182" spans="1:2" hidden="1" x14ac:dyDescent="0.3">
      <c r="A2182" s="28"/>
      <c r="B2182" s="35"/>
    </row>
    <row r="2183" spans="1:2" hidden="1" x14ac:dyDescent="0.3">
      <c r="A2183" s="28"/>
      <c r="B2183" s="35"/>
    </row>
    <row r="2184" spans="1:2" hidden="1" x14ac:dyDescent="0.3">
      <c r="A2184" s="28"/>
      <c r="B2184" s="35"/>
    </row>
    <row r="2185" spans="1:2" hidden="1" x14ac:dyDescent="0.3">
      <c r="A2185" s="28"/>
      <c r="B2185" s="35"/>
    </row>
    <row r="2186" spans="1:2" hidden="1" x14ac:dyDescent="0.3">
      <c r="A2186" s="28"/>
      <c r="B2186" s="35"/>
    </row>
    <row r="2187" spans="1:2" hidden="1" x14ac:dyDescent="0.3">
      <c r="A2187" s="28"/>
      <c r="B2187" s="35"/>
    </row>
    <row r="2188" spans="1:2" hidden="1" x14ac:dyDescent="0.3">
      <c r="A2188" s="28"/>
      <c r="B2188" s="35"/>
    </row>
    <row r="2189" spans="1:2" hidden="1" x14ac:dyDescent="0.3">
      <c r="A2189" s="28"/>
      <c r="B2189" s="35"/>
    </row>
    <row r="2190" spans="1:2" hidden="1" x14ac:dyDescent="0.3">
      <c r="A2190" s="28"/>
      <c r="B2190" s="35"/>
    </row>
    <row r="2191" spans="1:2" hidden="1" x14ac:dyDescent="0.3">
      <c r="A2191" s="28"/>
      <c r="B2191" s="35"/>
    </row>
    <row r="2192" spans="1:2" hidden="1" x14ac:dyDescent="0.3">
      <c r="A2192" s="28"/>
      <c r="B2192" s="35"/>
    </row>
    <row r="2193" spans="1:2" hidden="1" x14ac:dyDescent="0.3">
      <c r="A2193" s="28"/>
      <c r="B2193" s="35"/>
    </row>
    <row r="2194" spans="1:2" hidden="1" x14ac:dyDescent="0.3">
      <c r="A2194" s="28"/>
      <c r="B2194" s="35"/>
    </row>
    <row r="2195" spans="1:2" hidden="1" x14ac:dyDescent="0.3">
      <c r="A2195" s="28"/>
      <c r="B2195" s="35"/>
    </row>
    <row r="2196" spans="1:2" hidden="1" x14ac:dyDescent="0.3">
      <c r="A2196" s="28"/>
      <c r="B2196" s="35"/>
    </row>
    <row r="2197" spans="1:2" hidden="1" x14ac:dyDescent="0.3">
      <c r="A2197" s="28"/>
      <c r="B2197" s="35"/>
    </row>
    <row r="2198" spans="1:2" hidden="1" x14ac:dyDescent="0.3">
      <c r="A2198" s="28"/>
      <c r="B2198" s="35"/>
    </row>
    <row r="2199" spans="1:2" hidden="1" x14ac:dyDescent="0.3">
      <c r="A2199" s="28"/>
      <c r="B2199" s="35"/>
    </row>
    <row r="2200" spans="1:2" hidden="1" x14ac:dyDescent="0.3">
      <c r="A2200" s="28"/>
      <c r="B2200" s="35"/>
    </row>
    <row r="2201" spans="1:2" hidden="1" x14ac:dyDescent="0.3">
      <c r="A2201" s="28"/>
      <c r="B2201" s="35"/>
    </row>
    <row r="2202" spans="1:2" hidden="1" x14ac:dyDescent="0.3">
      <c r="A2202" s="28"/>
      <c r="B2202" s="35"/>
    </row>
    <row r="2203" spans="1:2" hidden="1" x14ac:dyDescent="0.3">
      <c r="A2203" s="28"/>
      <c r="B2203" s="35"/>
    </row>
    <row r="2204" spans="1:2" hidden="1" x14ac:dyDescent="0.3">
      <c r="A2204" s="28"/>
      <c r="B2204" s="35"/>
    </row>
    <row r="2205" spans="1:2" hidden="1" x14ac:dyDescent="0.3">
      <c r="A2205" s="28"/>
      <c r="B2205" s="35"/>
    </row>
    <row r="2206" spans="1:2" hidden="1" x14ac:dyDescent="0.3">
      <c r="A2206" s="28"/>
      <c r="B2206" s="35"/>
    </row>
    <row r="2207" spans="1:2" hidden="1" x14ac:dyDescent="0.3">
      <c r="A2207" s="28"/>
      <c r="B2207" s="35"/>
    </row>
    <row r="2208" spans="1:2" hidden="1" x14ac:dyDescent="0.3">
      <c r="A2208" s="28"/>
      <c r="B2208" s="35"/>
    </row>
    <row r="2209" spans="1:2" hidden="1" x14ac:dyDescent="0.3">
      <c r="A2209" s="28"/>
      <c r="B2209" s="35"/>
    </row>
    <row r="2210" spans="1:2" hidden="1" x14ac:dyDescent="0.3">
      <c r="A2210" s="28"/>
      <c r="B2210" s="35"/>
    </row>
    <row r="2211" spans="1:2" hidden="1" x14ac:dyDescent="0.3">
      <c r="A2211" s="28"/>
      <c r="B2211" s="35"/>
    </row>
    <row r="2212" spans="1:2" hidden="1" x14ac:dyDescent="0.3">
      <c r="A2212" s="28"/>
      <c r="B2212" s="35"/>
    </row>
    <row r="2213" spans="1:2" hidden="1" x14ac:dyDescent="0.3">
      <c r="A2213" s="28"/>
      <c r="B2213" s="35"/>
    </row>
    <row r="2214" spans="1:2" hidden="1" x14ac:dyDescent="0.3">
      <c r="A2214" s="28"/>
      <c r="B2214" s="35"/>
    </row>
    <row r="2215" spans="1:2" hidden="1" x14ac:dyDescent="0.3">
      <c r="A2215" s="28"/>
      <c r="B2215" s="35"/>
    </row>
    <row r="2216" spans="1:2" hidden="1" x14ac:dyDescent="0.3">
      <c r="A2216" s="28"/>
      <c r="B2216" s="35"/>
    </row>
    <row r="2217" spans="1:2" hidden="1" x14ac:dyDescent="0.3">
      <c r="A2217" s="28"/>
      <c r="B2217" s="35"/>
    </row>
    <row r="2218" spans="1:2" hidden="1" x14ac:dyDescent="0.3">
      <c r="A2218" s="28"/>
      <c r="B2218" s="35"/>
    </row>
    <row r="2219" spans="1:2" hidden="1" x14ac:dyDescent="0.3">
      <c r="A2219" s="28"/>
      <c r="B2219" s="35"/>
    </row>
    <row r="2220" spans="1:2" hidden="1" x14ac:dyDescent="0.3">
      <c r="A2220" s="28"/>
      <c r="B2220" s="35"/>
    </row>
    <row r="2221" spans="1:2" hidden="1" x14ac:dyDescent="0.3">
      <c r="A2221" s="28"/>
      <c r="B2221" s="35"/>
    </row>
    <row r="2222" spans="1:2" hidden="1" x14ac:dyDescent="0.3">
      <c r="A2222" s="28"/>
      <c r="B2222" s="35"/>
    </row>
    <row r="2223" spans="1:2" hidden="1" x14ac:dyDescent="0.3">
      <c r="A2223" s="28"/>
      <c r="B2223" s="35"/>
    </row>
    <row r="2224" spans="1:2" hidden="1" x14ac:dyDescent="0.3">
      <c r="A2224" s="28"/>
      <c r="B2224" s="35"/>
    </row>
    <row r="2225" spans="1:2" hidden="1" x14ac:dyDescent="0.3">
      <c r="A2225" s="28"/>
      <c r="B2225" s="35"/>
    </row>
    <row r="2226" spans="1:2" hidden="1" x14ac:dyDescent="0.3">
      <c r="A2226" s="28"/>
      <c r="B2226" s="35"/>
    </row>
    <row r="2227" spans="1:2" hidden="1" x14ac:dyDescent="0.3">
      <c r="A2227" s="28"/>
      <c r="B2227" s="35"/>
    </row>
    <row r="2228" spans="1:2" hidden="1" x14ac:dyDescent="0.3">
      <c r="A2228" s="28"/>
      <c r="B2228" s="35"/>
    </row>
    <row r="2229" spans="1:2" hidden="1" x14ac:dyDescent="0.3">
      <c r="A2229" s="28"/>
      <c r="B2229" s="35"/>
    </row>
    <row r="2230" spans="1:2" hidden="1" x14ac:dyDescent="0.3">
      <c r="A2230" s="28"/>
      <c r="B2230" s="35"/>
    </row>
    <row r="2231" spans="1:2" hidden="1" x14ac:dyDescent="0.3">
      <c r="A2231" s="28"/>
      <c r="B2231" s="35"/>
    </row>
    <row r="2232" spans="1:2" hidden="1" x14ac:dyDescent="0.3">
      <c r="A2232" s="28"/>
      <c r="B2232" s="35"/>
    </row>
    <row r="2233" spans="1:2" hidden="1" x14ac:dyDescent="0.3">
      <c r="A2233" s="28"/>
      <c r="B2233" s="35"/>
    </row>
    <row r="2234" spans="1:2" hidden="1" x14ac:dyDescent="0.3">
      <c r="A2234" s="28"/>
      <c r="B2234" s="35"/>
    </row>
    <row r="2235" spans="1:2" hidden="1" x14ac:dyDescent="0.3">
      <c r="A2235" s="28"/>
      <c r="B2235" s="35"/>
    </row>
    <row r="2236" spans="1:2" hidden="1" x14ac:dyDescent="0.3">
      <c r="A2236" s="28"/>
      <c r="B2236" s="35"/>
    </row>
    <row r="2237" spans="1:2" hidden="1" x14ac:dyDescent="0.3">
      <c r="A2237" s="28"/>
      <c r="B2237" s="35"/>
    </row>
    <row r="2238" spans="1:2" hidden="1" x14ac:dyDescent="0.3">
      <c r="A2238" s="28"/>
      <c r="B2238" s="35"/>
    </row>
    <row r="2239" spans="1:2" hidden="1" x14ac:dyDescent="0.3">
      <c r="A2239" s="28"/>
      <c r="B2239" s="35"/>
    </row>
    <row r="2240" spans="1:2" hidden="1" x14ac:dyDescent="0.3">
      <c r="A2240" s="28"/>
      <c r="B2240" s="35"/>
    </row>
    <row r="2241" spans="1:2" hidden="1" x14ac:dyDescent="0.3">
      <c r="A2241" s="28"/>
      <c r="B2241" s="35"/>
    </row>
    <row r="2242" spans="1:2" hidden="1" x14ac:dyDescent="0.3">
      <c r="A2242" s="28"/>
      <c r="B2242" s="35"/>
    </row>
    <row r="2243" spans="1:2" hidden="1" x14ac:dyDescent="0.3">
      <c r="A2243" s="28"/>
      <c r="B2243" s="35"/>
    </row>
    <row r="2244" spans="1:2" hidden="1" x14ac:dyDescent="0.3">
      <c r="A2244" s="28"/>
      <c r="B2244" s="35"/>
    </row>
    <row r="2245" spans="1:2" hidden="1" x14ac:dyDescent="0.3">
      <c r="A2245" s="28"/>
      <c r="B2245" s="35"/>
    </row>
    <row r="2246" spans="1:2" hidden="1" x14ac:dyDescent="0.3">
      <c r="A2246" s="28"/>
      <c r="B2246" s="35"/>
    </row>
    <row r="2247" spans="1:2" hidden="1" x14ac:dyDescent="0.3">
      <c r="A2247" s="28"/>
      <c r="B2247" s="35"/>
    </row>
    <row r="2248" spans="1:2" hidden="1" x14ac:dyDescent="0.3">
      <c r="A2248" s="28"/>
      <c r="B2248" s="35"/>
    </row>
    <row r="2249" spans="1:2" hidden="1" x14ac:dyDescent="0.3">
      <c r="A2249" s="28"/>
      <c r="B2249" s="35"/>
    </row>
    <row r="2250" spans="1:2" hidden="1" x14ac:dyDescent="0.3">
      <c r="A2250" s="28"/>
      <c r="B2250" s="35"/>
    </row>
    <row r="2251" spans="1:2" hidden="1" x14ac:dyDescent="0.3">
      <c r="A2251" s="28"/>
      <c r="B2251" s="35"/>
    </row>
    <row r="2252" spans="1:2" hidden="1" x14ac:dyDescent="0.3">
      <c r="A2252" s="28"/>
      <c r="B2252" s="35"/>
    </row>
    <row r="2253" spans="1:2" hidden="1" x14ac:dyDescent="0.3">
      <c r="A2253" s="28"/>
      <c r="B2253" s="35"/>
    </row>
    <row r="2254" spans="1:2" hidden="1" x14ac:dyDescent="0.3">
      <c r="A2254" s="28"/>
      <c r="B2254" s="35"/>
    </row>
    <row r="2255" spans="1:2" hidden="1" x14ac:dyDescent="0.3">
      <c r="A2255" s="28"/>
      <c r="B2255" s="35"/>
    </row>
    <row r="2256" spans="1:2" hidden="1" x14ac:dyDescent="0.3">
      <c r="A2256" s="28"/>
      <c r="B2256" s="35"/>
    </row>
    <row r="2257" spans="1:2" hidden="1" x14ac:dyDescent="0.3">
      <c r="A2257" s="28"/>
      <c r="B2257" s="35"/>
    </row>
    <row r="2258" spans="1:2" hidden="1" x14ac:dyDescent="0.3">
      <c r="A2258" s="28"/>
      <c r="B2258" s="35"/>
    </row>
    <row r="2259" spans="1:2" hidden="1" x14ac:dyDescent="0.3">
      <c r="A2259" s="28"/>
      <c r="B2259" s="35"/>
    </row>
    <row r="2260" spans="1:2" hidden="1" x14ac:dyDescent="0.3">
      <c r="A2260" s="28"/>
      <c r="B2260" s="35"/>
    </row>
    <row r="2261" spans="1:2" hidden="1" x14ac:dyDescent="0.3">
      <c r="A2261" s="28"/>
      <c r="B2261" s="35"/>
    </row>
    <row r="2262" spans="1:2" hidden="1" x14ac:dyDescent="0.3">
      <c r="A2262" s="28"/>
      <c r="B2262" s="35"/>
    </row>
    <row r="2263" spans="1:2" hidden="1" x14ac:dyDescent="0.3">
      <c r="A2263" s="28"/>
      <c r="B2263" s="35"/>
    </row>
    <row r="2264" spans="1:2" hidden="1" x14ac:dyDescent="0.3">
      <c r="A2264" s="28"/>
      <c r="B2264" s="35"/>
    </row>
    <row r="2265" spans="1:2" hidden="1" x14ac:dyDescent="0.3">
      <c r="A2265" s="28"/>
      <c r="B2265" s="35"/>
    </row>
    <row r="2266" spans="1:2" hidden="1" x14ac:dyDescent="0.3">
      <c r="A2266" s="28"/>
      <c r="B2266" s="35"/>
    </row>
    <row r="2267" spans="1:2" hidden="1" x14ac:dyDescent="0.3">
      <c r="A2267" s="28"/>
      <c r="B2267" s="35"/>
    </row>
    <row r="2268" spans="1:2" hidden="1" x14ac:dyDescent="0.3">
      <c r="A2268" s="28"/>
      <c r="B2268" s="35"/>
    </row>
    <row r="2269" spans="1:2" hidden="1" x14ac:dyDescent="0.3">
      <c r="A2269" s="28"/>
      <c r="B2269" s="35"/>
    </row>
    <row r="2270" spans="1:2" hidden="1" x14ac:dyDescent="0.3">
      <c r="A2270" s="28"/>
      <c r="B2270" s="35"/>
    </row>
    <row r="2271" spans="1:2" hidden="1" x14ac:dyDescent="0.3">
      <c r="A2271" s="28"/>
      <c r="B2271" s="35"/>
    </row>
    <row r="2272" spans="1:2" hidden="1" x14ac:dyDescent="0.3">
      <c r="A2272" s="28"/>
      <c r="B2272" s="35"/>
    </row>
    <row r="2273" spans="1:2" hidden="1" x14ac:dyDescent="0.3">
      <c r="A2273" s="28"/>
      <c r="B2273" s="35"/>
    </row>
    <row r="2274" spans="1:2" hidden="1" x14ac:dyDescent="0.3">
      <c r="A2274" s="28"/>
      <c r="B2274" s="35"/>
    </row>
    <row r="2275" spans="1:2" hidden="1" x14ac:dyDescent="0.3">
      <c r="A2275" s="28"/>
      <c r="B2275" s="35"/>
    </row>
    <row r="2276" spans="1:2" hidden="1" x14ac:dyDescent="0.3">
      <c r="A2276" s="28"/>
      <c r="B2276" s="35"/>
    </row>
    <row r="2277" spans="1:2" hidden="1" x14ac:dyDescent="0.3">
      <c r="A2277" s="28"/>
      <c r="B2277" s="35"/>
    </row>
    <row r="2278" spans="1:2" hidden="1" x14ac:dyDescent="0.3">
      <c r="A2278" s="28"/>
      <c r="B2278" s="35"/>
    </row>
    <row r="2279" spans="1:2" hidden="1" x14ac:dyDescent="0.3">
      <c r="A2279" s="28"/>
      <c r="B2279" s="35"/>
    </row>
    <row r="2280" spans="1:2" hidden="1" x14ac:dyDescent="0.3">
      <c r="A2280" s="28"/>
      <c r="B2280" s="35"/>
    </row>
    <row r="2281" spans="1:2" hidden="1" x14ac:dyDescent="0.3">
      <c r="A2281" s="28"/>
      <c r="B2281" s="35"/>
    </row>
    <row r="2282" spans="1:2" hidden="1" x14ac:dyDescent="0.3">
      <c r="A2282" s="28"/>
      <c r="B2282" s="35"/>
    </row>
    <row r="2283" spans="1:2" hidden="1" x14ac:dyDescent="0.3">
      <c r="A2283" s="28"/>
      <c r="B2283" s="35"/>
    </row>
    <row r="2284" spans="1:2" hidden="1" x14ac:dyDescent="0.3">
      <c r="A2284" s="28"/>
      <c r="B2284" s="35"/>
    </row>
    <row r="2285" spans="1:2" hidden="1" x14ac:dyDescent="0.3">
      <c r="A2285" s="28"/>
      <c r="B2285" s="35"/>
    </row>
    <row r="2286" spans="1:2" hidden="1" x14ac:dyDescent="0.3">
      <c r="A2286" s="28"/>
      <c r="B2286" s="35"/>
    </row>
    <row r="2287" spans="1:2" hidden="1" x14ac:dyDescent="0.3">
      <c r="A2287" s="28"/>
      <c r="B2287" s="35"/>
    </row>
    <row r="2288" spans="1:2" hidden="1" x14ac:dyDescent="0.3">
      <c r="A2288" s="28"/>
      <c r="B2288" s="35"/>
    </row>
    <row r="2289" spans="1:2" hidden="1" x14ac:dyDescent="0.3">
      <c r="A2289" s="28"/>
      <c r="B2289" s="35"/>
    </row>
    <row r="2290" spans="1:2" hidden="1" x14ac:dyDescent="0.3">
      <c r="A2290" s="28"/>
      <c r="B2290" s="35"/>
    </row>
    <row r="2291" spans="1:2" hidden="1" x14ac:dyDescent="0.3">
      <c r="A2291" s="28"/>
      <c r="B2291" s="35"/>
    </row>
    <row r="2292" spans="1:2" hidden="1" x14ac:dyDescent="0.3">
      <c r="A2292" s="28"/>
      <c r="B2292" s="35"/>
    </row>
    <row r="2293" spans="1:2" hidden="1" x14ac:dyDescent="0.3">
      <c r="A2293" s="28"/>
      <c r="B2293" s="35"/>
    </row>
    <row r="2294" spans="1:2" hidden="1" x14ac:dyDescent="0.3">
      <c r="A2294" s="28"/>
      <c r="B2294" s="35"/>
    </row>
    <row r="2295" spans="1:2" hidden="1" x14ac:dyDescent="0.3">
      <c r="A2295" s="28"/>
      <c r="B2295" s="35"/>
    </row>
    <row r="2296" spans="1:2" hidden="1" x14ac:dyDescent="0.3">
      <c r="A2296" s="28"/>
      <c r="B2296" s="35"/>
    </row>
    <row r="2297" spans="1:2" hidden="1" x14ac:dyDescent="0.3">
      <c r="A2297" s="28"/>
      <c r="B2297" s="35"/>
    </row>
    <row r="2298" spans="1:2" hidden="1" x14ac:dyDescent="0.3">
      <c r="A2298" s="28"/>
      <c r="B2298" s="35"/>
    </row>
    <row r="2299" spans="1:2" hidden="1" x14ac:dyDescent="0.3">
      <c r="A2299" s="28"/>
      <c r="B2299" s="35"/>
    </row>
    <row r="2300" spans="1:2" hidden="1" x14ac:dyDescent="0.3">
      <c r="A2300" s="28"/>
      <c r="B2300" s="35"/>
    </row>
    <row r="2301" spans="1:2" hidden="1" x14ac:dyDescent="0.3">
      <c r="A2301" s="28"/>
      <c r="B2301" s="35"/>
    </row>
    <row r="2302" spans="1:2" hidden="1" x14ac:dyDescent="0.3">
      <c r="A2302" s="28"/>
      <c r="B2302" s="35"/>
    </row>
    <row r="2303" spans="1:2" hidden="1" x14ac:dyDescent="0.3">
      <c r="A2303" s="28"/>
      <c r="B2303" s="35"/>
    </row>
    <row r="2304" spans="1:2" hidden="1" x14ac:dyDescent="0.3">
      <c r="A2304" s="28"/>
      <c r="B2304" s="35"/>
    </row>
    <row r="2305" spans="1:2" hidden="1" x14ac:dyDescent="0.3">
      <c r="A2305" s="28"/>
      <c r="B2305" s="35"/>
    </row>
    <row r="2306" spans="1:2" hidden="1" x14ac:dyDescent="0.3">
      <c r="A2306" s="28"/>
      <c r="B2306" s="35"/>
    </row>
    <row r="2307" spans="1:2" hidden="1" x14ac:dyDescent="0.3">
      <c r="A2307" s="28"/>
      <c r="B2307" s="35"/>
    </row>
    <row r="2308" spans="1:2" hidden="1" x14ac:dyDescent="0.3">
      <c r="A2308" s="28"/>
      <c r="B2308" s="35"/>
    </row>
    <row r="2309" spans="1:2" hidden="1" x14ac:dyDescent="0.3">
      <c r="A2309" s="28"/>
      <c r="B2309" s="35"/>
    </row>
    <row r="2310" spans="1:2" hidden="1" x14ac:dyDescent="0.3">
      <c r="A2310" s="28"/>
      <c r="B2310" s="35"/>
    </row>
    <row r="2311" spans="1:2" hidden="1" x14ac:dyDescent="0.3">
      <c r="A2311" s="28"/>
      <c r="B2311" s="35"/>
    </row>
    <row r="2312" spans="1:2" hidden="1" x14ac:dyDescent="0.3">
      <c r="A2312" s="28"/>
      <c r="B2312" s="35"/>
    </row>
    <row r="2313" spans="1:2" hidden="1" x14ac:dyDescent="0.3">
      <c r="A2313" s="28"/>
      <c r="B2313" s="35"/>
    </row>
    <row r="2314" spans="1:2" hidden="1" x14ac:dyDescent="0.3">
      <c r="A2314" s="28"/>
      <c r="B2314" s="35"/>
    </row>
    <row r="2315" spans="1:2" hidden="1" x14ac:dyDescent="0.3">
      <c r="A2315" s="28"/>
      <c r="B2315" s="35"/>
    </row>
    <row r="2316" spans="1:2" hidden="1" x14ac:dyDescent="0.3">
      <c r="A2316" s="28"/>
      <c r="B2316" s="35"/>
    </row>
    <row r="2317" spans="1:2" hidden="1" x14ac:dyDescent="0.3">
      <c r="A2317" s="28"/>
      <c r="B2317" s="35"/>
    </row>
    <row r="2318" spans="1:2" hidden="1" x14ac:dyDescent="0.3">
      <c r="A2318" s="28"/>
      <c r="B2318" s="35"/>
    </row>
    <row r="2319" spans="1:2" hidden="1" x14ac:dyDescent="0.3">
      <c r="A2319" s="28"/>
      <c r="B2319" s="35"/>
    </row>
    <row r="2320" spans="1:2" hidden="1" x14ac:dyDescent="0.3">
      <c r="A2320" s="28"/>
      <c r="B2320" s="35"/>
    </row>
    <row r="2321" spans="1:2" hidden="1" x14ac:dyDescent="0.3">
      <c r="A2321" s="28"/>
      <c r="B2321" s="35"/>
    </row>
    <row r="2322" spans="1:2" hidden="1" x14ac:dyDescent="0.3">
      <c r="A2322" s="28"/>
      <c r="B2322" s="35"/>
    </row>
    <row r="2323" spans="1:2" hidden="1" x14ac:dyDescent="0.3">
      <c r="A2323" s="28"/>
      <c r="B2323" s="35"/>
    </row>
    <row r="2324" spans="1:2" hidden="1" x14ac:dyDescent="0.3">
      <c r="A2324" s="28"/>
      <c r="B2324" s="35"/>
    </row>
    <row r="2325" spans="1:2" hidden="1" x14ac:dyDescent="0.3">
      <c r="A2325" s="28"/>
      <c r="B2325" s="35"/>
    </row>
    <row r="2326" spans="1:2" hidden="1" x14ac:dyDescent="0.3">
      <c r="A2326" s="28"/>
      <c r="B2326" s="35"/>
    </row>
    <row r="2327" spans="1:2" hidden="1" x14ac:dyDescent="0.3">
      <c r="A2327" s="28"/>
      <c r="B2327" s="35"/>
    </row>
    <row r="2328" spans="1:2" hidden="1" x14ac:dyDescent="0.3">
      <c r="A2328" s="28"/>
      <c r="B2328" s="35"/>
    </row>
    <row r="2329" spans="1:2" hidden="1" x14ac:dyDescent="0.3">
      <c r="A2329" s="28"/>
      <c r="B2329" s="35"/>
    </row>
    <row r="2330" spans="1:2" hidden="1" x14ac:dyDescent="0.3">
      <c r="A2330" s="28"/>
      <c r="B2330" s="35"/>
    </row>
    <row r="2331" spans="1:2" hidden="1" x14ac:dyDescent="0.3">
      <c r="A2331" s="28"/>
      <c r="B2331" s="35"/>
    </row>
    <row r="2332" spans="1:2" hidden="1" x14ac:dyDescent="0.3">
      <c r="A2332" s="28"/>
      <c r="B2332" s="35"/>
    </row>
    <row r="2333" spans="1:2" hidden="1" x14ac:dyDescent="0.3">
      <c r="A2333" s="28"/>
      <c r="B2333" s="35"/>
    </row>
    <row r="2334" spans="1:2" hidden="1" x14ac:dyDescent="0.3">
      <c r="A2334" s="28"/>
      <c r="B2334" s="35"/>
    </row>
    <row r="2335" spans="1:2" hidden="1" x14ac:dyDescent="0.3">
      <c r="A2335" s="28"/>
      <c r="B2335" s="35"/>
    </row>
    <row r="2336" spans="1:2" hidden="1" x14ac:dyDescent="0.3">
      <c r="A2336" s="28"/>
      <c r="B2336" s="35"/>
    </row>
    <row r="2337" spans="1:2" hidden="1" x14ac:dyDescent="0.3">
      <c r="A2337" s="28"/>
      <c r="B2337" s="35"/>
    </row>
    <row r="2338" spans="1:2" hidden="1" x14ac:dyDescent="0.3">
      <c r="A2338" s="28"/>
      <c r="B2338" s="35"/>
    </row>
    <row r="2339" spans="1:2" hidden="1" x14ac:dyDescent="0.3">
      <c r="A2339" s="28"/>
      <c r="B2339" s="35"/>
    </row>
    <row r="2340" spans="1:2" hidden="1" x14ac:dyDescent="0.3">
      <c r="A2340" s="28"/>
      <c r="B2340" s="35"/>
    </row>
    <row r="2341" spans="1:2" hidden="1" x14ac:dyDescent="0.3">
      <c r="A2341" s="28"/>
      <c r="B2341" s="35"/>
    </row>
    <row r="2342" spans="1:2" hidden="1" x14ac:dyDescent="0.3">
      <c r="A2342" s="28"/>
      <c r="B2342" s="35"/>
    </row>
    <row r="2343" spans="1:2" hidden="1" x14ac:dyDescent="0.3">
      <c r="A2343" s="28"/>
      <c r="B2343" s="35"/>
    </row>
    <row r="2344" spans="1:2" hidden="1" x14ac:dyDescent="0.3">
      <c r="A2344" s="28"/>
      <c r="B2344" s="35"/>
    </row>
    <row r="2345" spans="1:2" hidden="1" x14ac:dyDescent="0.3">
      <c r="A2345" s="28"/>
      <c r="B2345" s="35"/>
    </row>
    <row r="2346" spans="1:2" hidden="1" x14ac:dyDescent="0.3">
      <c r="A2346" s="28"/>
      <c r="B2346" s="35"/>
    </row>
    <row r="2347" spans="1:2" hidden="1" x14ac:dyDescent="0.3">
      <c r="A2347" s="28"/>
      <c r="B2347" s="35"/>
    </row>
    <row r="2348" spans="1:2" hidden="1" x14ac:dyDescent="0.3">
      <c r="A2348" s="28"/>
      <c r="B2348" s="35"/>
    </row>
    <row r="2349" spans="1:2" hidden="1" x14ac:dyDescent="0.3">
      <c r="A2349" s="28"/>
      <c r="B2349" s="35"/>
    </row>
    <row r="2350" spans="1:2" hidden="1" x14ac:dyDescent="0.3">
      <c r="A2350" s="28"/>
      <c r="B2350" s="35"/>
    </row>
    <row r="2351" spans="1:2" hidden="1" x14ac:dyDescent="0.3">
      <c r="A2351" s="28"/>
      <c r="B2351" s="35"/>
    </row>
    <row r="2352" spans="1:2" hidden="1" x14ac:dyDescent="0.3">
      <c r="A2352" s="28"/>
      <c r="B2352" s="35"/>
    </row>
    <row r="2353" spans="1:2" hidden="1" x14ac:dyDescent="0.3">
      <c r="A2353" s="28"/>
      <c r="B2353" s="35"/>
    </row>
    <row r="2354" spans="1:2" hidden="1" x14ac:dyDescent="0.3">
      <c r="A2354" s="28"/>
      <c r="B2354" s="35"/>
    </row>
    <row r="2355" spans="1:2" hidden="1" x14ac:dyDescent="0.3">
      <c r="A2355" s="28"/>
      <c r="B2355" s="35"/>
    </row>
    <row r="2356" spans="1:2" hidden="1" x14ac:dyDescent="0.3">
      <c r="A2356" s="28"/>
      <c r="B2356" s="35"/>
    </row>
    <row r="2357" spans="1:2" hidden="1" x14ac:dyDescent="0.3">
      <c r="A2357" s="28"/>
      <c r="B2357" s="35"/>
    </row>
    <row r="2358" spans="1:2" hidden="1" x14ac:dyDescent="0.3">
      <c r="A2358" s="28"/>
      <c r="B2358" s="35"/>
    </row>
    <row r="2359" spans="1:2" hidden="1" x14ac:dyDescent="0.3">
      <c r="A2359" s="28"/>
      <c r="B2359" s="35"/>
    </row>
    <row r="2360" spans="1:2" hidden="1" x14ac:dyDescent="0.3">
      <c r="A2360" s="28"/>
      <c r="B2360" s="35"/>
    </row>
    <row r="2361" spans="1:2" hidden="1" x14ac:dyDescent="0.3">
      <c r="A2361" s="28"/>
      <c r="B2361" s="35"/>
    </row>
    <row r="2362" spans="1:2" hidden="1" x14ac:dyDescent="0.3">
      <c r="A2362" s="28"/>
      <c r="B2362" s="35"/>
    </row>
    <row r="2363" spans="1:2" hidden="1" x14ac:dyDescent="0.3">
      <c r="A2363" s="28"/>
      <c r="B2363" s="35"/>
    </row>
    <row r="2364" spans="1:2" hidden="1" x14ac:dyDescent="0.3">
      <c r="A2364" s="28"/>
      <c r="B2364" s="35"/>
    </row>
    <row r="2365" spans="1:2" hidden="1" x14ac:dyDescent="0.3">
      <c r="A2365" s="28"/>
      <c r="B2365" s="35"/>
    </row>
    <row r="2366" spans="1:2" hidden="1" x14ac:dyDescent="0.3">
      <c r="A2366" s="28"/>
      <c r="B2366" s="35"/>
    </row>
    <row r="2367" spans="1:2" hidden="1" x14ac:dyDescent="0.3">
      <c r="A2367" s="28"/>
      <c r="B2367" s="35"/>
    </row>
    <row r="2368" spans="1:2" hidden="1" x14ac:dyDescent="0.3">
      <c r="A2368" s="28"/>
      <c r="B2368" s="35"/>
    </row>
    <row r="2369" spans="1:2" hidden="1" x14ac:dyDescent="0.3">
      <c r="A2369" s="28"/>
      <c r="B2369" s="35"/>
    </row>
    <row r="2370" spans="1:2" hidden="1" x14ac:dyDescent="0.3">
      <c r="A2370" s="28"/>
      <c r="B2370" s="35"/>
    </row>
    <row r="2371" spans="1:2" hidden="1" x14ac:dyDescent="0.3">
      <c r="A2371" s="28"/>
      <c r="B2371" s="35"/>
    </row>
    <row r="2372" spans="1:2" hidden="1" x14ac:dyDescent="0.3">
      <c r="A2372" s="28"/>
      <c r="B2372" s="35"/>
    </row>
    <row r="2373" spans="1:2" hidden="1" x14ac:dyDescent="0.3">
      <c r="A2373" s="28"/>
      <c r="B2373" s="35"/>
    </row>
    <row r="2374" spans="1:2" hidden="1" x14ac:dyDescent="0.3">
      <c r="A2374" s="28"/>
      <c r="B2374" s="35"/>
    </row>
    <row r="2375" spans="1:2" hidden="1" x14ac:dyDescent="0.3">
      <c r="A2375" s="28"/>
      <c r="B2375" s="35"/>
    </row>
    <row r="2376" spans="1:2" hidden="1" x14ac:dyDescent="0.3">
      <c r="A2376" s="28"/>
      <c r="B2376" s="35"/>
    </row>
    <row r="2377" spans="1:2" hidden="1" x14ac:dyDescent="0.3">
      <c r="A2377" s="28"/>
      <c r="B2377" s="35"/>
    </row>
    <row r="2378" spans="1:2" hidden="1" x14ac:dyDescent="0.3">
      <c r="A2378" s="28"/>
      <c r="B2378" s="35"/>
    </row>
    <row r="2379" spans="1:2" hidden="1" x14ac:dyDescent="0.3">
      <c r="A2379" s="28"/>
      <c r="B2379" s="35"/>
    </row>
    <row r="2380" spans="1:2" hidden="1" x14ac:dyDescent="0.3">
      <c r="A2380" s="28"/>
      <c r="B2380" s="35"/>
    </row>
    <row r="2381" spans="1:2" hidden="1" x14ac:dyDescent="0.3">
      <c r="A2381" s="28"/>
      <c r="B2381" s="35"/>
    </row>
    <row r="2382" spans="1:2" hidden="1" x14ac:dyDescent="0.3">
      <c r="A2382" s="28"/>
      <c r="B2382" s="35"/>
    </row>
    <row r="2383" spans="1:2" hidden="1" x14ac:dyDescent="0.3">
      <c r="A2383" s="28"/>
      <c r="B2383" s="35"/>
    </row>
    <row r="2384" spans="1:2" hidden="1" x14ac:dyDescent="0.3">
      <c r="A2384" s="28"/>
      <c r="B2384" s="35"/>
    </row>
    <row r="2385" spans="1:2" hidden="1" x14ac:dyDescent="0.3">
      <c r="A2385" s="28"/>
      <c r="B2385" s="35"/>
    </row>
    <row r="2386" spans="1:2" hidden="1" x14ac:dyDescent="0.3">
      <c r="A2386" s="28"/>
      <c r="B2386" s="35"/>
    </row>
    <row r="2387" spans="1:2" hidden="1" x14ac:dyDescent="0.3">
      <c r="A2387" s="28"/>
      <c r="B2387" s="35"/>
    </row>
    <row r="2388" spans="1:2" hidden="1" x14ac:dyDescent="0.3">
      <c r="A2388" s="28"/>
      <c r="B2388" s="35"/>
    </row>
    <row r="2389" spans="1:2" hidden="1" x14ac:dyDescent="0.3">
      <c r="A2389" s="28"/>
      <c r="B2389" s="35"/>
    </row>
    <row r="2390" spans="1:2" hidden="1" x14ac:dyDescent="0.3">
      <c r="A2390" s="28"/>
      <c r="B2390" s="35"/>
    </row>
    <row r="2391" spans="1:2" hidden="1" x14ac:dyDescent="0.3">
      <c r="A2391" s="28"/>
      <c r="B2391" s="35"/>
    </row>
    <row r="2392" spans="1:2" hidden="1" x14ac:dyDescent="0.3">
      <c r="A2392" s="28"/>
      <c r="B2392" s="35"/>
    </row>
    <row r="2393" spans="1:2" hidden="1" x14ac:dyDescent="0.3">
      <c r="A2393" s="28"/>
      <c r="B2393" s="35"/>
    </row>
    <row r="2394" spans="1:2" hidden="1" x14ac:dyDescent="0.3">
      <c r="A2394" s="28"/>
      <c r="B2394" s="35"/>
    </row>
    <row r="2395" spans="1:2" hidden="1" x14ac:dyDescent="0.3">
      <c r="A2395" s="28"/>
      <c r="B2395" s="35"/>
    </row>
    <row r="2396" spans="1:2" hidden="1" x14ac:dyDescent="0.3">
      <c r="A2396" s="28"/>
      <c r="B2396" s="35"/>
    </row>
    <row r="2397" spans="1:2" hidden="1" x14ac:dyDescent="0.3">
      <c r="A2397" s="28"/>
      <c r="B2397" s="35"/>
    </row>
    <row r="2398" spans="1:2" hidden="1" x14ac:dyDescent="0.3">
      <c r="A2398" s="28"/>
      <c r="B2398" s="35"/>
    </row>
    <row r="2399" spans="1:2" hidden="1" x14ac:dyDescent="0.3">
      <c r="A2399" s="28"/>
      <c r="B2399" s="35"/>
    </row>
    <row r="2400" spans="1:2" hidden="1" x14ac:dyDescent="0.3">
      <c r="A2400" s="28"/>
      <c r="B2400" s="35"/>
    </row>
    <row r="2401" spans="1:2" hidden="1" x14ac:dyDescent="0.3">
      <c r="A2401" s="28"/>
      <c r="B2401" s="35"/>
    </row>
    <row r="2402" spans="1:2" hidden="1" x14ac:dyDescent="0.3">
      <c r="A2402" s="28"/>
      <c r="B2402" s="35"/>
    </row>
    <row r="2403" spans="1:2" hidden="1" x14ac:dyDescent="0.3">
      <c r="A2403" s="28"/>
      <c r="B2403" s="35"/>
    </row>
    <row r="2404" spans="1:2" hidden="1" x14ac:dyDescent="0.3">
      <c r="A2404" s="28"/>
      <c r="B2404" s="35"/>
    </row>
    <row r="2405" spans="1:2" hidden="1" x14ac:dyDescent="0.3">
      <c r="A2405" s="28"/>
      <c r="B2405" s="35"/>
    </row>
    <row r="2406" spans="1:2" hidden="1" x14ac:dyDescent="0.3">
      <c r="A2406" s="28"/>
      <c r="B2406" s="35"/>
    </row>
    <row r="2407" spans="1:2" hidden="1" x14ac:dyDescent="0.3">
      <c r="A2407" s="28"/>
      <c r="B2407" s="35"/>
    </row>
    <row r="2408" spans="1:2" hidden="1" x14ac:dyDescent="0.3">
      <c r="A2408" s="28"/>
      <c r="B2408" s="35"/>
    </row>
    <row r="2409" spans="1:2" hidden="1" x14ac:dyDescent="0.3">
      <c r="A2409" s="28"/>
      <c r="B2409" s="35"/>
    </row>
    <row r="2410" spans="1:2" hidden="1" x14ac:dyDescent="0.3">
      <c r="A2410" s="28"/>
      <c r="B2410" s="35"/>
    </row>
    <row r="2411" spans="1:2" hidden="1" x14ac:dyDescent="0.3">
      <c r="A2411" s="28"/>
      <c r="B2411" s="35"/>
    </row>
    <row r="2412" spans="1:2" hidden="1" x14ac:dyDescent="0.3">
      <c r="A2412" s="28"/>
      <c r="B2412" s="35"/>
    </row>
    <row r="2413" spans="1:2" hidden="1" x14ac:dyDescent="0.3">
      <c r="A2413" s="28"/>
      <c r="B2413" s="35"/>
    </row>
    <row r="2414" spans="1:2" hidden="1" x14ac:dyDescent="0.3">
      <c r="A2414" s="28"/>
      <c r="B2414" s="35"/>
    </row>
    <row r="2415" spans="1:2" hidden="1" x14ac:dyDescent="0.3">
      <c r="A2415" s="28"/>
      <c r="B2415" s="35"/>
    </row>
    <row r="2416" spans="1:2" hidden="1" x14ac:dyDescent="0.3">
      <c r="A2416" s="28"/>
      <c r="B2416" s="35"/>
    </row>
    <row r="2417" spans="1:2" hidden="1" x14ac:dyDescent="0.3">
      <c r="A2417" s="28"/>
      <c r="B2417" s="35"/>
    </row>
    <row r="2418" spans="1:2" hidden="1" x14ac:dyDescent="0.3">
      <c r="A2418" s="28"/>
      <c r="B2418" s="35"/>
    </row>
    <row r="2419" spans="1:2" hidden="1" x14ac:dyDescent="0.3">
      <c r="A2419" s="28"/>
      <c r="B2419" s="35"/>
    </row>
    <row r="2420" spans="1:2" hidden="1" x14ac:dyDescent="0.3">
      <c r="A2420" s="28"/>
      <c r="B2420" s="35"/>
    </row>
    <row r="2421" spans="1:2" hidden="1" x14ac:dyDescent="0.3">
      <c r="A2421" s="28"/>
      <c r="B2421" s="35"/>
    </row>
    <row r="2422" spans="1:2" hidden="1" x14ac:dyDescent="0.3">
      <c r="A2422" s="28"/>
      <c r="B2422" s="35"/>
    </row>
    <row r="2423" spans="1:2" hidden="1" x14ac:dyDescent="0.3">
      <c r="A2423" s="28"/>
      <c r="B2423" s="35"/>
    </row>
    <row r="2424" spans="1:2" hidden="1" x14ac:dyDescent="0.3">
      <c r="A2424" s="28"/>
      <c r="B2424" s="35"/>
    </row>
    <row r="2425" spans="1:2" hidden="1" x14ac:dyDescent="0.3">
      <c r="A2425" s="28"/>
      <c r="B2425" s="35"/>
    </row>
    <row r="2426" spans="1:2" hidden="1" x14ac:dyDescent="0.3">
      <c r="A2426" s="28"/>
      <c r="B2426" s="35"/>
    </row>
    <row r="2427" spans="1:2" hidden="1" x14ac:dyDescent="0.3">
      <c r="A2427" s="28"/>
      <c r="B2427" s="35"/>
    </row>
    <row r="2428" spans="1:2" hidden="1" x14ac:dyDescent="0.3">
      <c r="A2428" s="28"/>
      <c r="B2428" s="35"/>
    </row>
    <row r="2429" spans="1:2" hidden="1" x14ac:dyDescent="0.3">
      <c r="A2429" s="28"/>
      <c r="B2429" s="35"/>
    </row>
    <row r="2430" spans="1:2" hidden="1" x14ac:dyDescent="0.3">
      <c r="A2430" s="28"/>
      <c r="B2430" s="35"/>
    </row>
    <row r="2431" spans="1:2" hidden="1" x14ac:dyDescent="0.3">
      <c r="A2431" s="28"/>
      <c r="B2431" s="35"/>
    </row>
    <row r="2432" spans="1:2" hidden="1" x14ac:dyDescent="0.3">
      <c r="A2432" s="28"/>
      <c r="B2432" s="35"/>
    </row>
    <row r="2433" spans="1:2" hidden="1" x14ac:dyDescent="0.3">
      <c r="A2433" s="28"/>
      <c r="B2433" s="35"/>
    </row>
    <row r="2434" spans="1:2" hidden="1" x14ac:dyDescent="0.3">
      <c r="A2434" s="28"/>
      <c r="B2434" s="35"/>
    </row>
    <row r="2435" spans="1:2" hidden="1" x14ac:dyDescent="0.3">
      <c r="A2435" s="28"/>
      <c r="B2435" s="35"/>
    </row>
    <row r="2436" spans="1:2" hidden="1" x14ac:dyDescent="0.3">
      <c r="A2436" s="28"/>
      <c r="B2436" s="35"/>
    </row>
    <row r="2437" spans="1:2" hidden="1" x14ac:dyDescent="0.3">
      <c r="A2437" s="28"/>
      <c r="B2437" s="35"/>
    </row>
    <row r="2438" spans="1:2" hidden="1" x14ac:dyDescent="0.3">
      <c r="A2438" s="28"/>
      <c r="B2438" s="35"/>
    </row>
    <row r="2439" spans="1:2" hidden="1" x14ac:dyDescent="0.3">
      <c r="A2439" s="28"/>
      <c r="B2439" s="35"/>
    </row>
    <row r="2440" spans="1:2" hidden="1" x14ac:dyDescent="0.3">
      <c r="A2440" s="28"/>
      <c r="B2440" s="35"/>
    </row>
    <row r="2441" spans="1:2" hidden="1" x14ac:dyDescent="0.3">
      <c r="A2441" s="28"/>
      <c r="B2441" s="35"/>
    </row>
    <row r="2442" spans="1:2" hidden="1" x14ac:dyDescent="0.3">
      <c r="A2442" s="28"/>
      <c r="B2442" s="35"/>
    </row>
    <row r="2443" spans="1:2" hidden="1" x14ac:dyDescent="0.3">
      <c r="A2443" s="28"/>
      <c r="B2443" s="35"/>
    </row>
    <row r="2444" spans="1:2" hidden="1" x14ac:dyDescent="0.3">
      <c r="A2444" s="28"/>
      <c r="B2444" s="35"/>
    </row>
    <row r="2445" spans="1:2" hidden="1" x14ac:dyDescent="0.3">
      <c r="A2445" s="28"/>
      <c r="B2445" s="35"/>
    </row>
    <row r="2446" spans="1:2" hidden="1" x14ac:dyDescent="0.3">
      <c r="A2446" s="28"/>
      <c r="B2446" s="35"/>
    </row>
    <row r="2447" spans="1:2" hidden="1" x14ac:dyDescent="0.3">
      <c r="A2447" s="28"/>
      <c r="B2447" s="35"/>
    </row>
    <row r="2448" spans="1:2" hidden="1" x14ac:dyDescent="0.3">
      <c r="A2448" s="28"/>
      <c r="B2448" s="35"/>
    </row>
    <row r="2449" spans="1:2" hidden="1" x14ac:dyDescent="0.3">
      <c r="A2449" s="28"/>
      <c r="B2449" s="35"/>
    </row>
    <row r="2450" spans="1:2" hidden="1" x14ac:dyDescent="0.3">
      <c r="A2450" s="28"/>
      <c r="B2450" s="35"/>
    </row>
    <row r="2451" spans="1:2" hidden="1" x14ac:dyDescent="0.3">
      <c r="A2451" s="28"/>
      <c r="B2451" s="35"/>
    </row>
    <row r="2452" spans="1:2" hidden="1" x14ac:dyDescent="0.3">
      <c r="A2452" s="28"/>
      <c r="B2452" s="35"/>
    </row>
    <row r="2453" spans="1:2" hidden="1" x14ac:dyDescent="0.3">
      <c r="A2453" s="28"/>
      <c r="B2453" s="35"/>
    </row>
    <row r="2454" spans="1:2" hidden="1" x14ac:dyDescent="0.3">
      <c r="A2454" s="28"/>
      <c r="B2454" s="35"/>
    </row>
    <row r="2455" spans="1:2" hidden="1" x14ac:dyDescent="0.3">
      <c r="A2455" s="28"/>
      <c r="B2455" s="35"/>
    </row>
    <row r="2456" spans="1:2" hidden="1" x14ac:dyDescent="0.3">
      <c r="A2456" s="28"/>
      <c r="B2456" s="35"/>
    </row>
    <row r="2457" spans="1:2" hidden="1" x14ac:dyDescent="0.3">
      <c r="A2457" s="28"/>
      <c r="B2457" s="35"/>
    </row>
    <row r="2458" spans="1:2" hidden="1" x14ac:dyDescent="0.3">
      <c r="A2458" s="28"/>
      <c r="B2458" s="35"/>
    </row>
    <row r="2459" spans="1:2" hidden="1" x14ac:dyDescent="0.3">
      <c r="A2459" s="28"/>
      <c r="B2459" s="35"/>
    </row>
    <row r="2460" spans="1:2" hidden="1" x14ac:dyDescent="0.3">
      <c r="A2460" s="28"/>
      <c r="B2460" s="35"/>
    </row>
    <row r="2461" spans="1:2" hidden="1" x14ac:dyDescent="0.3">
      <c r="A2461" s="28"/>
      <c r="B2461" s="35"/>
    </row>
    <row r="2462" spans="1:2" hidden="1" x14ac:dyDescent="0.3">
      <c r="A2462" s="28"/>
      <c r="B2462" s="35"/>
    </row>
    <row r="2463" spans="1:2" hidden="1" x14ac:dyDescent="0.3">
      <c r="A2463" s="28"/>
      <c r="B2463" s="35"/>
    </row>
    <row r="2464" spans="1:2" hidden="1" x14ac:dyDescent="0.3">
      <c r="A2464" s="28"/>
      <c r="B2464" s="35"/>
    </row>
    <row r="2465" spans="1:2" hidden="1" x14ac:dyDescent="0.3">
      <c r="A2465" s="28"/>
      <c r="B2465" s="35"/>
    </row>
    <row r="2466" spans="1:2" hidden="1" x14ac:dyDescent="0.3">
      <c r="A2466" s="28"/>
      <c r="B2466" s="35"/>
    </row>
    <row r="2467" spans="1:2" hidden="1" x14ac:dyDescent="0.3">
      <c r="A2467" s="28"/>
      <c r="B2467" s="35"/>
    </row>
    <row r="2468" spans="1:2" hidden="1" x14ac:dyDescent="0.3">
      <c r="A2468" s="28"/>
      <c r="B2468" s="35"/>
    </row>
    <row r="2469" spans="1:2" hidden="1" x14ac:dyDescent="0.3">
      <c r="A2469" s="28"/>
      <c r="B2469" s="35"/>
    </row>
    <row r="2470" spans="1:2" hidden="1" x14ac:dyDescent="0.3">
      <c r="A2470" s="28"/>
      <c r="B2470" s="35"/>
    </row>
    <row r="2471" spans="1:2" hidden="1" x14ac:dyDescent="0.3">
      <c r="A2471" s="28"/>
      <c r="B2471" s="35"/>
    </row>
    <row r="2472" spans="1:2" hidden="1" x14ac:dyDescent="0.3">
      <c r="A2472" s="28"/>
      <c r="B2472" s="35"/>
    </row>
    <row r="2473" spans="1:2" hidden="1" x14ac:dyDescent="0.3">
      <c r="A2473" s="28"/>
      <c r="B2473" s="35"/>
    </row>
    <row r="2474" spans="1:2" hidden="1" x14ac:dyDescent="0.3">
      <c r="A2474" s="28"/>
      <c r="B2474" s="35"/>
    </row>
    <row r="2475" spans="1:2" hidden="1" x14ac:dyDescent="0.3">
      <c r="A2475" s="28"/>
      <c r="B2475" s="35"/>
    </row>
    <row r="2476" spans="1:2" hidden="1" x14ac:dyDescent="0.3">
      <c r="A2476" s="28"/>
      <c r="B2476" s="35"/>
    </row>
    <row r="2477" spans="1:2" hidden="1" x14ac:dyDescent="0.3">
      <c r="A2477" s="28"/>
      <c r="B2477" s="35"/>
    </row>
    <row r="2478" spans="1:2" hidden="1" x14ac:dyDescent="0.3">
      <c r="A2478" s="28"/>
      <c r="B2478" s="35"/>
    </row>
    <row r="2479" spans="1:2" hidden="1" x14ac:dyDescent="0.3">
      <c r="A2479" s="28"/>
      <c r="B2479" s="35"/>
    </row>
    <row r="2480" spans="1:2" hidden="1" x14ac:dyDescent="0.3">
      <c r="A2480" s="28"/>
      <c r="B2480" s="35"/>
    </row>
    <row r="2481" spans="1:2" hidden="1" x14ac:dyDescent="0.3">
      <c r="A2481" s="28"/>
      <c r="B2481" s="35"/>
    </row>
    <row r="2482" spans="1:2" hidden="1" x14ac:dyDescent="0.3">
      <c r="A2482" s="28"/>
      <c r="B2482" s="35"/>
    </row>
    <row r="2483" spans="1:2" hidden="1" x14ac:dyDescent="0.3">
      <c r="A2483" s="28"/>
      <c r="B2483" s="35"/>
    </row>
    <row r="2484" spans="1:2" hidden="1" x14ac:dyDescent="0.3">
      <c r="A2484" s="28"/>
      <c r="B2484" s="35"/>
    </row>
    <row r="2485" spans="1:2" hidden="1" x14ac:dyDescent="0.3">
      <c r="A2485" s="28"/>
      <c r="B2485" s="35"/>
    </row>
    <row r="2486" spans="1:2" hidden="1" x14ac:dyDescent="0.3">
      <c r="A2486" s="28"/>
      <c r="B2486" s="35"/>
    </row>
    <row r="2487" spans="1:2" hidden="1" x14ac:dyDescent="0.3">
      <c r="A2487" s="28"/>
      <c r="B2487" s="35"/>
    </row>
    <row r="2488" spans="1:2" hidden="1" x14ac:dyDescent="0.3">
      <c r="A2488" s="28"/>
      <c r="B2488" s="35"/>
    </row>
    <row r="2489" spans="1:2" hidden="1" x14ac:dyDescent="0.3">
      <c r="A2489" s="28"/>
      <c r="B2489" s="35"/>
    </row>
    <row r="2490" spans="1:2" hidden="1" x14ac:dyDescent="0.3">
      <c r="A2490" s="28"/>
      <c r="B2490" s="35"/>
    </row>
    <row r="2491" spans="1:2" hidden="1" x14ac:dyDescent="0.3">
      <c r="A2491" s="28"/>
      <c r="B2491" s="35"/>
    </row>
    <row r="2492" spans="1:2" hidden="1" x14ac:dyDescent="0.3">
      <c r="A2492" s="28"/>
      <c r="B2492" s="35"/>
    </row>
    <row r="2493" spans="1:2" hidden="1" x14ac:dyDescent="0.3">
      <c r="A2493" s="28"/>
      <c r="B2493" s="35"/>
    </row>
    <row r="2494" spans="1:2" hidden="1" x14ac:dyDescent="0.3">
      <c r="A2494" s="28"/>
      <c r="B2494" s="35"/>
    </row>
    <row r="2495" spans="1:2" hidden="1" x14ac:dyDescent="0.3">
      <c r="A2495" s="28"/>
      <c r="B2495" s="35"/>
    </row>
    <row r="2496" spans="1:2" hidden="1" x14ac:dyDescent="0.3">
      <c r="A2496" s="28"/>
      <c r="B2496" s="35"/>
    </row>
    <row r="2497" spans="1:2" hidden="1" x14ac:dyDescent="0.3">
      <c r="A2497" s="28"/>
      <c r="B2497" s="35"/>
    </row>
    <row r="2498" spans="1:2" hidden="1" x14ac:dyDescent="0.3">
      <c r="A2498" s="28"/>
      <c r="B2498" s="35"/>
    </row>
    <row r="2499" spans="1:2" hidden="1" x14ac:dyDescent="0.3">
      <c r="A2499" s="28"/>
      <c r="B2499" s="35"/>
    </row>
    <row r="2500" spans="1:2" hidden="1" x14ac:dyDescent="0.3">
      <c r="A2500" s="28"/>
      <c r="B2500" s="35"/>
    </row>
    <row r="2501" spans="1:2" hidden="1" x14ac:dyDescent="0.3">
      <c r="A2501" s="28"/>
      <c r="B2501" s="35"/>
    </row>
    <row r="2502" spans="1:2" hidden="1" x14ac:dyDescent="0.3">
      <c r="A2502" s="28"/>
      <c r="B2502" s="35"/>
    </row>
    <row r="2503" spans="1:2" hidden="1" x14ac:dyDescent="0.3">
      <c r="A2503" s="28"/>
      <c r="B2503" s="35"/>
    </row>
    <row r="2504" spans="1:2" hidden="1" x14ac:dyDescent="0.3">
      <c r="A2504" s="28"/>
      <c r="B2504" s="35"/>
    </row>
    <row r="2505" spans="1:2" hidden="1" x14ac:dyDescent="0.3">
      <c r="A2505" s="28"/>
      <c r="B2505" s="35"/>
    </row>
    <row r="2506" spans="1:2" hidden="1" x14ac:dyDescent="0.3">
      <c r="A2506" s="28"/>
      <c r="B2506" s="35"/>
    </row>
    <row r="2507" spans="1:2" hidden="1" x14ac:dyDescent="0.3">
      <c r="A2507" s="28"/>
      <c r="B2507" s="35"/>
    </row>
    <row r="2508" spans="1:2" hidden="1" x14ac:dyDescent="0.3">
      <c r="A2508" s="28"/>
      <c r="B2508" s="35"/>
    </row>
    <row r="2509" spans="1:2" hidden="1" x14ac:dyDescent="0.3">
      <c r="A2509" s="28"/>
      <c r="B2509" s="35"/>
    </row>
    <row r="2510" spans="1:2" hidden="1" x14ac:dyDescent="0.3">
      <c r="A2510" s="28"/>
      <c r="B2510" s="35"/>
    </row>
    <row r="2511" spans="1:2" hidden="1" x14ac:dyDescent="0.3">
      <c r="A2511" s="28"/>
      <c r="B2511" s="35"/>
    </row>
    <row r="2512" spans="1:2" hidden="1" x14ac:dyDescent="0.3">
      <c r="A2512" s="28"/>
      <c r="B2512" s="35"/>
    </row>
    <row r="2513" spans="1:2" hidden="1" x14ac:dyDescent="0.3">
      <c r="A2513" s="28"/>
      <c r="B2513" s="35"/>
    </row>
    <row r="2514" spans="1:2" hidden="1" x14ac:dyDescent="0.3">
      <c r="A2514" s="28"/>
      <c r="B2514" s="35"/>
    </row>
    <row r="2515" spans="1:2" hidden="1" x14ac:dyDescent="0.3">
      <c r="A2515" s="28"/>
      <c r="B2515" s="35"/>
    </row>
    <row r="2516" spans="1:2" hidden="1" x14ac:dyDescent="0.3">
      <c r="A2516" s="28"/>
      <c r="B2516" s="35"/>
    </row>
    <row r="2517" spans="1:2" hidden="1" x14ac:dyDescent="0.3">
      <c r="A2517" s="28"/>
      <c r="B2517" s="35"/>
    </row>
    <row r="2518" spans="1:2" hidden="1" x14ac:dyDescent="0.3">
      <c r="A2518" s="28"/>
      <c r="B2518" s="35"/>
    </row>
    <row r="2519" spans="1:2" hidden="1" x14ac:dyDescent="0.3">
      <c r="A2519" s="28"/>
      <c r="B2519" s="35"/>
    </row>
    <row r="2520" spans="1:2" hidden="1" x14ac:dyDescent="0.3">
      <c r="A2520" s="28"/>
      <c r="B2520" s="35"/>
    </row>
    <row r="2521" spans="1:2" hidden="1" x14ac:dyDescent="0.3">
      <c r="A2521" s="28"/>
      <c r="B2521" s="35"/>
    </row>
    <row r="2522" spans="1:2" hidden="1" x14ac:dyDescent="0.3">
      <c r="A2522" s="28"/>
      <c r="B2522" s="35"/>
    </row>
    <row r="2523" spans="1:2" hidden="1" x14ac:dyDescent="0.3">
      <c r="A2523" s="28"/>
      <c r="B2523" s="35"/>
    </row>
    <row r="2524" spans="1:2" hidden="1" x14ac:dyDescent="0.3">
      <c r="A2524" s="28"/>
      <c r="B2524" s="35"/>
    </row>
    <row r="2525" spans="1:2" hidden="1" x14ac:dyDescent="0.3">
      <c r="A2525" s="28"/>
      <c r="B2525" s="35"/>
    </row>
    <row r="2526" spans="1:2" hidden="1" x14ac:dyDescent="0.3">
      <c r="A2526" s="28"/>
      <c r="B2526" s="35"/>
    </row>
    <row r="2527" spans="1:2" hidden="1" x14ac:dyDescent="0.3">
      <c r="A2527" s="28"/>
      <c r="B2527" s="35"/>
    </row>
    <row r="2528" spans="1:2" hidden="1" x14ac:dyDescent="0.3">
      <c r="A2528" s="28"/>
      <c r="B2528" s="35"/>
    </row>
    <row r="2529" spans="1:2" hidden="1" x14ac:dyDescent="0.3">
      <c r="A2529" s="28"/>
      <c r="B2529" s="35"/>
    </row>
    <row r="2530" spans="1:2" hidden="1" x14ac:dyDescent="0.3">
      <c r="A2530" s="28"/>
      <c r="B2530" s="35"/>
    </row>
    <row r="2531" spans="1:2" hidden="1" x14ac:dyDescent="0.3">
      <c r="A2531" s="28"/>
      <c r="B2531" s="35"/>
    </row>
    <row r="2532" spans="1:2" hidden="1" x14ac:dyDescent="0.3">
      <c r="A2532" s="28"/>
      <c r="B2532" s="35"/>
    </row>
    <row r="2533" spans="1:2" hidden="1" x14ac:dyDescent="0.3">
      <c r="A2533" s="28"/>
      <c r="B2533" s="35"/>
    </row>
    <row r="2534" spans="1:2" hidden="1" x14ac:dyDescent="0.3">
      <c r="A2534" s="28"/>
      <c r="B2534" s="35"/>
    </row>
    <row r="2535" spans="1:2" hidden="1" x14ac:dyDescent="0.3">
      <c r="A2535" s="28"/>
      <c r="B2535" s="35"/>
    </row>
    <row r="2536" spans="1:2" hidden="1" x14ac:dyDescent="0.3">
      <c r="A2536" s="28"/>
      <c r="B2536" s="35"/>
    </row>
    <row r="2537" spans="1:2" hidden="1" x14ac:dyDescent="0.3">
      <c r="A2537" s="28"/>
      <c r="B2537" s="35"/>
    </row>
    <row r="2538" spans="1:2" hidden="1" x14ac:dyDescent="0.3">
      <c r="A2538" s="28"/>
      <c r="B2538" s="35"/>
    </row>
    <row r="2539" spans="1:2" hidden="1" x14ac:dyDescent="0.3">
      <c r="A2539" s="28"/>
      <c r="B2539" s="35"/>
    </row>
    <row r="2540" spans="1:2" hidden="1" x14ac:dyDescent="0.3">
      <c r="A2540" s="28"/>
      <c r="B2540" s="35"/>
    </row>
    <row r="2541" spans="1:2" hidden="1" x14ac:dyDescent="0.3">
      <c r="A2541" s="28"/>
      <c r="B2541" s="35"/>
    </row>
    <row r="2542" spans="1:2" hidden="1" x14ac:dyDescent="0.3">
      <c r="A2542" s="28"/>
      <c r="B2542" s="35"/>
    </row>
    <row r="2543" spans="1:2" hidden="1" x14ac:dyDescent="0.3">
      <c r="A2543" s="28"/>
      <c r="B2543" s="35"/>
    </row>
    <row r="2544" spans="1:2" hidden="1" x14ac:dyDescent="0.3">
      <c r="A2544" s="28"/>
      <c r="B2544" s="35"/>
    </row>
    <row r="2545" spans="1:2" hidden="1" x14ac:dyDescent="0.3">
      <c r="A2545" s="28"/>
      <c r="B2545" s="35"/>
    </row>
    <row r="2546" spans="1:2" hidden="1" x14ac:dyDescent="0.3">
      <c r="A2546" s="28"/>
      <c r="B2546" s="35"/>
    </row>
    <row r="2547" spans="1:2" hidden="1" x14ac:dyDescent="0.3">
      <c r="A2547" s="28"/>
      <c r="B2547" s="35"/>
    </row>
    <row r="2548" spans="1:2" hidden="1" x14ac:dyDescent="0.3">
      <c r="A2548" s="28"/>
      <c r="B2548" s="35"/>
    </row>
    <row r="2549" spans="1:2" hidden="1" x14ac:dyDescent="0.3">
      <c r="A2549" s="28"/>
      <c r="B2549" s="35"/>
    </row>
    <row r="2550" spans="1:2" hidden="1" x14ac:dyDescent="0.3">
      <c r="A2550" s="28"/>
      <c r="B2550" s="35"/>
    </row>
    <row r="2551" spans="1:2" hidden="1" x14ac:dyDescent="0.3">
      <c r="A2551" s="28"/>
      <c r="B2551" s="35"/>
    </row>
    <row r="2552" spans="1:2" hidden="1" x14ac:dyDescent="0.3">
      <c r="A2552" s="28"/>
      <c r="B2552" s="35"/>
    </row>
    <row r="2553" spans="1:2" hidden="1" x14ac:dyDescent="0.3">
      <c r="A2553" s="28"/>
      <c r="B2553" s="35"/>
    </row>
    <row r="2554" spans="1:2" hidden="1" x14ac:dyDescent="0.3">
      <c r="A2554" s="28"/>
      <c r="B2554" s="35"/>
    </row>
    <row r="2555" spans="1:2" hidden="1" x14ac:dyDescent="0.3">
      <c r="A2555" s="28"/>
      <c r="B2555" s="35"/>
    </row>
    <row r="2556" spans="1:2" hidden="1" x14ac:dyDescent="0.3">
      <c r="A2556" s="28"/>
      <c r="B2556" s="35"/>
    </row>
    <row r="2557" spans="1:2" hidden="1" x14ac:dyDescent="0.3">
      <c r="A2557" s="28"/>
      <c r="B2557" s="35"/>
    </row>
    <row r="2558" spans="1:2" hidden="1" x14ac:dyDescent="0.3">
      <c r="A2558" s="28"/>
      <c r="B2558" s="35"/>
    </row>
    <row r="2559" spans="1:2" hidden="1" x14ac:dyDescent="0.3">
      <c r="A2559" s="28"/>
      <c r="B2559" s="35"/>
    </row>
    <row r="2560" spans="1:2" hidden="1" x14ac:dyDescent="0.3">
      <c r="A2560" s="28"/>
      <c r="B2560" s="35"/>
    </row>
    <row r="2561" spans="1:2" hidden="1" x14ac:dyDescent="0.3">
      <c r="A2561" s="28"/>
      <c r="B2561" s="35"/>
    </row>
    <row r="2562" spans="1:2" hidden="1" x14ac:dyDescent="0.3">
      <c r="A2562" s="28"/>
      <c r="B2562" s="35"/>
    </row>
    <row r="2563" spans="1:2" hidden="1" x14ac:dyDescent="0.3">
      <c r="A2563" s="28"/>
      <c r="B2563" s="35"/>
    </row>
    <row r="2564" spans="1:2" hidden="1" x14ac:dyDescent="0.3">
      <c r="A2564" s="28"/>
      <c r="B2564" s="35"/>
    </row>
    <row r="2565" spans="1:2" hidden="1" x14ac:dyDescent="0.3">
      <c r="A2565" s="28"/>
      <c r="B2565" s="35"/>
    </row>
    <row r="2566" spans="1:2" hidden="1" x14ac:dyDescent="0.3">
      <c r="A2566" s="28"/>
      <c r="B2566" s="35"/>
    </row>
    <row r="2567" spans="1:2" hidden="1" x14ac:dyDescent="0.3">
      <c r="A2567" s="28"/>
      <c r="B2567" s="35"/>
    </row>
    <row r="2568" spans="1:2" hidden="1" x14ac:dyDescent="0.3">
      <c r="A2568" s="28"/>
      <c r="B2568" s="35"/>
    </row>
    <row r="2569" spans="1:2" hidden="1" x14ac:dyDescent="0.3">
      <c r="A2569" s="28"/>
      <c r="B2569" s="35"/>
    </row>
    <row r="2570" spans="1:2" hidden="1" x14ac:dyDescent="0.3">
      <c r="A2570" s="28"/>
      <c r="B2570" s="35"/>
    </row>
    <row r="2571" spans="1:2" hidden="1" x14ac:dyDescent="0.3">
      <c r="A2571" s="28"/>
      <c r="B2571" s="35"/>
    </row>
    <row r="2572" spans="1:2" hidden="1" x14ac:dyDescent="0.3">
      <c r="A2572" s="28"/>
      <c r="B2572" s="35"/>
    </row>
    <row r="2573" spans="1:2" hidden="1" x14ac:dyDescent="0.3">
      <c r="A2573" s="28"/>
      <c r="B2573" s="35"/>
    </row>
    <row r="2574" spans="1:2" hidden="1" x14ac:dyDescent="0.3">
      <c r="A2574" s="28"/>
      <c r="B2574" s="35"/>
    </row>
    <row r="2575" spans="1:2" hidden="1" x14ac:dyDescent="0.3">
      <c r="A2575" s="28"/>
      <c r="B2575" s="35"/>
    </row>
    <row r="2576" spans="1:2" hidden="1" x14ac:dyDescent="0.3">
      <c r="A2576" s="28"/>
      <c r="B2576" s="35"/>
    </row>
    <row r="2577" spans="1:2" hidden="1" x14ac:dyDescent="0.3">
      <c r="A2577" s="28"/>
      <c r="B2577" s="35"/>
    </row>
    <row r="2578" spans="1:2" hidden="1" x14ac:dyDescent="0.3">
      <c r="A2578" s="28"/>
      <c r="B2578" s="35"/>
    </row>
    <row r="2579" spans="1:2" hidden="1" x14ac:dyDescent="0.3">
      <c r="A2579" s="28"/>
      <c r="B2579" s="35"/>
    </row>
    <row r="2580" spans="1:2" hidden="1" x14ac:dyDescent="0.3">
      <c r="A2580" s="28"/>
      <c r="B2580" s="35"/>
    </row>
    <row r="2581" spans="1:2" hidden="1" x14ac:dyDescent="0.3">
      <c r="A2581" s="28"/>
      <c r="B2581" s="35"/>
    </row>
    <row r="2582" spans="1:2" hidden="1" x14ac:dyDescent="0.3">
      <c r="A2582" s="28"/>
      <c r="B2582" s="35"/>
    </row>
    <row r="2583" spans="1:2" hidden="1" x14ac:dyDescent="0.3">
      <c r="A2583" s="28"/>
      <c r="B2583" s="35"/>
    </row>
    <row r="2584" spans="1:2" hidden="1" x14ac:dyDescent="0.3">
      <c r="A2584" s="28"/>
      <c r="B2584" s="35"/>
    </row>
    <row r="2585" spans="1:2" hidden="1" x14ac:dyDescent="0.3">
      <c r="A2585" s="28"/>
      <c r="B2585" s="35"/>
    </row>
    <row r="2586" spans="1:2" hidden="1" x14ac:dyDescent="0.3">
      <c r="A2586" s="28"/>
      <c r="B2586" s="35"/>
    </row>
    <row r="2587" spans="1:2" hidden="1" x14ac:dyDescent="0.3">
      <c r="A2587" s="28"/>
      <c r="B2587" s="35"/>
    </row>
    <row r="2588" spans="1:2" hidden="1" x14ac:dyDescent="0.3">
      <c r="A2588" s="28"/>
      <c r="B2588" s="35"/>
    </row>
    <row r="2589" spans="1:2" hidden="1" x14ac:dyDescent="0.3">
      <c r="A2589" s="28"/>
      <c r="B2589" s="35"/>
    </row>
    <row r="2590" spans="1:2" hidden="1" x14ac:dyDescent="0.3">
      <c r="A2590" s="28"/>
      <c r="B2590" s="35"/>
    </row>
    <row r="2591" spans="1:2" hidden="1" x14ac:dyDescent="0.3">
      <c r="A2591" s="28"/>
      <c r="B2591" s="35"/>
    </row>
    <row r="2592" spans="1:2" hidden="1" x14ac:dyDescent="0.3">
      <c r="A2592" s="28"/>
      <c r="B2592" s="35"/>
    </row>
    <row r="2593" spans="1:2" hidden="1" x14ac:dyDescent="0.3">
      <c r="A2593" s="28"/>
      <c r="B2593" s="35"/>
    </row>
    <row r="2594" spans="1:2" hidden="1" x14ac:dyDescent="0.3">
      <c r="A2594" s="28"/>
      <c r="B2594" s="35"/>
    </row>
    <row r="2595" spans="1:2" hidden="1" x14ac:dyDescent="0.3">
      <c r="A2595" s="28"/>
      <c r="B2595" s="35"/>
    </row>
    <row r="2596" spans="1:2" hidden="1" x14ac:dyDescent="0.3">
      <c r="A2596" s="28"/>
      <c r="B2596" s="35"/>
    </row>
    <row r="2597" spans="1:2" hidden="1" x14ac:dyDescent="0.3">
      <c r="A2597" s="28"/>
      <c r="B2597" s="35"/>
    </row>
    <row r="2598" spans="1:2" hidden="1" x14ac:dyDescent="0.3">
      <c r="A2598" s="28"/>
      <c r="B2598" s="35"/>
    </row>
    <row r="2599" spans="1:2" hidden="1" x14ac:dyDescent="0.3">
      <c r="A2599" s="28"/>
      <c r="B2599" s="35"/>
    </row>
    <row r="2600" spans="1:2" hidden="1" x14ac:dyDescent="0.3">
      <c r="A2600" s="28"/>
      <c r="B2600" s="35"/>
    </row>
    <row r="2601" spans="1:2" hidden="1" x14ac:dyDescent="0.3">
      <c r="A2601" s="28"/>
      <c r="B2601" s="35"/>
    </row>
    <row r="2602" spans="1:2" hidden="1" x14ac:dyDescent="0.3">
      <c r="A2602" s="28"/>
      <c r="B2602" s="35"/>
    </row>
    <row r="2603" spans="1:2" hidden="1" x14ac:dyDescent="0.3">
      <c r="A2603" s="28"/>
      <c r="B2603" s="35"/>
    </row>
    <row r="2604" spans="1:2" hidden="1" x14ac:dyDescent="0.3">
      <c r="A2604" s="28"/>
      <c r="B2604" s="35"/>
    </row>
    <row r="2605" spans="1:2" hidden="1" x14ac:dyDescent="0.3">
      <c r="A2605" s="28"/>
      <c r="B2605" s="35"/>
    </row>
    <row r="2606" spans="1:2" hidden="1" x14ac:dyDescent="0.3">
      <c r="A2606" s="28"/>
      <c r="B2606" s="35"/>
    </row>
    <row r="2607" spans="1:2" hidden="1" x14ac:dyDescent="0.3">
      <c r="A2607" s="28"/>
      <c r="B2607" s="35"/>
    </row>
    <row r="2608" spans="1:2" hidden="1" x14ac:dyDescent="0.3">
      <c r="A2608" s="28"/>
      <c r="B2608" s="35"/>
    </row>
    <row r="2609" spans="1:2" hidden="1" x14ac:dyDescent="0.3">
      <c r="A2609" s="28"/>
      <c r="B2609" s="35"/>
    </row>
    <row r="2610" spans="1:2" hidden="1" x14ac:dyDescent="0.3">
      <c r="A2610" s="28"/>
      <c r="B2610" s="35"/>
    </row>
    <row r="2611" spans="1:2" hidden="1" x14ac:dyDescent="0.3">
      <c r="A2611" s="28"/>
      <c r="B2611" s="35"/>
    </row>
    <row r="2612" spans="1:2" hidden="1" x14ac:dyDescent="0.3">
      <c r="A2612" s="28"/>
      <c r="B2612" s="35"/>
    </row>
    <row r="2613" spans="1:2" hidden="1" x14ac:dyDescent="0.3">
      <c r="A2613" s="28"/>
      <c r="B2613" s="35"/>
    </row>
    <row r="2614" spans="1:2" hidden="1" x14ac:dyDescent="0.3">
      <c r="A2614" s="28"/>
      <c r="B2614" s="35"/>
    </row>
    <row r="2615" spans="1:2" hidden="1" x14ac:dyDescent="0.3">
      <c r="A2615" s="28"/>
      <c r="B2615" s="35"/>
    </row>
    <row r="2616" spans="1:2" hidden="1" x14ac:dyDescent="0.3">
      <c r="A2616" s="28"/>
      <c r="B2616" s="35"/>
    </row>
    <row r="2617" spans="1:2" hidden="1" x14ac:dyDescent="0.3">
      <c r="A2617" s="28"/>
      <c r="B2617" s="35"/>
    </row>
    <row r="2618" spans="1:2" hidden="1" x14ac:dyDescent="0.3">
      <c r="A2618" s="28"/>
      <c r="B2618" s="35"/>
    </row>
    <row r="2619" spans="1:2" hidden="1" x14ac:dyDescent="0.3">
      <c r="A2619" s="28"/>
      <c r="B2619" s="35"/>
    </row>
    <row r="2620" spans="1:2" hidden="1" x14ac:dyDescent="0.3">
      <c r="A2620" s="28"/>
      <c r="B2620" s="35"/>
    </row>
    <row r="2621" spans="1:2" hidden="1" x14ac:dyDescent="0.3">
      <c r="A2621" s="28"/>
      <c r="B2621" s="35"/>
    </row>
    <row r="2622" spans="1:2" hidden="1" x14ac:dyDescent="0.3">
      <c r="A2622" s="28"/>
      <c r="B2622" s="35"/>
    </row>
    <row r="2623" spans="1:2" hidden="1" x14ac:dyDescent="0.3">
      <c r="A2623" s="28"/>
      <c r="B2623" s="35"/>
    </row>
    <row r="2624" spans="1:2" hidden="1" x14ac:dyDescent="0.3">
      <c r="A2624" s="28"/>
      <c r="B2624" s="35"/>
    </row>
    <row r="2625" spans="1:2" hidden="1" x14ac:dyDescent="0.3">
      <c r="A2625" s="28"/>
      <c r="B2625" s="35"/>
    </row>
    <row r="2626" spans="1:2" hidden="1" x14ac:dyDescent="0.3">
      <c r="A2626" s="28"/>
      <c r="B2626" s="35"/>
    </row>
    <row r="2627" spans="1:2" hidden="1" x14ac:dyDescent="0.3">
      <c r="A2627" s="28"/>
      <c r="B2627" s="35"/>
    </row>
    <row r="2628" spans="1:2" hidden="1" x14ac:dyDescent="0.3">
      <c r="A2628" s="28"/>
      <c r="B2628" s="35"/>
    </row>
    <row r="2629" spans="1:2" hidden="1" x14ac:dyDescent="0.3">
      <c r="A2629" s="28"/>
      <c r="B2629" s="35"/>
    </row>
    <row r="2630" spans="1:2" hidden="1" x14ac:dyDescent="0.3">
      <c r="A2630" s="28"/>
      <c r="B2630" s="35"/>
    </row>
    <row r="2631" spans="1:2" hidden="1" x14ac:dyDescent="0.3">
      <c r="A2631" s="28"/>
      <c r="B2631" s="35"/>
    </row>
    <row r="2632" spans="1:2" hidden="1" x14ac:dyDescent="0.3">
      <c r="A2632" s="28"/>
      <c r="B2632" s="35"/>
    </row>
    <row r="2633" spans="1:2" hidden="1" x14ac:dyDescent="0.3">
      <c r="A2633" s="28"/>
      <c r="B2633" s="35"/>
    </row>
    <row r="2634" spans="1:2" hidden="1" x14ac:dyDescent="0.3">
      <c r="A2634" s="28"/>
      <c r="B2634" s="35"/>
    </row>
    <row r="2635" spans="1:2" hidden="1" x14ac:dyDescent="0.3">
      <c r="A2635" s="28"/>
      <c r="B2635" s="35"/>
    </row>
    <row r="2636" spans="1:2" hidden="1" x14ac:dyDescent="0.3">
      <c r="A2636" s="28"/>
      <c r="B2636" s="35"/>
    </row>
    <row r="2637" spans="1:2" hidden="1" x14ac:dyDescent="0.3">
      <c r="A2637" s="28"/>
      <c r="B2637" s="35"/>
    </row>
    <row r="2638" spans="1:2" hidden="1" x14ac:dyDescent="0.3">
      <c r="A2638" s="28"/>
      <c r="B2638" s="35"/>
    </row>
    <row r="2639" spans="1:2" hidden="1" x14ac:dyDescent="0.3">
      <c r="A2639" s="28"/>
      <c r="B2639" s="35"/>
    </row>
    <row r="2640" spans="1:2" hidden="1" x14ac:dyDescent="0.3">
      <c r="A2640" s="28"/>
      <c r="B2640" s="35"/>
    </row>
    <row r="2641" spans="1:2" hidden="1" x14ac:dyDescent="0.3">
      <c r="A2641" s="28"/>
      <c r="B2641" s="35"/>
    </row>
    <row r="2642" spans="1:2" hidden="1" x14ac:dyDescent="0.3">
      <c r="A2642" s="28"/>
      <c r="B2642" s="35"/>
    </row>
    <row r="2643" spans="1:2" hidden="1" x14ac:dyDescent="0.3">
      <c r="A2643" s="28"/>
      <c r="B2643" s="35"/>
    </row>
    <row r="2644" spans="1:2" hidden="1" x14ac:dyDescent="0.3">
      <c r="A2644" s="28"/>
      <c r="B2644" s="35"/>
    </row>
    <row r="2645" spans="1:2" hidden="1" x14ac:dyDescent="0.3">
      <c r="A2645" s="28"/>
      <c r="B2645" s="35"/>
    </row>
    <row r="2646" spans="1:2" hidden="1" x14ac:dyDescent="0.3">
      <c r="A2646" s="28"/>
      <c r="B2646" s="35"/>
    </row>
    <row r="2647" spans="1:2" hidden="1" x14ac:dyDescent="0.3">
      <c r="A2647" s="28"/>
      <c r="B2647" s="35"/>
    </row>
    <row r="2648" spans="1:2" hidden="1" x14ac:dyDescent="0.3">
      <c r="A2648" s="28"/>
      <c r="B2648" s="35"/>
    </row>
    <row r="2649" spans="1:2" hidden="1" x14ac:dyDescent="0.3">
      <c r="A2649" s="28"/>
      <c r="B2649" s="35"/>
    </row>
    <row r="2650" spans="1:2" hidden="1" x14ac:dyDescent="0.3">
      <c r="A2650" s="28"/>
      <c r="B2650" s="35"/>
    </row>
    <row r="2651" spans="1:2" hidden="1" x14ac:dyDescent="0.3">
      <c r="A2651" s="28"/>
      <c r="B2651" s="35"/>
    </row>
    <row r="2652" spans="1:2" hidden="1" x14ac:dyDescent="0.3">
      <c r="A2652" s="28"/>
      <c r="B2652" s="35"/>
    </row>
    <row r="2653" spans="1:2" hidden="1" x14ac:dyDescent="0.3">
      <c r="A2653" s="28"/>
      <c r="B2653" s="35"/>
    </row>
    <row r="2654" spans="1:2" hidden="1" x14ac:dyDescent="0.3">
      <c r="A2654" s="28"/>
      <c r="B2654" s="35"/>
    </row>
    <row r="2655" spans="1:2" hidden="1" x14ac:dyDescent="0.3">
      <c r="A2655" s="28"/>
      <c r="B2655" s="35"/>
    </row>
    <row r="2656" spans="1:2" hidden="1" x14ac:dyDescent="0.3">
      <c r="A2656" s="28"/>
      <c r="B2656" s="35"/>
    </row>
    <row r="2657" spans="1:2" hidden="1" x14ac:dyDescent="0.3">
      <c r="A2657" s="28"/>
      <c r="B2657" s="35"/>
    </row>
    <row r="2658" spans="1:2" hidden="1" x14ac:dyDescent="0.3">
      <c r="A2658" s="28"/>
      <c r="B2658" s="35"/>
    </row>
    <row r="2659" spans="1:2" hidden="1" x14ac:dyDescent="0.3">
      <c r="A2659" s="28"/>
      <c r="B2659" s="35"/>
    </row>
    <row r="2660" spans="1:2" hidden="1" x14ac:dyDescent="0.3">
      <c r="A2660" s="28"/>
      <c r="B2660" s="35"/>
    </row>
    <row r="2661" spans="1:2" x14ac:dyDescent="0.3">
      <c r="A2661" s="28"/>
      <c r="B2661" s="35"/>
    </row>
    <row r="2662" spans="1:2" x14ac:dyDescent="0.3">
      <c r="A2662" s="28"/>
      <c r="B2662" s="35"/>
    </row>
    <row r="2663" spans="1:2" x14ac:dyDescent="0.3">
      <c r="A2663" s="28"/>
      <c r="B2663" s="35"/>
    </row>
    <row r="2664" spans="1:2" x14ac:dyDescent="0.3">
      <c r="A2664" s="28"/>
      <c r="B2664" s="35"/>
    </row>
    <row r="2665" spans="1:2" x14ac:dyDescent="0.3">
      <c r="A2665" s="28"/>
      <c r="B2665" s="35"/>
    </row>
    <row r="2666" spans="1:2" x14ac:dyDescent="0.3">
      <c r="A2666" s="28"/>
      <c r="B2666" s="35"/>
    </row>
    <row r="2667" spans="1:2" x14ac:dyDescent="0.3">
      <c r="A2667" s="28"/>
      <c r="B2667" s="35"/>
    </row>
    <row r="2668" spans="1:2" x14ac:dyDescent="0.3">
      <c r="A2668" s="28"/>
      <c r="B2668" s="35"/>
    </row>
    <row r="2669" spans="1:2" x14ac:dyDescent="0.3">
      <c r="A2669" s="28"/>
      <c r="B2669" s="35"/>
    </row>
    <row r="2670" spans="1:2" x14ac:dyDescent="0.3">
      <c r="A2670" s="28"/>
      <c r="B2670" s="35"/>
    </row>
    <row r="2671" spans="1:2" x14ac:dyDescent="0.3">
      <c r="A2671" s="28"/>
      <c r="B2671" s="35"/>
    </row>
    <row r="2672" spans="1:2" x14ac:dyDescent="0.3">
      <c r="A2672" s="28"/>
      <c r="B2672" s="35"/>
    </row>
    <row r="2673" spans="1:2" x14ac:dyDescent="0.3">
      <c r="A2673" s="28"/>
      <c r="B2673" s="35"/>
    </row>
    <row r="2674" spans="1:2" x14ac:dyDescent="0.3">
      <c r="A2674" s="28"/>
      <c r="B2674" s="35"/>
    </row>
    <row r="2675" spans="1:2" x14ac:dyDescent="0.3">
      <c r="A2675" s="28"/>
      <c r="B2675" s="35"/>
    </row>
    <row r="2676" spans="1:2" x14ac:dyDescent="0.3">
      <c r="A2676" s="28"/>
      <c r="B2676" s="35"/>
    </row>
    <row r="2677" spans="1:2" x14ac:dyDescent="0.3">
      <c r="A2677" s="28"/>
      <c r="B2677" s="35"/>
    </row>
    <row r="2678" spans="1:2" x14ac:dyDescent="0.3">
      <c r="A2678" s="28"/>
      <c r="B2678" s="35"/>
    </row>
    <row r="2679" spans="1:2" x14ac:dyDescent="0.3">
      <c r="A2679" s="28"/>
      <c r="B2679" s="35"/>
    </row>
    <row r="2680" spans="1:2" x14ac:dyDescent="0.3">
      <c r="A2680" s="28"/>
      <c r="B2680" s="35"/>
    </row>
    <row r="2681" spans="1:2" x14ac:dyDescent="0.3">
      <c r="A2681" s="28"/>
      <c r="B2681" s="35"/>
    </row>
    <row r="2682" spans="1:2" x14ac:dyDescent="0.3">
      <c r="A2682" s="28"/>
      <c r="B2682" s="35"/>
    </row>
    <row r="2683" spans="1:2" x14ac:dyDescent="0.3">
      <c r="A2683" s="28"/>
      <c r="B2683" s="35"/>
    </row>
    <row r="2684" spans="1:2" x14ac:dyDescent="0.3">
      <c r="A2684" s="28"/>
      <c r="B2684" s="35"/>
    </row>
    <row r="2685" spans="1:2" x14ac:dyDescent="0.3">
      <c r="A2685" s="28"/>
      <c r="B2685" s="35"/>
    </row>
    <row r="2686" spans="1:2" x14ac:dyDescent="0.3">
      <c r="A2686" s="28"/>
      <c r="B2686" s="35"/>
    </row>
    <row r="2687" spans="1:2" x14ac:dyDescent="0.3">
      <c r="A2687" s="28"/>
      <c r="B2687" s="35"/>
    </row>
    <row r="2688" spans="1:2" x14ac:dyDescent="0.3">
      <c r="A2688" s="28"/>
      <c r="B2688" s="35"/>
    </row>
    <row r="2689" spans="1:2" x14ac:dyDescent="0.3">
      <c r="A2689" s="28"/>
      <c r="B2689" s="35"/>
    </row>
    <row r="2690" spans="1:2" x14ac:dyDescent="0.3">
      <c r="A2690" s="28"/>
      <c r="B2690" s="35"/>
    </row>
    <row r="2691" spans="1:2" x14ac:dyDescent="0.3">
      <c r="A2691" s="28"/>
      <c r="B2691" s="35"/>
    </row>
    <row r="2692" spans="1:2" x14ac:dyDescent="0.3">
      <c r="A2692" s="28"/>
      <c r="B2692" s="35"/>
    </row>
    <row r="2693" spans="1:2" x14ac:dyDescent="0.3">
      <c r="A2693" s="28"/>
      <c r="B2693" s="35"/>
    </row>
    <row r="2694" spans="1:2" x14ac:dyDescent="0.3">
      <c r="A2694" s="28"/>
      <c r="B2694" s="35"/>
    </row>
    <row r="2695" spans="1:2" x14ac:dyDescent="0.3">
      <c r="A2695" s="28"/>
      <c r="B2695" s="35"/>
    </row>
    <row r="2696" spans="1:2" x14ac:dyDescent="0.3">
      <c r="A2696" s="28"/>
      <c r="B2696" s="35"/>
    </row>
    <row r="2697" spans="1:2" x14ac:dyDescent="0.3">
      <c r="A2697" s="28"/>
      <c r="B2697" s="35"/>
    </row>
    <row r="2698" spans="1:2" x14ac:dyDescent="0.3">
      <c r="A2698" s="28"/>
      <c r="B2698" s="35"/>
    </row>
    <row r="2699" spans="1:2" x14ac:dyDescent="0.3">
      <c r="A2699" s="28"/>
      <c r="B2699" s="35"/>
    </row>
  </sheetData>
  <phoneticPr fontId="1" type="noConversion"/>
  <hyperlinks>
    <hyperlink ref="C601" location="ezchemtech_계좌!A1" display="TOP-Link" xr:uid="{00000000-0004-0000-0200-000000000000}"/>
  </hyperlink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zchemtech_card"/>
  <dimension ref="A23:K7935"/>
  <sheetViews>
    <sheetView workbookViewId="0">
      <selection activeCell="D11" sqref="D11"/>
    </sheetView>
  </sheetViews>
  <sheetFormatPr defaultRowHeight="16.5" x14ac:dyDescent="0.3"/>
  <cols>
    <col min="1" max="1" width="17.875" customWidth="1"/>
    <col min="2" max="2" width="17.875" style="46" customWidth="1"/>
    <col min="3" max="3" width="28.5" style="45" customWidth="1"/>
    <col min="4" max="4" width="54.25" customWidth="1"/>
    <col min="5" max="5" width="14" style="46" customWidth="1"/>
    <col min="6" max="6" width="12.875" style="45" customWidth="1"/>
    <col min="7" max="7" width="12.125" customWidth="1"/>
    <col min="8" max="8" width="15.25" customWidth="1"/>
    <col min="9" max="9" width="14.5" customWidth="1"/>
    <col min="10" max="10" width="11" customWidth="1"/>
    <col min="11" max="11" width="43.75" customWidth="1"/>
  </cols>
  <sheetData>
    <row r="23" spans="1:9" x14ac:dyDescent="0.3">
      <c r="A23" t="s">
        <v>100</v>
      </c>
      <c r="B23" s="46" t="s">
        <v>101</v>
      </c>
      <c r="C23" s="45" t="s">
        <v>102</v>
      </c>
      <c r="D23" t="s">
        <v>103</v>
      </c>
      <c r="E23" s="46" t="s">
        <v>104</v>
      </c>
      <c r="F23" s="45" t="s">
        <v>105</v>
      </c>
      <c r="G23" t="s">
        <v>106</v>
      </c>
      <c r="H23" t="s">
        <v>107</v>
      </c>
      <c r="I23" t="s">
        <v>108</v>
      </c>
    </row>
    <row r="24" spans="1:9" hidden="1" x14ac:dyDescent="0.3"/>
    <row r="25" spans="1:9" hidden="1" x14ac:dyDescent="0.3"/>
    <row r="27" spans="1:9" hidden="1" x14ac:dyDescent="0.3"/>
    <row r="28" spans="1:9" hidden="1" x14ac:dyDescent="0.3"/>
    <row r="29" spans="1:9" hidden="1" x14ac:dyDescent="0.3"/>
    <row r="30" spans="1:9" hidden="1" x14ac:dyDescent="0.3"/>
    <row r="31" spans="1:9" hidden="1" x14ac:dyDescent="0.3"/>
    <row r="32" spans="1:9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101" hidden="1" x14ac:dyDescent="0.3"/>
    <row r="102" hidden="1" x14ac:dyDescent="0.3"/>
    <row r="103" hidden="1" x14ac:dyDescent="0.3"/>
    <row r="104" hidden="1" x14ac:dyDescent="0.3"/>
    <row r="105" hidden="1" x14ac:dyDescent="0.3"/>
    <row r="106" hidden="1" x14ac:dyDescent="0.3"/>
    <row r="107" hidden="1" x14ac:dyDescent="0.3"/>
    <row r="108" hidden="1" x14ac:dyDescent="0.3"/>
    <row r="109" hidden="1" x14ac:dyDescent="0.3"/>
    <row r="110" hidden="1" x14ac:dyDescent="0.3"/>
    <row r="111" hidden="1" x14ac:dyDescent="0.3"/>
    <row r="112" hidden="1" x14ac:dyDescent="0.3"/>
    <row r="113" hidden="1" x14ac:dyDescent="0.3"/>
    <row r="114" hidden="1" x14ac:dyDescent="0.3"/>
    <row r="115" hidden="1" x14ac:dyDescent="0.3"/>
    <row r="116" hidden="1" x14ac:dyDescent="0.3"/>
    <row r="117" hidden="1" x14ac:dyDescent="0.3"/>
    <row r="118" hidden="1" x14ac:dyDescent="0.3"/>
    <row r="119" hidden="1" x14ac:dyDescent="0.3"/>
    <row r="120" hidden="1" x14ac:dyDescent="0.3"/>
    <row r="121" hidden="1" x14ac:dyDescent="0.3"/>
    <row r="122" hidden="1" x14ac:dyDescent="0.3"/>
    <row r="123" hidden="1" x14ac:dyDescent="0.3"/>
    <row r="124" hidden="1" x14ac:dyDescent="0.3"/>
    <row r="125" hidden="1" x14ac:dyDescent="0.3"/>
    <row r="126" hidden="1" x14ac:dyDescent="0.3"/>
    <row r="127" hidden="1" x14ac:dyDescent="0.3"/>
    <row r="128" hidden="1" x14ac:dyDescent="0.3"/>
    <row r="129" hidden="1" x14ac:dyDescent="0.3"/>
    <row r="130" hidden="1" x14ac:dyDescent="0.3"/>
    <row r="131" hidden="1" x14ac:dyDescent="0.3"/>
    <row r="132" hidden="1" x14ac:dyDescent="0.3"/>
    <row r="133" hidden="1" x14ac:dyDescent="0.3"/>
    <row r="134" hidden="1" x14ac:dyDescent="0.3"/>
    <row r="135" hidden="1" x14ac:dyDescent="0.3"/>
    <row r="136" hidden="1" x14ac:dyDescent="0.3"/>
    <row r="137" hidden="1" x14ac:dyDescent="0.3"/>
    <row r="138" hidden="1" x14ac:dyDescent="0.3"/>
    <row r="139" hidden="1" x14ac:dyDescent="0.3"/>
    <row r="140" hidden="1" x14ac:dyDescent="0.3"/>
    <row r="141" hidden="1" x14ac:dyDescent="0.3"/>
    <row r="142" hidden="1" x14ac:dyDescent="0.3"/>
    <row r="143" hidden="1" x14ac:dyDescent="0.3"/>
    <row r="144" hidden="1" x14ac:dyDescent="0.3"/>
    <row r="145" hidden="1" x14ac:dyDescent="0.3"/>
    <row r="146" hidden="1" x14ac:dyDescent="0.3"/>
    <row r="147" hidden="1" x14ac:dyDescent="0.3"/>
    <row r="148" hidden="1" x14ac:dyDescent="0.3"/>
    <row r="149" hidden="1" x14ac:dyDescent="0.3"/>
    <row r="150" hidden="1" x14ac:dyDescent="0.3"/>
    <row r="151" hidden="1" x14ac:dyDescent="0.3"/>
    <row r="152" hidden="1" x14ac:dyDescent="0.3"/>
    <row r="153" hidden="1" x14ac:dyDescent="0.3"/>
    <row r="154" hidden="1" x14ac:dyDescent="0.3"/>
    <row r="155" hidden="1" x14ac:dyDescent="0.3"/>
    <row r="156" hidden="1" x14ac:dyDescent="0.3"/>
    <row r="157" hidden="1" x14ac:dyDescent="0.3"/>
    <row r="158" hidden="1" x14ac:dyDescent="0.3"/>
    <row r="159" hidden="1" x14ac:dyDescent="0.3"/>
    <row r="160" hidden="1" x14ac:dyDescent="0.3"/>
    <row r="161" hidden="1" x14ac:dyDescent="0.3"/>
    <row r="162" hidden="1" x14ac:dyDescent="0.3"/>
    <row r="163" hidden="1" x14ac:dyDescent="0.3"/>
    <row r="164" hidden="1" x14ac:dyDescent="0.3"/>
    <row r="165" hidden="1" x14ac:dyDescent="0.3"/>
    <row r="166" hidden="1" x14ac:dyDescent="0.3"/>
    <row r="167" hidden="1" x14ac:dyDescent="0.3"/>
    <row r="168" hidden="1" x14ac:dyDescent="0.3"/>
    <row r="169" hidden="1" x14ac:dyDescent="0.3"/>
    <row r="170" hidden="1" x14ac:dyDescent="0.3"/>
    <row r="171" hidden="1" x14ac:dyDescent="0.3"/>
    <row r="172" hidden="1" x14ac:dyDescent="0.3"/>
    <row r="173" hidden="1" x14ac:dyDescent="0.3"/>
    <row r="174" hidden="1" x14ac:dyDescent="0.3"/>
    <row r="175" hidden="1" x14ac:dyDescent="0.3"/>
    <row r="176" hidden="1" x14ac:dyDescent="0.3"/>
    <row r="177" hidden="1" x14ac:dyDescent="0.3"/>
    <row r="178" hidden="1" x14ac:dyDescent="0.3"/>
    <row r="179" hidden="1" x14ac:dyDescent="0.3"/>
    <row r="180" hidden="1" x14ac:dyDescent="0.3"/>
    <row r="181" hidden="1" x14ac:dyDescent="0.3"/>
    <row r="182" hidden="1" x14ac:dyDescent="0.3"/>
    <row r="183" hidden="1" x14ac:dyDescent="0.3"/>
    <row r="184" hidden="1" x14ac:dyDescent="0.3"/>
    <row r="185" hidden="1" x14ac:dyDescent="0.3"/>
    <row r="186" hidden="1" x14ac:dyDescent="0.3"/>
    <row r="187" hidden="1" x14ac:dyDescent="0.3"/>
    <row r="188" hidden="1" x14ac:dyDescent="0.3"/>
    <row r="189" hidden="1" x14ac:dyDescent="0.3"/>
    <row r="190" hidden="1" x14ac:dyDescent="0.3"/>
    <row r="191" hidden="1" x14ac:dyDescent="0.3"/>
    <row r="192" hidden="1" x14ac:dyDescent="0.3"/>
    <row r="193" hidden="1" x14ac:dyDescent="0.3"/>
    <row r="194" hidden="1" x14ac:dyDescent="0.3"/>
    <row r="195" hidden="1" x14ac:dyDescent="0.3"/>
    <row r="196" hidden="1" x14ac:dyDescent="0.3"/>
    <row r="197" hidden="1" x14ac:dyDescent="0.3"/>
    <row r="198" hidden="1" x14ac:dyDescent="0.3"/>
    <row r="199" hidden="1" x14ac:dyDescent="0.3"/>
    <row r="200" hidden="1" x14ac:dyDescent="0.3"/>
    <row r="201" hidden="1" x14ac:dyDescent="0.3"/>
    <row r="202" hidden="1" x14ac:dyDescent="0.3"/>
    <row r="203" hidden="1" x14ac:dyDescent="0.3"/>
    <row r="204" hidden="1" x14ac:dyDescent="0.3"/>
    <row r="205" hidden="1" x14ac:dyDescent="0.3"/>
    <row r="206" hidden="1" x14ac:dyDescent="0.3"/>
    <row r="207" hidden="1" x14ac:dyDescent="0.3"/>
    <row r="208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9" hidden="1" x14ac:dyDescent="0.3"/>
    <row r="330" hidden="1" x14ac:dyDescent="0.3"/>
    <row r="331" hidden="1" x14ac:dyDescent="0.3"/>
    <row r="332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4" hidden="1" x14ac:dyDescent="0.3"/>
    <row r="355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9" hidden="1" x14ac:dyDescent="0.3"/>
    <row r="370" hidden="1" x14ac:dyDescent="0.3"/>
    <row r="372" hidden="1" x14ac:dyDescent="0.3"/>
    <row r="376" hidden="1" x14ac:dyDescent="0.3"/>
    <row r="378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40" hidden="1" x14ac:dyDescent="0.3"/>
    <row r="441" hidden="1" x14ac:dyDescent="0.3"/>
    <row r="442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7" hidden="1" x14ac:dyDescent="0.3"/>
    <row r="468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8" hidden="1" x14ac:dyDescent="0.3"/>
    <row r="479" hidden="1" x14ac:dyDescent="0.3"/>
    <row r="480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4" hidden="1" x14ac:dyDescent="0.3"/>
    <row r="535" hidden="1" x14ac:dyDescent="0.3"/>
    <row r="536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  <row r="1683" hidden="1" x14ac:dyDescent="0.3"/>
    <row r="1684" hidden="1" x14ac:dyDescent="0.3"/>
    <row r="1685" hidden="1" x14ac:dyDescent="0.3"/>
    <row r="1686" hidden="1" x14ac:dyDescent="0.3"/>
    <row r="1687" hidden="1" x14ac:dyDescent="0.3"/>
    <row r="1688" hidden="1" x14ac:dyDescent="0.3"/>
    <row r="1689" hidden="1" x14ac:dyDescent="0.3"/>
    <row r="1690" hidden="1" x14ac:dyDescent="0.3"/>
    <row r="1691" hidden="1" x14ac:dyDescent="0.3"/>
    <row r="1692" hidden="1" x14ac:dyDescent="0.3"/>
    <row r="1693" hidden="1" x14ac:dyDescent="0.3"/>
    <row r="1694" hidden="1" x14ac:dyDescent="0.3"/>
    <row r="1695" hidden="1" x14ac:dyDescent="0.3"/>
    <row r="1696" hidden="1" x14ac:dyDescent="0.3"/>
    <row r="1697" hidden="1" x14ac:dyDescent="0.3"/>
    <row r="1698" hidden="1" x14ac:dyDescent="0.3"/>
    <row r="1699" hidden="1" x14ac:dyDescent="0.3"/>
    <row r="1700" hidden="1" x14ac:dyDescent="0.3"/>
    <row r="1701" hidden="1" x14ac:dyDescent="0.3"/>
    <row r="1702" hidden="1" x14ac:dyDescent="0.3"/>
    <row r="1703" hidden="1" x14ac:dyDescent="0.3"/>
    <row r="1704" hidden="1" x14ac:dyDescent="0.3"/>
    <row r="1705" hidden="1" x14ac:dyDescent="0.3"/>
    <row r="1706" hidden="1" x14ac:dyDescent="0.3"/>
    <row r="1707" hidden="1" x14ac:dyDescent="0.3"/>
    <row r="1708" hidden="1" x14ac:dyDescent="0.3"/>
    <row r="1709" hidden="1" x14ac:dyDescent="0.3"/>
    <row r="1710" hidden="1" x14ac:dyDescent="0.3"/>
    <row r="1711" hidden="1" x14ac:dyDescent="0.3"/>
    <row r="1712" hidden="1" x14ac:dyDescent="0.3"/>
    <row r="1713" hidden="1" x14ac:dyDescent="0.3"/>
    <row r="1714" hidden="1" x14ac:dyDescent="0.3"/>
    <row r="1715" hidden="1" x14ac:dyDescent="0.3"/>
    <row r="1716" hidden="1" x14ac:dyDescent="0.3"/>
    <row r="1717" hidden="1" x14ac:dyDescent="0.3"/>
    <row r="1718" hidden="1" x14ac:dyDescent="0.3"/>
    <row r="1719" hidden="1" x14ac:dyDescent="0.3"/>
    <row r="1720" hidden="1" x14ac:dyDescent="0.3"/>
    <row r="1721" hidden="1" x14ac:dyDescent="0.3"/>
    <row r="1722" hidden="1" x14ac:dyDescent="0.3"/>
    <row r="1723" hidden="1" x14ac:dyDescent="0.3"/>
    <row r="1724" hidden="1" x14ac:dyDescent="0.3"/>
    <row r="1725" hidden="1" x14ac:dyDescent="0.3"/>
    <row r="1726" hidden="1" x14ac:dyDescent="0.3"/>
    <row r="1727" hidden="1" x14ac:dyDescent="0.3"/>
    <row r="1728" hidden="1" x14ac:dyDescent="0.3"/>
    <row r="1729" hidden="1" x14ac:dyDescent="0.3"/>
    <row r="1730" hidden="1" x14ac:dyDescent="0.3"/>
    <row r="1731" hidden="1" x14ac:dyDescent="0.3"/>
    <row r="1732" hidden="1" x14ac:dyDescent="0.3"/>
    <row r="1733" hidden="1" x14ac:dyDescent="0.3"/>
    <row r="1734" hidden="1" x14ac:dyDescent="0.3"/>
    <row r="1735" hidden="1" x14ac:dyDescent="0.3"/>
    <row r="1736" hidden="1" x14ac:dyDescent="0.3"/>
    <row r="1737" hidden="1" x14ac:dyDescent="0.3"/>
    <row r="1738" hidden="1" x14ac:dyDescent="0.3"/>
    <row r="1739" hidden="1" x14ac:dyDescent="0.3"/>
    <row r="1740" hidden="1" x14ac:dyDescent="0.3"/>
    <row r="1741" hidden="1" x14ac:dyDescent="0.3"/>
    <row r="1742" hidden="1" x14ac:dyDescent="0.3"/>
    <row r="1743" hidden="1" x14ac:dyDescent="0.3"/>
    <row r="1744" hidden="1" x14ac:dyDescent="0.3"/>
    <row r="1745" hidden="1" x14ac:dyDescent="0.3"/>
    <row r="1746" hidden="1" x14ac:dyDescent="0.3"/>
    <row r="1747" hidden="1" x14ac:dyDescent="0.3"/>
    <row r="1748" hidden="1" x14ac:dyDescent="0.3"/>
    <row r="1749" hidden="1" x14ac:dyDescent="0.3"/>
    <row r="1750" hidden="1" x14ac:dyDescent="0.3"/>
    <row r="1751" hidden="1" x14ac:dyDescent="0.3"/>
    <row r="1752" hidden="1" x14ac:dyDescent="0.3"/>
    <row r="1753" hidden="1" x14ac:dyDescent="0.3"/>
    <row r="1754" hidden="1" x14ac:dyDescent="0.3"/>
    <row r="1755" hidden="1" x14ac:dyDescent="0.3"/>
    <row r="1756" hidden="1" x14ac:dyDescent="0.3"/>
    <row r="1757" hidden="1" x14ac:dyDescent="0.3"/>
    <row r="1758" hidden="1" x14ac:dyDescent="0.3"/>
    <row r="1759" hidden="1" x14ac:dyDescent="0.3"/>
    <row r="1760" hidden="1" x14ac:dyDescent="0.3"/>
    <row r="1761" hidden="1" x14ac:dyDescent="0.3"/>
    <row r="1762" hidden="1" x14ac:dyDescent="0.3"/>
    <row r="1763" hidden="1" x14ac:dyDescent="0.3"/>
    <row r="1764" hidden="1" x14ac:dyDescent="0.3"/>
    <row r="1765" hidden="1" x14ac:dyDescent="0.3"/>
    <row r="1766" hidden="1" x14ac:dyDescent="0.3"/>
    <row r="1767" hidden="1" x14ac:dyDescent="0.3"/>
    <row r="1768" hidden="1" x14ac:dyDescent="0.3"/>
    <row r="1769" hidden="1" x14ac:dyDescent="0.3"/>
    <row r="1770" hidden="1" x14ac:dyDescent="0.3"/>
    <row r="1771" hidden="1" x14ac:dyDescent="0.3"/>
    <row r="1772" hidden="1" x14ac:dyDescent="0.3"/>
    <row r="1773" hidden="1" x14ac:dyDescent="0.3"/>
    <row r="1774" hidden="1" x14ac:dyDescent="0.3"/>
    <row r="1775" hidden="1" x14ac:dyDescent="0.3"/>
    <row r="1776" hidden="1" x14ac:dyDescent="0.3"/>
    <row r="1777" hidden="1" x14ac:dyDescent="0.3"/>
    <row r="1778" hidden="1" x14ac:dyDescent="0.3"/>
    <row r="1779" hidden="1" x14ac:dyDescent="0.3"/>
    <row r="1780" hidden="1" x14ac:dyDescent="0.3"/>
    <row r="1781" hidden="1" x14ac:dyDescent="0.3"/>
    <row r="1782" hidden="1" x14ac:dyDescent="0.3"/>
    <row r="1783" hidden="1" x14ac:dyDescent="0.3"/>
    <row r="1784" hidden="1" x14ac:dyDescent="0.3"/>
    <row r="1785" hidden="1" x14ac:dyDescent="0.3"/>
    <row r="1786" hidden="1" x14ac:dyDescent="0.3"/>
    <row r="1787" hidden="1" x14ac:dyDescent="0.3"/>
    <row r="1788" hidden="1" x14ac:dyDescent="0.3"/>
    <row r="1789" hidden="1" x14ac:dyDescent="0.3"/>
    <row r="1790" hidden="1" x14ac:dyDescent="0.3"/>
    <row r="1791" hidden="1" x14ac:dyDescent="0.3"/>
    <row r="1792" hidden="1" x14ac:dyDescent="0.3"/>
    <row r="1793" hidden="1" x14ac:dyDescent="0.3"/>
    <row r="1794" hidden="1" x14ac:dyDescent="0.3"/>
    <row r="1795" hidden="1" x14ac:dyDescent="0.3"/>
    <row r="1796" hidden="1" x14ac:dyDescent="0.3"/>
    <row r="1797" hidden="1" x14ac:dyDescent="0.3"/>
    <row r="1798" hidden="1" x14ac:dyDescent="0.3"/>
    <row r="1799" hidden="1" x14ac:dyDescent="0.3"/>
    <row r="1800" hidden="1" x14ac:dyDescent="0.3"/>
    <row r="1801" hidden="1" x14ac:dyDescent="0.3"/>
    <row r="1802" hidden="1" x14ac:dyDescent="0.3"/>
    <row r="1803" hidden="1" x14ac:dyDescent="0.3"/>
    <row r="1804" hidden="1" x14ac:dyDescent="0.3"/>
    <row r="1805" hidden="1" x14ac:dyDescent="0.3"/>
    <row r="1806" hidden="1" x14ac:dyDescent="0.3"/>
    <row r="1807" hidden="1" x14ac:dyDescent="0.3"/>
    <row r="1808" hidden="1" x14ac:dyDescent="0.3"/>
    <row r="1809" hidden="1" x14ac:dyDescent="0.3"/>
    <row r="1810" hidden="1" x14ac:dyDescent="0.3"/>
    <row r="1811" hidden="1" x14ac:dyDescent="0.3"/>
    <row r="1812" hidden="1" x14ac:dyDescent="0.3"/>
    <row r="1813" hidden="1" x14ac:dyDescent="0.3"/>
    <row r="1814" hidden="1" x14ac:dyDescent="0.3"/>
    <row r="1815" hidden="1" x14ac:dyDescent="0.3"/>
    <row r="1816" hidden="1" x14ac:dyDescent="0.3"/>
    <row r="1817" hidden="1" x14ac:dyDescent="0.3"/>
    <row r="1818" hidden="1" x14ac:dyDescent="0.3"/>
    <row r="1819" hidden="1" x14ac:dyDescent="0.3"/>
    <row r="1820" hidden="1" x14ac:dyDescent="0.3"/>
    <row r="1821" hidden="1" x14ac:dyDescent="0.3"/>
    <row r="1822" hidden="1" x14ac:dyDescent="0.3"/>
    <row r="1823" hidden="1" x14ac:dyDescent="0.3"/>
    <row r="1824" hidden="1" x14ac:dyDescent="0.3"/>
    <row r="1825" hidden="1" x14ac:dyDescent="0.3"/>
    <row r="1826" hidden="1" x14ac:dyDescent="0.3"/>
    <row r="1827" hidden="1" x14ac:dyDescent="0.3"/>
    <row r="1828" hidden="1" x14ac:dyDescent="0.3"/>
    <row r="1829" hidden="1" x14ac:dyDescent="0.3"/>
    <row r="1830" hidden="1" x14ac:dyDescent="0.3"/>
    <row r="1831" hidden="1" x14ac:dyDescent="0.3"/>
    <row r="1832" hidden="1" x14ac:dyDescent="0.3"/>
    <row r="1833" hidden="1" x14ac:dyDescent="0.3"/>
    <row r="1834" hidden="1" x14ac:dyDescent="0.3"/>
    <row r="1835" hidden="1" x14ac:dyDescent="0.3"/>
    <row r="1836" hidden="1" x14ac:dyDescent="0.3"/>
    <row r="1837" hidden="1" x14ac:dyDescent="0.3"/>
    <row r="1838" hidden="1" x14ac:dyDescent="0.3"/>
    <row r="1839" hidden="1" x14ac:dyDescent="0.3"/>
    <row r="1840" hidden="1" x14ac:dyDescent="0.3"/>
    <row r="1841" hidden="1" x14ac:dyDescent="0.3"/>
    <row r="1842" hidden="1" x14ac:dyDescent="0.3"/>
    <row r="1843" hidden="1" x14ac:dyDescent="0.3"/>
    <row r="1844" hidden="1" x14ac:dyDescent="0.3"/>
    <row r="1845" hidden="1" x14ac:dyDescent="0.3"/>
    <row r="1846" hidden="1" x14ac:dyDescent="0.3"/>
    <row r="1847" hidden="1" x14ac:dyDescent="0.3"/>
    <row r="1848" hidden="1" x14ac:dyDescent="0.3"/>
    <row r="1849" hidden="1" x14ac:dyDescent="0.3"/>
    <row r="1850" hidden="1" x14ac:dyDescent="0.3"/>
    <row r="1851" hidden="1" x14ac:dyDescent="0.3"/>
    <row r="1852" hidden="1" x14ac:dyDescent="0.3"/>
    <row r="1853" hidden="1" x14ac:dyDescent="0.3"/>
    <row r="1854" hidden="1" x14ac:dyDescent="0.3"/>
    <row r="1855" hidden="1" x14ac:dyDescent="0.3"/>
    <row r="1856" hidden="1" x14ac:dyDescent="0.3"/>
    <row r="1857" hidden="1" x14ac:dyDescent="0.3"/>
    <row r="1858" hidden="1" x14ac:dyDescent="0.3"/>
    <row r="1859" hidden="1" x14ac:dyDescent="0.3"/>
    <row r="1860" hidden="1" x14ac:dyDescent="0.3"/>
    <row r="1861" hidden="1" x14ac:dyDescent="0.3"/>
    <row r="1862" hidden="1" x14ac:dyDescent="0.3"/>
    <row r="1863" hidden="1" x14ac:dyDescent="0.3"/>
    <row r="1864" hidden="1" x14ac:dyDescent="0.3"/>
    <row r="1865" hidden="1" x14ac:dyDescent="0.3"/>
    <row r="1866" hidden="1" x14ac:dyDescent="0.3"/>
    <row r="1867" hidden="1" x14ac:dyDescent="0.3"/>
    <row r="1868" hidden="1" x14ac:dyDescent="0.3"/>
    <row r="1869" hidden="1" x14ac:dyDescent="0.3"/>
    <row r="1870" hidden="1" x14ac:dyDescent="0.3"/>
    <row r="1871" hidden="1" x14ac:dyDescent="0.3"/>
    <row r="1872" hidden="1" x14ac:dyDescent="0.3"/>
    <row r="1873" hidden="1" x14ac:dyDescent="0.3"/>
    <row r="1874" hidden="1" x14ac:dyDescent="0.3"/>
    <row r="1875" hidden="1" x14ac:dyDescent="0.3"/>
    <row r="1876" hidden="1" x14ac:dyDescent="0.3"/>
    <row r="1877" hidden="1" x14ac:dyDescent="0.3"/>
    <row r="1878" hidden="1" x14ac:dyDescent="0.3"/>
    <row r="1879" hidden="1" x14ac:dyDescent="0.3"/>
    <row r="1880" hidden="1" x14ac:dyDescent="0.3"/>
    <row r="1881" hidden="1" x14ac:dyDescent="0.3"/>
    <row r="1882" hidden="1" x14ac:dyDescent="0.3"/>
    <row r="1883" hidden="1" x14ac:dyDescent="0.3"/>
    <row r="1884" hidden="1" x14ac:dyDescent="0.3"/>
    <row r="1885" hidden="1" x14ac:dyDescent="0.3"/>
    <row r="1886" hidden="1" x14ac:dyDescent="0.3"/>
    <row r="1887" hidden="1" x14ac:dyDescent="0.3"/>
    <row r="1888" hidden="1" x14ac:dyDescent="0.3"/>
    <row r="1889" hidden="1" x14ac:dyDescent="0.3"/>
    <row r="1890" hidden="1" x14ac:dyDescent="0.3"/>
    <row r="1891" hidden="1" x14ac:dyDescent="0.3"/>
    <row r="1892" hidden="1" x14ac:dyDescent="0.3"/>
    <row r="1893" hidden="1" x14ac:dyDescent="0.3"/>
    <row r="1894" hidden="1" x14ac:dyDescent="0.3"/>
    <row r="1895" hidden="1" x14ac:dyDescent="0.3"/>
    <row r="1896" hidden="1" x14ac:dyDescent="0.3"/>
    <row r="1897" hidden="1" x14ac:dyDescent="0.3"/>
    <row r="1898" hidden="1" x14ac:dyDescent="0.3"/>
    <row r="1899" hidden="1" x14ac:dyDescent="0.3"/>
    <row r="1900" hidden="1" x14ac:dyDescent="0.3"/>
    <row r="1901" hidden="1" x14ac:dyDescent="0.3"/>
    <row r="1902" hidden="1" x14ac:dyDescent="0.3"/>
    <row r="1903" hidden="1" x14ac:dyDescent="0.3"/>
    <row r="1904" hidden="1" x14ac:dyDescent="0.3"/>
    <row r="1905" hidden="1" x14ac:dyDescent="0.3"/>
    <row r="1906" hidden="1" x14ac:dyDescent="0.3"/>
    <row r="1907" hidden="1" x14ac:dyDescent="0.3"/>
    <row r="1908" hidden="1" x14ac:dyDescent="0.3"/>
    <row r="1909" hidden="1" x14ac:dyDescent="0.3"/>
    <row r="1910" hidden="1" x14ac:dyDescent="0.3"/>
    <row r="1911" hidden="1" x14ac:dyDescent="0.3"/>
    <row r="1912" hidden="1" x14ac:dyDescent="0.3"/>
    <row r="1913" hidden="1" x14ac:dyDescent="0.3"/>
    <row r="1914" hidden="1" x14ac:dyDescent="0.3"/>
    <row r="1915" hidden="1" x14ac:dyDescent="0.3"/>
    <row r="1916" hidden="1" x14ac:dyDescent="0.3"/>
    <row r="1917" hidden="1" x14ac:dyDescent="0.3"/>
    <row r="1918" hidden="1" x14ac:dyDescent="0.3"/>
    <row r="1919" hidden="1" x14ac:dyDescent="0.3"/>
    <row r="1920" hidden="1" x14ac:dyDescent="0.3"/>
    <row r="1921" hidden="1" x14ac:dyDescent="0.3"/>
    <row r="1922" hidden="1" x14ac:dyDescent="0.3"/>
    <row r="1923" hidden="1" x14ac:dyDescent="0.3"/>
    <row r="1924" hidden="1" x14ac:dyDescent="0.3"/>
    <row r="1925" hidden="1" x14ac:dyDescent="0.3"/>
    <row r="1926" hidden="1" x14ac:dyDescent="0.3"/>
    <row r="1927" hidden="1" x14ac:dyDescent="0.3"/>
    <row r="1928" hidden="1" x14ac:dyDescent="0.3"/>
    <row r="1929" hidden="1" x14ac:dyDescent="0.3"/>
    <row r="1930" hidden="1" x14ac:dyDescent="0.3"/>
    <row r="1931" hidden="1" x14ac:dyDescent="0.3"/>
    <row r="1932" hidden="1" x14ac:dyDescent="0.3"/>
    <row r="1933" hidden="1" x14ac:dyDescent="0.3"/>
    <row r="1934" hidden="1" x14ac:dyDescent="0.3"/>
    <row r="1935" hidden="1" x14ac:dyDescent="0.3"/>
    <row r="1936" hidden="1" x14ac:dyDescent="0.3"/>
    <row r="1937" hidden="1" x14ac:dyDescent="0.3"/>
    <row r="1938" hidden="1" x14ac:dyDescent="0.3"/>
    <row r="1939" hidden="1" x14ac:dyDescent="0.3"/>
    <row r="1940" hidden="1" x14ac:dyDescent="0.3"/>
    <row r="1941" hidden="1" x14ac:dyDescent="0.3"/>
    <row r="1942" hidden="1" x14ac:dyDescent="0.3"/>
    <row r="1943" hidden="1" x14ac:dyDescent="0.3"/>
    <row r="1944" hidden="1" x14ac:dyDescent="0.3"/>
    <row r="1945" hidden="1" x14ac:dyDescent="0.3"/>
    <row r="1946" hidden="1" x14ac:dyDescent="0.3"/>
    <row r="1947" hidden="1" x14ac:dyDescent="0.3"/>
    <row r="1948" hidden="1" x14ac:dyDescent="0.3"/>
    <row r="1949" hidden="1" x14ac:dyDescent="0.3"/>
    <row r="1950" hidden="1" x14ac:dyDescent="0.3"/>
    <row r="1951" hidden="1" x14ac:dyDescent="0.3"/>
    <row r="1952" hidden="1" x14ac:dyDescent="0.3"/>
    <row r="1953" hidden="1" x14ac:dyDescent="0.3"/>
    <row r="1954" hidden="1" x14ac:dyDescent="0.3"/>
    <row r="1955" hidden="1" x14ac:dyDescent="0.3"/>
    <row r="1956" hidden="1" x14ac:dyDescent="0.3"/>
    <row r="1957" hidden="1" x14ac:dyDescent="0.3"/>
    <row r="1958" hidden="1" x14ac:dyDescent="0.3"/>
    <row r="1959" hidden="1" x14ac:dyDescent="0.3"/>
    <row r="1960" hidden="1" x14ac:dyDescent="0.3"/>
    <row r="1961" hidden="1" x14ac:dyDescent="0.3"/>
    <row r="1962" hidden="1" x14ac:dyDescent="0.3"/>
    <row r="1963" hidden="1" x14ac:dyDescent="0.3"/>
    <row r="1964" hidden="1" x14ac:dyDescent="0.3"/>
    <row r="1965" hidden="1" x14ac:dyDescent="0.3"/>
    <row r="1966" hidden="1" x14ac:dyDescent="0.3"/>
    <row r="1967" hidden="1" x14ac:dyDescent="0.3"/>
    <row r="1968" hidden="1" x14ac:dyDescent="0.3"/>
    <row r="1969" hidden="1" x14ac:dyDescent="0.3"/>
    <row r="1970" hidden="1" x14ac:dyDescent="0.3"/>
    <row r="1971" hidden="1" x14ac:dyDescent="0.3"/>
    <row r="1972" hidden="1" x14ac:dyDescent="0.3"/>
    <row r="1973" hidden="1" x14ac:dyDescent="0.3"/>
    <row r="1974" hidden="1" x14ac:dyDescent="0.3"/>
    <row r="1975" hidden="1" x14ac:dyDescent="0.3"/>
    <row r="1976" hidden="1" x14ac:dyDescent="0.3"/>
    <row r="1977" hidden="1" x14ac:dyDescent="0.3"/>
    <row r="1978" hidden="1" x14ac:dyDescent="0.3"/>
    <row r="1979" hidden="1" x14ac:dyDescent="0.3"/>
    <row r="1980" hidden="1" x14ac:dyDescent="0.3"/>
    <row r="1981" hidden="1" x14ac:dyDescent="0.3"/>
    <row r="1982" hidden="1" x14ac:dyDescent="0.3"/>
    <row r="1983" hidden="1" x14ac:dyDescent="0.3"/>
    <row r="1984" hidden="1" x14ac:dyDescent="0.3"/>
    <row r="1985" hidden="1" x14ac:dyDescent="0.3"/>
    <row r="1986" hidden="1" x14ac:dyDescent="0.3"/>
    <row r="1987" hidden="1" x14ac:dyDescent="0.3"/>
    <row r="1988" hidden="1" x14ac:dyDescent="0.3"/>
    <row r="1989" hidden="1" x14ac:dyDescent="0.3"/>
    <row r="1990" hidden="1" x14ac:dyDescent="0.3"/>
    <row r="1991" hidden="1" x14ac:dyDescent="0.3"/>
    <row r="1992" hidden="1" x14ac:dyDescent="0.3"/>
    <row r="1993" hidden="1" x14ac:dyDescent="0.3"/>
    <row r="1994" hidden="1" x14ac:dyDescent="0.3"/>
    <row r="1995" hidden="1" x14ac:dyDescent="0.3"/>
    <row r="1996" hidden="1" x14ac:dyDescent="0.3"/>
    <row r="1997" hidden="1" x14ac:dyDescent="0.3"/>
    <row r="1998" hidden="1" x14ac:dyDescent="0.3"/>
    <row r="1999" hidden="1" x14ac:dyDescent="0.3"/>
    <row r="2000" hidden="1" x14ac:dyDescent="0.3"/>
    <row r="2001" hidden="1" x14ac:dyDescent="0.3"/>
    <row r="2002" hidden="1" x14ac:dyDescent="0.3"/>
    <row r="2003" hidden="1" x14ac:dyDescent="0.3"/>
    <row r="2004" hidden="1" x14ac:dyDescent="0.3"/>
    <row r="2005" hidden="1" x14ac:dyDescent="0.3"/>
    <row r="2006" hidden="1" x14ac:dyDescent="0.3"/>
    <row r="2007" hidden="1" x14ac:dyDescent="0.3"/>
    <row r="2008" hidden="1" x14ac:dyDescent="0.3"/>
    <row r="2009" hidden="1" x14ac:dyDescent="0.3"/>
    <row r="2010" hidden="1" x14ac:dyDescent="0.3"/>
    <row r="2011" hidden="1" x14ac:dyDescent="0.3"/>
    <row r="2012" hidden="1" x14ac:dyDescent="0.3"/>
    <row r="2013" hidden="1" x14ac:dyDescent="0.3"/>
    <row r="2014" hidden="1" x14ac:dyDescent="0.3"/>
    <row r="2015" hidden="1" x14ac:dyDescent="0.3"/>
    <row r="2016" hidden="1" x14ac:dyDescent="0.3"/>
    <row r="2017" hidden="1" x14ac:dyDescent="0.3"/>
    <row r="2018" hidden="1" x14ac:dyDescent="0.3"/>
    <row r="2019" hidden="1" x14ac:dyDescent="0.3"/>
    <row r="2020" hidden="1" x14ac:dyDescent="0.3"/>
    <row r="2021" hidden="1" x14ac:dyDescent="0.3"/>
    <row r="2022" hidden="1" x14ac:dyDescent="0.3"/>
    <row r="2023" hidden="1" x14ac:dyDescent="0.3"/>
    <row r="2024" hidden="1" x14ac:dyDescent="0.3"/>
    <row r="2025" hidden="1" x14ac:dyDescent="0.3"/>
    <row r="2026" hidden="1" x14ac:dyDescent="0.3"/>
    <row r="2027" hidden="1" x14ac:dyDescent="0.3"/>
    <row r="2028" hidden="1" x14ac:dyDescent="0.3"/>
    <row r="2029" hidden="1" x14ac:dyDescent="0.3"/>
    <row r="2030" hidden="1" x14ac:dyDescent="0.3"/>
    <row r="2031" hidden="1" x14ac:dyDescent="0.3"/>
    <row r="2032" hidden="1" x14ac:dyDescent="0.3"/>
    <row r="2033" hidden="1" x14ac:dyDescent="0.3"/>
    <row r="2034" hidden="1" x14ac:dyDescent="0.3"/>
    <row r="2035" hidden="1" x14ac:dyDescent="0.3"/>
    <row r="2036" hidden="1" x14ac:dyDescent="0.3"/>
    <row r="2037" hidden="1" x14ac:dyDescent="0.3"/>
    <row r="2038" hidden="1" x14ac:dyDescent="0.3"/>
    <row r="2039" hidden="1" x14ac:dyDescent="0.3"/>
    <row r="2040" hidden="1" x14ac:dyDescent="0.3"/>
    <row r="2041" hidden="1" x14ac:dyDescent="0.3"/>
    <row r="2042" hidden="1" x14ac:dyDescent="0.3"/>
    <row r="2043" hidden="1" x14ac:dyDescent="0.3"/>
    <row r="2044" hidden="1" x14ac:dyDescent="0.3"/>
    <row r="2045" hidden="1" x14ac:dyDescent="0.3"/>
    <row r="2046" hidden="1" x14ac:dyDescent="0.3"/>
    <row r="2047" hidden="1" x14ac:dyDescent="0.3"/>
    <row r="2048" hidden="1" x14ac:dyDescent="0.3"/>
    <row r="2049" hidden="1" x14ac:dyDescent="0.3"/>
    <row r="2050" hidden="1" x14ac:dyDescent="0.3"/>
    <row r="2051" hidden="1" x14ac:dyDescent="0.3"/>
    <row r="2052" hidden="1" x14ac:dyDescent="0.3"/>
    <row r="2053" hidden="1" x14ac:dyDescent="0.3"/>
    <row r="2054" hidden="1" x14ac:dyDescent="0.3"/>
    <row r="2055" hidden="1" x14ac:dyDescent="0.3"/>
    <row r="2056" hidden="1" x14ac:dyDescent="0.3"/>
    <row r="2057" hidden="1" x14ac:dyDescent="0.3"/>
    <row r="2058" hidden="1" x14ac:dyDescent="0.3"/>
    <row r="2059" hidden="1" x14ac:dyDescent="0.3"/>
    <row r="2060" hidden="1" x14ac:dyDescent="0.3"/>
    <row r="2061" hidden="1" x14ac:dyDescent="0.3"/>
    <row r="2062" hidden="1" x14ac:dyDescent="0.3"/>
    <row r="2063" hidden="1" x14ac:dyDescent="0.3"/>
    <row r="2064" hidden="1" x14ac:dyDescent="0.3"/>
    <row r="2065" hidden="1" x14ac:dyDescent="0.3"/>
    <row r="2066" hidden="1" x14ac:dyDescent="0.3"/>
    <row r="2067" hidden="1" x14ac:dyDescent="0.3"/>
    <row r="2068" hidden="1" x14ac:dyDescent="0.3"/>
    <row r="2069" hidden="1" x14ac:dyDescent="0.3"/>
    <row r="2070" hidden="1" x14ac:dyDescent="0.3"/>
    <row r="2071" hidden="1" x14ac:dyDescent="0.3"/>
    <row r="2072" hidden="1" x14ac:dyDescent="0.3"/>
    <row r="2073" hidden="1" x14ac:dyDescent="0.3"/>
    <row r="2074" hidden="1" x14ac:dyDescent="0.3"/>
    <row r="2075" hidden="1" x14ac:dyDescent="0.3"/>
    <row r="2076" hidden="1" x14ac:dyDescent="0.3"/>
    <row r="2077" hidden="1" x14ac:dyDescent="0.3"/>
    <row r="2078" hidden="1" x14ac:dyDescent="0.3"/>
    <row r="2079" hidden="1" x14ac:dyDescent="0.3"/>
    <row r="2080" hidden="1" x14ac:dyDescent="0.3"/>
    <row r="2081" hidden="1" x14ac:dyDescent="0.3"/>
    <row r="2082" hidden="1" x14ac:dyDescent="0.3"/>
    <row r="2083" hidden="1" x14ac:dyDescent="0.3"/>
    <row r="2084" hidden="1" x14ac:dyDescent="0.3"/>
    <row r="2085" hidden="1" x14ac:dyDescent="0.3"/>
    <row r="2086" hidden="1" x14ac:dyDescent="0.3"/>
    <row r="2087" hidden="1" x14ac:dyDescent="0.3"/>
    <row r="2088" hidden="1" x14ac:dyDescent="0.3"/>
    <row r="2089" hidden="1" x14ac:dyDescent="0.3"/>
    <row r="2090" hidden="1" x14ac:dyDescent="0.3"/>
    <row r="2091" hidden="1" x14ac:dyDescent="0.3"/>
    <row r="2092" hidden="1" x14ac:dyDescent="0.3"/>
    <row r="2093" hidden="1" x14ac:dyDescent="0.3"/>
    <row r="2094" hidden="1" x14ac:dyDescent="0.3"/>
    <row r="2095" hidden="1" x14ac:dyDescent="0.3"/>
    <row r="2096" hidden="1" x14ac:dyDescent="0.3"/>
    <row r="2097" hidden="1" x14ac:dyDescent="0.3"/>
    <row r="2098" hidden="1" x14ac:dyDescent="0.3"/>
    <row r="2099" hidden="1" x14ac:dyDescent="0.3"/>
    <row r="2100" hidden="1" x14ac:dyDescent="0.3"/>
    <row r="2101" hidden="1" x14ac:dyDescent="0.3"/>
    <row r="2102" hidden="1" x14ac:dyDescent="0.3"/>
    <row r="2103" hidden="1" x14ac:dyDescent="0.3"/>
    <row r="2104" hidden="1" x14ac:dyDescent="0.3"/>
    <row r="2105" hidden="1" x14ac:dyDescent="0.3"/>
    <row r="2106" hidden="1" x14ac:dyDescent="0.3"/>
    <row r="2107" hidden="1" x14ac:dyDescent="0.3"/>
    <row r="2108" hidden="1" x14ac:dyDescent="0.3"/>
    <row r="2109" hidden="1" x14ac:dyDescent="0.3"/>
    <row r="2110" hidden="1" x14ac:dyDescent="0.3"/>
    <row r="2111" hidden="1" x14ac:dyDescent="0.3"/>
    <row r="2112" hidden="1" x14ac:dyDescent="0.3"/>
    <row r="2113" hidden="1" x14ac:dyDescent="0.3"/>
    <row r="2114" hidden="1" x14ac:dyDescent="0.3"/>
    <row r="2115" hidden="1" x14ac:dyDescent="0.3"/>
    <row r="2116" hidden="1" x14ac:dyDescent="0.3"/>
    <row r="2117" hidden="1" x14ac:dyDescent="0.3"/>
    <row r="2118" hidden="1" x14ac:dyDescent="0.3"/>
    <row r="2119" hidden="1" x14ac:dyDescent="0.3"/>
    <row r="2120" hidden="1" x14ac:dyDescent="0.3"/>
    <row r="2121" hidden="1" x14ac:dyDescent="0.3"/>
    <row r="2122" hidden="1" x14ac:dyDescent="0.3"/>
    <row r="2123" hidden="1" x14ac:dyDescent="0.3"/>
    <row r="2124" hidden="1" x14ac:dyDescent="0.3"/>
    <row r="2125" hidden="1" x14ac:dyDescent="0.3"/>
    <row r="2126" hidden="1" x14ac:dyDescent="0.3"/>
    <row r="2127" hidden="1" x14ac:dyDescent="0.3"/>
    <row r="2128" hidden="1" x14ac:dyDescent="0.3"/>
    <row r="2129" hidden="1" x14ac:dyDescent="0.3"/>
    <row r="2130" hidden="1" x14ac:dyDescent="0.3"/>
    <row r="2131" hidden="1" x14ac:dyDescent="0.3"/>
    <row r="2132" hidden="1" x14ac:dyDescent="0.3"/>
    <row r="2133" hidden="1" x14ac:dyDescent="0.3"/>
    <row r="2134" hidden="1" x14ac:dyDescent="0.3"/>
    <row r="2135" hidden="1" x14ac:dyDescent="0.3"/>
    <row r="2136" hidden="1" x14ac:dyDescent="0.3"/>
    <row r="2137" hidden="1" x14ac:dyDescent="0.3"/>
    <row r="2138" hidden="1" x14ac:dyDescent="0.3"/>
    <row r="2139" hidden="1" x14ac:dyDescent="0.3"/>
    <row r="2140" hidden="1" x14ac:dyDescent="0.3"/>
    <row r="2141" hidden="1" x14ac:dyDescent="0.3"/>
    <row r="2142" hidden="1" x14ac:dyDescent="0.3"/>
    <row r="2143" hidden="1" x14ac:dyDescent="0.3"/>
    <row r="2144" hidden="1" x14ac:dyDescent="0.3"/>
    <row r="2145" hidden="1" x14ac:dyDescent="0.3"/>
    <row r="2146" hidden="1" x14ac:dyDescent="0.3"/>
    <row r="2147" hidden="1" x14ac:dyDescent="0.3"/>
    <row r="2148" hidden="1" x14ac:dyDescent="0.3"/>
    <row r="2149" hidden="1" x14ac:dyDescent="0.3"/>
    <row r="2150" hidden="1" x14ac:dyDescent="0.3"/>
    <row r="2151" hidden="1" x14ac:dyDescent="0.3"/>
    <row r="2152" hidden="1" x14ac:dyDescent="0.3"/>
    <row r="2153" hidden="1" x14ac:dyDescent="0.3"/>
    <row r="2154" hidden="1" x14ac:dyDescent="0.3"/>
    <row r="2155" hidden="1" x14ac:dyDescent="0.3"/>
    <row r="2156" hidden="1" x14ac:dyDescent="0.3"/>
    <row r="2157" hidden="1" x14ac:dyDescent="0.3"/>
    <row r="2158" hidden="1" x14ac:dyDescent="0.3"/>
    <row r="2159" hidden="1" x14ac:dyDescent="0.3"/>
    <row r="2160" hidden="1" x14ac:dyDescent="0.3"/>
    <row r="2161" hidden="1" x14ac:dyDescent="0.3"/>
    <row r="2162" hidden="1" x14ac:dyDescent="0.3"/>
    <row r="2163" hidden="1" x14ac:dyDescent="0.3"/>
    <row r="2164" hidden="1" x14ac:dyDescent="0.3"/>
    <row r="2165" hidden="1" x14ac:dyDescent="0.3"/>
    <row r="2166" hidden="1" x14ac:dyDescent="0.3"/>
    <row r="2167" hidden="1" x14ac:dyDescent="0.3"/>
    <row r="2168" hidden="1" x14ac:dyDescent="0.3"/>
    <row r="2169" hidden="1" x14ac:dyDescent="0.3"/>
    <row r="2170" hidden="1" x14ac:dyDescent="0.3"/>
    <row r="2171" hidden="1" x14ac:dyDescent="0.3"/>
    <row r="2172" hidden="1" x14ac:dyDescent="0.3"/>
    <row r="2173" hidden="1" x14ac:dyDescent="0.3"/>
    <row r="2174" hidden="1" x14ac:dyDescent="0.3"/>
    <row r="2175" hidden="1" x14ac:dyDescent="0.3"/>
    <row r="2176" hidden="1" x14ac:dyDescent="0.3"/>
    <row r="2177" hidden="1" x14ac:dyDescent="0.3"/>
    <row r="2178" hidden="1" x14ac:dyDescent="0.3"/>
    <row r="2179" hidden="1" x14ac:dyDescent="0.3"/>
    <row r="2180" hidden="1" x14ac:dyDescent="0.3"/>
    <row r="2181" hidden="1" x14ac:dyDescent="0.3"/>
    <row r="2182" hidden="1" x14ac:dyDescent="0.3"/>
    <row r="2183" hidden="1" x14ac:dyDescent="0.3"/>
    <row r="2184" hidden="1" x14ac:dyDescent="0.3"/>
    <row r="2185" hidden="1" x14ac:dyDescent="0.3"/>
    <row r="2186" hidden="1" x14ac:dyDescent="0.3"/>
    <row r="2187" hidden="1" x14ac:dyDescent="0.3"/>
    <row r="2188" hidden="1" x14ac:dyDescent="0.3"/>
    <row r="2189" hidden="1" x14ac:dyDescent="0.3"/>
    <row r="2190" hidden="1" x14ac:dyDescent="0.3"/>
    <row r="2191" hidden="1" x14ac:dyDescent="0.3"/>
    <row r="2192" hidden="1" x14ac:dyDescent="0.3"/>
    <row r="2193" hidden="1" x14ac:dyDescent="0.3"/>
    <row r="2194" hidden="1" x14ac:dyDescent="0.3"/>
    <row r="2195" hidden="1" x14ac:dyDescent="0.3"/>
    <row r="2196" hidden="1" x14ac:dyDescent="0.3"/>
    <row r="2197" hidden="1" x14ac:dyDescent="0.3"/>
    <row r="2198" hidden="1" x14ac:dyDescent="0.3"/>
    <row r="2199" hidden="1" x14ac:dyDescent="0.3"/>
    <row r="2200" hidden="1" x14ac:dyDescent="0.3"/>
    <row r="2201" hidden="1" x14ac:dyDescent="0.3"/>
    <row r="2202" hidden="1" x14ac:dyDescent="0.3"/>
    <row r="2203" hidden="1" x14ac:dyDescent="0.3"/>
    <row r="2204" hidden="1" x14ac:dyDescent="0.3"/>
    <row r="2205" hidden="1" x14ac:dyDescent="0.3"/>
    <row r="2206" hidden="1" x14ac:dyDescent="0.3"/>
    <row r="2207" hidden="1" x14ac:dyDescent="0.3"/>
    <row r="2208" hidden="1" x14ac:dyDescent="0.3"/>
    <row r="2209" hidden="1" x14ac:dyDescent="0.3"/>
    <row r="2210" hidden="1" x14ac:dyDescent="0.3"/>
    <row r="2211" hidden="1" x14ac:dyDescent="0.3"/>
    <row r="2212" hidden="1" x14ac:dyDescent="0.3"/>
    <row r="2213" hidden="1" x14ac:dyDescent="0.3"/>
    <row r="2214" hidden="1" x14ac:dyDescent="0.3"/>
    <row r="2215" hidden="1" x14ac:dyDescent="0.3"/>
    <row r="2216" hidden="1" x14ac:dyDescent="0.3"/>
    <row r="2217" hidden="1" x14ac:dyDescent="0.3"/>
    <row r="2218" hidden="1" x14ac:dyDescent="0.3"/>
    <row r="2219" hidden="1" x14ac:dyDescent="0.3"/>
    <row r="2220" hidden="1" x14ac:dyDescent="0.3"/>
    <row r="2221" hidden="1" x14ac:dyDescent="0.3"/>
    <row r="2222" hidden="1" x14ac:dyDescent="0.3"/>
    <row r="2223" hidden="1" x14ac:dyDescent="0.3"/>
    <row r="2224" hidden="1" x14ac:dyDescent="0.3"/>
    <row r="2225" hidden="1" x14ac:dyDescent="0.3"/>
    <row r="2226" hidden="1" x14ac:dyDescent="0.3"/>
    <row r="2227" hidden="1" x14ac:dyDescent="0.3"/>
    <row r="2228" hidden="1" x14ac:dyDescent="0.3"/>
    <row r="2229" hidden="1" x14ac:dyDescent="0.3"/>
    <row r="2230" hidden="1" x14ac:dyDescent="0.3"/>
    <row r="2231" hidden="1" x14ac:dyDescent="0.3"/>
    <row r="2232" hidden="1" x14ac:dyDescent="0.3"/>
    <row r="2233" hidden="1" x14ac:dyDescent="0.3"/>
    <row r="2234" hidden="1" x14ac:dyDescent="0.3"/>
    <row r="2235" hidden="1" x14ac:dyDescent="0.3"/>
    <row r="2236" hidden="1" x14ac:dyDescent="0.3"/>
    <row r="2237" hidden="1" x14ac:dyDescent="0.3"/>
    <row r="2238" hidden="1" x14ac:dyDescent="0.3"/>
    <row r="2239" hidden="1" x14ac:dyDescent="0.3"/>
    <row r="2240" hidden="1" x14ac:dyDescent="0.3"/>
    <row r="2241" hidden="1" x14ac:dyDescent="0.3"/>
    <row r="2242" hidden="1" x14ac:dyDescent="0.3"/>
    <row r="2243" hidden="1" x14ac:dyDescent="0.3"/>
    <row r="2244" hidden="1" x14ac:dyDescent="0.3"/>
    <row r="2245" hidden="1" x14ac:dyDescent="0.3"/>
    <row r="2246" hidden="1" x14ac:dyDescent="0.3"/>
    <row r="2247" hidden="1" x14ac:dyDescent="0.3"/>
    <row r="2248" hidden="1" x14ac:dyDescent="0.3"/>
    <row r="2249" hidden="1" x14ac:dyDescent="0.3"/>
    <row r="2250" hidden="1" x14ac:dyDescent="0.3"/>
    <row r="2251" hidden="1" x14ac:dyDescent="0.3"/>
    <row r="2252" hidden="1" x14ac:dyDescent="0.3"/>
    <row r="2253" hidden="1" x14ac:dyDescent="0.3"/>
    <row r="2254" hidden="1" x14ac:dyDescent="0.3"/>
    <row r="2255" hidden="1" x14ac:dyDescent="0.3"/>
    <row r="2256" hidden="1" x14ac:dyDescent="0.3"/>
    <row r="2257" hidden="1" x14ac:dyDescent="0.3"/>
    <row r="2258" hidden="1" x14ac:dyDescent="0.3"/>
    <row r="2259" hidden="1" x14ac:dyDescent="0.3"/>
    <row r="2260" hidden="1" x14ac:dyDescent="0.3"/>
    <row r="2261" hidden="1" x14ac:dyDescent="0.3"/>
    <row r="2262" hidden="1" x14ac:dyDescent="0.3"/>
    <row r="2263" hidden="1" x14ac:dyDescent="0.3"/>
    <row r="2264" hidden="1" x14ac:dyDescent="0.3"/>
    <row r="2265" hidden="1" x14ac:dyDescent="0.3"/>
    <row r="2266" hidden="1" x14ac:dyDescent="0.3"/>
    <row r="2267" hidden="1" x14ac:dyDescent="0.3"/>
    <row r="2268" hidden="1" x14ac:dyDescent="0.3"/>
    <row r="2269" hidden="1" x14ac:dyDescent="0.3"/>
    <row r="2270" hidden="1" x14ac:dyDescent="0.3"/>
    <row r="2271" hidden="1" x14ac:dyDescent="0.3"/>
    <row r="2272" hidden="1" x14ac:dyDescent="0.3"/>
    <row r="2273" hidden="1" x14ac:dyDescent="0.3"/>
    <row r="2274" hidden="1" x14ac:dyDescent="0.3"/>
    <row r="2275" hidden="1" x14ac:dyDescent="0.3"/>
    <row r="2276" hidden="1" x14ac:dyDescent="0.3"/>
    <row r="2277" hidden="1" x14ac:dyDescent="0.3"/>
    <row r="2278" hidden="1" x14ac:dyDescent="0.3"/>
    <row r="2279" hidden="1" x14ac:dyDescent="0.3"/>
    <row r="2280" hidden="1" x14ac:dyDescent="0.3"/>
    <row r="2281" hidden="1" x14ac:dyDescent="0.3"/>
    <row r="2282" hidden="1" x14ac:dyDescent="0.3"/>
    <row r="2283" hidden="1" x14ac:dyDescent="0.3"/>
    <row r="2284" hidden="1" x14ac:dyDescent="0.3"/>
    <row r="2285" hidden="1" x14ac:dyDescent="0.3"/>
    <row r="2286" hidden="1" x14ac:dyDescent="0.3"/>
    <row r="2287" hidden="1" x14ac:dyDescent="0.3"/>
    <row r="2288" hidden="1" x14ac:dyDescent="0.3"/>
    <row r="2289" hidden="1" x14ac:dyDescent="0.3"/>
    <row r="2290" hidden="1" x14ac:dyDescent="0.3"/>
    <row r="2291" hidden="1" x14ac:dyDescent="0.3"/>
    <row r="2292" hidden="1" x14ac:dyDescent="0.3"/>
    <row r="2293" hidden="1" x14ac:dyDescent="0.3"/>
    <row r="2294" hidden="1" x14ac:dyDescent="0.3"/>
    <row r="2295" hidden="1" x14ac:dyDescent="0.3"/>
    <row r="2296" hidden="1" x14ac:dyDescent="0.3"/>
    <row r="2297" hidden="1" x14ac:dyDescent="0.3"/>
    <row r="2298" hidden="1" x14ac:dyDescent="0.3"/>
    <row r="2299" hidden="1" x14ac:dyDescent="0.3"/>
    <row r="2300" hidden="1" x14ac:dyDescent="0.3"/>
    <row r="2301" hidden="1" x14ac:dyDescent="0.3"/>
    <row r="2302" hidden="1" x14ac:dyDescent="0.3"/>
    <row r="2303" hidden="1" x14ac:dyDescent="0.3"/>
    <row r="2304" hidden="1" x14ac:dyDescent="0.3"/>
    <row r="2305" hidden="1" x14ac:dyDescent="0.3"/>
    <row r="2306" hidden="1" x14ac:dyDescent="0.3"/>
    <row r="2307" hidden="1" x14ac:dyDescent="0.3"/>
    <row r="2308" hidden="1" x14ac:dyDescent="0.3"/>
    <row r="2309" hidden="1" x14ac:dyDescent="0.3"/>
    <row r="2310" hidden="1" x14ac:dyDescent="0.3"/>
    <row r="2311" hidden="1" x14ac:dyDescent="0.3"/>
    <row r="2312" hidden="1" x14ac:dyDescent="0.3"/>
    <row r="2313" hidden="1" x14ac:dyDescent="0.3"/>
    <row r="2314" hidden="1" x14ac:dyDescent="0.3"/>
    <row r="2315" hidden="1" x14ac:dyDescent="0.3"/>
    <row r="2316" hidden="1" x14ac:dyDescent="0.3"/>
    <row r="2317" hidden="1" x14ac:dyDescent="0.3"/>
    <row r="2318" hidden="1" x14ac:dyDescent="0.3"/>
    <row r="2319" hidden="1" x14ac:dyDescent="0.3"/>
    <row r="2320" hidden="1" x14ac:dyDescent="0.3"/>
    <row r="2321" hidden="1" x14ac:dyDescent="0.3"/>
    <row r="2322" hidden="1" x14ac:dyDescent="0.3"/>
    <row r="2323" hidden="1" x14ac:dyDescent="0.3"/>
    <row r="2324" hidden="1" x14ac:dyDescent="0.3"/>
    <row r="2325" hidden="1" x14ac:dyDescent="0.3"/>
    <row r="2326" hidden="1" x14ac:dyDescent="0.3"/>
    <row r="2327" hidden="1" x14ac:dyDescent="0.3"/>
    <row r="2328" hidden="1" x14ac:dyDescent="0.3"/>
    <row r="2329" hidden="1" x14ac:dyDescent="0.3"/>
    <row r="2330" hidden="1" x14ac:dyDescent="0.3"/>
    <row r="2331" hidden="1" x14ac:dyDescent="0.3"/>
    <row r="2332" hidden="1" x14ac:dyDescent="0.3"/>
    <row r="2333" hidden="1" x14ac:dyDescent="0.3"/>
    <row r="2334" hidden="1" x14ac:dyDescent="0.3"/>
    <row r="2335" hidden="1" x14ac:dyDescent="0.3"/>
    <row r="2336" hidden="1" x14ac:dyDescent="0.3"/>
    <row r="2337" hidden="1" x14ac:dyDescent="0.3"/>
    <row r="2338" hidden="1" x14ac:dyDescent="0.3"/>
    <row r="2339" hidden="1" x14ac:dyDescent="0.3"/>
    <row r="2340" hidden="1" x14ac:dyDescent="0.3"/>
    <row r="2341" hidden="1" x14ac:dyDescent="0.3"/>
    <row r="2342" hidden="1" x14ac:dyDescent="0.3"/>
    <row r="2343" hidden="1" x14ac:dyDescent="0.3"/>
    <row r="2344" hidden="1" x14ac:dyDescent="0.3"/>
    <row r="2345" hidden="1" x14ac:dyDescent="0.3"/>
    <row r="2346" hidden="1" x14ac:dyDescent="0.3"/>
    <row r="2347" hidden="1" x14ac:dyDescent="0.3"/>
    <row r="2348" hidden="1" x14ac:dyDescent="0.3"/>
    <row r="2349" hidden="1" x14ac:dyDescent="0.3"/>
    <row r="2350" hidden="1" x14ac:dyDescent="0.3"/>
    <row r="2351" hidden="1" x14ac:dyDescent="0.3"/>
    <row r="2352" hidden="1" x14ac:dyDescent="0.3"/>
    <row r="2353" hidden="1" x14ac:dyDescent="0.3"/>
    <row r="2354" hidden="1" x14ac:dyDescent="0.3"/>
    <row r="2355" hidden="1" x14ac:dyDescent="0.3"/>
    <row r="2356" hidden="1" x14ac:dyDescent="0.3"/>
    <row r="2357" hidden="1" x14ac:dyDescent="0.3"/>
    <row r="2358" hidden="1" x14ac:dyDescent="0.3"/>
    <row r="2359" hidden="1" x14ac:dyDescent="0.3"/>
    <row r="2360" hidden="1" x14ac:dyDescent="0.3"/>
    <row r="2361" hidden="1" x14ac:dyDescent="0.3"/>
    <row r="2362" hidden="1" x14ac:dyDescent="0.3"/>
    <row r="2363" hidden="1" x14ac:dyDescent="0.3"/>
    <row r="2364" hidden="1" x14ac:dyDescent="0.3"/>
    <row r="2365" hidden="1" x14ac:dyDescent="0.3"/>
    <row r="2366" hidden="1" x14ac:dyDescent="0.3"/>
    <row r="2367" hidden="1" x14ac:dyDescent="0.3"/>
    <row r="2368" hidden="1" x14ac:dyDescent="0.3"/>
    <row r="2369" hidden="1" x14ac:dyDescent="0.3"/>
    <row r="2370" hidden="1" x14ac:dyDescent="0.3"/>
    <row r="2371" hidden="1" x14ac:dyDescent="0.3"/>
    <row r="2372" hidden="1" x14ac:dyDescent="0.3"/>
    <row r="2373" hidden="1" x14ac:dyDescent="0.3"/>
    <row r="2374" hidden="1" x14ac:dyDescent="0.3"/>
    <row r="2375" hidden="1" x14ac:dyDescent="0.3"/>
    <row r="2376" hidden="1" x14ac:dyDescent="0.3"/>
    <row r="2377" hidden="1" x14ac:dyDescent="0.3"/>
    <row r="2378" hidden="1" x14ac:dyDescent="0.3"/>
    <row r="2379" hidden="1" x14ac:dyDescent="0.3"/>
    <row r="2380" hidden="1" x14ac:dyDescent="0.3"/>
    <row r="2381" hidden="1" x14ac:dyDescent="0.3"/>
    <row r="2382" hidden="1" x14ac:dyDescent="0.3"/>
    <row r="2383" hidden="1" x14ac:dyDescent="0.3"/>
    <row r="2384" hidden="1" x14ac:dyDescent="0.3"/>
    <row r="2385" hidden="1" x14ac:dyDescent="0.3"/>
    <row r="2386" hidden="1" x14ac:dyDescent="0.3"/>
    <row r="2387" hidden="1" x14ac:dyDescent="0.3"/>
    <row r="2388" hidden="1" x14ac:dyDescent="0.3"/>
    <row r="2389" hidden="1" x14ac:dyDescent="0.3"/>
    <row r="2390" hidden="1" x14ac:dyDescent="0.3"/>
    <row r="2391" hidden="1" x14ac:dyDescent="0.3"/>
    <row r="2392" hidden="1" x14ac:dyDescent="0.3"/>
    <row r="2393" hidden="1" x14ac:dyDescent="0.3"/>
    <row r="2394" hidden="1" x14ac:dyDescent="0.3"/>
    <row r="2395" hidden="1" x14ac:dyDescent="0.3"/>
    <row r="2396" hidden="1" x14ac:dyDescent="0.3"/>
    <row r="2397" hidden="1" x14ac:dyDescent="0.3"/>
    <row r="2398" hidden="1" x14ac:dyDescent="0.3"/>
    <row r="2399" hidden="1" x14ac:dyDescent="0.3"/>
    <row r="2400" hidden="1" x14ac:dyDescent="0.3"/>
    <row r="2401" hidden="1" x14ac:dyDescent="0.3"/>
    <row r="2402" hidden="1" x14ac:dyDescent="0.3"/>
    <row r="2403" hidden="1" x14ac:dyDescent="0.3"/>
    <row r="2404" hidden="1" x14ac:dyDescent="0.3"/>
    <row r="2405" hidden="1" x14ac:dyDescent="0.3"/>
    <row r="2406" hidden="1" x14ac:dyDescent="0.3"/>
    <row r="2407" hidden="1" x14ac:dyDescent="0.3"/>
    <row r="2408" hidden="1" x14ac:dyDescent="0.3"/>
    <row r="2409" hidden="1" x14ac:dyDescent="0.3"/>
    <row r="2410" hidden="1" x14ac:dyDescent="0.3"/>
    <row r="2411" hidden="1" x14ac:dyDescent="0.3"/>
    <row r="2412" hidden="1" x14ac:dyDescent="0.3"/>
    <row r="2413" hidden="1" x14ac:dyDescent="0.3"/>
    <row r="2414" hidden="1" x14ac:dyDescent="0.3"/>
    <row r="2415" hidden="1" x14ac:dyDescent="0.3"/>
    <row r="2416" hidden="1" x14ac:dyDescent="0.3"/>
    <row r="2417" hidden="1" x14ac:dyDescent="0.3"/>
    <row r="2418" hidden="1" x14ac:dyDescent="0.3"/>
    <row r="2419" hidden="1" x14ac:dyDescent="0.3"/>
    <row r="2420" hidden="1" x14ac:dyDescent="0.3"/>
    <row r="2421" hidden="1" x14ac:dyDescent="0.3"/>
    <row r="2422" hidden="1" x14ac:dyDescent="0.3"/>
    <row r="2423" hidden="1" x14ac:dyDescent="0.3"/>
    <row r="2424" hidden="1" x14ac:dyDescent="0.3"/>
    <row r="2425" hidden="1" x14ac:dyDescent="0.3"/>
    <row r="2426" hidden="1" x14ac:dyDescent="0.3"/>
    <row r="2427" hidden="1" x14ac:dyDescent="0.3"/>
    <row r="2428" hidden="1" x14ac:dyDescent="0.3"/>
    <row r="2429" hidden="1" x14ac:dyDescent="0.3"/>
    <row r="2430" hidden="1" x14ac:dyDescent="0.3"/>
    <row r="2431" hidden="1" x14ac:dyDescent="0.3"/>
    <row r="2432" hidden="1" x14ac:dyDescent="0.3"/>
    <row r="2433" hidden="1" x14ac:dyDescent="0.3"/>
    <row r="2434" hidden="1" x14ac:dyDescent="0.3"/>
    <row r="2435" hidden="1" x14ac:dyDescent="0.3"/>
    <row r="2436" hidden="1" x14ac:dyDescent="0.3"/>
    <row r="2437" hidden="1" x14ac:dyDescent="0.3"/>
    <row r="2438" hidden="1" x14ac:dyDescent="0.3"/>
    <row r="2439" hidden="1" x14ac:dyDescent="0.3"/>
    <row r="2440" hidden="1" x14ac:dyDescent="0.3"/>
    <row r="2441" hidden="1" x14ac:dyDescent="0.3"/>
    <row r="2442" hidden="1" x14ac:dyDescent="0.3"/>
    <row r="2443" hidden="1" x14ac:dyDescent="0.3"/>
    <row r="2444" hidden="1" x14ac:dyDescent="0.3"/>
    <row r="2445" hidden="1" x14ac:dyDescent="0.3"/>
    <row r="2446" hidden="1" x14ac:dyDescent="0.3"/>
    <row r="2447" hidden="1" x14ac:dyDescent="0.3"/>
    <row r="2448" hidden="1" x14ac:dyDescent="0.3"/>
    <row r="2449" hidden="1" x14ac:dyDescent="0.3"/>
    <row r="2450" hidden="1" x14ac:dyDescent="0.3"/>
    <row r="2451" hidden="1" x14ac:dyDescent="0.3"/>
    <row r="2452" hidden="1" x14ac:dyDescent="0.3"/>
    <row r="2453" hidden="1" x14ac:dyDescent="0.3"/>
    <row r="2454" hidden="1" x14ac:dyDescent="0.3"/>
    <row r="2455" hidden="1" x14ac:dyDescent="0.3"/>
    <row r="2456" hidden="1" x14ac:dyDescent="0.3"/>
    <row r="2457" hidden="1" x14ac:dyDescent="0.3"/>
    <row r="2458" hidden="1" x14ac:dyDescent="0.3"/>
    <row r="2459" hidden="1" x14ac:dyDescent="0.3"/>
    <row r="2460" hidden="1" x14ac:dyDescent="0.3"/>
    <row r="2461" hidden="1" x14ac:dyDescent="0.3"/>
    <row r="2462" hidden="1" x14ac:dyDescent="0.3"/>
    <row r="2463" hidden="1" x14ac:dyDescent="0.3"/>
    <row r="2464" hidden="1" x14ac:dyDescent="0.3"/>
    <row r="2465" hidden="1" x14ac:dyDescent="0.3"/>
    <row r="2466" hidden="1" x14ac:dyDescent="0.3"/>
    <row r="2467" hidden="1" x14ac:dyDescent="0.3"/>
    <row r="2468" hidden="1" x14ac:dyDescent="0.3"/>
    <row r="2469" hidden="1" x14ac:dyDescent="0.3"/>
    <row r="2470" hidden="1" x14ac:dyDescent="0.3"/>
    <row r="2471" hidden="1" x14ac:dyDescent="0.3"/>
    <row r="2472" hidden="1" x14ac:dyDescent="0.3"/>
    <row r="2473" hidden="1" x14ac:dyDescent="0.3"/>
    <row r="2474" hidden="1" x14ac:dyDescent="0.3"/>
    <row r="2475" hidden="1" x14ac:dyDescent="0.3"/>
    <row r="2476" hidden="1" x14ac:dyDescent="0.3"/>
    <row r="2477" hidden="1" x14ac:dyDescent="0.3"/>
    <row r="2478" hidden="1" x14ac:dyDescent="0.3"/>
    <row r="2479" hidden="1" x14ac:dyDescent="0.3"/>
    <row r="2480" hidden="1" x14ac:dyDescent="0.3"/>
    <row r="2481" hidden="1" x14ac:dyDescent="0.3"/>
    <row r="2482" hidden="1" x14ac:dyDescent="0.3"/>
    <row r="2483" hidden="1" x14ac:dyDescent="0.3"/>
    <row r="2484" hidden="1" x14ac:dyDescent="0.3"/>
    <row r="2485" hidden="1" x14ac:dyDescent="0.3"/>
    <row r="2486" hidden="1" x14ac:dyDescent="0.3"/>
    <row r="2487" hidden="1" x14ac:dyDescent="0.3"/>
    <row r="2488" hidden="1" x14ac:dyDescent="0.3"/>
    <row r="2489" hidden="1" x14ac:dyDescent="0.3"/>
    <row r="2490" hidden="1" x14ac:dyDescent="0.3"/>
    <row r="2491" hidden="1" x14ac:dyDescent="0.3"/>
    <row r="2492" hidden="1" x14ac:dyDescent="0.3"/>
    <row r="2493" hidden="1" x14ac:dyDescent="0.3"/>
    <row r="2494" hidden="1" x14ac:dyDescent="0.3"/>
    <row r="2495" hidden="1" x14ac:dyDescent="0.3"/>
    <row r="2496" hidden="1" x14ac:dyDescent="0.3"/>
    <row r="2497" hidden="1" x14ac:dyDescent="0.3"/>
    <row r="2498" hidden="1" x14ac:dyDescent="0.3"/>
    <row r="2499" hidden="1" x14ac:dyDescent="0.3"/>
    <row r="2500" hidden="1" x14ac:dyDescent="0.3"/>
    <row r="2501" hidden="1" x14ac:dyDescent="0.3"/>
    <row r="2502" hidden="1" x14ac:dyDescent="0.3"/>
    <row r="2503" hidden="1" x14ac:dyDescent="0.3"/>
    <row r="2504" hidden="1" x14ac:dyDescent="0.3"/>
    <row r="2505" hidden="1" x14ac:dyDescent="0.3"/>
    <row r="2506" hidden="1" x14ac:dyDescent="0.3"/>
    <row r="2507" hidden="1" x14ac:dyDescent="0.3"/>
    <row r="2508" hidden="1" x14ac:dyDescent="0.3"/>
    <row r="2509" hidden="1" x14ac:dyDescent="0.3"/>
    <row r="2510" hidden="1" x14ac:dyDescent="0.3"/>
    <row r="2511" hidden="1" x14ac:dyDescent="0.3"/>
    <row r="2512" hidden="1" x14ac:dyDescent="0.3"/>
    <row r="2513" hidden="1" x14ac:dyDescent="0.3"/>
    <row r="2514" hidden="1" x14ac:dyDescent="0.3"/>
    <row r="2515" hidden="1" x14ac:dyDescent="0.3"/>
    <row r="2516" hidden="1" x14ac:dyDescent="0.3"/>
    <row r="2517" hidden="1" x14ac:dyDescent="0.3"/>
    <row r="2518" hidden="1" x14ac:dyDescent="0.3"/>
    <row r="2519" hidden="1" x14ac:dyDescent="0.3"/>
    <row r="2520" hidden="1" x14ac:dyDescent="0.3"/>
    <row r="2521" hidden="1" x14ac:dyDescent="0.3"/>
    <row r="2522" hidden="1" x14ac:dyDescent="0.3"/>
    <row r="2523" hidden="1" x14ac:dyDescent="0.3"/>
    <row r="2524" hidden="1" x14ac:dyDescent="0.3"/>
    <row r="2525" hidden="1" x14ac:dyDescent="0.3"/>
    <row r="2526" hidden="1" x14ac:dyDescent="0.3"/>
    <row r="2527" hidden="1" x14ac:dyDescent="0.3"/>
    <row r="2528" hidden="1" x14ac:dyDescent="0.3"/>
    <row r="2529" hidden="1" x14ac:dyDescent="0.3"/>
    <row r="2530" hidden="1" x14ac:dyDescent="0.3"/>
    <row r="2531" hidden="1" x14ac:dyDescent="0.3"/>
    <row r="2532" hidden="1" x14ac:dyDescent="0.3"/>
    <row r="2533" hidden="1" x14ac:dyDescent="0.3"/>
    <row r="2534" hidden="1" x14ac:dyDescent="0.3"/>
    <row r="2535" hidden="1" x14ac:dyDescent="0.3"/>
    <row r="2536" hidden="1" x14ac:dyDescent="0.3"/>
    <row r="2537" hidden="1" x14ac:dyDescent="0.3"/>
    <row r="2538" hidden="1" x14ac:dyDescent="0.3"/>
    <row r="2539" hidden="1" x14ac:dyDescent="0.3"/>
    <row r="2540" hidden="1" x14ac:dyDescent="0.3"/>
    <row r="2541" hidden="1" x14ac:dyDescent="0.3"/>
    <row r="2542" hidden="1" x14ac:dyDescent="0.3"/>
    <row r="2543" hidden="1" x14ac:dyDescent="0.3"/>
    <row r="2544" hidden="1" x14ac:dyDescent="0.3"/>
    <row r="2545" hidden="1" x14ac:dyDescent="0.3"/>
    <row r="2546" hidden="1" x14ac:dyDescent="0.3"/>
    <row r="2547" hidden="1" x14ac:dyDescent="0.3"/>
    <row r="2548" hidden="1" x14ac:dyDescent="0.3"/>
    <row r="2549" hidden="1" x14ac:dyDescent="0.3"/>
    <row r="2550" hidden="1" x14ac:dyDescent="0.3"/>
    <row r="2551" hidden="1" x14ac:dyDescent="0.3"/>
    <row r="2552" hidden="1" x14ac:dyDescent="0.3"/>
    <row r="2553" hidden="1" x14ac:dyDescent="0.3"/>
    <row r="2554" hidden="1" x14ac:dyDescent="0.3"/>
    <row r="2555" hidden="1" x14ac:dyDescent="0.3"/>
    <row r="2556" hidden="1" x14ac:dyDescent="0.3"/>
    <row r="2557" hidden="1" x14ac:dyDescent="0.3"/>
    <row r="2558" hidden="1" x14ac:dyDescent="0.3"/>
    <row r="2559" hidden="1" x14ac:dyDescent="0.3"/>
    <row r="2560" hidden="1" x14ac:dyDescent="0.3"/>
    <row r="2561" hidden="1" x14ac:dyDescent="0.3"/>
    <row r="2562" hidden="1" x14ac:dyDescent="0.3"/>
    <row r="2563" hidden="1" x14ac:dyDescent="0.3"/>
    <row r="2564" hidden="1" x14ac:dyDescent="0.3"/>
    <row r="2565" hidden="1" x14ac:dyDescent="0.3"/>
    <row r="2566" hidden="1" x14ac:dyDescent="0.3"/>
    <row r="2567" hidden="1" x14ac:dyDescent="0.3"/>
    <row r="2568" hidden="1" x14ac:dyDescent="0.3"/>
    <row r="2569" hidden="1" x14ac:dyDescent="0.3"/>
    <row r="2570" hidden="1" x14ac:dyDescent="0.3"/>
    <row r="2571" hidden="1" x14ac:dyDescent="0.3"/>
    <row r="2572" hidden="1" x14ac:dyDescent="0.3"/>
    <row r="2573" hidden="1" x14ac:dyDescent="0.3"/>
    <row r="2574" hidden="1" x14ac:dyDescent="0.3"/>
    <row r="2575" hidden="1" x14ac:dyDescent="0.3"/>
    <row r="2576" hidden="1" x14ac:dyDescent="0.3"/>
    <row r="2577" hidden="1" x14ac:dyDescent="0.3"/>
    <row r="2578" hidden="1" x14ac:dyDescent="0.3"/>
    <row r="2579" hidden="1" x14ac:dyDescent="0.3"/>
    <row r="2580" hidden="1" x14ac:dyDescent="0.3"/>
    <row r="2581" hidden="1" x14ac:dyDescent="0.3"/>
    <row r="2582" hidden="1" x14ac:dyDescent="0.3"/>
    <row r="2583" hidden="1" x14ac:dyDescent="0.3"/>
    <row r="2584" hidden="1" x14ac:dyDescent="0.3"/>
    <row r="2585" hidden="1" x14ac:dyDescent="0.3"/>
    <row r="2586" hidden="1" x14ac:dyDescent="0.3"/>
    <row r="2587" hidden="1" x14ac:dyDescent="0.3"/>
    <row r="2588" hidden="1" x14ac:dyDescent="0.3"/>
    <row r="2589" hidden="1" x14ac:dyDescent="0.3"/>
    <row r="2590" hidden="1" x14ac:dyDescent="0.3"/>
    <row r="2591" hidden="1" x14ac:dyDescent="0.3"/>
    <row r="2592" hidden="1" x14ac:dyDescent="0.3"/>
    <row r="2593" hidden="1" x14ac:dyDescent="0.3"/>
    <row r="2594" hidden="1" x14ac:dyDescent="0.3"/>
    <row r="2595" hidden="1" x14ac:dyDescent="0.3"/>
    <row r="2596" hidden="1" x14ac:dyDescent="0.3"/>
    <row r="2597" hidden="1" x14ac:dyDescent="0.3"/>
    <row r="2598" hidden="1" x14ac:dyDescent="0.3"/>
    <row r="2599" hidden="1" x14ac:dyDescent="0.3"/>
    <row r="2600" hidden="1" x14ac:dyDescent="0.3"/>
    <row r="2601" hidden="1" x14ac:dyDescent="0.3"/>
    <row r="2602" hidden="1" x14ac:dyDescent="0.3"/>
    <row r="2603" hidden="1" x14ac:dyDescent="0.3"/>
    <row r="2604" hidden="1" x14ac:dyDescent="0.3"/>
    <row r="2605" hidden="1" x14ac:dyDescent="0.3"/>
    <row r="2606" hidden="1" x14ac:dyDescent="0.3"/>
    <row r="2607" hidden="1" x14ac:dyDescent="0.3"/>
    <row r="2608" hidden="1" x14ac:dyDescent="0.3"/>
    <row r="2609" hidden="1" x14ac:dyDescent="0.3"/>
    <row r="2610" hidden="1" x14ac:dyDescent="0.3"/>
    <row r="2611" hidden="1" x14ac:dyDescent="0.3"/>
    <row r="2612" hidden="1" x14ac:dyDescent="0.3"/>
    <row r="2613" hidden="1" x14ac:dyDescent="0.3"/>
    <row r="2614" hidden="1" x14ac:dyDescent="0.3"/>
    <row r="2615" hidden="1" x14ac:dyDescent="0.3"/>
    <row r="2616" hidden="1" x14ac:dyDescent="0.3"/>
    <row r="2617" hidden="1" x14ac:dyDescent="0.3"/>
    <row r="2618" hidden="1" x14ac:dyDescent="0.3"/>
    <row r="2619" hidden="1" x14ac:dyDescent="0.3"/>
    <row r="2620" hidden="1" x14ac:dyDescent="0.3"/>
    <row r="2621" hidden="1" x14ac:dyDescent="0.3"/>
    <row r="2622" hidden="1" x14ac:dyDescent="0.3"/>
    <row r="2623" hidden="1" x14ac:dyDescent="0.3"/>
    <row r="2624" hidden="1" x14ac:dyDescent="0.3"/>
    <row r="2625" hidden="1" x14ac:dyDescent="0.3"/>
    <row r="2626" hidden="1" x14ac:dyDescent="0.3"/>
    <row r="2627" hidden="1" x14ac:dyDescent="0.3"/>
    <row r="2628" hidden="1" x14ac:dyDescent="0.3"/>
    <row r="2629" hidden="1" x14ac:dyDescent="0.3"/>
    <row r="2630" hidden="1" x14ac:dyDescent="0.3"/>
    <row r="2631" hidden="1" x14ac:dyDescent="0.3"/>
    <row r="2632" hidden="1" x14ac:dyDescent="0.3"/>
    <row r="2633" hidden="1" x14ac:dyDescent="0.3"/>
    <row r="2634" hidden="1" x14ac:dyDescent="0.3"/>
    <row r="2635" hidden="1" x14ac:dyDescent="0.3"/>
    <row r="2636" hidden="1" x14ac:dyDescent="0.3"/>
    <row r="2637" hidden="1" x14ac:dyDescent="0.3"/>
    <row r="2638" hidden="1" x14ac:dyDescent="0.3"/>
    <row r="2639" hidden="1" x14ac:dyDescent="0.3"/>
    <row r="2640" hidden="1" x14ac:dyDescent="0.3"/>
    <row r="2641" hidden="1" x14ac:dyDescent="0.3"/>
    <row r="2642" hidden="1" x14ac:dyDescent="0.3"/>
    <row r="2643" hidden="1" x14ac:dyDescent="0.3"/>
    <row r="2644" hidden="1" x14ac:dyDescent="0.3"/>
    <row r="2645" hidden="1" x14ac:dyDescent="0.3"/>
    <row r="2646" hidden="1" x14ac:dyDescent="0.3"/>
    <row r="2647" hidden="1" x14ac:dyDescent="0.3"/>
    <row r="2648" hidden="1" x14ac:dyDescent="0.3"/>
    <row r="2649" hidden="1" x14ac:dyDescent="0.3"/>
    <row r="2650" hidden="1" x14ac:dyDescent="0.3"/>
    <row r="2651" hidden="1" x14ac:dyDescent="0.3"/>
    <row r="2652" hidden="1" x14ac:dyDescent="0.3"/>
    <row r="2653" hidden="1" x14ac:dyDescent="0.3"/>
    <row r="2654" hidden="1" x14ac:dyDescent="0.3"/>
    <row r="2655" hidden="1" x14ac:dyDescent="0.3"/>
    <row r="2656" hidden="1" x14ac:dyDescent="0.3"/>
    <row r="2657" hidden="1" x14ac:dyDescent="0.3"/>
    <row r="2658" hidden="1" x14ac:dyDescent="0.3"/>
    <row r="2659" hidden="1" x14ac:dyDescent="0.3"/>
    <row r="2660" hidden="1" x14ac:dyDescent="0.3"/>
    <row r="2661" hidden="1" x14ac:dyDescent="0.3"/>
    <row r="2662" hidden="1" x14ac:dyDescent="0.3"/>
    <row r="2663" hidden="1" x14ac:dyDescent="0.3"/>
    <row r="2664" hidden="1" x14ac:dyDescent="0.3"/>
    <row r="2665" hidden="1" x14ac:dyDescent="0.3"/>
    <row r="2666" hidden="1" x14ac:dyDescent="0.3"/>
    <row r="2667" hidden="1" x14ac:dyDescent="0.3"/>
    <row r="2668" hidden="1" x14ac:dyDescent="0.3"/>
    <row r="2669" hidden="1" x14ac:dyDescent="0.3"/>
    <row r="2670" hidden="1" x14ac:dyDescent="0.3"/>
    <row r="2671" hidden="1" x14ac:dyDescent="0.3"/>
    <row r="2672" hidden="1" x14ac:dyDescent="0.3"/>
    <row r="2673" hidden="1" x14ac:dyDescent="0.3"/>
    <row r="2674" hidden="1" x14ac:dyDescent="0.3"/>
    <row r="2675" hidden="1" x14ac:dyDescent="0.3"/>
    <row r="2676" hidden="1" x14ac:dyDescent="0.3"/>
    <row r="2677" hidden="1" x14ac:dyDescent="0.3"/>
    <row r="2678" hidden="1" x14ac:dyDescent="0.3"/>
    <row r="2679" hidden="1" x14ac:dyDescent="0.3"/>
    <row r="2680" hidden="1" x14ac:dyDescent="0.3"/>
    <row r="2681" hidden="1" x14ac:dyDescent="0.3"/>
    <row r="2682" hidden="1" x14ac:dyDescent="0.3"/>
    <row r="2683" hidden="1" x14ac:dyDescent="0.3"/>
    <row r="2684" hidden="1" x14ac:dyDescent="0.3"/>
    <row r="2685" hidden="1" x14ac:dyDescent="0.3"/>
    <row r="2686" hidden="1" x14ac:dyDescent="0.3"/>
    <row r="2687" hidden="1" x14ac:dyDescent="0.3"/>
    <row r="2688" hidden="1" x14ac:dyDescent="0.3"/>
    <row r="2689" hidden="1" x14ac:dyDescent="0.3"/>
    <row r="2690" hidden="1" x14ac:dyDescent="0.3"/>
    <row r="2691" hidden="1" x14ac:dyDescent="0.3"/>
    <row r="2692" hidden="1" x14ac:dyDescent="0.3"/>
    <row r="2693" hidden="1" x14ac:dyDescent="0.3"/>
    <row r="2694" hidden="1" x14ac:dyDescent="0.3"/>
    <row r="2695" hidden="1" x14ac:dyDescent="0.3"/>
    <row r="2696" hidden="1" x14ac:dyDescent="0.3"/>
    <row r="2697" hidden="1" x14ac:dyDescent="0.3"/>
    <row r="2698" hidden="1" x14ac:dyDescent="0.3"/>
    <row r="2699" hidden="1" x14ac:dyDescent="0.3"/>
    <row r="2700" hidden="1" x14ac:dyDescent="0.3"/>
    <row r="2701" hidden="1" x14ac:dyDescent="0.3"/>
    <row r="2702" hidden="1" x14ac:dyDescent="0.3"/>
    <row r="2703" hidden="1" x14ac:dyDescent="0.3"/>
    <row r="2704" hidden="1" x14ac:dyDescent="0.3"/>
    <row r="2705" hidden="1" x14ac:dyDescent="0.3"/>
    <row r="2706" hidden="1" x14ac:dyDescent="0.3"/>
    <row r="2707" hidden="1" x14ac:dyDescent="0.3"/>
    <row r="2708" hidden="1" x14ac:dyDescent="0.3"/>
    <row r="2709" hidden="1" x14ac:dyDescent="0.3"/>
    <row r="2710" hidden="1" x14ac:dyDescent="0.3"/>
    <row r="2711" hidden="1" x14ac:dyDescent="0.3"/>
    <row r="2712" hidden="1" x14ac:dyDescent="0.3"/>
    <row r="2713" hidden="1" x14ac:dyDescent="0.3"/>
    <row r="2714" hidden="1" x14ac:dyDescent="0.3"/>
    <row r="2715" hidden="1" x14ac:dyDescent="0.3"/>
    <row r="2716" hidden="1" x14ac:dyDescent="0.3"/>
    <row r="2717" hidden="1" x14ac:dyDescent="0.3"/>
    <row r="2718" hidden="1" x14ac:dyDescent="0.3"/>
    <row r="2719" hidden="1" x14ac:dyDescent="0.3"/>
    <row r="2720" hidden="1" x14ac:dyDescent="0.3"/>
    <row r="2721" hidden="1" x14ac:dyDescent="0.3"/>
    <row r="2722" hidden="1" x14ac:dyDescent="0.3"/>
    <row r="2723" hidden="1" x14ac:dyDescent="0.3"/>
    <row r="2724" hidden="1" x14ac:dyDescent="0.3"/>
    <row r="2725" hidden="1" x14ac:dyDescent="0.3"/>
    <row r="2726" hidden="1" x14ac:dyDescent="0.3"/>
    <row r="2727" hidden="1" x14ac:dyDescent="0.3"/>
    <row r="2728" hidden="1" x14ac:dyDescent="0.3"/>
    <row r="2729" hidden="1" x14ac:dyDescent="0.3"/>
    <row r="2730" hidden="1" x14ac:dyDescent="0.3"/>
    <row r="2731" hidden="1" x14ac:dyDescent="0.3"/>
    <row r="2732" hidden="1" x14ac:dyDescent="0.3"/>
    <row r="2733" hidden="1" x14ac:dyDescent="0.3"/>
    <row r="2734" hidden="1" x14ac:dyDescent="0.3"/>
    <row r="2735" hidden="1" x14ac:dyDescent="0.3"/>
    <row r="2736" hidden="1" x14ac:dyDescent="0.3"/>
    <row r="2737" hidden="1" x14ac:dyDescent="0.3"/>
    <row r="2738" hidden="1" x14ac:dyDescent="0.3"/>
    <row r="2739" hidden="1" x14ac:dyDescent="0.3"/>
    <row r="2740" hidden="1" x14ac:dyDescent="0.3"/>
    <row r="2741" hidden="1" x14ac:dyDescent="0.3"/>
    <row r="2742" hidden="1" x14ac:dyDescent="0.3"/>
    <row r="2743" hidden="1" x14ac:dyDescent="0.3"/>
    <row r="2744" hidden="1" x14ac:dyDescent="0.3"/>
    <row r="2745" hidden="1" x14ac:dyDescent="0.3"/>
    <row r="2746" hidden="1" x14ac:dyDescent="0.3"/>
    <row r="2747" hidden="1" x14ac:dyDescent="0.3"/>
    <row r="2748" hidden="1" x14ac:dyDescent="0.3"/>
    <row r="2749" hidden="1" x14ac:dyDescent="0.3"/>
    <row r="2750" hidden="1" x14ac:dyDescent="0.3"/>
    <row r="2751" hidden="1" x14ac:dyDescent="0.3"/>
    <row r="2752" hidden="1" x14ac:dyDescent="0.3"/>
    <row r="2753" hidden="1" x14ac:dyDescent="0.3"/>
    <row r="2754" hidden="1" x14ac:dyDescent="0.3"/>
    <row r="2755" hidden="1" x14ac:dyDescent="0.3"/>
    <row r="2756" hidden="1" x14ac:dyDescent="0.3"/>
    <row r="2757" hidden="1" x14ac:dyDescent="0.3"/>
    <row r="2758" hidden="1" x14ac:dyDescent="0.3"/>
    <row r="2759" hidden="1" x14ac:dyDescent="0.3"/>
    <row r="2760" hidden="1" x14ac:dyDescent="0.3"/>
    <row r="2761" hidden="1" x14ac:dyDescent="0.3"/>
    <row r="2762" hidden="1" x14ac:dyDescent="0.3"/>
    <row r="2763" hidden="1" x14ac:dyDescent="0.3"/>
    <row r="2764" hidden="1" x14ac:dyDescent="0.3"/>
    <row r="2765" hidden="1" x14ac:dyDescent="0.3"/>
    <row r="2766" hidden="1" x14ac:dyDescent="0.3"/>
    <row r="2767" hidden="1" x14ac:dyDescent="0.3"/>
    <row r="2768" hidden="1" x14ac:dyDescent="0.3"/>
    <row r="2769" hidden="1" x14ac:dyDescent="0.3"/>
    <row r="2770" hidden="1" x14ac:dyDescent="0.3"/>
    <row r="2771" hidden="1" x14ac:dyDescent="0.3"/>
    <row r="2772" hidden="1" x14ac:dyDescent="0.3"/>
    <row r="2773" hidden="1" x14ac:dyDescent="0.3"/>
    <row r="2774" hidden="1" x14ac:dyDescent="0.3"/>
    <row r="2775" hidden="1" x14ac:dyDescent="0.3"/>
    <row r="2776" hidden="1" x14ac:dyDescent="0.3"/>
    <row r="2777" hidden="1" x14ac:dyDescent="0.3"/>
    <row r="2778" hidden="1" x14ac:dyDescent="0.3"/>
    <row r="2779" hidden="1" x14ac:dyDescent="0.3"/>
    <row r="2780" hidden="1" x14ac:dyDescent="0.3"/>
    <row r="2781" hidden="1" x14ac:dyDescent="0.3"/>
    <row r="2782" hidden="1" x14ac:dyDescent="0.3"/>
    <row r="2783" hidden="1" x14ac:dyDescent="0.3"/>
    <row r="2784" hidden="1" x14ac:dyDescent="0.3"/>
    <row r="2785" hidden="1" x14ac:dyDescent="0.3"/>
    <row r="2786" hidden="1" x14ac:dyDescent="0.3"/>
    <row r="2787" hidden="1" x14ac:dyDescent="0.3"/>
    <row r="2788" hidden="1" x14ac:dyDescent="0.3"/>
    <row r="2789" hidden="1" x14ac:dyDescent="0.3"/>
    <row r="2790" hidden="1" x14ac:dyDescent="0.3"/>
    <row r="2791" hidden="1" x14ac:dyDescent="0.3"/>
    <row r="2792" hidden="1" x14ac:dyDescent="0.3"/>
    <row r="2793" hidden="1" x14ac:dyDescent="0.3"/>
    <row r="2794" hidden="1" x14ac:dyDescent="0.3"/>
    <row r="2795" hidden="1" x14ac:dyDescent="0.3"/>
    <row r="2796" hidden="1" x14ac:dyDescent="0.3"/>
    <row r="2797" hidden="1" x14ac:dyDescent="0.3"/>
    <row r="2798" hidden="1" x14ac:dyDescent="0.3"/>
    <row r="2799" hidden="1" x14ac:dyDescent="0.3"/>
    <row r="2800" hidden="1" x14ac:dyDescent="0.3"/>
    <row r="2801" hidden="1" x14ac:dyDescent="0.3"/>
    <row r="2802" hidden="1" x14ac:dyDescent="0.3"/>
    <row r="2803" hidden="1" x14ac:dyDescent="0.3"/>
    <row r="2804" hidden="1" x14ac:dyDescent="0.3"/>
    <row r="2805" hidden="1" x14ac:dyDescent="0.3"/>
    <row r="2806" hidden="1" x14ac:dyDescent="0.3"/>
    <row r="2807" hidden="1" x14ac:dyDescent="0.3"/>
    <row r="2808" hidden="1" x14ac:dyDescent="0.3"/>
    <row r="2809" hidden="1" x14ac:dyDescent="0.3"/>
    <row r="2810" hidden="1" x14ac:dyDescent="0.3"/>
    <row r="2811" hidden="1" x14ac:dyDescent="0.3"/>
    <row r="2812" hidden="1" x14ac:dyDescent="0.3"/>
    <row r="2813" hidden="1" x14ac:dyDescent="0.3"/>
    <row r="2814" hidden="1" x14ac:dyDescent="0.3"/>
    <row r="2815" hidden="1" x14ac:dyDescent="0.3"/>
    <row r="2816" hidden="1" x14ac:dyDescent="0.3"/>
    <row r="2817" hidden="1" x14ac:dyDescent="0.3"/>
    <row r="2818" hidden="1" x14ac:dyDescent="0.3"/>
    <row r="2819" hidden="1" x14ac:dyDescent="0.3"/>
    <row r="2820" hidden="1" x14ac:dyDescent="0.3"/>
    <row r="2821" hidden="1" x14ac:dyDescent="0.3"/>
    <row r="2822" hidden="1" x14ac:dyDescent="0.3"/>
    <row r="2823" hidden="1" x14ac:dyDescent="0.3"/>
    <row r="2824" hidden="1" x14ac:dyDescent="0.3"/>
    <row r="2825" hidden="1" x14ac:dyDescent="0.3"/>
    <row r="2826" hidden="1" x14ac:dyDescent="0.3"/>
    <row r="2827" hidden="1" x14ac:dyDescent="0.3"/>
    <row r="2828" hidden="1" x14ac:dyDescent="0.3"/>
    <row r="2829" hidden="1" x14ac:dyDescent="0.3"/>
    <row r="2830" hidden="1" x14ac:dyDescent="0.3"/>
    <row r="2831" hidden="1" x14ac:dyDescent="0.3"/>
    <row r="2832" hidden="1" x14ac:dyDescent="0.3"/>
    <row r="2833" hidden="1" x14ac:dyDescent="0.3"/>
    <row r="2834" hidden="1" x14ac:dyDescent="0.3"/>
    <row r="2835" hidden="1" x14ac:dyDescent="0.3"/>
    <row r="2836" hidden="1" x14ac:dyDescent="0.3"/>
    <row r="2837" hidden="1" x14ac:dyDescent="0.3"/>
    <row r="2838" hidden="1" x14ac:dyDescent="0.3"/>
    <row r="2839" hidden="1" x14ac:dyDescent="0.3"/>
    <row r="2840" hidden="1" x14ac:dyDescent="0.3"/>
    <row r="2841" hidden="1" x14ac:dyDescent="0.3"/>
    <row r="2842" hidden="1" x14ac:dyDescent="0.3"/>
    <row r="2843" hidden="1" x14ac:dyDescent="0.3"/>
    <row r="2844" hidden="1" x14ac:dyDescent="0.3"/>
    <row r="2845" hidden="1" x14ac:dyDescent="0.3"/>
    <row r="2846" hidden="1" x14ac:dyDescent="0.3"/>
    <row r="2847" hidden="1" x14ac:dyDescent="0.3"/>
    <row r="2848" hidden="1" x14ac:dyDescent="0.3"/>
    <row r="2849" hidden="1" x14ac:dyDescent="0.3"/>
    <row r="2850" hidden="1" x14ac:dyDescent="0.3"/>
    <row r="2851" hidden="1" x14ac:dyDescent="0.3"/>
    <row r="2852" hidden="1" x14ac:dyDescent="0.3"/>
    <row r="2853" hidden="1" x14ac:dyDescent="0.3"/>
    <row r="2854" hidden="1" x14ac:dyDescent="0.3"/>
    <row r="2855" hidden="1" x14ac:dyDescent="0.3"/>
    <row r="2856" hidden="1" x14ac:dyDescent="0.3"/>
    <row r="2857" hidden="1" x14ac:dyDescent="0.3"/>
    <row r="2858" hidden="1" x14ac:dyDescent="0.3"/>
    <row r="2859" hidden="1" x14ac:dyDescent="0.3"/>
    <row r="2860" hidden="1" x14ac:dyDescent="0.3"/>
    <row r="2861" hidden="1" x14ac:dyDescent="0.3"/>
    <row r="2862" hidden="1" x14ac:dyDescent="0.3"/>
    <row r="2863" hidden="1" x14ac:dyDescent="0.3"/>
    <row r="2864" hidden="1" x14ac:dyDescent="0.3"/>
    <row r="2865" hidden="1" x14ac:dyDescent="0.3"/>
    <row r="2866" hidden="1" x14ac:dyDescent="0.3"/>
    <row r="2867" hidden="1" x14ac:dyDescent="0.3"/>
    <row r="2868" hidden="1" x14ac:dyDescent="0.3"/>
    <row r="2869" hidden="1" x14ac:dyDescent="0.3"/>
    <row r="2870" hidden="1" x14ac:dyDescent="0.3"/>
    <row r="2871" hidden="1" x14ac:dyDescent="0.3"/>
    <row r="2872" hidden="1" x14ac:dyDescent="0.3"/>
    <row r="2873" hidden="1" x14ac:dyDescent="0.3"/>
    <row r="2874" hidden="1" x14ac:dyDescent="0.3"/>
    <row r="2875" hidden="1" x14ac:dyDescent="0.3"/>
    <row r="2876" hidden="1" x14ac:dyDescent="0.3"/>
    <row r="2877" hidden="1" x14ac:dyDescent="0.3"/>
    <row r="2878" hidden="1" x14ac:dyDescent="0.3"/>
    <row r="2879" hidden="1" x14ac:dyDescent="0.3"/>
    <row r="2880" hidden="1" x14ac:dyDescent="0.3"/>
    <row r="2881" hidden="1" x14ac:dyDescent="0.3"/>
    <row r="2882" hidden="1" x14ac:dyDescent="0.3"/>
    <row r="2883" hidden="1" x14ac:dyDescent="0.3"/>
    <row r="2884" hidden="1" x14ac:dyDescent="0.3"/>
    <row r="2885" hidden="1" x14ac:dyDescent="0.3"/>
    <row r="2886" hidden="1" x14ac:dyDescent="0.3"/>
    <row r="2887" hidden="1" x14ac:dyDescent="0.3"/>
    <row r="2888" hidden="1" x14ac:dyDescent="0.3"/>
    <row r="2889" hidden="1" x14ac:dyDescent="0.3"/>
    <row r="2890" hidden="1" x14ac:dyDescent="0.3"/>
    <row r="2891" hidden="1" x14ac:dyDescent="0.3"/>
    <row r="2892" hidden="1" x14ac:dyDescent="0.3"/>
    <row r="2893" hidden="1" x14ac:dyDescent="0.3"/>
    <row r="2894" hidden="1" x14ac:dyDescent="0.3"/>
    <row r="2895" hidden="1" x14ac:dyDescent="0.3"/>
    <row r="2896" hidden="1" x14ac:dyDescent="0.3"/>
    <row r="2897" hidden="1" x14ac:dyDescent="0.3"/>
    <row r="2898" hidden="1" x14ac:dyDescent="0.3"/>
    <row r="2899" hidden="1" x14ac:dyDescent="0.3"/>
    <row r="2900" hidden="1" x14ac:dyDescent="0.3"/>
    <row r="2901" hidden="1" x14ac:dyDescent="0.3"/>
    <row r="2902" hidden="1" x14ac:dyDescent="0.3"/>
    <row r="2903" hidden="1" x14ac:dyDescent="0.3"/>
    <row r="2904" hidden="1" x14ac:dyDescent="0.3"/>
    <row r="2905" hidden="1" x14ac:dyDescent="0.3"/>
    <row r="2906" hidden="1" x14ac:dyDescent="0.3"/>
    <row r="2907" hidden="1" x14ac:dyDescent="0.3"/>
    <row r="2908" hidden="1" x14ac:dyDescent="0.3"/>
    <row r="2909" hidden="1" x14ac:dyDescent="0.3"/>
    <row r="2910" hidden="1" x14ac:dyDescent="0.3"/>
    <row r="2911" hidden="1" x14ac:dyDescent="0.3"/>
    <row r="2912" hidden="1" x14ac:dyDescent="0.3"/>
    <row r="2913" hidden="1" x14ac:dyDescent="0.3"/>
    <row r="2914" hidden="1" x14ac:dyDescent="0.3"/>
    <row r="2915" hidden="1" x14ac:dyDescent="0.3"/>
    <row r="2916" hidden="1" x14ac:dyDescent="0.3"/>
    <row r="2917" hidden="1" x14ac:dyDescent="0.3"/>
    <row r="2918" hidden="1" x14ac:dyDescent="0.3"/>
    <row r="2919" hidden="1" x14ac:dyDescent="0.3"/>
    <row r="2920" hidden="1" x14ac:dyDescent="0.3"/>
    <row r="2921" hidden="1" x14ac:dyDescent="0.3"/>
    <row r="2922" hidden="1" x14ac:dyDescent="0.3"/>
    <row r="2923" hidden="1" x14ac:dyDescent="0.3"/>
    <row r="2924" hidden="1" x14ac:dyDescent="0.3"/>
    <row r="2925" hidden="1" x14ac:dyDescent="0.3"/>
    <row r="2926" hidden="1" x14ac:dyDescent="0.3"/>
    <row r="2927" hidden="1" x14ac:dyDescent="0.3"/>
    <row r="2928" hidden="1" x14ac:dyDescent="0.3"/>
    <row r="2929" hidden="1" x14ac:dyDescent="0.3"/>
    <row r="2930" hidden="1" x14ac:dyDescent="0.3"/>
    <row r="2931" hidden="1" x14ac:dyDescent="0.3"/>
    <row r="2932" hidden="1" x14ac:dyDescent="0.3"/>
    <row r="2933" hidden="1" x14ac:dyDescent="0.3"/>
    <row r="2934" hidden="1" x14ac:dyDescent="0.3"/>
    <row r="2935" hidden="1" x14ac:dyDescent="0.3"/>
    <row r="2936" hidden="1" x14ac:dyDescent="0.3"/>
    <row r="2937" hidden="1" x14ac:dyDescent="0.3"/>
    <row r="2938" hidden="1" x14ac:dyDescent="0.3"/>
    <row r="2939" hidden="1" x14ac:dyDescent="0.3"/>
    <row r="2940" hidden="1" x14ac:dyDescent="0.3"/>
    <row r="2941" hidden="1" x14ac:dyDescent="0.3"/>
    <row r="2942" hidden="1" x14ac:dyDescent="0.3"/>
    <row r="2943" hidden="1" x14ac:dyDescent="0.3"/>
    <row r="2944" hidden="1" x14ac:dyDescent="0.3"/>
    <row r="2945" hidden="1" x14ac:dyDescent="0.3"/>
    <row r="2946" hidden="1" x14ac:dyDescent="0.3"/>
    <row r="2947" hidden="1" x14ac:dyDescent="0.3"/>
    <row r="2948" hidden="1" x14ac:dyDescent="0.3"/>
    <row r="2949" hidden="1" x14ac:dyDescent="0.3"/>
    <row r="2950" hidden="1" x14ac:dyDescent="0.3"/>
    <row r="2951" hidden="1" x14ac:dyDescent="0.3"/>
    <row r="2952" hidden="1" x14ac:dyDescent="0.3"/>
    <row r="2953" hidden="1" x14ac:dyDescent="0.3"/>
    <row r="2954" hidden="1" x14ac:dyDescent="0.3"/>
    <row r="2955" hidden="1" x14ac:dyDescent="0.3"/>
    <row r="2956" hidden="1" x14ac:dyDescent="0.3"/>
    <row r="2957" hidden="1" x14ac:dyDescent="0.3"/>
    <row r="2958" hidden="1" x14ac:dyDescent="0.3"/>
    <row r="2959" hidden="1" x14ac:dyDescent="0.3"/>
    <row r="2960" hidden="1" x14ac:dyDescent="0.3"/>
    <row r="2961" hidden="1" x14ac:dyDescent="0.3"/>
    <row r="2962" hidden="1" x14ac:dyDescent="0.3"/>
    <row r="2963" hidden="1" x14ac:dyDescent="0.3"/>
    <row r="2964" hidden="1" x14ac:dyDescent="0.3"/>
    <row r="2965" hidden="1" x14ac:dyDescent="0.3"/>
    <row r="2966" hidden="1" x14ac:dyDescent="0.3"/>
    <row r="2967" hidden="1" x14ac:dyDescent="0.3"/>
    <row r="2968" hidden="1" x14ac:dyDescent="0.3"/>
    <row r="2969" hidden="1" x14ac:dyDescent="0.3"/>
    <row r="2970" hidden="1" x14ac:dyDescent="0.3"/>
    <row r="2971" hidden="1" x14ac:dyDescent="0.3"/>
    <row r="2972" hidden="1" x14ac:dyDescent="0.3"/>
    <row r="2973" hidden="1" x14ac:dyDescent="0.3"/>
    <row r="2974" hidden="1" x14ac:dyDescent="0.3"/>
    <row r="2975" hidden="1" x14ac:dyDescent="0.3"/>
    <row r="2976" hidden="1" x14ac:dyDescent="0.3"/>
    <row r="2977" hidden="1" x14ac:dyDescent="0.3"/>
    <row r="2978" hidden="1" x14ac:dyDescent="0.3"/>
    <row r="2979" hidden="1" x14ac:dyDescent="0.3"/>
    <row r="2980" hidden="1" x14ac:dyDescent="0.3"/>
    <row r="2981" hidden="1" x14ac:dyDescent="0.3"/>
    <row r="2982" hidden="1" x14ac:dyDescent="0.3"/>
    <row r="2983" hidden="1" x14ac:dyDescent="0.3"/>
    <row r="2984" hidden="1" x14ac:dyDescent="0.3"/>
    <row r="2985" hidden="1" x14ac:dyDescent="0.3"/>
    <row r="2986" hidden="1" x14ac:dyDescent="0.3"/>
    <row r="2987" hidden="1" x14ac:dyDescent="0.3"/>
    <row r="2988" hidden="1" x14ac:dyDescent="0.3"/>
    <row r="2989" hidden="1" x14ac:dyDescent="0.3"/>
    <row r="2990" hidden="1" x14ac:dyDescent="0.3"/>
    <row r="2991" hidden="1" x14ac:dyDescent="0.3"/>
    <row r="2992" hidden="1" x14ac:dyDescent="0.3"/>
    <row r="2993" hidden="1" x14ac:dyDescent="0.3"/>
    <row r="2994" hidden="1" x14ac:dyDescent="0.3"/>
    <row r="2995" hidden="1" x14ac:dyDescent="0.3"/>
    <row r="2996" hidden="1" x14ac:dyDescent="0.3"/>
    <row r="2997" hidden="1" x14ac:dyDescent="0.3"/>
    <row r="2998" hidden="1" x14ac:dyDescent="0.3"/>
    <row r="2999" hidden="1" x14ac:dyDescent="0.3"/>
    <row r="3000" hidden="1" x14ac:dyDescent="0.3"/>
    <row r="3001" hidden="1" x14ac:dyDescent="0.3"/>
    <row r="3002" hidden="1" x14ac:dyDescent="0.3"/>
    <row r="3003" hidden="1" x14ac:dyDescent="0.3"/>
    <row r="3004" hidden="1" x14ac:dyDescent="0.3"/>
    <row r="3005" hidden="1" x14ac:dyDescent="0.3"/>
    <row r="3006" hidden="1" x14ac:dyDescent="0.3"/>
    <row r="3007" hidden="1" x14ac:dyDescent="0.3"/>
    <row r="3008" hidden="1" x14ac:dyDescent="0.3"/>
    <row r="3009" hidden="1" x14ac:dyDescent="0.3"/>
    <row r="3010" hidden="1" x14ac:dyDescent="0.3"/>
    <row r="3011" hidden="1" x14ac:dyDescent="0.3"/>
    <row r="3012" hidden="1" x14ac:dyDescent="0.3"/>
    <row r="3013" hidden="1" x14ac:dyDescent="0.3"/>
    <row r="3014" hidden="1" x14ac:dyDescent="0.3"/>
    <row r="3015" hidden="1" x14ac:dyDescent="0.3"/>
    <row r="3016" hidden="1" x14ac:dyDescent="0.3"/>
    <row r="3017" hidden="1" x14ac:dyDescent="0.3"/>
    <row r="3018" hidden="1" x14ac:dyDescent="0.3"/>
    <row r="3019" hidden="1" x14ac:dyDescent="0.3"/>
    <row r="3020" hidden="1" x14ac:dyDescent="0.3"/>
    <row r="3021" hidden="1" x14ac:dyDescent="0.3"/>
    <row r="3022" hidden="1" x14ac:dyDescent="0.3"/>
    <row r="3023" hidden="1" x14ac:dyDescent="0.3"/>
    <row r="3024" hidden="1" x14ac:dyDescent="0.3"/>
    <row r="3025" hidden="1" x14ac:dyDescent="0.3"/>
    <row r="3026" hidden="1" x14ac:dyDescent="0.3"/>
    <row r="3027" hidden="1" x14ac:dyDescent="0.3"/>
    <row r="3028" hidden="1" x14ac:dyDescent="0.3"/>
    <row r="3029" hidden="1" x14ac:dyDescent="0.3"/>
    <row r="3030" hidden="1" x14ac:dyDescent="0.3"/>
    <row r="3031" hidden="1" x14ac:dyDescent="0.3"/>
    <row r="3032" hidden="1" x14ac:dyDescent="0.3"/>
    <row r="3033" hidden="1" x14ac:dyDescent="0.3"/>
    <row r="3034" hidden="1" x14ac:dyDescent="0.3"/>
    <row r="3035" hidden="1" x14ac:dyDescent="0.3"/>
    <row r="3036" hidden="1" x14ac:dyDescent="0.3"/>
    <row r="3037" hidden="1" x14ac:dyDescent="0.3"/>
    <row r="3038" hidden="1" x14ac:dyDescent="0.3"/>
    <row r="3039" hidden="1" x14ac:dyDescent="0.3"/>
    <row r="3040" hidden="1" x14ac:dyDescent="0.3"/>
    <row r="3041" hidden="1" x14ac:dyDescent="0.3"/>
    <row r="3042" hidden="1" x14ac:dyDescent="0.3"/>
    <row r="3043" hidden="1" x14ac:dyDescent="0.3"/>
    <row r="3044" hidden="1" x14ac:dyDescent="0.3"/>
    <row r="3045" hidden="1" x14ac:dyDescent="0.3"/>
    <row r="3046" hidden="1" x14ac:dyDescent="0.3"/>
    <row r="3047" hidden="1" x14ac:dyDescent="0.3"/>
    <row r="3048" hidden="1" x14ac:dyDescent="0.3"/>
    <row r="3049" hidden="1" x14ac:dyDescent="0.3"/>
    <row r="3050" hidden="1" x14ac:dyDescent="0.3"/>
    <row r="3051" hidden="1" x14ac:dyDescent="0.3"/>
    <row r="3052" hidden="1" x14ac:dyDescent="0.3"/>
    <row r="3053" hidden="1" x14ac:dyDescent="0.3"/>
    <row r="3054" hidden="1" x14ac:dyDescent="0.3"/>
    <row r="3055" hidden="1" x14ac:dyDescent="0.3"/>
    <row r="3056" hidden="1" x14ac:dyDescent="0.3"/>
    <row r="3057" hidden="1" x14ac:dyDescent="0.3"/>
    <row r="3058" hidden="1" x14ac:dyDescent="0.3"/>
    <row r="3059" hidden="1" x14ac:dyDescent="0.3"/>
    <row r="3060" hidden="1" x14ac:dyDescent="0.3"/>
    <row r="3061" hidden="1" x14ac:dyDescent="0.3"/>
    <row r="3062" hidden="1" x14ac:dyDescent="0.3"/>
    <row r="3063" hidden="1" x14ac:dyDescent="0.3"/>
    <row r="3064" hidden="1" x14ac:dyDescent="0.3"/>
    <row r="3065" hidden="1" x14ac:dyDescent="0.3"/>
    <row r="3066" hidden="1" x14ac:dyDescent="0.3"/>
    <row r="3067" hidden="1" x14ac:dyDescent="0.3"/>
    <row r="3068" hidden="1" x14ac:dyDescent="0.3"/>
    <row r="3069" hidden="1" x14ac:dyDescent="0.3"/>
    <row r="3070" hidden="1" x14ac:dyDescent="0.3"/>
    <row r="3071" hidden="1" x14ac:dyDescent="0.3"/>
    <row r="3072" hidden="1" x14ac:dyDescent="0.3"/>
    <row r="3073" hidden="1" x14ac:dyDescent="0.3"/>
    <row r="3074" hidden="1" x14ac:dyDescent="0.3"/>
    <row r="3075" hidden="1" x14ac:dyDescent="0.3"/>
    <row r="3076" hidden="1" x14ac:dyDescent="0.3"/>
    <row r="3077" hidden="1" x14ac:dyDescent="0.3"/>
    <row r="3078" hidden="1" x14ac:dyDescent="0.3"/>
    <row r="3079" hidden="1" x14ac:dyDescent="0.3"/>
    <row r="3080" hidden="1" x14ac:dyDescent="0.3"/>
    <row r="3081" hidden="1" x14ac:dyDescent="0.3"/>
    <row r="3082" hidden="1" x14ac:dyDescent="0.3"/>
    <row r="3083" hidden="1" x14ac:dyDescent="0.3"/>
    <row r="3084" hidden="1" x14ac:dyDescent="0.3"/>
    <row r="3085" hidden="1" x14ac:dyDescent="0.3"/>
    <row r="3086" hidden="1" x14ac:dyDescent="0.3"/>
    <row r="3087" hidden="1" x14ac:dyDescent="0.3"/>
    <row r="3088" hidden="1" x14ac:dyDescent="0.3"/>
    <row r="3089" hidden="1" x14ac:dyDescent="0.3"/>
    <row r="3090" hidden="1" x14ac:dyDescent="0.3"/>
    <row r="3091" hidden="1" x14ac:dyDescent="0.3"/>
    <row r="3092" hidden="1" x14ac:dyDescent="0.3"/>
    <row r="3093" hidden="1" x14ac:dyDescent="0.3"/>
    <row r="3094" hidden="1" x14ac:dyDescent="0.3"/>
    <row r="3095" hidden="1" x14ac:dyDescent="0.3"/>
    <row r="3096" hidden="1" x14ac:dyDescent="0.3"/>
    <row r="3097" hidden="1" x14ac:dyDescent="0.3"/>
    <row r="3098" hidden="1" x14ac:dyDescent="0.3"/>
    <row r="3099" hidden="1" x14ac:dyDescent="0.3"/>
    <row r="3100" hidden="1" x14ac:dyDescent="0.3"/>
    <row r="3101" hidden="1" x14ac:dyDescent="0.3"/>
    <row r="3102" hidden="1" x14ac:dyDescent="0.3"/>
    <row r="3103" hidden="1" x14ac:dyDescent="0.3"/>
    <row r="3104" hidden="1" x14ac:dyDescent="0.3"/>
    <row r="3105" hidden="1" x14ac:dyDescent="0.3"/>
    <row r="3106" hidden="1" x14ac:dyDescent="0.3"/>
    <row r="3107" hidden="1" x14ac:dyDescent="0.3"/>
    <row r="3108" hidden="1" x14ac:dyDescent="0.3"/>
    <row r="3109" hidden="1" x14ac:dyDescent="0.3"/>
    <row r="3110" hidden="1" x14ac:dyDescent="0.3"/>
    <row r="3111" hidden="1" x14ac:dyDescent="0.3"/>
    <row r="3112" hidden="1" x14ac:dyDescent="0.3"/>
    <row r="3113" hidden="1" x14ac:dyDescent="0.3"/>
    <row r="3114" hidden="1" x14ac:dyDescent="0.3"/>
    <row r="3115" hidden="1" x14ac:dyDescent="0.3"/>
    <row r="3116" hidden="1" x14ac:dyDescent="0.3"/>
    <row r="3117" hidden="1" x14ac:dyDescent="0.3"/>
    <row r="3118" hidden="1" x14ac:dyDescent="0.3"/>
    <row r="3119" hidden="1" x14ac:dyDescent="0.3"/>
    <row r="3120" hidden="1" x14ac:dyDescent="0.3"/>
    <row r="3121" hidden="1" x14ac:dyDescent="0.3"/>
    <row r="3122" hidden="1" x14ac:dyDescent="0.3"/>
    <row r="3123" hidden="1" x14ac:dyDescent="0.3"/>
    <row r="3124" hidden="1" x14ac:dyDescent="0.3"/>
    <row r="3125" hidden="1" x14ac:dyDescent="0.3"/>
    <row r="3126" hidden="1" x14ac:dyDescent="0.3"/>
    <row r="3127" hidden="1" x14ac:dyDescent="0.3"/>
    <row r="3128" hidden="1" x14ac:dyDescent="0.3"/>
    <row r="3129" hidden="1" x14ac:dyDescent="0.3"/>
    <row r="3130" hidden="1" x14ac:dyDescent="0.3"/>
    <row r="3131" hidden="1" x14ac:dyDescent="0.3"/>
    <row r="3132" hidden="1" x14ac:dyDescent="0.3"/>
    <row r="3133" hidden="1" x14ac:dyDescent="0.3"/>
    <row r="3134" hidden="1" x14ac:dyDescent="0.3"/>
    <row r="3135" hidden="1" x14ac:dyDescent="0.3"/>
    <row r="3136" hidden="1" x14ac:dyDescent="0.3"/>
    <row r="3137" hidden="1" x14ac:dyDescent="0.3"/>
    <row r="3138" hidden="1" x14ac:dyDescent="0.3"/>
    <row r="3139" hidden="1" x14ac:dyDescent="0.3"/>
    <row r="3140" hidden="1" x14ac:dyDescent="0.3"/>
    <row r="3141" hidden="1" x14ac:dyDescent="0.3"/>
    <row r="3142" hidden="1" x14ac:dyDescent="0.3"/>
    <row r="3143" hidden="1" x14ac:dyDescent="0.3"/>
    <row r="3144" hidden="1" x14ac:dyDescent="0.3"/>
    <row r="3145" hidden="1" x14ac:dyDescent="0.3"/>
    <row r="3146" hidden="1" x14ac:dyDescent="0.3"/>
    <row r="3147" hidden="1" x14ac:dyDescent="0.3"/>
    <row r="3148" hidden="1" x14ac:dyDescent="0.3"/>
    <row r="3149" hidden="1" x14ac:dyDescent="0.3"/>
    <row r="3150" hidden="1" x14ac:dyDescent="0.3"/>
    <row r="3151" hidden="1" x14ac:dyDescent="0.3"/>
    <row r="3152" hidden="1" x14ac:dyDescent="0.3"/>
    <row r="3153" hidden="1" x14ac:dyDescent="0.3"/>
    <row r="3154" hidden="1" x14ac:dyDescent="0.3"/>
    <row r="3155" hidden="1" x14ac:dyDescent="0.3"/>
    <row r="3156" hidden="1" x14ac:dyDescent="0.3"/>
    <row r="3157" hidden="1" x14ac:dyDescent="0.3"/>
    <row r="3158" hidden="1" x14ac:dyDescent="0.3"/>
    <row r="3159" hidden="1" x14ac:dyDescent="0.3"/>
    <row r="3160" hidden="1" x14ac:dyDescent="0.3"/>
    <row r="3161" hidden="1" x14ac:dyDescent="0.3"/>
    <row r="3162" hidden="1" x14ac:dyDescent="0.3"/>
    <row r="3163" hidden="1" x14ac:dyDescent="0.3"/>
    <row r="3164" hidden="1" x14ac:dyDescent="0.3"/>
    <row r="3165" hidden="1" x14ac:dyDescent="0.3"/>
    <row r="3166" hidden="1" x14ac:dyDescent="0.3"/>
    <row r="3167" hidden="1" x14ac:dyDescent="0.3"/>
    <row r="3168" hidden="1" x14ac:dyDescent="0.3"/>
    <row r="3169" hidden="1" x14ac:dyDescent="0.3"/>
    <row r="3170" hidden="1" x14ac:dyDescent="0.3"/>
    <row r="3171" hidden="1" x14ac:dyDescent="0.3"/>
    <row r="3172" hidden="1" x14ac:dyDescent="0.3"/>
    <row r="3173" hidden="1" x14ac:dyDescent="0.3"/>
    <row r="3174" hidden="1" x14ac:dyDescent="0.3"/>
    <row r="3175" hidden="1" x14ac:dyDescent="0.3"/>
    <row r="3176" hidden="1" x14ac:dyDescent="0.3"/>
    <row r="3177" hidden="1" x14ac:dyDescent="0.3"/>
    <row r="3178" hidden="1" x14ac:dyDescent="0.3"/>
    <row r="3179" hidden="1" x14ac:dyDescent="0.3"/>
    <row r="3180" hidden="1" x14ac:dyDescent="0.3"/>
    <row r="3181" hidden="1" x14ac:dyDescent="0.3"/>
    <row r="3182" hidden="1" x14ac:dyDescent="0.3"/>
    <row r="3183" hidden="1" x14ac:dyDescent="0.3"/>
    <row r="3184" hidden="1" x14ac:dyDescent="0.3"/>
    <row r="3185" hidden="1" x14ac:dyDescent="0.3"/>
    <row r="3186" hidden="1" x14ac:dyDescent="0.3"/>
    <row r="3187" hidden="1" x14ac:dyDescent="0.3"/>
    <row r="3188" hidden="1" x14ac:dyDescent="0.3"/>
    <row r="3189" hidden="1" x14ac:dyDescent="0.3"/>
    <row r="3190" hidden="1" x14ac:dyDescent="0.3"/>
    <row r="3191" hidden="1" x14ac:dyDescent="0.3"/>
    <row r="3192" hidden="1" x14ac:dyDescent="0.3"/>
    <row r="3193" hidden="1" x14ac:dyDescent="0.3"/>
    <row r="3194" hidden="1" x14ac:dyDescent="0.3"/>
    <row r="3195" hidden="1" x14ac:dyDescent="0.3"/>
    <row r="3196" hidden="1" x14ac:dyDescent="0.3"/>
    <row r="3197" hidden="1" x14ac:dyDescent="0.3"/>
    <row r="3198" hidden="1" x14ac:dyDescent="0.3"/>
    <row r="3199" hidden="1" x14ac:dyDescent="0.3"/>
    <row r="3200" hidden="1" x14ac:dyDescent="0.3"/>
    <row r="3201" hidden="1" x14ac:dyDescent="0.3"/>
    <row r="3202" hidden="1" x14ac:dyDescent="0.3"/>
    <row r="3203" hidden="1" x14ac:dyDescent="0.3"/>
    <row r="3204" hidden="1" x14ac:dyDescent="0.3"/>
    <row r="3205" hidden="1" x14ac:dyDescent="0.3"/>
    <row r="3206" hidden="1" x14ac:dyDescent="0.3"/>
    <row r="3207" hidden="1" x14ac:dyDescent="0.3"/>
    <row r="3208" hidden="1" x14ac:dyDescent="0.3"/>
    <row r="3209" hidden="1" x14ac:dyDescent="0.3"/>
    <row r="3210" hidden="1" x14ac:dyDescent="0.3"/>
    <row r="3211" hidden="1" x14ac:dyDescent="0.3"/>
    <row r="3212" hidden="1" x14ac:dyDescent="0.3"/>
    <row r="3213" hidden="1" x14ac:dyDescent="0.3"/>
    <row r="3214" hidden="1" x14ac:dyDescent="0.3"/>
    <row r="3215" hidden="1" x14ac:dyDescent="0.3"/>
    <row r="3216" hidden="1" x14ac:dyDescent="0.3"/>
    <row r="3217" hidden="1" x14ac:dyDescent="0.3"/>
    <row r="3218" hidden="1" x14ac:dyDescent="0.3"/>
    <row r="3219" hidden="1" x14ac:dyDescent="0.3"/>
    <row r="3220" hidden="1" x14ac:dyDescent="0.3"/>
    <row r="3221" hidden="1" x14ac:dyDescent="0.3"/>
    <row r="3222" hidden="1" x14ac:dyDescent="0.3"/>
    <row r="3223" hidden="1" x14ac:dyDescent="0.3"/>
    <row r="3224" hidden="1" x14ac:dyDescent="0.3"/>
    <row r="3225" hidden="1" x14ac:dyDescent="0.3"/>
    <row r="3226" hidden="1" x14ac:dyDescent="0.3"/>
    <row r="3227" hidden="1" x14ac:dyDescent="0.3"/>
    <row r="3228" hidden="1" x14ac:dyDescent="0.3"/>
    <row r="3229" hidden="1" x14ac:dyDescent="0.3"/>
    <row r="3230" hidden="1" x14ac:dyDescent="0.3"/>
    <row r="3231" hidden="1" x14ac:dyDescent="0.3"/>
    <row r="3232" hidden="1" x14ac:dyDescent="0.3"/>
    <row r="3233" hidden="1" x14ac:dyDescent="0.3"/>
    <row r="3234" hidden="1" x14ac:dyDescent="0.3"/>
    <row r="3235" hidden="1" x14ac:dyDescent="0.3"/>
    <row r="3236" hidden="1" x14ac:dyDescent="0.3"/>
    <row r="3237" hidden="1" x14ac:dyDescent="0.3"/>
    <row r="3238" hidden="1" x14ac:dyDescent="0.3"/>
    <row r="3239" hidden="1" x14ac:dyDescent="0.3"/>
    <row r="3240" hidden="1" x14ac:dyDescent="0.3"/>
    <row r="3241" hidden="1" x14ac:dyDescent="0.3"/>
    <row r="3242" hidden="1" x14ac:dyDescent="0.3"/>
    <row r="3243" hidden="1" x14ac:dyDescent="0.3"/>
    <row r="3244" hidden="1" x14ac:dyDescent="0.3"/>
    <row r="3245" hidden="1" x14ac:dyDescent="0.3"/>
    <row r="3246" hidden="1" x14ac:dyDescent="0.3"/>
    <row r="3247" hidden="1" x14ac:dyDescent="0.3"/>
    <row r="3248" hidden="1" x14ac:dyDescent="0.3"/>
    <row r="3249" hidden="1" x14ac:dyDescent="0.3"/>
    <row r="3250" hidden="1" x14ac:dyDescent="0.3"/>
    <row r="3251" hidden="1" x14ac:dyDescent="0.3"/>
    <row r="3252" hidden="1" x14ac:dyDescent="0.3"/>
    <row r="3253" hidden="1" x14ac:dyDescent="0.3"/>
    <row r="3254" hidden="1" x14ac:dyDescent="0.3"/>
    <row r="3255" hidden="1" x14ac:dyDescent="0.3"/>
    <row r="3256" hidden="1" x14ac:dyDescent="0.3"/>
    <row r="3257" hidden="1" x14ac:dyDescent="0.3"/>
    <row r="3258" hidden="1" x14ac:dyDescent="0.3"/>
    <row r="3259" hidden="1" x14ac:dyDescent="0.3"/>
    <row r="3260" hidden="1" x14ac:dyDescent="0.3"/>
    <row r="3261" hidden="1" x14ac:dyDescent="0.3"/>
    <row r="3262" hidden="1" x14ac:dyDescent="0.3"/>
    <row r="3263" hidden="1" x14ac:dyDescent="0.3"/>
    <row r="3264" hidden="1" x14ac:dyDescent="0.3"/>
    <row r="3265" hidden="1" x14ac:dyDescent="0.3"/>
    <row r="3266" hidden="1" x14ac:dyDescent="0.3"/>
    <row r="3267" hidden="1" x14ac:dyDescent="0.3"/>
    <row r="3268" hidden="1" x14ac:dyDescent="0.3"/>
    <row r="3269" hidden="1" x14ac:dyDescent="0.3"/>
    <row r="3270" hidden="1" x14ac:dyDescent="0.3"/>
    <row r="3271" hidden="1" x14ac:dyDescent="0.3"/>
    <row r="3272" hidden="1" x14ac:dyDescent="0.3"/>
    <row r="3273" hidden="1" x14ac:dyDescent="0.3"/>
    <row r="3274" hidden="1" x14ac:dyDescent="0.3"/>
    <row r="3275" hidden="1" x14ac:dyDescent="0.3"/>
    <row r="3276" hidden="1" x14ac:dyDescent="0.3"/>
    <row r="3277" hidden="1" x14ac:dyDescent="0.3"/>
    <row r="3278" hidden="1" x14ac:dyDescent="0.3"/>
    <row r="3279" hidden="1" x14ac:dyDescent="0.3"/>
    <row r="3280" hidden="1" x14ac:dyDescent="0.3"/>
    <row r="3281" hidden="1" x14ac:dyDescent="0.3"/>
    <row r="3282" hidden="1" x14ac:dyDescent="0.3"/>
    <row r="3283" hidden="1" x14ac:dyDescent="0.3"/>
    <row r="3284" hidden="1" x14ac:dyDescent="0.3"/>
    <row r="3285" hidden="1" x14ac:dyDescent="0.3"/>
    <row r="3286" hidden="1" x14ac:dyDescent="0.3"/>
    <row r="3287" hidden="1" x14ac:dyDescent="0.3"/>
    <row r="3288" hidden="1" x14ac:dyDescent="0.3"/>
    <row r="3289" hidden="1" x14ac:dyDescent="0.3"/>
    <row r="3290" hidden="1" x14ac:dyDescent="0.3"/>
    <row r="3291" hidden="1" x14ac:dyDescent="0.3"/>
    <row r="3292" hidden="1" x14ac:dyDescent="0.3"/>
    <row r="3293" hidden="1" x14ac:dyDescent="0.3"/>
    <row r="3294" hidden="1" x14ac:dyDescent="0.3"/>
    <row r="3295" hidden="1" x14ac:dyDescent="0.3"/>
    <row r="3296" hidden="1" x14ac:dyDescent="0.3"/>
    <row r="3297" hidden="1" x14ac:dyDescent="0.3"/>
    <row r="3298" hidden="1" x14ac:dyDescent="0.3"/>
    <row r="3299" hidden="1" x14ac:dyDescent="0.3"/>
    <row r="3300" hidden="1" x14ac:dyDescent="0.3"/>
    <row r="3301" hidden="1" x14ac:dyDescent="0.3"/>
    <row r="3302" hidden="1" x14ac:dyDescent="0.3"/>
    <row r="3303" hidden="1" x14ac:dyDescent="0.3"/>
    <row r="3304" hidden="1" x14ac:dyDescent="0.3"/>
    <row r="3305" hidden="1" x14ac:dyDescent="0.3"/>
    <row r="3306" hidden="1" x14ac:dyDescent="0.3"/>
    <row r="3307" hidden="1" x14ac:dyDescent="0.3"/>
    <row r="3308" hidden="1" x14ac:dyDescent="0.3"/>
    <row r="3309" hidden="1" x14ac:dyDescent="0.3"/>
    <row r="3310" hidden="1" x14ac:dyDescent="0.3"/>
    <row r="3311" hidden="1" x14ac:dyDescent="0.3"/>
    <row r="3312" hidden="1" x14ac:dyDescent="0.3"/>
    <row r="3313" hidden="1" x14ac:dyDescent="0.3"/>
    <row r="3314" hidden="1" x14ac:dyDescent="0.3"/>
    <row r="3315" hidden="1" x14ac:dyDescent="0.3"/>
    <row r="3316" hidden="1" x14ac:dyDescent="0.3"/>
    <row r="3317" hidden="1" x14ac:dyDescent="0.3"/>
    <row r="3318" hidden="1" x14ac:dyDescent="0.3"/>
    <row r="3319" hidden="1" x14ac:dyDescent="0.3"/>
    <row r="3320" hidden="1" x14ac:dyDescent="0.3"/>
    <row r="3321" hidden="1" x14ac:dyDescent="0.3"/>
    <row r="3322" hidden="1" x14ac:dyDescent="0.3"/>
    <row r="3323" hidden="1" x14ac:dyDescent="0.3"/>
    <row r="3324" hidden="1" x14ac:dyDescent="0.3"/>
    <row r="3325" hidden="1" x14ac:dyDescent="0.3"/>
    <row r="3326" hidden="1" x14ac:dyDescent="0.3"/>
    <row r="3327" hidden="1" x14ac:dyDescent="0.3"/>
    <row r="3328" hidden="1" x14ac:dyDescent="0.3"/>
    <row r="3329" hidden="1" x14ac:dyDescent="0.3"/>
    <row r="3330" hidden="1" x14ac:dyDescent="0.3"/>
    <row r="3331" hidden="1" x14ac:dyDescent="0.3"/>
    <row r="3332" hidden="1" x14ac:dyDescent="0.3"/>
    <row r="3333" hidden="1" x14ac:dyDescent="0.3"/>
    <row r="3334" hidden="1" x14ac:dyDescent="0.3"/>
    <row r="3335" hidden="1" x14ac:dyDescent="0.3"/>
    <row r="3336" hidden="1" x14ac:dyDescent="0.3"/>
    <row r="3337" hidden="1" x14ac:dyDescent="0.3"/>
    <row r="3338" hidden="1" x14ac:dyDescent="0.3"/>
    <row r="3339" hidden="1" x14ac:dyDescent="0.3"/>
    <row r="3340" hidden="1" x14ac:dyDescent="0.3"/>
    <row r="3341" hidden="1" x14ac:dyDescent="0.3"/>
    <row r="3342" hidden="1" x14ac:dyDescent="0.3"/>
    <row r="3343" hidden="1" x14ac:dyDescent="0.3"/>
    <row r="3344" hidden="1" x14ac:dyDescent="0.3"/>
    <row r="3345" hidden="1" x14ac:dyDescent="0.3"/>
    <row r="3346" hidden="1" x14ac:dyDescent="0.3"/>
    <row r="3347" hidden="1" x14ac:dyDescent="0.3"/>
    <row r="3348" hidden="1" x14ac:dyDescent="0.3"/>
    <row r="3349" hidden="1" x14ac:dyDescent="0.3"/>
    <row r="3350" hidden="1" x14ac:dyDescent="0.3"/>
    <row r="3351" hidden="1" x14ac:dyDescent="0.3"/>
    <row r="3352" hidden="1" x14ac:dyDescent="0.3"/>
    <row r="3353" hidden="1" x14ac:dyDescent="0.3"/>
    <row r="3354" hidden="1" x14ac:dyDescent="0.3"/>
    <row r="3355" hidden="1" x14ac:dyDescent="0.3"/>
    <row r="3356" hidden="1" x14ac:dyDescent="0.3"/>
    <row r="3357" hidden="1" x14ac:dyDescent="0.3"/>
    <row r="3358" hidden="1" x14ac:dyDescent="0.3"/>
    <row r="3359" hidden="1" x14ac:dyDescent="0.3"/>
    <row r="3360" hidden="1" x14ac:dyDescent="0.3"/>
    <row r="3361" hidden="1" x14ac:dyDescent="0.3"/>
    <row r="3362" hidden="1" x14ac:dyDescent="0.3"/>
    <row r="3363" hidden="1" x14ac:dyDescent="0.3"/>
    <row r="3364" hidden="1" x14ac:dyDescent="0.3"/>
    <row r="3365" hidden="1" x14ac:dyDescent="0.3"/>
    <row r="3366" hidden="1" x14ac:dyDescent="0.3"/>
    <row r="3367" hidden="1" x14ac:dyDescent="0.3"/>
    <row r="3368" hidden="1" x14ac:dyDescent="0.3"/>
    <row r="3369" hidden="1" x14ac:dyDescent="0.3"/>
    <row r="3370" hidden="1" x14ac:dyDescent="0.3"/>
    <row r="3371" hidden="1" x14ac:dyDescent="0.3"/>
    <row r="3372" hidden="1" x14ac:dyDescent="0.3"/>
    <row r="3373" hidden="1" x14ac:dyDescent="0.3"/>
    <row r="3374" hidden="1" x14ac:dyDescent="0.3"/>
    <row r="3375" hidden="1" x14ac:dyDescent="0.3"/>
    <row r="3376" hidden="1" x14ac:dyDescent="0.3"/>
    <row r="3377" hidden="1" x14ac:dyDescent="0.3"/>
    <row r="3378" hidden="1" x14ac:dyDescent="0.3"/>
    <row r="3379" hidden="1" x14ac:dyDescent="0.3"/>
    <row r="3380" hidden="1" x14ac:dyDescent="0.3"/>
    <row r="3381" hidden="1" x14ac:dyDescent="0.3"/>
    <row r="3382" hidden="1" x14ac:dyDescent="0.3"/>
    <row r="3383" hidden="1" x14ac:dyDescent="0.3"/>
    <row r="3384" hidden="1" x14ac:dyDescent="0.3"/>
    <row r="3385" hidden="1" x14ac:dyDescent="0.3"/>
    <row r="3386" hidden="1" x14ac:dyDescent="0.3"/>
    <row r="3387" hidden="1" x14ac:dyDescent="0.3"/>
    <row r="3388" hidden="1" x14ac:dyDescent="0.3"/>
    <row r="3389" hidden="1" x14ac:dyDescent="0.3"/>
    <row r="3390" hidden="1" x14ac:dyDescent="0.3"/>
    <row r="3391" hidden="1" x14ac:dyDescent="0.3"/>
    <row r="3392" hidden="1" x14ac:dyDescent="0.3"/>
    <row r="3393" hidden="1" x14ac:dyDescent="0.3"/>
    <row r="3394" hidden="1" x14ac:dyDescent="0.3"/>
    <row r="3395" hidden="1" x14ac:dyDescent="0.3"/>
    <row r="3396" hidden="1" x14ac:dyDescent="0.3"/>
    <row r="3397" hidden="1" x14ac:dyDescent="0.3"/>
    <row r="3398" hidden="1" x14ac:dyDescent="0.3"/>
    <row r="3399" hidden="1" x14ac:dyDescent="0.3"/>
    <row r="3400" hidden="1" x14ac:dyDescent="0.3"/>
    <row r="3401" hidden="1" x14ac:dyDescent="0.3"/>
    <row r="3402" hidden="1" x14ac:dyDescent="0.3"/>
    <row r="3403" hidden="1" x14ac:dyDescent="0.3"/>
    <row r="3404" hidden="1" x14ac:dyDescent="0.3"/>
    <row r="3405" hidden="1" x14ac:dyDescent="0.3"/>
    <row r="3406" hidden="1" x14ac:dyDescent="0.3"/>
    <row r="3407" hidden="1" x14ac:dyDescent="0.3"/>
    <row r="3408" hidden="1" x14ac:dyDescent="0.3"/>
    <row r="3409" hidden="1" x14ac:dyDescent="0.3"/>
    <row r="3410" hidden="1" x14ac:dyDescent="0.3"/>
    <row r="3411" hidden="1" x14ac:dyDescent="0.3"/>
    <row r="3412" hidden="1" x14ac:dyDescent="0.3"/>
    <row r="3413" hidden="1" x14ac:dyDescent="0.3"/>
    <row r="3414" hidden="1" x14ac:dyDescent="0.3"/>
    <row r="3415" hidden="1" x14ac:dyDescent="0.3"/>
    <row r="3416" hidden="1" x14ac:dyDescent="0.3"/>
    <row r="3417" hidden="1" x14ac:dyDescent="0.3"/>
    <row r="3418" hidden="1" x14ac:dyDescent="0.3"/>
    <row r="3419" hidden="1" x14ac:dyDescent="0.3"/>
    <row r="3420" hidden="1" x14ac:dyDescent="0.3"/>
    <row r="3421" hidden="1" x14ac:dyDescent="0.3"/>
    <row r="3422" hidden="1" x14ac:dyDescent="0.3"/>
    <row r="3423" hidden="1" x14ac:dyDescent="0.3"/>
    <row r="3424" hidden="1" x14ac:dyDescent="0.3"/>
    <row r="3425" hidden="1" x14ac:dyDescent="0.3"/>
    <row r="3426" hidden="1" x14ac:dyDescent="0.3"/>
    <row r="3427" hidden="1" x14ac:dyDescent="0.3"/>
    <row r="3428" hidden="1" x14ac:dyDescent="0.3"/>
    <row r="3429" hidden="1" x14ac:dyDescent="0.3"/>
    <row r="3430" hidden="1" x14ac:dyDescent="0.3"/>
    <row r="3431" hidden="1" x14ac:dyDescent="0.3"/>
    <row r="3432" hidden="1" x14ac:dyDescent="0.3"/>
    <row r="3433" hidden="1" x14ac:dyDescent="0.3"/>
    <row r="3434" hidden="1" x14ac:dyDescent="0.3"/>
    <row r="3435" hidden="1" x14ac:dyDescent="0.3"/>
    <row r="3436" hidden="1" x14ac:dyDescent="0.3"/>
    <row r="3437" hidden="1" x14ac:dyDescent="0.3"/>
    <row r="3438" hidden="1" x14ac:dyDescent="0.3"/>
    <row r="3439" hidden="1" x14ac:dyDescent="0.3"/>
    <row r="3440" hidden="1" x14ac:dyDescent="0.3"/>
    <row r="3441" hidden="1" x14ac:dyDescent="0.3"/>
    <row r="3442" hidden="1" x14ac:dyDescent="0.3"/>
    <row r="3443" hidden="1" x14ac:dyDescent="0.3"/>
    <row r="3444" hidden="1" x14ac:dyDescent="0.3"/>
    <row r="3445" hidden="1" x14ac:dyDescent="0.3"/>
    <row r="3446" hidden="1" x14ac:dyDescent="0.3"/>
    <row r="3447" hidden="1" x14ac:dyDescent="0.3"/>
    <row r="3448" hidden="1" x14ac:dyDescent="0.3"/>
    <row r="3449" hidden="1" x14ac:dyDescent="0.3"/>
    <row r="3450" hidden="1" x14ac:dyDescent="0.3"/>
    <row r="3451" hidden="1" x14ac:dyDescent="0.3"/>
    <row r="3452" hidden="1" x14ac:dyDescent="0.3"/>
    <row r="3453" hidden="1" x14ac:dyDescent="0.3"/>
    <row r="3454" hidden="1" x14ac:dyDescent="0.3"/>
    <row r="3455" hidden="1" x14ac:dyDescent="0.3"/>
    <row r="3456" hidden="1" x14ac:dyDescent="0.3"/>
    <row r="3457" hidden="1" x14ac:dyDescent="0.3"/>
    <row r="3458" hidden="1" x14ac:dyDescent="0.3"/>
    <row r="3459" hidden="1" x14ac:dyDescent="0.3"/>
    <row r="3460" hidden="1" x14ac:dyDescent="0.3"/>
    <row r="3461" hidden="1" x14ac:dyDescent="0.3"/>
    <row r="3462" hidden="1" x14ac:dyDescent="0.3"/>
    <row r="3463" hidden="1" x14ac:dyDescent="0.3"/>
    <row r="3464" hidden="1" x14ac:dyDescent="0.3"/>
    <row r="3465" hidden="1" x14ac:dyDescent="0.3"/>
    <row r="3466" hidden="1" x14ac:dyDescent="0.3"/>
    <row r="3467" hidden="1" x14ac:dyDescent="0.3"/>
    <row r="3468" hidden="1" x14ac:dyDescent="0.3"/>
    <row r="3469" hidden="1" x14ac:dyDescent="0.3"/>
    <row r="3470" hidden="1" x14ac:dyDescent="0.3"/>
    <row r="3471" hidden="1" x14ac:dyDescent="0.3"/>
    <row r="3472" hidden="1" x14ac:dyDescent="0.3"/>
    <row r="3473" hidden="1" x14ac:dyDescent="0.3"/>
    <row r="3474" hidden="1" x14ac:dyDescent="0.3"/>
    <row r="3475" hidden="1" x14ac:dyDescent="0.3"/>
    <row r="3476" hidden="1" x14ac:dyDescent="0.3"/>
    <row r="3477" hidden="1" x14ac:dyDescent="0.3"/>
    <row r="3478" hidden="1" x14ac:dyDescent="0.3"/>
    <row r="3479" hidden="1" x14ac:dyDescent="0.3"/>
    <row r="3480" hidden="1" x14ac:dyDescent="0.3"/>
    <row r="3481" hidden="1" x14ac:dyDescent="0.3"/>
    <row r="3482" hidden="1" x14ac:dyDescent="0.3"/>
    <row r="3483" hidden="1" x14ac:dyDescent="0.3"/>
    <row r="3484" hidden="1" x14ac:dyDescent="0.3"/>
    <row r="3485" hidden="1" x14ac:dyDescent="0.3"/>
    <row r="3486" hidden="1" x14ac:dyDescent="0.3"/>
    <row r="3487" hidden="1" x14ac:dyDescent="0.3"/>
    <row r="3488" hidden="1" x14ac:dyDescent="0.3"/>
    <row r="3489" hidden="1" x14ac:dyDescent="0.3"/>
    <row r="3490" hidden="1" x14ac:dyDescent="0.3"/>
    <row r="3491" hidden="1" x14ac:dyDescent="0.3"/>
    <row r="3492" hidden="1" x14ac:dyDescent="0.3"/>
    <row r="3493" hidden="1" x14ac:dyDescent="0.3"/>
    <row r="3494" hidden="1" x14ac:dyDescent="0.3"/>
    <row r="3495" hidden="1" x14ac:dyDescent="0.3"/>
    <row r="3496" hidden="1" x14ac:dyDescent="0.3"/>
    <row r="3497" hidden="1" x14ac:dyDescent="0.3"/>
    <row r="3498" hidden="1" x14ac:dyDescent="0.3"/>
    <row r="3499" hidden="1" x14ac:dyDescent="0.3"/>
    <row r="3500" hidden="1" x14ac:dyDescent="0.3"/>
    <row r="3501" hidden="1" x14ac:dyDescent="0.3"/>
    <row r="3502" hidden="1" x14ac:dyDescent="0.3"/>
    <row r="3503" hidden="1" x14ac:dyDescent="0.3"/>
    <row r="3504" hidden="1" x14ac:dyDescent="0.3"/>
    <row r="3505" hidden="1" x14ac:dyDescent="0.3"/>
    <row r="3506" hidden="1" x14ac:dyDescent="0.3"/>
    <row r="3507" hidden="1" x14ac:dyDescent="0.3"/>
    <row r="3508" hidden="1" x14ac:dyDescent="0.3"/>
    <row r="3509" hidden="1" x14ac:dyDescent="0.3"/>
    <row r="3510" hidden="1" x14ac:dyDescent="0.3"/>
    <row r="3511" hidden="1" x14ac:dyDescent="0.3"/>
    <row r="3512" hidden="1" x14ac:dyDescent="0.3"/>
    <row r="3513" hidden="1" x14ac:dyDescent="0.3"/>
    <row r="3514" hidden="1" x14ac:dyDescent="0.3"/>
    <row r="3515" hidden="1" x14ac:dyDescent="0.3"/>
    <row r="3516" hidden="1" x14ac:dyDescent="0.3"/>
    <row r="3517" hidden="1" x14ac:dyDescent="0.3"/>
    <row r="3518" hidden="1" x14ac:dyDescent="0.3"/>
    <row r="3519" hidden="1" x14ac:dyDescent="0.3"/>
    <row r="3520" hidden="1" x14ac:dyDescent="0.3"/>
    <row r="3521" hidden="1" x14ac:dyDescent="0.3"/>
    <row r="3522" hidden="1" x14ac:dyDescent="0.3"/>
    <row r="3523" hidden="1" x14ac:dyDescent="0.3"/>
    <row r="3524" hidden="1" x14ac:dyDescent="0.3"/>
    <row r="3525" hidden="1" x14ac:dyDescent="0.3"/>
    <row r="3526" hidden="1" x14ac:dyDescent="0.3"/>
    <row r="3527" hidden="1" x14ac:dyDescent="0.3"/>
    <row r="3528" hidden="1" x14ac:dyDescent="0.3"/>
    <row r="3529" hidden="1" x14ac:dyDescent="0.3"/>
    <row r="3530" hidden="1" x14ac:dyDescent="0.3"/>
    <row r="3531" hidden="1" x14ac:dyDescent="0.3"/>
    <row r="3532" hidden="1" x14ac:dyDescent="0.3"/>
    <row r="3533" hidden="1" x14ac:dyDescent="0.3"/>
    <row r="3534" hidden="1" x14ac:dyDescent="0.3"/>
    <row r="3535" hidden="1" x14ac:dyDescent="0.3"/>
    <row r="3536" hidden="1" x14ac:dyDescent="0.3"/>
    <row r="3537" hidden="1" x14ac:dyDescent="0.3"/>
    <row r="3538" hidden="1" x14ac:dyDescent="0.3"/>
    <row r="3539" hidden="1" x14ac:dyDescent="0.3"/>
    <row r="3540" hidden="1" x14ac:dyDescent="0.3"/>
    <row r="3541" hidden="1" x14ac:dyDescent="0.3"/>
    <row r="3542" hidden="1" x14ac:dyDescent="0.3"/>
    <row r="3543" hidden="1" x14ac:dyDescent="0.3"/>
    <row r="3544" hidden="1" x14ac:dyDescent="0.3"/>
    <row r="3545" hidden="1" x14ac:dyDescent="0.3"/>
    <row r="3546" hidden="1" x14ac:dyDescent="0.3"/>
    <row r="3547" hidden="1" x14ac:dyDescent="0.3"/>
    <row r="3548" hidden="1" x14ac:dyDescent="0.3"/>
    <row r="3549" hidden="1" x14ac:dyDescent="0.3"/>
    <row r="3550" hidden="1" x14ac:dyDescent="0.3"/>
    <row r="3551" hidden="1" x14ac:dyDescent="0.3"/>
    <row r="3552" hidden="1" x14ac:dyDescent="0.3"/>
    <row r="3553" hidden="1" x14ac:dyDescent="0.3"/>
    <row r="3554" hidden="1" x14ac:dyDescent="0.3"/>
    <row r="3555" hidden="1" x14ac:dyDescent="0.3"/>
    <row r="3556" hidden="1" x14ac:dyDescent="0.3"/>
    <row r="3557" hidden="1" x14ac:dyDescent="0.3"/>
    <row r="3558" hidden="1" x14ac:dyDescent="0.3"/>
    <row r="3559" hidden="1" x14ac:dyDescent="0.3"/>
    <row r="3560" hidden="1" x14ac:dyDescent="0.3"/>
    <row r="3561" hidden="1" x14ac:dyDescent="0.3"/>
    <row r="3562" hidden="1" x14ac:dyDescent="0.3"/>
    <row r="3563" hidden="1" x14ac:dyDescent="0.3"/>
    <row r="3564" hidden="1" x14ac:dyDescent="0.3"/>
    <row r="3565" hidden="1" x14ac:dyDescent="0.3"/>
    <row r="3566" hidden="1" x14ac:dyDescent="0.3"/>
    <row r="3567" hidden="1" x14ac:dyDescent="0.3"/>
    <row r="3568" hidden="1" x14ac:dyDescent="0.3"/>
    <row r="3569" hidden="1" x14ac:dyDescent="0.3"/>
    <row r="3570" hidden="1" x14ac:dyDescent="0.3"/>
    <row r="3571" hidden="1" x14ac:dyDescent="0.3"/>
    <row r="3572" hidden="1" x14ac:dyDescent="0.3"/>
    <row r="3573" hidden="1" x14ac:dyDescent="0.3"/>
    <row r="3574" hidden="1" x14ac:dyDescent="0.3"/>
    <row r="3575" hidden="1" x14ac:dyDescent="0.3"/>
    <row r="3576" hidden="1" x14ac:dyDescent="0.3"/>
    <row r="3577" hidden="1" x14ac:dyDescent="0.3"/>
    <row r="3578" hidden="1" x14ac:dyDescent="0.3"/>
    <row r="3579" hidden="1" x14ac:dyDescent="0.3"/>
    <row r="3580" hidden="1" x14ac:dyDescent="0.3"/>
    <row r="3581" hidden="1" x14ac:dyDescent="0.3"/>
    <row r="3582" hidden="1" x14ac:dyDescent="0.3"/>
    <row r="3583" hidden="1" x14ac:dyDescent="0.3"/>
    <row r="3584" hidden="1" x14ac:dyDescent="0.3"/>
    <row r="3585" hidden="1" x14ac:dyDescent="0.3"/>
    <row r="3586" hidden="1" x14ac:dyDescent="0.3"/>
    <row r="3587" hidden="1" x14ac:dyDescent="0.3"/>
    <row r="3588" hidden="1" x14ac:dyDescent="0.3"/>
    <row r="3589" hidden="1" x14ac:dyDescent="0.3"/>
    <row r="3590" hidden="1" x14ac:dyDescent="0.3"/>
    <row r="3591" hidden="1" x14ac:dyDescent="0.3"/>
    <row r="3592" hidden="1" x14ac:dyDescent="0.3"/>
    <row r="3593" hidden="1" x14ac:dyDescent="0.3"/>
    <row r="3594" hidden="1" x14ac:dyDescent="0.3"/>
    <row r="3595" hidden="1" x14ac:dyDescent="0.3"/>
    <row r="3596" hidden="1" x14ac:dyDescent="0.3"/>
    <row r="3597" hidden="1" x14ac:dyDescent="0.3"/>
    <row r="3598" hidden="1" x14ac:dyDescent="0.3"/>
    <row r="3599" hidden="1" x14ac:dyDescent="0.3"/>
    <row r="3600" hidden="1" x14ac:dyDescent="0.3"/>
    <row r="3601" hidden="1" x14ac:dyDescent="0.3"/>
    <row r="3602" hidden="1" x14ac:dyDescent="0.3"/>
    <row r="3603" hidden="1" x14ac:dyDescent="0.3"/>
    <row r="3604" hidden="1" x14ac:dyDescent="0.3"/>
    <row r="3605" hidden="1" x14ac:dyDescent="0.3"/>
    <row r="3606" hidden="1" x14ac:dyDescent="0.3"/>
    <row r="3607" hidden="1" x14ac:dyDescent="0.3"/>
    <row r="3608" hidden="1" x14ac:dyDescent="0.3"/>
    <row r="3609" hidden="1" x14ac:dyDescent="0.3"/>
    <row r="3610" hidden="1" x14ac:dyDescent="0.3"/>
    <row r="3611" hidden="1" x14ac:dyDescent="0.3"/>
    <row r="3612" hidden="1" x14ac:dyDescent="0.3"/>
    <row r="3613" hidden="1" x14ac:dyDescent="0.3"/>
    <row r="3614" hidden="1" x14ac:dyDescent="0.3"/>
    <row r="3615" hidden="1" x14ac:dyDescent="0.3"/>
    <row r="3616" hidden="1" x14ac:dyDescent="0.3"/>
    <row r="3617" hidden="1" x14ac:dyDescent="0.3"/>
    <row r="3618" hidden="1" x14ac:dyDescent="0.3"/>
    <row r="3619" hidden="1" x14ac:dyDescent="0.3"/>
    <row r="3620" hidden="1" x14ac:dyDescent="0.3"/>
    <row r="3621" hidden="1" x14ac:dyDescent="0.3"/>
    <row r="3622" hidden="1" x14ac:dyDescent="0.3"/>
    <row r="3623" hidden="1" x14ac:dyDescent="0.3"/>
    <row r="3624" hidden="1" x14ac:dyDescent="0.3"/>
    <row r="3625" hidden="1" x14ac:dyDescent="0.3"/>
    <row r="3626" hidden="1" x14ac:dyDescent="0.3"/>
    <row r="3627" hidden="1" x14ac:dyDescent="0.3"/>
    <row r="3628" hidden="1" x14ac:dyDescent="0.3"/>
    <row r="3629" hidden="1" x14ac:dyDescent="0.3"/>
    <row r="3630" hidden="1" x14ac:dyDescent="0.3"/>
    <row r="3631" hidden="1" x14ac:dyDescent="0.3"/>
    <row r="3632" hidden="1" x14ac:dyDescent="0.3"/>
    <row r="3633" hidden="1" x14ac:dyDescent="0.3"/>
    <row r="3634" hidden="1" x14ac:dyDescent="0.3"/>
    <row r="3635" hidden="1" x14ac:dyDescent="0.3"/>
    <row r="3636" hidden="1" x14ac:dyDescent="0.3"/>
    <row r="3637" hidden="1" x14ac:dyDescent="0.3"/>
    <row r="3638" hidden="1" x14ac:dyDescent="0.3"/>
    <row r="3639" hidden="1" x14ac:dyDescent="0.3"/>
    <row r="3640" hidden="1" x14ac:dyDescent="0.3"/>
    <row r="3641" hidden="1" x14ac:dyDescent="0.3"/>
    <row r="3642" hidden="1" x14ac:dyDescent="0.3"/>
    <row r="3643" hidden="1" x14ac:dyDescent="0.3"/>
    <row r="3644" hidden="1" x14ac:dyDescent="0.3"/>
    <row r="3645" hidden="1" x14ac:dyDescent="0.3"/>
    <row r="3646" hidden="1" x14ac:dyDescent="0.3"/>
    <row r="3647" hidden="1" x14ac:dyDescent="0.3"/>
    <row r="3648" hidden="1" x14ac:dyDescent="0.3"/>
    <row r="3649" hidden="1" x14ac:dyDescent="0.3"/>
    <row r="3650" hidden="1" x14ac:dyDescent="0.3"/>
    <row r="3651" hidden="1" x14ac:dyDescent="0.3"/>
    <row r="3652" hidden="1" x14ac:dyDescent="0.3"/>
    <row r="3653" hidden="1" x14ac:dyDescent="0.3"/>
    <row r="3654" hidden="1" x14ac:dyDescent="0.3"/>
    <row r="3655" hidden="1" x14ac:dyDescent="0.3"/>
    <row r="3656" hidden="1" x14ac:dyDescent="0.3"/>
    <row r="3657" hidden="1" x14ac:dyDescent="0.3"/>
    <row r="3658" hidden="1" x14ac:dyDescent="0.3"/>
    <row r="3659" hidden="1" x14ac:dyDescent="0.3"/>
    <row r="3660" hidden="1" x14ac:dyDescent="0.3"/>
    <row r="3661" hidden="1" x14ac:dyDescent="0.3"/>
    <row r="3662" hidden="1" x14ac:dyDescent="0.3"/>
    <row r="3663" hidden="1" x14ac:dyDescent="0.3"/>
    <row r="3664" hidden="1" x14ac:dyDescent="0.3"/>
    <row r="3665" hidden="1" x14ac:dyDescent="0.3"/>
    <row r="3666" hidden="1" x14ac:dyDescent="0.3"/>
    <row r="3667" hidden="1" x14ac:dyDescent="0.3"/>
    <row r="3668" hidden="1" x14ac:dyDescent="0.3"/>
    <row r="3669" hidden="1" x14ac:dyDescent="0.3"/>
    <row r="3670" hidden="1" x14ac:dyDescent="0.3"/>
    <row r="3671" hidden="1" x14ac:dyDescent="0.3"/>
    <row r="3672" hidden="1" x14ac:dyDescent="0.3"/>
    <row r="3673" hidden="1" x14ac:dyDescent="0.3"/>
    <row r="3674" hidden="1" x14ac:dyDescent="0.3"/>
    <row r="3675" hidden="1" x14ac:dyDescent="0.3"/>
    <row r="3676" hidden="1" x14ac:dyDescent="0.3"/>
    <row r="3677" hidden="1" x14ac:dyDescent="0.3"/>
    <row r="3678" hidden="1" x14ac:dyDescent="0.3"/>
    <row r="3679" hidden="1" x14ac:dyDescent="0.3"/>
    <row r="3680" hidden="1" x14ac:dyDescent="0.3"/>
    <row r="3681" hidden="1" x14ac:dyDescent="0.3"/>
    <row r="3682" hidden="1" x14ac:dyDescent="0.3"/>
    <row r="3683" hidden="1" x14ac:dyDescent="0.3"/>
    <row r="3684" hidden="1" x14ac:dyDescent="0.3"/>
    <row r="3685" hidden="1" x14ac:dyDescent="0.3"/>
    <row r="3686" hidden="1" x14ac:dyDescent="0.3"/>
    <row r="3687" hidden="1" x14ac:dyDescent="0.3"/>
    <row r="3688" hidden="1" x14ac:dyDescent="0.3"/>
    <row r="3689" hidden="1" x14ac:dyDescent="0.3"/>
    <row r="3690" hidden="1" x14ac:dyDescent="0.3"/>
    <row r="3691" hidden="1" x14ac:dyDescent="0.3"/>
    <row r="3692" hidden="1" x14ac:dyDescent="0.3"/>
    <row r="3693" hidden="1" x14ac:dyDescent="0.3"/>
    <row r="3694" hidden="1" x14ac:dyDescent="0.3"/>
    <row r="3695" hidden="1" x14ac:dyDescent="0.3"/>
    <row r="3696" hidden="1" x14ac:dyDescent="0.3"/>
    <row r="3697" hidden="1" x14ac:dyDescent="0.3"/>
    <row r="3698" hidden="1" x14ac:dyDescent="0.3"/>
    <row r="3699" hidden="1" x14ac:dyDescent="0.3"/>
    <row r="3700" hidden="1" x14ac:dyDescent="0.3"/>
    <row r="3701" hidden="1" x14ac:dyDescent="0.3"/>
    <row r="3702" hidden="1" x14ac:dyDescent="0.3"/>
    <row r="3703" hidden="1" x14ac:dyDescent="0.3"/>
    <row r="3704" hidden="1" x14ac:dyDescent="0.3"/>
    <row r="3705" hidden="1" x14ac:dyDescent="0.3"/>
    <row r="3706" hidden="1" x14ac:dyDescent="0.3"/>
    <row r="3707" hidden="1" x14ac:dyDescent="0.3"/>
    <row r="3708" hidden="1" x14ac:dyDescent="0.3"/>
    <row r="3709" hidden="1" x14ac:dyDescent="0.3"/>
    <row r="3710" hidden="1" x14ac:dyDescent="0.3"/>
    <row r="3711" hidden="1" x14ac:dyDescent="0.3"/>
    <row r="3712" hidden="1" x14ac:dyDescent="0.3"/>
    <row r="3713" hidden="1" x14ac:dyDescent="0.3"/>
    <row r="3714" hidden="1" x14ac:dyDescent="0.3"/>
    <row r="3715" hidden="1" x14ac:dyDescent="0.3"/>
    <row r="3716" hidden="1" x14ac:dyDescent="0.3"/>
    <row r="3717" hidden="1" x14ac:dyDescent="0.3"/>
    <row r="3718" hidden="1" x14ac:dyDescent="0.3"/>
    <row r="3719" hidden="1" x14ac:dyDescent="0.3"/>
    <row r="3720" hidden="1" x14ac:dyDescent="0.3"/>
    <row r="3721" hidden="1" x14ac:dyDescent="0.3"/>
    <row r="3722" hidden="1" x14ac:dyDescent="0.3"/>
    <row r="3723" hidden="1" x14ac:dyDescent="0.3"/>
    <row r="3724" hidden="1" x14ac:dyDescent="0.3"/>
    <row r="3725" hidden="1" x14ac:dyDescent="0.3"/>
    <row r="3726" hidden="1" x14ac:dyDescent="0.3"/>
    <row r="3727" hidden="1" x14ac:dyDescent="0.3"/>
    <row r="3728" hidden="1" x14ac:dyDescent="0.3"/>
    <row r="3729" hidden="1" x14ac:dyDescent="0.3"/>
    <row r="3730" hidden="1" x14ac:dyDescent="0.3"/>
    <row r="3731" hidden="1" x14ac:dyDescent="0.3"/>
    <row r="3732" hidden="1" x14ac:dyDescent="0.3"/>
    <row r="3733" hidden="1" x14ac:dyDescent="0.3"/>
    <row r="3734" hidden="1" x14ac:dyDescent="0.3"/>
    <row r="3735" hidden="1" x14ac:dyDescent="0.3"/>
    <row r="3736" hidden="1" x14ac:dyDescent="0.3"/>
    <row r="3737" hidden="1" x14ac:dyDescent="0.3"/>
    <row r="3738" hidden="1" x14ac:dyDescent="0.3"/>
    <row r="3739" hidden="1" x14ac:dyDescent="0.3"/>
    <row r="3740" hidden="1" x14ac:dyDescent="0.3"/>
    <row r="3741" hidden="1" x14ac:dyDescent="0.3"/>
    <row r="3742" hidden="1" x14ac:dyDescent="0.3"/>
    <row r="3743" hidden="1" x14ac:dyDescent="0.3"/>
    <row r="3744" hidden="1" x14ac:dyDescent="0.3"/>
    <row r="3745" hidden="1" x14ac:dyDescent="0.3"/>
    <row r="3746" hidden="1" x14ac:dyDescent="0.3"/>
    <row r="3747" hidden="1" x14ac:dyDescent="0.3"/>
    <row r="3748" hidden="1" x14ac:dyDescent="0.3"/>
    <row r="3749" hidden="1" x14ac:dyDescent="0.3"/>
    <row r="3750" hidden="1" x14ac:dyDescent="0.3"/>
    <row r="3751" hidden="1" x14ac:dyDescent="0.3"/>
    <row r="3752" hidden="1" x14ac:dyDescent="0.3"/>
    <row r="3753" hidden="1" x14ac:dyDescent="0.3"/>
    <row r="3754" hidden="1" x14ac:dyDescent="0.3"/>
    <row r="3755" hidden="1" x14ac:dyDescent="0.3"/>
    <row r="3756" hidden="1" x14ac:dyDescent="0.3"/>
    <row r="3757" hidden="1" x14ac:dyDescent="0.3"/>
    <row r="3758" hidden="1" x14ac:dyDescent="0.3"/>
    <row r="3759" hidden="1" x14ac:dyDescent="0.3"/>
    <row r="3760" hidden="1" x14ac:dyDescent="0.3"/>
    <row r="3761" hidden="1" x14ac:dyDescent="0.3"/>
    <row r="3762" hidden="1" x14ac:dyDescent="0.3"/>
    <row r="3763" hidden="1" x14ac:dyDescent="0.3"/>
    <row r="3764" hidden="1" x14ac:dyDescent="0.3"/>
    <row r="3765" hidden="1" x14ac:dyDescent="0.3"/>
    <row r="3766" hidden="1" x14ac:dyDescent="0.3"/>
    <row r="3767" hidden="1" x14ac:dyDescent="0.3"/>
    <row r="3768" hidden="1" x14ac:dyDescent="0.3"/>
    <row r="3769" hidden="1" x14ac:dyDescent="0.3"/>
    <row r="3770" hidden="1" x14ac:dyDescent="0.3"/>
    <row r="3771" hidden="1" x14ac:dyDescent="0.3"/>
    <row r="3772" hidden="1" x14ac:dyDescent="0.3"/>
    <row r="3773" hidden="1" x14ac:dyDescent="0.3"/>
    <row r="3774" hidden="1" x14ac:dyDescent="0.3"/>
    <row r="3775" hidden="1" x14ac:dyDescent="0.3"/>
    <row r="3776" hidden="1" x14ac:dyDescent="0.3"/>
    <row r="3777" hidden="1" x14ac:dyDescent="0.3"/>
    <row r="3778" hidden="1" x14ac:dyDescent="0.3"/>
    <row r="3779" hidden="1" x14ac:dyDescent="0.3"/>
    <row r="3780" hidden="1" x14ac:dyDescent="0.3"/>
    <row r="3781" hidden="1" x14ac:dyDescent="0.3"/>
    <row r="3782" hidden="1" x14ac:dyDescent="0.3"/>
    <row r="3783" hidden="1" x14ac:dyDescent="0.3"/>
    <row r="3784" hidden="1" x14ac:dyDescent="0.3"/>
    <row r="3785" hidden="1" x14ac:dyDescent="0.3"/>
    <row r="3786" hidden="1" x14ac:dyDescent="0.3"/>
    <row r="3787" hidden="1" x14ac:dyDescent="0.3"/>
    <row r="3788" hidden="1" x14ac:dyDescent="0.3"/>
    <row r="3789" hidden="1" x14ac:dyDescent="0.3"/>
    <row r="3790" hidden="1" x14ac:dyDescent="0.3"/>
    <row r="3791" hidden="1" x14ac:dyDescent="0.3"/>
    <row r="3792" hidden="1" x14ac:dyDescent="0.3"/>
    <row r="3793" hidden="1" x14ac:dyDescent="0.3"/>
    <row r="3794" hidden="1" x14ac:dyDescent="0.3"/>
    <row r="3795" hidden="1" x14ac:dyDescent="0.3"/>
    <row r="3796" hidden="1" x14ac:dyDescent="0.3"/>
    <row r="3797" hidden="1" x14ac:dyDescent="0.3"/>
    <row r="3798" hidden="1" x14ac:dyDescent="0.3"/>
    <row r="3799" hidden="1" x14ac:dyDescent="0.3"/>
    <row r="3800" hidden="1" x14ac:dyDescent="0.3"/>
    <row r="3801" hidden="1" x14ac:dyDescent="0.3"/>
    <row r="3802" hidden="1" x14ac:dyDescent="0.3"/>
    <row r="3803" hidden="1" x14ac:dyDescent="0.3"/>
    <row r="3804" hidden="1" x14ac:dyDescent="0.3"/>
    <row r="3805" hidden="1" x14ac:dyDescent="0.3"/>
    <row r="3806" hidden="1" x14ac:dyDescent="0.3"/>
    <row r="3807" hidden="1" x14ac:dyDescent="0.3"/>
    <row r="3808" hidden="1" x14ac:dyDescent="0.3"/>
    <row r="3809" hidden="1" x14ac:dyDescent="0.3"/>
    <row r="3810" hidden="1" x14ac:dyDescent="0.3"/>
    <row r="3811" hidden="1" x14ac:dyDescent="0.3"/>
    <row r="3812" hidden="1" x14ac:dyDescent="0.3"/>
    <row r="3813" hidden="1" x14ac:dyDescent="0.3"/>
    <row r="3814" hidden="1" x14ac:dyDescent="0.3"/>
    <row r="3815" hidden="1" x14ac:dyDescent="0.3"/>
    <row r="3816" hidden="1" x14ac:dyDescent="0.3"/>
    <row r="3817" hidden="1" x14ac:dyDescent="0.3"/>
    <row r="3818" hidden="1" x14ac:dyDescent="0.3"/>
    <row r="3819" hidden="1" x14ac:dyDescent="0.3"/>
    <row r="3820" hidden="1" x14ac:dyDescent="0.3"/>
    <row r="3821" hidden="1" x14ac:dyDescent="0.3"/>
    <row r="3822" hidden="1" x14ac:dyDescent="0.3"/>
    <row r="3823" hidden="1" x14ac:dyDescent="0.3"/>
    <row r="3824" hidden="1" x14ac:dyDescent="0.3"/>
    <row r="3825" hidden="1" x14ac:dyDescent="0.3"/>
    <row r="3826" hidden="1" x14ac:dyDescent="0.3"/>
    <row r="3827" hidden="1" x14ac:dyDescent="0.3"/>
    <row r="3828" hidden="1" x14ac:dyDescent="0.3"/>
    <row r="3829" hidden="1" x14ac:dyDescent="0.3"/>
    <row r="3830" hidden="1" x14ac:dyDescent="0.3"/>
    <row r="3831" hidden="1" x14ac:dyDescent="0.3"/>
    <row r="3832" hidden="1" x14ac:dyDescent="0.3"/>
    <row r="3833" hidden="1" x14ac:dyDescent="0.3"/>
    <row r="3834" hidden="1" x14ac:dyDescent="0.3"/>
    <row r="3835" hidden="1" x14ac:dyDescent="0.3"/>
    <row r="3836" hidden="1" x14ac:dyDescent="0.3"/>
    <row r="3837" hidden="1" x14ac:dyDescent="0.3"/>
    <row r="3838" hidden="1" x14ac:dyDescent="0.3"/>
    <row r="3839" hidden="1" x14ac:dyDescent="0.3"/>
    <row r="3840" hidden="1" x14ac:dyDescent="0.3"/>
    <row r="3841" hidden="1" x14ac:dyDescent="0.3"/>
    <row r="3842" hidden="1" x14ac:dyDescent="0.3"/>
    <row r="3843" hidden="1" x14ac:dyDescent="0.3"/>
    <row r="3844" hidden="1" x14ac:dyDescent="0.3"/>
    <row r="3845" hidden="1" x14ac:dyDescent="0.3"/>
    <row r="3846" hidden="1" x14ac:dyDescent="0.3"/>
    <row r="3847" hidden="1" x14ac:dyDescent="0.3"/>
    <row r="3848" hidden="1" x14ac:dyDescent="0.3"/>
    <row r="3849" hidden="1" x14ac:dyDescent="0.3"/>
    <row r="3850" hidden="1" x14ac:dyDescent="0.3"/>
    <row r="3851" hidden="1" x14ac:dyDescent="0.3"/>
    <row r="3852" hidden="1" x14ac:dyDescent="0.3"/>
    <row r="3853" hidden="1" x14ac:dyDescent="0.3"/>
    <row r="3854" hidden="1" x14ac:dyDescent="0.3"/>
    <row r="3855" hidden="1" x14ac:dyDescent="0.3"/>
    <row r="3856" hidden="1" x14ac:dyDescent="0.3"/>
    <row r="3857" hidden="1" x14ac:dyDescent="0.3"/>
    <row r="3858" hidden="1" x14ac:dyDescent="0.3"/>
    <row r="3859" hidden="1" x14ac:dyDescent="0.3"/>
    <row r="3860" hidden="1" x14ac:dyDescent="0.3"/>
    <row r="3861" hidden="1" x14ac:dyDescent="0.3"/>
    <row r="3862" hidden="1" x14ac:dyDescent="0.3"/>
    <row r="3863" hidden="1" x14ac:dyDescent="0.3"/>
    <row r="3864" hidden="1" x14ac:dyDescent="0.3"/>
    <row r="3865" hidden="1" x14ac:dyDescent="0.3"/>
    <row r="3866" hidden="1" x14ac:dyDescent="0.3"/>
    <row r="3867" hidden="1" x14ac:dyDescent="0.3"/>
    <row r="3868" hidden="1" x14ac:dyDescent="0.3"/>
    <row r="3869" hidden="1" x14ac:dyDescent="0.3"/>
    <row r="3870" hidden="1" x14ac:dyDescent="0.3"/>
    <row r="3871" hidden="1" x14ac:dyDescent="0.3"/>
    <row r="3872" hidden="1" x14ac:dyDescent="0.3"/>
    <row r="3873" hidden="1" x14ac:dyDescent="0.3"/>
    <row r="3874" hidden="1" x14ac:dyDescent="0.3"/>
    <row r="3875" hidden="1" x14ac:dyDescent="0.3"/>
    <row r="3876" hidden="1" x14ac:dyDescent="0.3"/>
    <row r="3877" hidden="1" x14ac:dyDescent="0.3"/>
    <row r="3878" hidden="1" x14ac:dyDescent="0.3"/>
    <row r="3879" hidden="1" x14ac:dyDescent="0.3"/>
    <row r="3880" hidden="1" x14ac:dyDescent="0.3"/>
    <row r="3881" hidden="1" x14ac:dyDescent="0.3"/>
    <row r="3882" hidden="1" x14ac:dyDescent="0.3"/>
    <row r="3883" hidden="1" x14ac:dyDescent="0.3"/>
    <row r="3884" hidden="1" x14ac:dyDescent="0.3"/>
    <row r="3885" hidden="1" x14ac:dyDescent="0.3"/>
    <row r="3886" hidden="1" x14ac:dyDescent="0.3"/>
    <row r="3887" hidden="1" x14ac:dyDescent="0.3"/>
    <row r="3888" hidden="1" x14ac:dyDescent="0.3"/>
    <row r="3889" hidden="1" x14ac:dyDescent="0.3"/>
    <row r="3890" hidden="1" x14ac:dyDescent="0.3"/>
    <row r="3891" hidden="1" x14ac:dyDescent="0.3"/>
    <row r="3892" hidden="1" x14ac:dyDescent="0.3"/>
    <row r="3893" hidden="1" x14ac:dyDescent="0.3"/>
    <row r="3894" hidden="1" x14ac:dyDescent="0.3"/>
    <row r="3895" hidden="1" x14ac:dyDescent="0.3"/>
    <row r="3896" hidden="1" x14ac:dyDescent="0.3"/>
    <row r="3897" hidden="1" x14ac:dyDescent="0.3"/>
    <row r="3898" hidden="1" x14ac:dyDescent="0.3"/>
    <row r="3899" hidden="1" x14ac:dyDescent="0.3"/>
    <row r="3900" hidden="1" x14ac:dyDescent="0.3"/>
    <row r="3901" hidden="1" x14ac:dyDescent="0.3"/>
    <row r="3902" hidden="1" x14ac:dyDescent="0.3"/>
    <row r="3903" hidden="1" x14ac:dyDescent="0.3"/>
    <row r="3904" hidden="1" x14ac:dyDescent="0.3"/>
    <row r="3905" hidden="1" x14ac:dyDescent="0.3"/>
    <row r="3906" hidden="1" x14ac:dyDescent="0.3"/>
    <row r="3907" hidden="1" x14ac:dyDescent="0.3"/>
    <row r="3908" hidden="1" x14ac:dyDescent="0.3"/>
    <row r="3909" hidden="1" x14ac:dyDescent="0.3"/>
    <row r="3910" hidden="1" x14ac:dyDescent="0.3"/>
    <row r="3911" hidden="1" x14ac:dyDescent="0.3"/>
    <row r="3912" hidden="1" x14ac:dyDescent="0.3"/>
    <row r="3913" hidden="1" x14ac:dyDescent="0.3"/>
    <row r="3914" hidden="1" x14ac:dyDescent="0.3"/>
    <row r="3915" hidden="1" x14ac:dyDescent="0.3"/>
    <row r="3916" hidden="1" x14ac:dyDescent="0.3"/>
    <row r="3917" hidden="1" x14ac:dyDescent="0.3"/>
    <row r="3918" hidden="1" x14ac:dyDescent="0.3"/>
    <row r="3919" hidden="1" x14ac:dyDescent="0.3"/>
    <row r="3920" hidden="1" x14ac:dyDescent="0.3"/>
    <row r="3921" hidden="1" x14ac:dyDescent="0.3"/>
    <row r="3922" hidden="1" x14ac:dyDescent="0.3"/>
    <row r="3923" hidden="1" x14ac:dyDescent="0.3"/>
    <row r="3924" hidden="1" x14ac:dyDescent="0.3"/>
    <row r="3925" hidden="1" x14ac:dyDescent="0.3"/>
    <row r="3926" hidden="1" x14ac:dyDescent="0.3"/>
    <row r="3927" hidden="1" x14ac:dyDescent="0.3"/>
    <row r="3928" hidden="1" x14ac:dyDescent="0.3"/>
    <row r="3929" hidden="1" x14ac:dyDescent="0.3"/>
    <row r="3930" hidden="1" x14ac:dyDescent="0.3"/>
    <row r="3931" hidden="1" x14ac:dyDescent="0.3"/>
    <row r="3932" hidden="1" x14ac:dyDescent="0.3"/>
    <row r="3933" hidden="1" x14ac:dyDescent="0.3"/>
    <row r="3934" hidden="1" x14ac:dyDescent="0.3"/>
    <row r="3935" hidden="1" x14ac:dyDescent="0.3"/>
    <row r="3936" hidden="1" x14ac:dyDescent="0.3"/>
    <row r="3937" hidden="1" x14ac:dyDescent="0.3"/>
    <row r="3938" hidden="1" x14ac:dyDescent="0.3"/>
    <row r="3939" hidden="1" x14ac:dyDescent="0.3"/>
    <row r="3940" hidden="1" x14ac:dyDescent="0.3"/>
    <row r="3941" hidden="1" x14ac:dyDescent="0.3"/>
    <row r="3942" hidden="1" x14ac:dyDescent="0.3"/>
    <row r="3943" hidden="1" x14ac:dyDescent="0.3"/>
    <row r="3944" hidden="1" x14ac:dyDescent="0.3"/>
    <row r="3945" hidden="1" x14ac:dyDescent="0.3"/>
    <row r="3946" hidden="1" x14ac:dyDescent="0.3"/>
    <row r="3947" hidden="1" x14ac:dyDescent="0.3"/>
    <row r="3948" hidden="1" x14ac:dyDescent="0.3"/>
    <row r="3949" hidden="1" x14ac:dyDescent="0.3"/>
    <row r="3950" hidden="1" x14ac:dyDescent="0.3"/>
    <row r="3951" hidden="1" x14ac:dyDescent="0.3"/>
    <row r="3952" hidden="1" x14ac:dyDescent="0.3"/>
    <row r="3953" hidden="1" x14ac:dyDescent="0.3"/>
    <row r="3954" hidden="1" x14ac:dyDescent="0.3"/>
    <row r="3955" hidden="1" x14ac:dyDescent="0.3"/>
    <row r="3956" hidden="1" x14ac:dyDescent="0.3"/>
    <row r="3957" hidden="1" x14ac:dyDescent="0.3"/>
    <row r="3958" hidden="1" x14ac:dyDescent="0.3"/>
    <row r="3959" hidden="1" x14ac:dyDescent="0.3"/>
    <row r="3960" hidden="1" x14ac:dyDescent="0.3"/>
    <row r="3961" hidden="1" x14ac:dyDescent="0.3"/>
    <row r="3962" hidden="1" x14ac:dyDescent="0.3"/>
    <row r="3963" hidden="1" x14ac:dyDescent="0.3"/>
    <row r="3964" hidden="1" x14ac:dyDescent="0.3"/>
    <row r="3965" hidden="1" x14ac:dyDescent="0.3"/>
    <row r="3966" hidden="1" x14ac:dyDescent="0.3"/>
    <row r="3967" hidden="1" x14ac:dyDescent="0.3"/>
    <row r="3968" hidden="1" x14ac:dyDescent="0.3"/>
    <row r="3969" hidden="1" x14ac:dyDescent="0.3"/>
    <row r="3970" hidden="1" x14ac:dyDescent="0.3"/>
    <row r="3971" hidden="1" x14ac:dyDescent="0.3"/>
    <row r="3972" hidden="1" x14ac:dyDescent="0.3"/>
    <row r="3973" hidden="1" x14ac:dyDescent="0.3"/>
    <row r="3974" hidden="1" x14ac:dyDescent="0.3"/>
    <row r="3975" hidden="1" x14ac:dyDescent="0.3"/>
    <row r="3976" hidden="1" x14ac:dyDescent="0.3"/>
    <row r="3977" hidden="1" x14ac:dyDescent="0.3"/>
    <row r="3978" hidden="1" x14ac:dyDescent="0.3"/>
    <row r="3979" hidden="1" x14ac:dyDescent="0.3"/>
    <row r="3980" hidden="1" x14ac:dyDescent="0.3"/>
    <row r="3981" hidden="1" x14ac:dyDescent="0.3"/>
    <row r="3982" hidden="1" x14ac:dyDescent="0.3"/>
    <row r="3983" hidden="1" x14ac:dyDescent="0.3"/>
    <row r="3984" hidden="1" x14ac:dyDescent="0.3"/>
    <row r="3985" hidden="1" x14ac:dyDescent="0.3"/>
    <row r="3986" hidden="1" x14ac:dyDescent="0.3"/>
    <row r="3987" hidden="1" x14ac:dyDescent="0.3"/>
    <row r="3988" hidden="1" x14ac:dyDescent="0.3"/>
    <row r="3989" hidden="1" x14ac:dyDescent="0.3"/>
    <row r="3990" hidden="1" x14ac:dyDescent="0.3"/>
    <row r="3991" hidden="1" x14ac:dyDescent="0.3"/>
    <row r="3992" hidden="1" x14ac:dyDescent="0.3"/>
    <row r="3993" hidden="1" x14ac:dyDescent="0.3"/>
    <row r="3994" hidden="1" x14ac:dyDescent="0.3"/>
    <row r="3995" hidden="1" x14ac:dyDescent="0.3"/>
    <row r="3996" hidden="1" x14ac:dyDescent="0.3"/>
    <row r="3997" hidden="1" x14ac:dyDescent="0.3"/>
    <row r="3998" hidden="1" x14ac:dyDescent="0.3"/>
    <row r="3999" hidden="1" x14ac:dyDescent="0.3"/>
    <row r="4000" hidden="1" x14ac:dyDescent="0.3"/>
    <row r="4001" hidden="1" x14ac:dyDescent="0.3"/>
    <row r="4002" hidden="1" x14ac:dyDescent="0.3"/>
    <row r="4003" hidden="1" x14ac:dyDescent="0.3"/>
    <row r="4004" hidden="1" x14ac:dyDescent="0.3"/>
    <row r="4005" hidden="1" x14ac:dyDescent="0.3"/>
    <row r="4006" hidden="1" x14ac:dyDescent="0.3"/>
    <row r="4007" hidden="1" x14ac:dyDescent="0.3"/>
    <row r="4008" hidden="1" x14ac:dyDescent="0.3"/>
    <row r="4009" hidden="1" x14ac:dyDescent="0.3"/>
    <row r="4010" hidden="1" x14ac:dyDescent="0.3"/>
    <row r="4011" hidden="1" x14ac:dyDescent="0.3"/>
    <row r="4012" hidden="1" x14ac:dyDescent="0.3"/>
    <row r="4013" hidden="1" x14ac:dyDescent="0.3"/>
    <row r="4014" hidden="1" x14ac:dyDescent="0.3"/>
    <row r="4015" hidden="1" x14ac:dyDescent="0.3"/>
    <row r="4016" hidden="1" x14ac:dyDescent="0.3"/>
    <row r="4017" hidden="1" x14ac:dyDescent="0.3"/>
    <row r="4018" hidden="1" x14ac:dyDescent="0.3"/>
    <row r="4019" hidden="1" x14ac:dyDescent="0.3"/>
    <row r="4020" hidden="1" x14ac:dyDescent="0.3"/>
    <row r="4021" hidden="1" x14ac:dyDescent="0.3"/>
    <row r="4022" hidden="1" x14ac:dyDescent="0.3"/>
    <row r="4023" hidden="1" x14ac:dyDescent="0.3"/>
    <row r="4024" hidden="1" x14ac:dyDescent="0.3"/>
    <row r="4025" hidden="1" x14ac:dyDescent="0.3"/>
    <row r="4026" hidden="1" x14ac:dyDescent="0.3"/>
    <row r="4027" hidden="1" x14ac:dyDescent="0.3"/>
    <row r="4028" hidden="1" x14ac:dyDescent="0.3"/>
    <row r="4029" hidden="1" x14ac:dyDescent="0.3"/>
    <row r="4030" hidden="1" x14ac:dyDescent="0.3"/>
    <row r="4031" hidden="1" x14ac:dyDescent="0.3"/>
    <row r="4032" hidden="1" x14ac:dyDescent="0.3"/>
    <row r="4033" hidden="1" x14ac:dyDescent="0.3"/>
    <row r="4034" hidden="1" x14ac:dyDescent="0.3"/>
    <row r="4035" hidden="1" x14ac:dyDescent="0.3"/>
    <row r="4036" hidden="1" x14ac:dyDescent="0.3"/>
    <row r="4037" hidden="1" x14ac:dyDescent="0.3"/>
    <row r="4038" hidden="1" x14ac:dyDescent="0.3"/>
    <row r="4039" hidden="1" x14ac:dyDescent="0.3"/>
    <row r="4040" hidden="1" x14ac:dyDescent="0.3"/>
    <row r="4041" hidden="1" x14ac:dyDescent="0.3"/>
    <row r="4042" hidden="1" x14ac:dyDescent="0.3"/>
    <row r="4043" hidden="1" x14ac:dyDescent="0.3"/>
    <row r="4044" hidden="1" x14ac:dyDescent="0.3"/>
    <row r="4045" hidden="1" x14ac:dyDescent="0.3"/>
    <row r="4046" hidden="1" x14ac:dyDescent="0.3"/>
    <row r="4047" hidden="1" x14ac:dyDescent="0.3"/>
    <row r="4048" hidden="1" x14ac:dyDescent="0.3"/>
    <row r="4049" hidden="1" x14ac:dyDescent="0.3"/>
    <row r="4050" hidden="1" x14ac:dyDescent="0.3"/>
    <row r="4051" hidden="1" x14ac:dyDescent="0.3"/>
    <row r="4052" hidden="1" x14ac:dyDescent="0.3"/>
    <row r="4053" hidden="1" x14ac:dyDescent="0.3"/>
    <row r="4054" hidden="1" x14ac:dyDescent="0.3"/>
    <row r="4055" hidden="1" x14ac:dyDescent="0.3"/>
    <row r="4056" hidden="1" x14ac:dyDescent="0.3"/>
    <row r="4057" hidden="1" x14ac:dyDescent="0.3"/>
    <row r="4058" hidden="1" x14ac:dyDescent="0.3"/>
    <row r="4059" hidden="1" x14ac:dyDescent="0.3"/>
    <row r="4060" hidden="1" x14ac:dyDescent="0.3"/>
    <row r="4061" hidden="1" x14ac:dyDescent="0.3"/>
    <row r="4062" hidden="1" x14ac:dyDescent="0.3"/>
    <row r="4063" hidden="1" x14ac:dyDescent="0.3"/>
    <row r="4064" hidden="1" x14ac:dyDescent="0.3"/>
    <row r="4065" hidden="1" x14ac:dyDescent="0.3"/>
    <row r="4066" hidden="1" x14ac:dyDescent="0.3"/>
    <row r="4067" hidden="1" x14ac:dyDescent="0.3"/>
    <row r="4068" hidden="1" x14ac:dyDescent="0.3"/>
    <row r="4069" hidden="1" x14ac:dyDescent="0.3"/>
    <row r="4070" hidden="1" x14ac:dyDescent="0.3"/>
    <row r="4071" hidden="1" x14ac:dyDescent="0.3"/>
    <row r="4072" hidden="1" x14ac:dyDescent="0.3"/>
    <row r="4073" hidden="1" x14ac:dyDescent="0.3"/>
    <row r="4074" hidden="1" x14ac:dyDescent="0.3"/>
    <row r="4075" hidden="1" x14ac:dyDescent="0.3"/>
    <row r="4076" hidden="1" x14ac:dyDescent="0.3"/>
    <row r="4077" hidden="1" x14ac:dyDescent="0.3"/>
    <row r="4078" hidden="1" x14ac:dyDescent="0.3"/>
    <row r="4079" hidden="1" x14ac:dyDescent="0.3"/>
    <row r="4080" hidden="1" x14ac:dyDescent="0.3"/>
    <row r="4081" hidden="1" x14ac:dyDescent="0.3"/>
    <row r="4082" hidden="1" x14ac:dyDescent="0.3"/>
    <row r="4083" hidden="1" x14ac:dyDescent="0.3"/>
    <row r="4084" hidden="1" x14ac:dyDescent="0.3"/>
    <row r="4085" hidden="1" x14ac:dyDescent="0.3"/>
    <row r="4086" hidden="1" x14ac:dyDescent="0.3"/>
    <row r="4087" hidden="1" x14ac:dyDescent="0.3"/>
    <row r="4088" hidden="1" x14ac:dyDescent="0.3"/>
    <row r="4089" hidden="1" x14ac:dyDescent="0.3"/>
    <row r="4090" hidden="1" x14ac:dyDescent="0.3"/>
    <row r="4091" hidden="1" x14ac:dyDescent="0.3"/>
    <row r="4092" hidden="1" x14ac:dyDescent="0.3"/>
    <row r="4093" hidden="1" x14ac:dyDescent="0.3"/>
    <row r="4094" hidden="1" x14ac:dyDescent="0.3"/>
    <row r="4095" hidden="1" x14ac:dyDescent="0.3"/>
    <row r="4096" hidden="1" x14ac:dyDescent="0.3"/>
    <row r="4097" hidden="1" x14ac:dyDescent="0.3"/>
    <row r="4098" hidden="1" x14ac:dyDescent="0.3"/>
    <row r="4099" hidden="1" x14ac:dyDescent="0.3"/>
    <row r="4100" hidden="1" x14ac:dyDescent="0.3"/>
    <row r="4101" hidden="1" x14ac:dyDescent="0.3"/>
    <row r="4102" hidden="1" x14ac:dyDescent="0.3"/>
    <row r="4103" hidden="1" x14ac:dyDescent="0.3"/>
    <row r="4104" hidden="1" x14ac:dyDescent="0.3"/>
    <row r="4105" hidden="1" x14ac:dyDescent="0.3"/>
    <row r="4106" hidden="1" x14ac:dyDescent="0.3"/>
    <row r="4107" hidden="1" x14ac:dyDescent="0.3"/>
    <row r="4108" hidden="1" x14ac:dyDescent="0.3"/>
    <row r="4109" hidden="1" x14ac:dyDescent="0.3"/>
    <row r="4110" hidden="1" x14ac:dyDescent="0.3"/>
    <row r="4111" hidden="1" x14ac:dyDescent="0.3"/>
    <row r="4112" hidden="1" x14ac:dyDescent="0.3"/>
    <row r="4113" hidden="1" x14ac:dyDescent="0.3"/>
    <row r="4114" hidden="1" x14ac:dyDescent="0.3"/>
    <row r="4115" hidden="1" x14ac:dyDescent="0.3"/>
    <row r="4116" hidden="1" x14ac:dyDescent="0.3"/>
    <row r="4117" hidden="1" x14ac:dyDescent="0.3"/>
    <row r="4118" hidden="1" x14ac:dyDescent="0.3"/>
    <row r="4119" hidden="1" x14ac:dyDescent="0.3"/>
    <row r="4120" hidden="1" x14ac:dyDescent="0.3"/>
    <row r="4121" hidden="1" x14ac:dyDescent="0.3"/>
    <row r="4122" hidden="1" x14ac:dyDescent="0.3"/>
    <row r="4123" hidden="1" x14ac:dyDescent="0.3"/>
    <row r="4124" hidden="1" x14ac:dyDescent="0.3"/>
    <row r="4125" hidden="1" x14ac:dyDescent="0.3"/>
    <row r="4126" hidden="1" x14ac:dyDescent="0.3"/>
    <row r="4127" hidden="1" x14ac:dyDescent="0.3"/>
    <row r="4128" hidden="1" x14ac:dyDescent="0.3"/>
    <row r="4129" hidden="1" x14ac:dyDescent="0.3"/>
    <row r="4130" hidden="1" x14ac:dyDescent="0.3"/>
    <row r="4131" hidden="1" x14ac:dyDescent="0.3"/>
    <row r="4132" hidden="1" x14ac:dyDescent="0.3"/>
    <row r="4133" hidden="1" x14ac:dyDescent="0.3"/>
    <row r="4134" hidden="1" x14ac:dyDescent="0.3"/>
    <row r="4135" hidden="1" x14ac:dyDescent="0.3"/>
    <row r="4136" hidden="1" x14ac:dyDescent="0.3"/>
    <row r="4137" hidden="1" x14ac:dyDescent="0.3"/>
    <row r="4138" hidden="1" x14ac:dyDescent="0.3"/>
    <row r="4139" hidden="1" x14ac:dyDescent="0.3"/>
    <row r="4140" hidden="1" x14ac:dyDescent="0.3"/>
    <row r="4141" hidden="1" x14ac:dyDescent="0.3"/>
    <row r="4142" hidden="1" x14ac:dyDescent="0.3"/>
    <row r="4143" hidden="1" x14ac:dyDescent="0.3"/>
    <row r="4144" hidden="1" x14ac:dyDescent="0.3"/>
    <row r="4145" hidden="1" x14ac:dyDescent="0.3"/>
    <row r="4146" hidden="1" x14ac:dyDescent="0.3"/>
    <row r="4147" hidden="1" x14ac:dyDescent="0.3"/>
    <row r="4148" hidden="1" x14ac:dyDescent="0.3"/>
    <row r="4149" hidden="1" x14ac:dyDescent="0.3"/>
    <row r="4150" hidden="1" x14ac:dyDescent="0.3"/>
    <row r="4151" hidden="1" x14ac:dyDescent="0.3"/>
    <row r="4152" hidden="1" x14ac:dyDescent="0.3"/>
    <row r="4153" hidden="1" x14ac:dyDescent="0.3"/>
    <row r="4154" hidden="1" x14ac:dyDescent="0.3"/>
    <row r="4155" hidden="1" x14ac:dyDescent="0.3"/>
    <row r="4156" hidden="1" x14ac:dyDescent="0.3"/>
    <row r="4157" hidden="1" x14ac:dyDescent="0.3"/>
    <row r="4158" hidden="1" x14ac:dyDescent="0.3"/>
    <row r="4159" hidden="1" x14ac:dyDescent="0.3"/>
    <row r="4160" hidden="1" x14ac:dyDescent="0.3"/>
    <row r="4161" hidden="1" x14ac:dyDescent="0.3"/>
    <row r="4162" hidden="1" x14ac:dyDescent="0.3"/>
    <row r="4163" hidden="1" x14ac:dyDescent="0.3"/>
    <row r="4164" hidden="1" x14ac:dyDescent="0.3"/>
    <row r="4165" hidden="1" x14ac:dyDescent="0.3"/>
    <row r="4166" hidden="1" x14ac:dyDescent="0.3"/>
    <row r="4167" hidden="1" x14ac:dyDescent="0.3"/>
    <row r="4168" hidden="1" x14ac:dyDescent="0.3"/>
    <row r="4169" hidden="1" x14ac:dyDescent="0.3"/>
    <row r="4170" hidden="1" x14ac:dyDescent="0.3"/>
    <row r="4171" hidden="1" x14ac:dyDescent="0.3"/>
    <row r="4172" hidden="1" x14ac:dyDescent="0.3"/>
    <row r="4173" hidden="1" x14ac:dyDescent="0.3"/>
    <row r="4174" hidden="1" x14ac:dyDescent="0.3"/>
    <row r="4175" hidden="1" x14ac:dyDescent="0.3"/>
    <row r="4176" hidden="1" x14ac:dyDescent="0.3"/>
    <row r="4177" hidden="1" x14ac:dyDescent="0.3"/>
    <row r="4178" hidden="1" x14ac:dyDescent="0.3"/>
    <row r="4179" hidden="1" x14ac:dyDescent="0.3"/>
    <row r="4180" hidden="1" x14ac:dyDescent="0.3"/>
    <row r="4181" hidden="1" x14ac:dyDescent="0.3"/>
    <row r="4182" hidden="1" x14ac:dyDescent="0.3"/>
    <row r="4183" hidden="1" x14ac:dyDescent="0.3"/>
    <row r="4184" hidden="1" x14ac:dyDescent="0.3"/>
    <row r="4185" hidden="1" x14ac:dyDescent="0.3"/>
    <row r="4186" hidden="1" x14ac:dyDescent="0.3"/>
    <row r="4187" hidden="1" x14ac:dyDescent="0.3"/>
    <row r="4188" hidden="1" x14ac:dyDescent="0.3"/>
    <row r="4189" hidden="1" x14ac:dyDescent="0.3"/>
    <row r="4190" hidden="1" x14ac:dyDescent="0.3"/>
    <row r="4191" hidden="1" x14ac:dyDescent="0.3"/>
    <row r="4192" hidden="1" x14ac:dyDescent="0.3"/>
    <row r="4193" hidden="1" x14ac:dyDescent="0.3"/>
    <row r="4194" hidden="1" x14ac:dyDescent="0.3"/>
    <row r="4195" hidden="1" x14ac:dyDescent="0.3"/>
    <row r="4196" hidden="1" x14ac:dyDescent="0.3"/>
    <row r="4197" hidden="1" x14ac:dyDescent="0.3"/>
    <row r="4198" hidden="1" x14ac:dyDescent="0.3"/>
    <row r="4199" hidden="1" x14ac:dyDescent="0.3"/>
    <row r="4200" hidden="1" x14ac:dyDescent="0.3"/>
    <row r="4201" hidden="1" x14ac:dyDescent="0.3"/>
    <row r="4202" hidden="1" x14ac:dyDescent="0.3"/>
    <row r="4203" hidden="1" x14ac:dyDescent="0.3"/>
    <row r="4204" hidden="1" x14ac:dyDescent="0.3"/>
    <row r="4205" hidden="1" x14ac:dyDescent="0.3"/>
    <row r="4206" hidden="1" x14ac:dyDescent="0.3"/>
    <row r="4207" hidden="1" x14ac:dyDescent="0.3"/>
    <row r="4208" hidden="1" x14ac:dyDescent="0.3"/>
    <row r="4209" hidden="1" x14ac:dyDescent="0.3"/>
    <row r="4210" hidden="1" x14ac:dyDescent="0.3"/>
    <row r="4211" hidden="1" x14ac:dyDescent="0.3"/>
    <row r="4212" hidden="1" x14ac:dyDescent="0.3"/>
    <row r="4213" hidden="1" x14ac:dyDescent="0.3"/>
    <row r="4214" hidden="1" x14ac:dyDescent="0.3"/>
    <row r="4215" hidden="1" x14ac:dyDescent="0.3"/>
    <row r="4216" hidden="1" x14ac:dyDescent="0.3"/>
    <row r="4217" hidden="1" x14ac:dyDescent="0.3"/>
    <row r="4218" hidden="1" x14ac:dyDescent="0.3"/>
    <row r="4219" hidden="1" x14ac:dyDescent="0.3"/>
    <row r="4220" hidden="1" x14ac:dyDescent="0.3"/>
    <row r="4221" hidden="1" x14ac:dyDescent="0.3"/>
    <row r="4222" hidden="1" x14ac:dyDescent="0.3"/>
    <row r="4223" hidden="1" x14ac:dyDescent="0.3"/>
    <row r="4224" hidden="1" x14ac:dyDescent="0.3"/>
    <row r="4225" hidden="1" x14ac:dyDescent="0.3"/>
    <row r="4226" hidden="1" x14ac:dyDescent="0.3"/>
    <row r="4227" hidden="1" x14ac:dyDescent="0.3"/>
    <row r="4228" hidden="1" x14ac:dyDescent="0.3"/>
    <row r="4229" hidden="1" x14ac:dyDescent="0.3"/>
    <row r="4230" hidden="1" x14ac:dyDescent="0.3"/>
    <row r="4231" hidden="1" x14ac:dyDescent="0.3"/>
    <row r="4232" hidden="1" x14ac:dyDescent="0.3"/>
    <row r="4233" hidden="1" x14ac:dyDescent="0.3"/>
    <row r="4234" hidden="1" x14ac:dyDescent="0.3"/>
    <row r="4235" hidden="1" x14ac:dyDescent="0.3"/>
    <row r="4236" hidden="1" x14ac:dyDescent="0.3"/>
    <row r="4237" hidden="1" x14ac:dyDescent="0.3"/>
    <row r="4238" hidden="1" x14ac:dyDescent="0.3"/>
    <row r="4239" hidden="1" x14ac:dyDescent="0.3"/>
    <row r="4240" hidden="1" x14ac:dyDescent="0.3"/>
    <row r="4241" hidden="1" x14ac:dyDescent="0.3"/>
    <row r="4242" hidden="1" x14ac:dyDescent="0.3"/>
    <row r="4243" hidden="1" x14ac:dyDescent="0.3"/>
    <row r="4244" hidden="1" x14ac:dyDescent="0.3"/>
    <row r="4245" hidden="1" x14ac:dyDescent="0.3"/>
    <row r="4246" hidden="1" x14ac:dyDescent="0.3"/>
    <row r="4247" hidden="1" x14ac:dyDescent="0.3"/>
    <row r="4248" hidden="1" x14ac:dyDescent="0.3"/>
    <row r="4249" hidden="1" x14ac:dyDescent="0.3"/>
    <row r="4250" hidden="1" x14ac:dyDescent="0.3"/>
    <row r="4251" hidden="1" x14ac:dyDescent="0.3"/>
    <row r="4252" hidden="1" x14ac:dyDescent="0.3"/>
    <row r="4253" hidden="1" x14ac:dyDescent="0.3"/>
    <row r="4254" hidden="1" x14ac:dyDescent="0.3"/>
    <row r="4255" hidden="1" x14ac:dyDescent="0.3"/>
    <row r="4256" hidden="1" x14ac:dyDescent="0.3"/>
    <row r="4257" hidden="1" x14ac:dyDescent="0.3"/>
    <row r="4258" hidden="1" x14ac:dyDescent="0.3"/>
    <row r="4259" hidden="1" x14ac:dyDescent="0.3"/>
    <row r="4260" hidden="1" x14ac:dyDescent="0.3"/>
    <row r="4261" hidden="1" x14ac:dyDescent="0.3"/>
    <row r="4262" hidden="1" x14ac:dyDescent="0.3"/>
    <row r="4263" hidden="1" x14ac:dyDescent="0.3"/>
    <row r="4264" hidden="1" x14ac:dyDescent="0.3"/>
    <row r="4265" hidden="1" x14ac:dyDescent="0.3"/>
    <row r="4266" hidden="1" x14ac:dyDescent="0.3"/>
    <row r="4267" hidden="1" x14ac:dyDescent="0.3"/>
    <row r="4268" hidden="1" x14ac:dyDescent="0.3"/>
    <row r="4269" hidden="1" x14ac:dyDescent="0.3"/>
    <row r="4270" hidden="1" x14ac:dyDescent="0.3"/>
    <row r="4271" hidden="1" x14ac:dyDescent="0.3"/>
    <row r="4272" hidden="1" x14ac:dyDescent="0.3"/>
    <row r="4273" hidden="1" x14ac:dyDescent="0.3"/>
    <row r="4274" hidden="1" x14ac:dyDescent="0.3"/>
    <row r="4275" hidden="1" x14ac:dyDescent="0.3"/>
    <row r="4276" hidden="1" x14ac:dyDescent="0.3"/>
    <row r="4277" hidden="1" x14ac:dyDescent="0.3"/>
    <row r="4278" hidden="1" x14ac:dyDescent="0.3"/>
    <row r="4279" hidden="1" x14ac:dyDescent="0.3"/>
    <row r="4280" hidden="1" x14ac:dyDescent="0.3"/>
    <row r="4281" hidden="1" x14ac:dyDescent="0.3"/>
    <row r="4282" hidden="1" x14ac:dyDescent="0.3"/>
    <row r="4283" hidden="1" x14ac:dyDescent="0.3"/>
    <row r="4284" hidden="1" x14ac:dyDescent="0.3"/>
    <row r="4285" hidden="1" x14ac:dyDescent="0.3"/>
    <row r="4286" hidden="1" x14ac:dyDescent="0.3"/>
    <row r="4287" hidden="1" x14ac:dyDescent="0.3"/>
    <row r="4288" hidden="1" x14ac:dyDescent="0.3"/>
    <row r="4289" hidden="1" x14ac:dyDescent="0.3"/>
    <row r="4290" hidden="1" x14ac:dyDescent="0.3"/>
    <row r="4291" hidden="1" x14ac:dyDescent="0.3"/>
    <row r="4292" hidden="1" x14ac:dyDescent="0.3"/>
    <row r="4293" hidden="1" x14ac:dyDescent="0.3"/>
    <row r="4294" hidden="1" x14ac:dyDescent="0.3"/>
    <row r="4295" hidden="1" x14ac:dyDescent="0.3"/>
    <row r="4296" hidden="1" x14ac:dyDescent="0.3"/>
    <row r="4297" hidden="1" x14ac:dyDescent="0.3"/>
    <row r="4298" hidden="1" x14ac:dyDescent="0.3"/>
    <row r="4299" hidden="1" x14ac:dyDescent="0.3"/>
    <row r="4300" hidden="1" x14ac:dyDescent="0.3"/>
    <row r="4301" hidden="1" x14ac:dyDescent="0.3"/>
    <row r="4302" hidden="1" x14ac:dyDescent="0.3"/>
    <row r="4303" hidden="1" x14ac:dyDescent="0.3"/>
    <row r="4304" hidden="1" x14ac:dyDescent="0.3"/>
    <row r="4305" hidden="1" x14ac:dyDescent="0.3"/>
    <row r="4306" hidden="1" x14ac:dyDescent="0.3"/>
    <row r="4307" hidden="1" x14ac:dyDescent="0.3"/>
    <row r="4308" hidden="1" x14ac:dyDescent="0.3"/>
    <row r="4309" hidden="1" x14ac:dyDescent="0.3"/>
    <row r="4310" hidden="1" x14ac:dyDescent="0.3"/>
    <row r="4311" hidden="1" x14ac:dyDescent="0.3"/>
    <row r="4312" hidden="1" x14ac:dyDescent="0.3"/>
    <row r="4313" hidden="1" x14ac:dyDescent="0.3"/>
    <row r="4314" hidden="1" x14ac:dyDescent="0.3"/>
    <row r="4315" hidden="1" x14ac:dyDescent="0.3"/>
    <row r="4316" hidden="1" x14ac:dyDescent="0.3"/>
    <row r="4317" hidden="1" x14ac:dyDescent="0.3"/>
    <row r="4318" hidden="1" x14ac:dyDescent="0.3"/>
    <row r="4319" hidden="1" x14ac:dyDescent="0.3"/>
    <row r="4320" hidden="1" x14ac:dyDescent="0.3"/>
    <row r="4321" hidden="1" x14ac:dyDescent="0.3"/>
    <row r="4322" hidden="1" x14ac:dyDescent="0.3"/>
    <row r="4323" hidden="1" x14ac:dyDescent="0.3"/>
    <row r="4324" hidden="1" x14ac:dyDescent="0.3"/>
    <row r="4325" hidden="1" x14ac:dyDescent="0.3"/>
    <row r="4326" hidden="1" x14ac:dyDescent="0.3"/>
    <row r="4327" hidden="1" x14ac:dyDescent="0.3"/>
    <row r="4328" hidden="1" x14ac:dyDescent="0.3"/>
    <row r="4329" hidden="1" x14ac:dyDescent="0.3"/>
    <row r="4330" hidden="1" x14ac:dyDescent="0.3"/>
    <row r="4331" hidden="1" x14ac:dyDescent="0.3"/>
    <row r="4332" hidden="1" x14ac:dyDescent="0.3"/>
    <row r="4333" hidden="1" x14ac:dyDescent="0.3"/>
    <row r="4334" hidden="1" x14ac:dyDescent="0.3"/>
    <row r="4335" hidden="1" x14ac:dyDescent="0.3"/>
    <row r="4336" hidden="1" x14ac:dyDescent="0.3"/>
    <row r="4337" hidden="1" x14ac:dyDescent="0.3"/>
    <row r="4338" hidden="1" x14ac:dyDescent="0.3"/>
    <row r="4339" hidden="1" x14ac:dyDescent="0.3"/>
    <row r="4340" hidden="1" x14ac:dyDescent="0.3"/>
    <row r="4341" hidden="1" x14ac:dyDescent="0.3"/>
    <row r="4342" hidden="1" x14ac:dyDescent="0.3"/>
    <row r="4343" hidden="1" x14ac:dyDescent="0.3"/>
    <row r="4344" hidden="1" x14ac:dyDescent="0.3"/>
    <row r="4345" hidden="1" x14ac:dyDescent="0.3"/>
    <row r="4346" hidden="1" x14ac:dyDescent="0.3"/>
    <row r="4347" hidden="1" x14ac:dyDescent="0.3"/>
    <row r="4348" hidden="1" x14ac:dyDescent="0.3"/>
    <row r="4349" hidden="1" x14ac:dyDescent="0.3"/>
    <row r="4350" hidden="1" x14ac:dyDescent="0.3"/>
    <row r="4351" hidden="1" x14ac:dyDescent="0.3"/>
    <row r="4352" hidden="1" x14ac:dyDescent="0.3"/>
    <row r="4353" hidden="1" x14ac:dyDescent="0.3"/>
    <row r="4354" hidden="1" x14ac:dyDescent="0.3"/>
    <row r="4355" hidden="1" x14ac:dyDescent="0.3"/>
    <row r="4356" hidden="1" x14ac:dyDescent="0.3"/>
    <row r="4357" hidden="1" x14ac:dyDescent="0.3"/>
    <row r="4358" hidden="1" x14ac:dyDescent="0.3"/>
    <row r="4359" hidden="1" x14ac:dyDescent="0.3"/>
    <row r="4360" hidden="1" x14ac:dyDescent="0.3"/>
    <row r="4361" hidden="1" x14ac:dyDescent="0.3"/>
    <row r="4362" hidden="1" x14ac:dyDescent="0.3"/>
    <row r="4363" hidden="1" x14ac:dyDescent="0.3"/>
    <row r="4364" hidden="1" x14ac:dyDescent="0.3"/>
    <row r="4365" hidden="1" x14ac:dyDescent="0.3"/>
    <row r="4366" hidden="1" x14ac:dyDescent="0.3"/>
    <row r="4367" hidden="1" x14ac:dyDescent="0.3"/>
    <row r="4368" hidden="1" x14ac:dyDescent="0.3"/>
    <row r="4369" hidden="1" x14ac:dyDescent="0.3"/>
    <row r="4370" hidden="1" x14ac:dyDescent="0.3"/>
    <row r="4371" hidden="1" x14ac:dyDescent="0.3"/>
    <row r="4372" hidden="1" x14ac:dyDescent="0.3"/>
    <row r="4373" hidden="1" x14ac:dyDescent="0.3"/>
    <row r="4374" hidden="1" x14ac:dyDescent="0.3"/>
    <row r="4375" hidden="1" x14ac:dyDescent="0.3"/>
    <row r="4376" hidden="1" x14ac:dyDescent="0.3"/>
    <row r="4377" hidden="1" x14ac:dyDescent="0.3"/>
    <row r="4378" hidden="1" x14ac:dyDescent="0.3"/>
    <row r="4379" hidden="1" x14ac:dyDescent="0.3"/>
    <row r="4380" hidden="1" x14ac:dyDescent="0.3"/>
    <row r="4381" hidden="1" x14ac:dyDescent="0.3"/>
    <row r="4382" hidden="1" x14ac:dyDescent="0.3"/>
    <row r="4383" hidden="1" x14ac:dyDescent="0.3"/>
    <row r="4384" hidden="1" x14ac:dyDescent="0.3"/>
    <row r="4385" hidden="1" x14ac:dyDescent="0.3"/>
    <row r="4386" hidden="1" x14ac:dyDescent="0.3"/>
    <row r="4387" hidden="1" x14ac:dyDescent="0.3"/>
    <row r="4388" hidden="1" x14ac:dyDescent="0.3"/>
    <row r="4389" hidden="1" x14ac:dyDescent="0.3"/>
    <row r="4390" hidden="1" x14ac:dyDescent="0.3"/>
    <row r="4391" hidden="1" x14ac:dyDescent="0.3"/>
    <row r="4392" hidden="1" x14ac:dyDescent="0.3"/>
    <row r="4393" hidden="1" x14ac:dyDescent="0.3"/>
    <row r="4394" hidden="1" x14ac:dyDescent="0.3"/>
    <row r="4395" hidden="1" x14ac:dyDescent="0.3"/>
    <row r="4396" hidden="1" x14ac:dyDescent="0.3"/>
    <row r="4397" hidden="1" x14ac:dyDescent="0.3"/>
    <row r="4398" hidden="1" x14ac:dyDescent="0.3"/>
    <row r="4399" hidden="1" x14ac:dyDescent="0.3"/>
    <row r="4400" hidden="1" x14ac:dyDescent="0.3"/>
    <row r="4401" hidden="1" x14ac:dyDescent="0.3"/>
    <row r="4402" hidden="1" x14ac:dyDescent="0.3"/>
    <row r="4403" hidden="1" x14ac:dyDescent="0.3"/>
    <row r="4404" hidden="1" x14ac:dyDescent="0.3"/>
    <row r="4405" hidden="1" x14ac:dyDescent="0.3"/>
    <row r="4406" hidden="1" x14ac:dyDescent="0.3"/>
    <row r="4407" hidden="1" x14ac:dyDescent="0.3"/>
    <row r="4408" hidden="1" x14ac:dyDescent="0.3"/>
    <row r="4409" hidden="1" x14ac:dyDescent="0.3"/>
    <row r="4410" hidden="1" x14ac:dyDescent="0.3"/>
    <row r="4411" hidden="1" x14ac:dyDescent="0.3"/>
    <row r="4412" hidden="1" x14ac:dyDescent="0.3"/>
    <row r="4413" hidden="1" x14ac:dyDescent="0.3"/>
    <row r="4414" hidden="1" x14ac:dyDescent="0.3"/>
    <row r="4415" hidden="1" x14ac:dyDescent="0.3"/>
    <row r="4416" hidden="1" x14ac:dyDescent="0.3"/>
    <row r="4417" hidden="1" x14ac:dyDescent="0.3"/>
    <row r="4418" hidden="1" x14ac:dyDescent="0.3"/>
    <row r="4419" hidden="1" x14ac:dyDescent="0.3"/>
    <row r="4420" hidden="1" x14ac:dyDescent="0.3"/>
    <row r="4421" hidden="1" x14ac:dyDescent="0.3"/>
    <row r="4422" hidden="1" x14ac:dyDescent="0.3"/>
    <row r="4423" hidden="1" x14ac:dyDescent="0.3"/>
    <row r="4424" hidden="1" x14ac:dyDescent="0.3"/>
    <row r="4425" hidden="1" x14ac:dyDescent="0.3"/>
    <row r="4426" hidden="1" x14ac:dyDescent="0.3"/>
    <row r="4427" hidden="1" x14ac:dyDescent="0.3"/>
    <row r="4428" hidden="1" x14ac:dyDescent="0.3"/>
    <row r="4429" hidden="1" x14ac:dyDescent="0.3"/>
    <row r="4430" hidden="1" x14ac:dyDescent="0.3"/>
    <row r="4431" hidden="1" x14ac:dyDescent="0.3"/>
    <row r="4432" hidden="1" x14ac:dyDescent="0.3"/>
    <row r="4433" hidden="1" x14ac:dyDescent="0.3"/>
    <row r="4434" hidden="1" x14ac:dyDescent="0.3"/>
    <row r="4435" hidden="1" x14ac:dyDescent="0.3"/>
    <row r="4436" hidden="1" x14ac:dyDescent="0.3"/>
    <row r="4437" hidden="1" x14ac:dyDescent="0.3"/>
    <row r="4438" hidden="1" x14ac:dyDescent="0.3"/>
    <row r="4439" hidden="1" x14ac:dyDescent="0.3"/>
    <row r="4440" hidden="1" x14ac:dyDescent="0.3"/>
    <row r="4441" hidden="1" x14ac:dyDescent="0.3"/>
    <row r="4442" hidden="1" x14ac:dyDescent="0.3"/>
    <row r="4443" hidden="1" x14ac:dyDescent="0.3"/>
    <row r="4444" hidden="1" x14ac:dyDescent="0.3"/>
    <row r="4445" hidden="1" x14ac:dyDescent="0.3"/>
    <row r="4446" hidden="1" x14ac:dyDescent="0.3"/>
    <row r="4447" hidden="1" x14ac:dyDescent="0.3"/>
    <row r="4448" hidden="1" x14ac:dyDescent="0.3"/>
    <row r="4449" hidden="1" x14ac:dyDescent="0.3"/>
    <row r="4450" hidden="1" x14ac:dyDescent="0.3"/>
    <row r="4451" hidden="1" x14ac:dyDescent="0.3"/>
    <row r="4452" hidden="1" x14ac:dyDescent="0.3"/>
    <row r="4453" hidden="1" x14ac:dyDescent="0.3"/>
    <row r="4454" hidden="1" x14ac:dyDescent="0.3"/>
    <row r="4455" hidden="1" x14ac:dyDescent="0.3"/>
    <row r="4456" hidden="1" x14ac:dyDescent="0.3"/>
    <row r="4457" hidden="1" x14ac:dyDescent="0.3"/>
    <row r="4458" hidden="1" x14ac:dyDescent="0.3"/>
    <row r="4459" hidden="1" x14ac:dyDescent="0.3"/>
    <row r="4460" hidden="1" x14ac:dyDescent="0.3"/>
    <row r="4461" hidden="1" x14ac:dyDescent="0.3"/>
    <row r="4462" hidden="1" x14ac:dyDescent="0.3"/>
    <row r="4463" hidden="1" x14ac:dyDescent="0.3"/>
    <row r="4464" hidden="1" x14ac:dyDescent="0.3"/>
    <row r="4465" hidden="1" x14ac:dyDescent="0.3"/>
    <row r="4466" hidden="1" x14ac:dyDescent="0.3"/>
    <row r="4467" hidden="1" x14ac:dyDescent="0.3"/>
    <row r="4468" hidden="1" x14ac:dyDescent="0.3"/>
    <row r="4469" hidden="1" x14ac:dyDescent="0.3"/>
    <row r="4470" hidden="1" x14ac:dyDescent="0.3"/>
    <row r="4471" hidden="1" x14ac:dyDescent="0.3"/>
    <row r="4472" hidden="1" x14ac:dyDescent="0.3"/>
    <row r="4473" hidden="1" x14ac:dyDescent="0.3"/>
    <row r="4474" hidden="1" x14ac:dyDescent="0.3"/>
    <row r="4475" hidden="1" x14ac:dyDescent="0.3"/>
    <row r="4476" hidden="1" x14ac:dyDescent="0.3"/>
    <row r="4477" hidden="1" x14ac:dyDescent="0.3"/>
    <row r="4478" hidden="1" x14ac:dyDescent="0.3"/>
    <row r="4479" hidden="1" x14ac:dyDescent="0.3"/>
    <row r="4480" hidden="1" x14ac:dyDescent="0.3"/>
    <row r="4481" hidden="1" x14ac:dyDescent="0.3"/>
    <row r="4482" hidden="1" x14ac:dyDescent="0.3"/>
    <row r="4483" hidden="1" x14ac:dyDescent="0.3"/>
    <row r="4484" hidden="1" x14ac:dyDescent="0.3"/>
    <row r="4485" hidden="1" x14ac:dyDescent="0.3"/>
    <row r="4486" hidden="1" x14ac:dyDescent="0.3"/>
    <row r="4487" hidden="1" x14ac:dyDescent="0.3"/>
    <row r="4488" hidden="1" x14ac:dyDescent="0.3"/>
    <row r="4489" hidden="1" x14ac:dyDescent="0.3"/>
    <row r="4490" hidden="1" x14ac:dyDescent="0.3"/>
    <row r="4491" hidden="1" x14ac:dyDescent="0.3"/>
    <row r="4492" hidden="1" x14ac:dyDescent="0.3"/>
    <row r="4493" hidden="1" x14ac:dyDescent="0.3"/>
    <row r="4494" hidden="1" x14ac:dyDescent="0.3"/>
    <row r="4495" hidden="1" x14ac:dyDescent="0.3"/>
    <row r="4496" hidden="1" x14ac:dyDescent="0.3"/>
    <row r="4497" hidden="1" x14ac:dyDescent="0.3"/>
    <row r="4498" hidden="1" x14ac:dyDescent="0.3"/>
    <row r="4499" hidden="1" x14ac:dyDescent="0.3"/>
    <row r="4500" hidden="1" x14ac:dyDescent="0.3"/>
    <row r="4501" hidden="1" x14ac:dyDescent="0.3"/>
    <row r="4502" hidden="1" x14ac:dyDescent="0.3"/>
    <row r="4503" hidden="1" x14ac:dyDescent="0.3"/>
    <row r="4504" hidden="1" x14ac:dyDescent="0.3"/>
    <row r="4505" hidden="1" x14ac:dyDescent="0.3"/>
    <row r="4506" hidden="1" x14ac:dyDescent="0.3"/>
    <row r="4507" hidden="1" x14ac:dyDescent="0.3"/>
    <row r="4508" hidden="1" x14ac:dyDescent="0.3"/>
    <row r="4509" hidden="1" x14ac:dyDescent="0.3"/>
    <row r="4510" hidden="1" x14ac:dyDescent="0.3"/>
    <row r="4511" hidden="1" x14ac:dyDescent="0.3"/>
    <row r="4512" hidden="1" x14ac:dyDescent="0.3"/>
    <row r="4513" hidden="1" x14ac:dyDescent="0.3"/>
    <row r="4514" hidden="1" x14ac:dyDescent="0.3"/>
    <row r="4515" hidden="1" x14ac:dyDescent="0.3"/>
    <row r="4516" hidden="1" x14ac:dyDescent="0.3"/>
    <row r="4517" hidden="1" x14ac:dyDescent="0.3"/>
    <row r="4518" hidden="1" x14ac:dyDescent="0.3"/>
    <row r="4519" hidden="1" x14ac:dyDescent="0.3"/>
    <row r="4520" hidden="1" x14ac:dyDescent="0.3"/>
    <row r="4521" hidden="1" x14ac:dyDescent="0.3"/>
    <row r="4522" hidden="1" x14ac:dyDescent="0.3"/>
    <row r="4523" hidden="1" x14ac:dyDescent="0.3"/>
    <row r="4524" hidden="1" x14ac:dyDescent="0.3"/>
    <row r="4525" hidden="1" x14ac:dyDescent="0.3"/>
    <row r="4526" hidden="1" x14ac:dyDescent="0.3"/>
    <row r="4527" hidden="1" x14ac:dyDescent="0.3"/>
    <row r="4528" hidden="1" x14ac:dyDescent="0.3"/>
    <row r="4529" hidden="1" x14ac:dyDescent="0.3"/>
    <row r="4530" hidden="1" x14ac:dyDescent="0.3"/>
    <row r="4531" hidden="1" x14ac:dyDescent="0.3"/>
    <row r="4532" hidden="1" x14ac:dyDescent="0.3"/>
    <row r="4533" hidden="1" x14ac:dyDescent="0.3"/>
    <row r="4534" hidden="1" x14ac:dyDescent="0.3"/>
    <row r="4535" hidden="1" x14ac:dyDescent="0.3"/>
    <row r="4536" hidden="1" x14ac:dyDescent="0.3"/>
    <row r="4537" hidden="1" x14ac:dyDescent="0.3"/>
    <row r="4538" hidden="1" x14ac:dyDescent="0.3"/>
    <row r="4539" hidden="1" x14ac:dyDescent="0.3"/>
    <row r="4540" hidden="1" x14ac:dyDescent="0.3"/>
    <row r="4541" hidden="1" x14ac:dyDescent="0.3"/>
    <row r="4542" hidden="1" x14ac:dyDescent="0.3"/>
    <row r="4543" hidden="1" x14ac:dyDescent="0.3"/>
    <row r="4544" hidden="1" x14ac:dyDescent="0.3"/>
    <row r="4545" hidden="1" x14ac:dyDescent="0.3"/>
    <row r="4546" hidden="1" x14ac:dyDescent="0.3"/>
    <row r="4547" hidden="1" x14ac:dyDescent="0.3"/>
    <row r="4548" hidden="1" x14ac:dyDescent="0.3"/>
    <row r="4549" hidden="1" x14ac:dyDescent="0.3"/>
    <row r="4550" hidden="1" x14ac:dyDescent="0.3"/>
    <row r="4551" hidden="1" x14ac:dyDescent="0.3"/>
    <row r="4552" hidden="1" x14ac:dyDescent="0.3"/>
    <row r="4553" hidden="1" x14ac:dyDescent="0.3"/>
    <row r="4554" hidden="1" x14ac:dyDescent="0.3"/>
    <row r="4555" hidden="1" x14ac:dyDescent="0.3"/>
    <row r="4556" hidden="1" x14ac:dyDescent="0.3"/>
    <row r="4557" hidden="1" x14ac:dyDescent="0.3"/>
    <row r="4558" hidden="1" x14ac:dyDescent="0.3"/>
    <row r="4559" hidden="1" x14ac:dyDescent="0.3"/>
    <row r="4560" hidden="1" x14ac:dyDescent="0.3"/>
    <row r="4561" hidden="1" x14ac:dyDescent="0.3"/>
    <row r="4562" hidden="1" x14ac:dyDescent="0.3"/>
    <row r="4563" hidden="1" x14ac:dyDescent="0.3"/>
    <row r="4564" hidden="1" x14ac:dyDescent="0.3"/>
    <row r="4565" hidden="1" x14ac:dyDescent="0.3"/>
    <row r="4566" hidden="1" x14ac:dyDescent="0.3"/>
    <row r="4567" hidden="1" x14ac:dyDescent="0.3"/>
    <row r="4568" hidden="1" x14ac:dyDescent="0.3"/>
    <row r="4569" hidden="1" x14ac:dyDescent="0.3"/>
    <row r="4570" hidden="1" x14ac:dyDescent="0.3"/>
    <row r="4571" hidden="1" x14ac:dyDescent="0.3"/>
    <row r="4572" hidden="1" x14ac:dyDescent="0.3"/>
    <row r="4573" hidden="1" x14ac:dyDescent="0.3"/>
    <row r="4574" hidden="1" x14ac:dyDescent="0.3"/>
    <row r="4575" hidden="1" x14ac:dyDescent="0.3"/>
    <row r="4576" hidden="1" x14ac:dyDescent="0.3"/>
    <row r="4577" hidden="1" x14ac:dyDescent="0.3"/>
    <row r="4578" hidden="1" x14ac:dyDescent="0.3"/>
    <row r="4579" hidden="1" x14ac:dyDescent="0.3"/>
    <row r="4580" hidden="1" x14ac:dyDescent="0.3"/>
    <row r="4581" hidden="1" x14ac:dyDescent="0.3"/>
    <row r="4582" hidden="1" x14ac:dyDescent="0.3"/>
    <row r="4583" hidden="1" x14ac:dyDescent="0.3"/>
    <row r="4584" hidden="1" x14ac:dyDescent="0.3"/>
    <row r="4585" hidden="1" x14ac:dyDescent="0.3"/>
    <row r="4586" hidden="1" x14ac:dyDescent="0.3"/>
    <row r="4587" hidden="1" x14ac:dyDescent="0.3"/>
    <row r="4588" hidden="1" x14ac:dyDescent="0.3"/>
    <row r="4589" hidden="1" x14ac:dyDescent="0.3"/>
    <row r="4590" hidden="1" x14ac:dyDescent="0.3"/>
    <row r="4591" hidden="1" x14ac:dyDescent="0.3"/>
    <row r="4592" hidden="1" x14ac:dyDescent="0.3"/>
    <row r="4593" hidden="1" x14ac:dyDescent="0.3"/>
    <row r="4594" hidden="1" x14ac:dyDescent="0.3"/>
    <row r="4595" hidden="1" x14ac:dyDescent="0.3"/>
    <row r="4596" hidden="1" x14ac:dyDescent="0.3"/>
    <row r="4597" hidden="1" x14ac:dyDescent="0.3"/>
    <row r="4598" hidden="1" x14ac:dyDescent="0.3"/>
    <row r="4599" hidden="1" x14ac:dyDescent="0.3"/>
    <row r="4600" hidden="1" x14ac:dyDescent="0.3"/>
    <row r="4601" hidden="1" x14ac:dyDescent="0.3"/>
    <row r="4602" hidden="1" x14ac:dyDescent="0.3"/>
    <row r="4603" hidden="1" x14ac:dyDescent="0.3"/>
    <row r="4604" hidden="1" x14ac:dyDescent="0.3"/>
    <row r="4605" hidden="1" x14ac:dyDescent="0.3"/>
    <row r="4606" hidden="1" x14ac:dyDescent="0.3"/>
    <row r="4607" hidden="1" x14ac:dyDescent="0.3"/>
    <row r="4608" hidden="1" x14ac:dyDescent="0.3"/>
    <row r="4609" hidden="1" x14ac:dyDescent="0.3"/>
    <row r="4610" hidden="1" x14ac:dyDescent="0.3"/>
    <row r="4611" hidden="1" x14ac:dyDescent="0.3"/>
    <row r="4612" hidden="1" x14ac:dyDescent="0.3"/>
    <row r="4613" hidden="1" x14ac:dyDescent="0.3"/>
    <row r="4614" hidden="1" x14ac:dyDescent="0.3"/>
    <row r="4615" hidden="1" x14ac:dyDescent="0.3"/>
    <row r="4616" hidden="1" x14ac:dyDescent="0.3"/>
    <row r="4617" hidden="1" x14ac:dyDescent="0.3"/>
    <row r="4618" hidden="1" x14ac:dyDescent="0.3"/>
    <row r="4619" hidden="1" x14ac:dyDescent="0.3"/>
    <row r="4620" hidden="1" x14ac:dyDescent="0.3"/>
    <row r="4621" hidden="1" x14ac:dyDescent="0.3"/>
    <row r="4622" hidden="1" x14ac:dyDescent="0.3"/>
    <row r="4623" hidden="1" x14ac:dyDescent="0.3"/>
    <row r="4624" hidden="1" x14ac:dyDescent="0.3"/>
    <row r="4625" hidden="1" x14ac:dyDescent="0.3"/>
    <row r="4626" hidden="1" x14ac:dyDescent="0.3"/>
    <row r="4627" hidden="1" x14ac:dyDescent="0.3"/>
    <row r="4628" hidden="1" x14ac:dyDescent="0.3"/>
    <row r="4629" hidden="1" x14ac:dyDescent="0.3"/>
    <row r="4630" hidden="1" x14ac:dyDescent="0.3"/>
    <row r="4631" hidden="1" x14ac:dyDescent="0.3"/>
    <row r="4632" hidden="1" x14ac:dyDescent="0.3"/>
    <row r="4633" hidden="1" x14ac:dyDescent="0.3"/>
    <row r="4634" hidden="1" x14ac:dyDescent="0.3"/>
    <row r="4635" hidden="1" x14ac:dyDescent="0.3"/>
    <row r="4636" hidden="1" x14ac:dyDescent="0.3"/>
    <row r="4637" hidden="1" x14ac:dyDescent="0.3"/>
    <row r="4638" hidden="1" x14ac:dyDescent="0.3"/>
    <row r="4639" hidden="1" x14ac:dyDescent="0.3"/>
    <row r="4640" hidden="1" x14ac:dyDescent="0.3"/>
    <row r="4641" hidden="1" x14ac:dyDescent="0.3"/>
    <row r="4642" hidden="1" x14ac:dyDescent="0.3"/>
    <row r="4643" hidden="1" x14ac:dyDescent="0.3"/>
    <row r="4644" hidden="1" x14ac:dyDescent="0.3"/>
    <row r="4645" hidden="1" x14ac:dyDescent="0.3"/>
    <row r="4646" hidden="1" x14ac:dyDescent="0.3"/>
    <row r="4647" hidden="1" x14ac:dyDescent="0.3"/>
    <row r="4648" hidden="1" x14ac:dyDescent="0.3"/>
    <row r="4649" hidden="1" x14ac:dyDescent="0.3"/>
    <row r="4650" hidden="1" x14ac:dyDescent="0.3"/>
    <row r="4651" hidden="1" x14ac:dyDescent="0.3"/>
    <row r="4652" hidden="1" x14ac:dyDescent="0.3"/>
    <row r="4653" hidden="1" x14ac:dyDescent="0.3"/>
    <row r="4654" hidden="1" x14ac:dyDescent="0.3"/>
    <row r="4655" hidden="1" x14ac:dyDescent="0.3"/>
    <row r="4656" hidden="1" x14ac:dyDescent="0.3"/>
    <row r="4657" hidden="1" x14ac:dyDescent="0.3"/>
    <row r="4658" hidden="1" x14ac:dyDescent="0.3"/>
    <row r="4659" hidden="1" x14ac:dyDescent="0.3"/>
    <row r="4660" hidden="1" x14ac:dyDescent="0.3"/>
    <row r="4661" hidden="1" x14ac:dyDescent="0.3"/>
    <row r="4662" hidden="1" x14ac:dyDescent="0.3"/>
    <row r="4663" hidden="1" x14ac:dyDescent="0.3"/>
    <row r="4664" hidden="1" x14ac:dyDescent="0.3"/>
    <row r="4665" hidden="1" x14ac:dyDescent="0.3"/>
    <row r="4666" hidden="1" x14ac:dyDescent="0.3"/>
    <row r="4667" hidden="1" x14ac:dyDescent="0.3"/>
    <row r="4668" hidden="1" x14ac:dyDescent="0.3"/>
    <row r="4669" hidden="1" x14ac:dyDescent="0.3"/>
    <row r="4670" hidden="1" x14ac:dyDescent="0.3"/>
    <row r="4671" hidden="1" x14ac:dyDescent="0.3"/>
    <row r="4672" hidden="1" x14ac:dyDescent="0.3"/>
    <row r="4673" hidden="1" x14ac:dyDescent="0.3"/>
    <row r="4674" hidden="1" x14ac:dyDescent="0.3"/>
    <row r="4675" hidden="1" x14ac:dyDescent="0.3"/>
    <row r="4676" hidden="1" x14ac:dyDescent="0.3"/>
    <row r="4677" hidden="1" x14ac:dyDescent="0.3"/>
    <row r="4678" hidden="1" x14ac:dyDescent="0.3"/>
    <row r="4679" hidden="1" x14ac:dyDescent="0.3"/>
    <row r="4680" hidden="1" x14ac:dyDescent="0.3"/>
    <row r="4681" hidden="1" x14ac:dyDescent="0.3"/>
    <row r="4682" hidden="1" x14ac:dyDescent="0.3"/>
    <row r="4683" hidden="1" x14ac:dyDescent="0.3"/>
    <row r="4684" hidden="1" x14ac:dyDescent="0.3"/>
    <row r="4685" hidden="1" x14ac:dyDescent="0.3"/>
    <row r="4686" hidden="1" x14ac:dyDescent="0.3"/>
    <row r="4687" hidden="1" x14ac:dyDescent="0.3"/>
    <row r="4688" hidden="1" x14ac:dyDescent="0.3"/>
    <row r="4689" hidden="1" x14ac:dyDescent="0.3"/>
    <row r="4690" hidden="1" x14ac:dyDescent="0.3"/>
    <row r="4691" hidden="1" x14ac:dyDescent="0.3"/>
    <row r="4692" hidden="1" x14ac:dyDescent="0.3"/>
    <row r="4693" hidden="1" x14ac:dyDescent="0.3"/>
    <row r="4694" hidden="1" x14ac:dyDescent="0.3"/>
    <row r="4695" hidden="1" x14ac:dyDescent="0.3"/>
    <row r="4696" hidden="1" x14ac:dyDescent="0.3"/>
    <row r="4697" hidden="1" x14ac:dyDescent="0.3"/>
    <row r="4698" hidden="1" x14ac:dyDescent="0.3"/>
    <row r="4699" hidden="1" x14ac:dyDescent="0.3"/>
    <row r="4700" hidden="1" x14ac:dyDescent="0.3"/>
    <row r="4701" hidden="1" x14ac:dyDescent="0.3"/>
    <row r="4702" hidden="1" x14ac:dyDescent="0.3"/>
    <row r="4703" hidden="1" x14ac:dyDescent="0.3"/>
    <row r="4704" hidden="1" x14ac:dyDescent="0.3"/>
    <row r="4705" hidden="1" x14ac:dyDescent="0.3"/>
    <row r="4706" hidden="1" x14ac:dyDescent="0.3"/>
    <row r="4707" hidden="1" x14ac:dyDescent="0.3"/>
    <row r="4708" hidden="1" x14ac:dyDescent="0.3"/>
    <row r="4709" hidden="1" x14ac:dyDescent="0.3"/>
    <row r="4710" hidden="1" x14ac:dyDescent="0.3"/>
    <row r="4711" hidden="1" x14ac:dyDescent="0.3"/>
    <row r="4712" hidden="1" x14ac:dyDescent="0.3"/>
    <row r="4713" hidden="1" x14ac:dyDescent="0.3"/>
    <row r="4714" hidden="1" x14ac:dyDescent="0.3"/>
    <row r="4715" hidden="1" x14ac:dyDescent="0.3"/>
    <row r="4716" hidden="1" x14ac:dyDescent="0.3"/>
    <row r="4717" hidden="1" x14ac:dyDescent="0.3"/>
    <row r="4718" hidden="1" x14ac:dyDescent="0.3"/>
    <row r="4719" hidden="1" x14ac:dyDescent="0.3"/>
    <row r="4720" hidden="1" x14ac:dyDescent="0.3"/>
    <row r="4721" hidden="1" x14ac:dyDescent="0.3"/>
    <row r="4722" hidden="1" x14ac:dyDescent="0.3"/>
    <row r="4723" hidden="1" x14ac:dyDescent="0.3"/>
    <row r="4724" hidden="1" x14ac:dyDescent="0.3"/>
    <row r="4725" hidden="1" x14ac:dyDescent="0.3"/>
    <row r="4726" hidden="1" x14ac:dyDescent="0.3"/>
    <row r="4727" hidden="1" x14ac:dyDescent="0.3"/>
    <row r="4728" hidden="1" x14ac:dyDescent="0.3"/>
    <row r="4729" hidden="1" x14ac:dyDescent="0.3"/>
    <row r="4730" hidden="1" x14ac:dyDescent="0.3"/>
    <row r="4731" hidden="1" x14ac:dyDescent="0.3"/>
    <row r="4732" hidden="1" x14ac:dyDescent="0.3"/>
    <row r="4733" hidden="1" x14ac:dyDescent="0.3"/>
    <row r="4734" hidden="1" x14ac:dyDescent="0.3"/>
    <row r="4735" hidden="1" x14ac:dyDescent="0.3"/>
    <row r="4736" hidden="1" x14ac:dyDescent="0.3"/>
    <row r="4737" hidden="1" x14ac:dyDescent="0.3"/>
    <row r="4738" hidden="1" x14ac:dyDescent="0.3"/>
    <row r="4739" hidden="1" x14ac:dyDescent="0.3"/>
    <row r="4740" hidden="1" x14ac:dyDescent="0.3"/>
    <row r="4741" hidden="1" x14ac:dyDescent="0.3"/>
    <row r="4742" hidden="1" x14ac:dyDescent="0.3"/>
    <row r="4743" hidden="1" x14ac:dyDescent="0.3"/>
    <row r="4744" hidden="1" x14ac:dyDescent="0.3"/>
    <row r="4745" hidden="1" x14ac:dyDescent="0.3"/>
    <row r="4746" hidden="1" x14ac:dyDescent="0.3"/>
    <row r="4747" hidden="1" x14ac:dyDescent="0.3"/>
    <row r="4748" hidden="1" x14ac:dyDescent="0.3"/>
    <row r="4749" hidden="1" x14ac:dyDescent="0.3"/>
    <row r="4750" hidden="1" x14ac:dyDescent="0.3"/>
    <row r="4751" hidden="1" x14ac:dyDescent="0.3"/>
    <row r="4752" hidden="1" x14ac:dyDescent="0.3"/>
    <row r="4753" hidden="1" x14ac:dyDescent="0.3"/>
    <row r="4754" hidden="1" x14ac:dyDescent="0.3"/>
    <row r="4755" hidden="1" x14ac:dyDescent="0.3"/>
    <row r="4756" hidden="1" x14ac:dyDescent="0.3"/>
    <row r="4757" hidden="1" x14ac:dyDescent="0.3"/>
    <row r="4758" hidden="1" x14ac:dyDescent="0.3"/>
    <row r="4759" hidden="1" x14ac:dyDescent="0.3"/>
    <row r="4760" hidden="1" x14ac:dyDescent="0.3"/>
    <row r="4761" hidden="1" x14ac:dyDescent="0.3"/>
    <row r="4762" hidden="1" x14ac:dyDescent="0.3"/>
    <row r="4763" hidden="1" x14ac:dyDescent="0.3"/>
    <row r="4764" hidden="1" x14ac:dyDescent="0.3"/>
    <row r="4765" hidden="1" x14ac:dyDescent="0.3"/>
    <row r="4766" hidden="1" x14ac:dyDescent="0.3"/>
    <row r="4767" hidden="1" x14ac:dyDescent="0.3"/>
    <row r="4768" hidden="1" x14ac:dyDescent="0.3"/>
    <row r="4769" hidden="1" x14ac:dyDescent="0.3"/>
    <row r="4770" hidden="1" x14ac:dyDescent="0.3"/>
    <row r="4771" hidden="1" x14ac:dyDescent="0.3"/>
    <row r="4772" hidden="1" x14ac:dyDescent="0.3"/>
    <row r="4773" hidden="1" x14ac:dyDescent="0.3"/>
    <row r="4774" hidden="1" x14ac:dyDescent="0.3"/>
    <row r="4775" hidden="1" x14ac:dyDescent="0.3"/>
    <row r="4776" hidden="1" x14ac:dyDescent="0.3"/>
    <row r="4777" hidden="1" x14ac:dyDescent="0.3"/>
    <row r="4778" hidden="1" x14ac:dyDescent="0.3"/>
    <row r="4779" hidden="1" x14ac:dyDescent="0.3"/>
    <row r="4780" hidden="1" x14ac:dyDescent="0.3"/>
    <row r="4781" hidden="1" x14ac:dyDescent="0.3"/>
    <row r="4782" hidden="1" x14ac:dyDescent="0.3"/>
    <row r="4783" hidden="1" x14ac:dyDescent="0.3"/>
    <row r="4784" hidden="1" x14ac:dyDescent="0.3"/>
    <row r="4785" hidden="1" x14ac:dyDescent="0.3"/>
    <row r="4786" hidden="1" x14ac:dyDescent="0.3"/>
    <row r="4787" hidden="1" x14ac:dyDescent="0.3"/>
    <row r="4788" hidden="1" x14ac:dyDescent="0.3"/>
    <row r="4789" hidden="1" x14ac:dyDescent="0.3"/>
    <row r="4790" hidden="1" x14ac:dyDescent="0.3"/>
    <row r="4791" hidden="1" x14ac:dyDescent="0.3"/>
    <row r="4792" hidden="1" x14ac:dyDescent="0.3"/>
    <row r="4793" hidden="1" x14ac:dyDescent="0.3"/>
    <row r="4794" hidden="1" x14ac:dyDescent="0.3"/>
    <row r="4795" hidden="1" x14ac:dyDescent="0.3"/>
    <row r="4796" hidden="1" x14ac:dyDescent="0.3"/>
    <row r="4797" hidden="1" x14ac:dyDescent="0.3"/>
    <row r="4798" hidden="1" x14ac:dyDescent="0.3"/>
    <row r="4799" hidden="1" x14ac:dyDescent="0.3"/>
    <row r="4800" hidden="1" x14ac:dyDescent="0.3"/>
    <row r="4801" hidden="1" x14ac:dyDescent="0.3"/>
    <row r="4802" hidden="1" x14ac:dyDescent="0.3"/>
    <row r="4803" hidden="1" x14ac:dyDescent="0.3"/>
    <row r="4804" hidden="1" x14ac:dyDescent="0.3"/>
    <row r="4805" hidden="1" x14ac:dyDescent="0.3"/>
    <row r="4806" hidden="1" x14ac:dyDescent="0.3"/>
    <row r="4807" hidden="1" x14ac:dyDescent="0.3"/>
    <row r="4808" hidden="1" x14ac:dyDescent="0.3"/>
    <row r="4809" hidden="1" x14ac:dyDescent="0.3"/>
    <row r="4810" hidden="1" x14ac:dyDescent="0.3"/>
    <row r="4811" hidden="1" x14ac:dyDescent="0.3"/>
    <row r="4812" hidden="1" x14ac:dyDescent="0.3"/>
    <row r="4813" hidden="1" x14ac:dyDescent="0.3"/>
    <row r="4814" hidden="1" x14ac:dyDescent="0.3"/>
    <row r="4815" hidden="1" x14ac:dyDescent="0.3"/>
    <row r="4816" hidden="1" x14ac:dyDescent="0.3"/>
    <row r="4817" hidden="1" x14ac:dyDescent="0.3"/>
    <row r="4818" hidden="1" x14ac:dyDescent="0.3"/>
    <row r="4819" hidden="1" x14ac:dyDescent="0.3"/>
    <row r="4820" hidden="1" x14ac:dyDescent="0.3"/>
    <row r="4821" hidden="1" x14ac:dyDescent="0.3"/>
    <row r="4822" hidden="1" x14ac:dyDescent="0.3"/>
    <row r="4823" hidden="1" x14ac:dyDescent="0.3"/>
    <row r="4824" hidden="1" x14ac:dyDescent="0.3"/>
    <row r="4825" hidden="1" x14ac:dyDescent="0.3"/>
    <row r="4826" hidden="1" x14ac:dyDescent="0.3"/>
    <row r="4827" hidden="1" x14ac:dyDescent="0.3"/>
    <row r="4828" hidden="1" x14ac:dyDescent="0.3"/>
    <row r="4829" hidden="1" x14ac:dyDescent="0.3"/>
    <row r="4830" hidden="1" x14ac:dyDescent="0.3"/>
    <row r="4831" hidden="1" x14ac:dyDescent="0.3"/>
    <row r="4832" hidden="1" x14ac:dyDescent="0.3"/>
    <row r="4833" hidden="1" x14ac:dyDescent="0.3"/>
    <row r="4834" hidden="1" x14ac:dyDescent="0.3"/>
    <row r="4835" hidden="1" x14ac:dyDescent="0.3"/>
    <row r="4836" hidden="1" x14ac:dyDescent="0.3"/>
    <row r="4837" hidden="1" x14ac:dyDescent="0.3"/>
    <row r="4838" hidden="1" x14ac:dyDescent="0.3"/>
    <row r="4839" hidden="1" x14ac:dyDescent="0.3"/>
    <row r="4840" hidden="1" x14ac:dyDescent="0.3"/>
    <row r="4841" hidden="1" x14ac:dyDescent="0.3"/>
    <row r="4842" hidden="1" x14ac:dyDescent="0.3"/>
    <row r="4843" hidden="1" x14ac:dyDescent="0.3"/>
    <row r="4844" hidden="1" x14ac:dyDescent="0.3"/>
    <row r="4845" hidden="1" x14ac:dyDescent="0.3"/>
    <row r="4846" hidden="1" x14ac:dyDescent="0.3"/>
    <row r="4847" hidden="1" x14ac:dyDescent="0.3"/>
    <row r="4848" hidden="1" x14ac:dyDescent="0.3"/>
    <row r="4849" hidden="1" x14ac:dyDescent="0.3"/>
    <row r="4850" hidden="1" x14ac:dyDescent="0.3"/>
    <row r="4851" hidden="1" x14ac:dyDescent="0.3"/>
    <row r="4852" hidden="1" x14ac:dyDescent="0.3"/>
    <row r="4853" hidden="1" x14ac:dyDescent="0.3"/>
    <row r="4854" hidden="1" x14ac:dyDescent="0.3"/>
    <row r="4855" hidden="1" x14ac:dyDescent="0.3"/>
    <row r="4856" hidden="1" x14ac:dyDescent="0.3"/>
    <row r="4857" hidden="1" x14ac:dyDescent="0.3"/>
    <row r="4858" hidden="1" x14ac:dyDescent="0.3"/>
    <row r="4859" hidden="1" x14ac:dyDescent="0.3"/>
    <row r="4860" hidden="1" x14ac:dyDescent="0.3"/>
    <row r="4861" hidden="1" x14ac:dyDescent="0.3"/>
    <row r="4862" hidden="1" x14ac:dyDescent="0.3"/>
    <row r="4863" hidden="1" x14ac:dyDescent="0.3"/>
    <row r="4864" hidden="1" x14ac:dyDescent="0.3"/>
    <row r="4865" hidden="1" x14ac:dyDescent="0.3"/>
    <row r="4866" hidden="1" x14ac:dyDescent="0.3"/>
    <row r="4867" hidden="1" x14ac:dyDescent="0.3"/>
    <row r="4868" hidden="1" x14ac:dyDescent="0.3"/>
    <row r="4869" hidden="1" x14ac:dyDescent="0.3"/>
    <row r="4870" hidden="1" x14ac:dyDescent="0.3"/>
    <row r="4871" hidden="1" x14ac:dyDescent="0.3"/>
    <row r="4872" hidden="1" x14ac:dyDescent="0.3"/>
    <row r="4873" hidden="1" x14ac:dyDescent="0.3"/>
    <row r="4874" hidden="1" x14ac:dyDescent="0.3"/>
    <row r="4875" hidden="1" x14ac:dyDescent="0.3"/>
    <row r="4876" hidden="1" x14ac:dyDescent="0.3"/>
    <row r="4877" hidden="1" x14ac:dyDescent="0.3"/>
    <row r="4878" hidden="1" x14ac:dyDescent="0.3"/>
    <row r="4879" hidden="1" x14ac:dyDescent="0.3"/>
    <row r="4880" hidden="1" x14ac:dyDescent="0.3"/>
    <row r="4881" hidden="1" x14ac:dyDescent="0.3"/>
    <row r="4882" hidden="1" x14ac:dyDescent="0.3"/>
    <row r="4883" hidden="1" x14ac:dyDescent="0.3"/>
    <row r="4884" hidden="1" x14ac:dyDescent="0.3"/>
    <row r="4885" hidden="1" x14ac:dyDescent="0.3"/>
    <row r="4886" hidden="1" x14ac:dyDescent="0.3"/>
    <row r="4887" hidden="1" x14ac:dyDescent="0.3"/>
    <row r="4888" hidden="1" x14ac:dyDescent="0.3"/>
    <row r="4889" hidden="1" x14ac:dyDescent="0.3"/>
    <row r="4890" hidden="1" x14ac:dyDescent="0.3"/>
    <row r="4891" hidden="1" x14ac:dyDescent="0.3"/>
    <row r="4892" hidden="1" x14ac:dyDescent="0.3"/>
    <row r="4893" hidden="1" x14ac:dyDescent="0.3"/>
    <row r="4894" hidden="1" x14ac:dyDescent="0.3"/>
    <row r="4895" hidden="1" x14ac:dyDescent="0.3"/>
    <row r="4896" hidden="1" x14ac:dyDescent="0.3"/>
    <row r="4897" hidden="1" x14ac:dyDescent="0.3"/>
    <row r="4898" hidden="1" x14ac:dyDescent="0.3"/>
    <row r="4899" hidden="1" x14ac:dyDescent="0.3"/>
    <row r="4900" hidden="1" x14ac:dyDescent="0.3"/>
    <row r="4901" hidden="1" x14ac:dyDescent="0.3"/>
    <row r="4902" hidden="1" x14ac:dyDescent="0.3"/>
    <row r="4903" hidden="1" x14ac:dyDescent="0.3"/>
    <row r="4904" hidden="1" x14ac:dyDescent="0.3"/>
    <row r="4905" hidden="1" x14ac:dyDescent="0.3"/>
    <row r="4906" hidden="1" x14ac:dyDescent="0.3"/>
    <row r="4907" hidden="1" x14ac:dyDescent="0.3"/>
    <row r="4908" hidden="1" x14ac:dyDescent="0.3"/>
    <row r="4909" hidden="1" x14ac:dyDescent="0.3"/>
    <row r="4910" hidden="1" x14ac:dyDescent="0.3"/>
    <row r="4911" hidden="1" x14ac:dyDescent="0.3"/>
    <row r="4912" hidden="1" x14ac:dyDescent="0.3"/>
    <row r="4913" hidden="1" x14ac:dyDescent="0.3"/>
    <row r="4914" hidden="1" x14ac:dyDescent="0.3"/>
    <row r="4915" hidden="1" x14ac:dyDescent="0.3"/>
    <row r="4916" hidden="1" x14ac:dyDescent="0.3"/>
    <row r="4917" hidden="1" x14ac:dyDescent="0.3"/>
    <row r="4918" hidden="1" x14ac:dyDescent="0.3"/>
    <row r="4919" hidden="1" x14ac:dyDescent="0.3"/>
    <row r="4920" hidden="1" x14ac:dyDescent="0.3"/>
    <row r="4921" hidden="1" x14ac:dyDescent="0.3"/>
    <row r="4922" hidden="1" x14ac:dyDescent="0.3"/>
    <row r="4923" hidden="1" x14ac:dyDescent="0.3"/>
    <row r="4924" hidden="1" x14ac:dyDescent="0.3"/>
    <row r="4925" hidden="1" x14ac:dyDescent="0.3"/>
    <row r="4926" hidden="1" x14ac:dyDescent="0.3"/>
    <row r="4927" hidden="1" x14ac:dyDescent="0.3"/>
    <row r="4928" hidden="1" x14ac:dyDescent="0.3"/>
    <row r="4929" hidden="1" x14ac:dyDescent="0.3"/>
    <row r="4930" hidden="1" x14ac:dyDescent="0.3"/>
    <row r="4931" hidden="1" x14ac:dyDescent="0.3"/>
    <row r="4932" hidden="1" x14ac:dyDescent="0.3"/>
    <row r="4933" hidden="1" x14ac:dyDescent="0.3"/>
    <row r="4934" hidden="1" x14ac:dyDescent="0.3"/>
    <row r="4935" hidden="1" x14ac:dyDescent="0.3"/>
    <row r="4936" hidden="1" x14ac:dyDescent="0.3"/>
    <row r="4937" hidden="1" x14ac:dyDescent="0.3"/>
    <row r="4938" hidden="1" x14ac:dyDescent="0.3"/>
    <row r="4939" hidden="1" x14ac:dyDescent="0.3"/>
    <row r="4940" hidden="1" x14ac:dyDescent="0.3"/>
    <row r="4941" hidden="1" x14ac:dyDescent="0.3"/>
    <row r="4942" hidden="1" x14ac:dyDescent="0.3"/>
    <row r="4943" hidden="1" x14ac:dyDescent="0.3"/>
    <row r="4944" hidden="1" x14ac:dyDescent="0.3"/>
    <row r="4945" hidden="1" x14ac:dyDescent="0.3"/>
    <row r="4946" hidden="1" x14ac:dyDescent="0.3"/>
    <row r="4947" hidden="1" x14ac:dyDescent="0.3"/>
    <row r="4948" hidden="1" x14ac:dyDescent="0.3"/>
    <row r="4949" hidden="1" x14ac:dyDescent="0.3"/>
    <row r="4950" hidden="1" x14ac:dyDescent="0.3"/>
    <row r="4951" hidden="1" x14ac:dyDescent="0.3"/>
    <row r="4952" hidden="1" x14ac:dyDescent="0.3"/>
    <row r="4953" hidden="1" x14ac:dyDescent="0.3"/>
    <row r="4954" hidden="1" x14ac:dyDescent="0.3"/>
    <row r="4955" hidden="1" x14ac:dyDescent="0.3"/>
    <row r="4956" hidden="1" x14ac:dyDescent="0.3"/>
    <row r="4957" hidden="1" x14ac:dyDescent="0.3"/>
    <row r="4958" hidden="1" x14ac:dyDescent="0.3"/>
    <row r="4959" hidden="1" x14ac:dyDescent="0.3"/>
    <row r="4960" hidden="1" x14ac:dyDescent="0.3"/>
    <row r="4961" hidden="1" x14ac:dyDescent="0.3"/>
    <row r="4962" hidden="1" x14ac:dyDescent="0.3"/>
    <row r="4963" hidden="1" x14ac:dyDescent="0.3"/>
    <row r="4964" hidden="1" x14ac:dyDescent="0.3"/>
    <row r="4965" hidden="1" x14ac:dyDescent="0.3"/>
    <row r="4966" hidden="1" x14ac:dyDescent="0.3"/>
    <row r="4967" hidden="1" x14ac:dyDescent="0.3"/>
    <row r="4968" hidden="1" x14ac:dyDescent="0.3"/>
    <row r="4969" hidden="1" x14ac:dyDescent="0.3"/>
    <row r="4970" hidden="1" x14ac:dyDescent="0.3"/>
    <row r="4971" hidden="1" x14ac:dyDescent="0.3"/>
    <row r="4972" hidden="1" x14ac:dyDescent="0.3"/>
    <row r="4973" hidden="1" x14ac:dyDescent="0.3"/>
    <row r="4974" hidden="1" x14ac:dyDescent="0.3"/>
    <row r="4975" hidden="1" x14ac:dyDescent="0.3"/>
    <row r="4976" hidden="1" x14ac:dyDescent="0.3"/>
    <row r="4977" hidden="1" x14ac:dyDescent="0.3"/>
    <row r="4978" hidden="1" x14ac:dyDescent="0.3"/>
    <row r="4979" hidden="1" x14ac:dyDescent="0.3"/>
    <row r="4980" hidden="1" x14ac:dyDescent="0.3"/>
    <row r="4981" hidden="1" x14ac:dyDescent="0.3"/>
    <row r="4982" hidden="1" x14ac:dyDescent="0.3"/>
    <row r="4983" hidden="1" x14ac:dyDescent="0.3"/>
    <row r="4984" hidden="1" x14ac:dyDescent="0.3"/>
    <row r="4985" hidden="1" x14ac:dyDescent="0.3"/>
    <row r="4986" hidden="1" x14ac:dyDescent="0.3"/>
    <row r="4987" hidden="1" x14ac:dyDescent="0.3"/>
    <row r="4988" hidden="1" x14ac:dyDescent="0.3"/>
    <row r="4989" hidden="1" x14ac:dyDescent="0.3"/>
    <row r="4990" hidden="1" x14ac:dyDescent="0.3"/>
    <row r="4991" hidden="1" x14ac:dyDescent="0.3"/>
    <row r="4992" hidden="1" x14ac:dyDescent="0.3"/>
    <row r="4993" spans="1:11" hidden="1" x14ac:dyDescent="0.3"/>
    <row r="4994" spans="1:11" hidden="1" x14ac:dyDescent="0.3"/>
    <row r="4995" spans="1:11" hidden="1" x14ac:dyDescent="0.3"/>
    <row r="4996" spans="1:11" hidden="1" x14ac:dyDescent="0.3"/>
    <row r="4997" spans="1:11" hidden="1" x14ac:dyDescent="0.3"/>
    <row r="4998" spans="1:11" hidden="1" x14ac:dyDescent="0.3"/>
    <row r="4999" spans="1:11" hidden="1" x14ac:dyDescent="0.3"/>
    <row r="5001" spans="1:11" x14ac:dyDescent="0.3">
      <c r="A5001" t="s">
        <v>109</v>
      </c>
      <c r="B5001" s="46" t="s">
        <v>100</v>
      </c>
      <c r="C5001" s="45" t="s">
        <v>110</v>
      </c>
      <c r="D5001" t="s">
        <v>111</v>
      </c>
      <c r="E5001" s="46" t="s">
        <v>112</v>
      </c>
      <c r="F5001" s="45" t="s">
        <v>113</v>
      </c>
      <c r="G5001" t="s">
        <v>114</v>
      </c>
      <c r="H5001" t="s">
        <v>115</v>
      </c>
      <c r="I5001" t="s">
        <v>116</v>
      </c>
      <c r="J5001" t="s">
        <v>117</v>
      </c>
      <c r="K5001" t="s">
        <v>118</v>
      </c>
    </row>
    <row r="5002" spans="1:11" hidden="1" x14ac:dyDescent="0.3">
      <c r="A5002" s="46"/>
    </row>
    <row r="5003" spans="1:11" hidden="1" x14ac:dyDescent="0.3">
      <c r="A5003" s="46"/>
    </row>
    <row r="5004" spans="1:11" hidden="1" x14ac:dyDescent="0.3">
      <c r="A5004" s="46"/>
    </row>
    <row r="5005" spans="1:11" hidden="1" x14ac:dyDescent="0.3">
      <c r="A5005" s="46"/>
    </row>
    <row r="5006" spans="1:11" hidden="1" x14ac:dyDescent="0.3">
      <c r="A5006" s="46"/>
    </row>
    <row r="5007" spans="1:11" hidden="1" x14ac:dyDescent="0.3">
      <c r="A5007" s="46"/>
    </row>
    <row r="5008" spans="1:11" hidden="1" x14ac:dyDescent="0.3">
      <c r="A5008" s="46"/>
    </row>
    <row r="5009" spans="1:1" hidden="1" x14ac:dyDescent="0.3">
      <c r="A5009" s="46"/>
    </row>
    <row r="5010" spans="1:1" x14ac:dyDescent="0.3">
      <c r="A5010" s="46"/>
    </row>
    <row r="5011" spans="1:1" hidden="1" x14ac:dyDescent="0.3">
      <c r="A5011" s="46"/>
    </row>
    <row r="5012" spans="1:1" hidden="1" x14ac:dyDescent="0.3">
      <c r="A5012" s="46"/>
    </row>
    <row r="5013" spans="1:1" hidden="1" x14ac:dyDescent="0.3">
      <c r="A5013" s="46"/>
    </row>
    <row r="5014" spans="1:1" hidden="1" x14ac:dyDescent="0.3">
      <c r="A5014" s="46"/>
    </row>
    <row r="5015" spans="1:1" x14ac:dyDescent="0.3">
      <c r="A5015" s="46"/>
    </row>
    <row r="5016" spans="1:1" hidden="1" x14ac:dyDescent="0.3">
      <c r="A5016" s="46"/>
    </row>
    <row r="5017" spans="1:1" hidden="1" x14ac:dyDescent="0.3">
      <c r="A5017" s="46"/>
    </row>
    <row r="5018" spans="1:1" hidden="1" x14ac:dyDescent="0.3">
      <c r="A5018" s="46"/>
    </row>
    <row r="5019" spans="1:1" x14ac:dyDescent="0.3">
      <c r="A5019" s="46"/>
    </row>
    <row r="5020" spans="1:1" hidden="1" x14ac:dyDescent="0.3">
      <c r="A5020" s="46"/>
    </row>
    <row r="5021" spans="1:1" hidden="1" x14ac:dyDescent="0.3">
      <c r="A5021" s="46"/>
    </row>
    <row r="5022" spans="1:1" hidden="1" x14ac:dyDescent="0.3">
      <c r="A5022" s="46"/>
    </row>
    <row r="5023" spans="1:1" hidden="1" x14ac:dyDescent="0.3">
      <c r="A5023" s="46"/>
    </row>
    <row r="5024" spans="1:1" hidden="1" x14ac:dyDescent="0.3">
      <c r="A5024" s="46"/>
    </row>
    <row r="5025" spans="1:1" hidden="1" x14ac:dyDescent="0.3">
      <c r="A5025" s="46"/>
    </row>
    <row r="5026" spans="1:1" x14ac:dyDescent="0.3">
      <c r="A5026" s="46"/>
    </row>
    <row r="5027" spans="1:1" x14ac:dyDescent="0.3">
      <c r="A5027" s="46"/>
    </row>
    <row r="5028" spans="1:1" hidden="1" x14ac:dyDescent="0.3">
      <c r="A5028" s="46"/>
    </row>
    <row r="5029" spans="1:1" hidden="1" x14ac:dyDescent="0.3">
      <c r="A5029" s="46"/>
    </row>
    <row r="5030" spans="1:1" hidden="1" x14ac:dyDescent="0.3">
      <c r="A5030" s="46"/>
    </row>
    <row r="5031" spans="1:1" hidden="1" x14ac:dyDescent="0.3">
      <c r="A5031" s="46"/>
    </row>
    <row r="5032" spans="1:1" hidden="1" x14ac:dyDescent="0.3">
      <c r="A5032" s="46"/>
    </row>
    <row r="5033" spans="1:1" hidden="1" x14ac:dyDescent="0.3">
      <c r="A5033" s="46"/>
    </row>
    <row r="5034" spans="1:1" hidden="1" x14ac:dyDescent="0.3">
      <c r="A5034" s="46"/>
    </row>
    <row r="5035" spans="1:1" hidden="1" x14ac:dyDescent="0.3">
      <c r="A5035" s="46"/>
    </row>
    <row r="5036" spans="1:1" hidden="1" x14ac:dyDescent="0.3">
      <c r="A5036" s="46"/>
    </row>
    <row r="5037" spans="1:1" hidden="1" x14ac:dyDescent="0.3">
      <c r="A5037" s="46"/>
    </row>
    <row r="5038" spans="1:1" hidden="1" x14ac:dyDescent="0.3">
      <c r="A5038" s="46"/>
    </row>
    <row r="5039" spans="1:1" hidden="1" x14ac:dyDescent="0.3">
      <c r="A5039" s="46"/>
    </row>
    <row r="5040" spans="1:1" hidden="1" x14ac:dyDescent="0.3">
      <c r="A5040" s="46"/>
    </row>
    <row r="5041" spans="1:1" hidden="1" x14ac:dyDescent="0.3">
      <c r="A5041" s="46"/>
    </row>
    <row r="5042" spans="1:1" hidden="1" x14ac:dyDescent="0.3">
      <c r="A5042" s="46"/>
    </row>
    <row r="5043" spans="1:1" hidden="1" x14ac:dyDescent="0.3">
      <c r="A5043" s="46"/>
    </row>
    <row r="5044" spans="1:1" hidden="1" x14ac:dyDescent="0.3">
      <c r="A5044" s="46"/>
    </row>
    <row r="5045" spans="1:1" hidden="1" x14ac:dyDescent="0.3">
      <c r="A5045" s="46"/>
    </row>
    <row r="5046" spans="1:1" hidden="1" x14ac:dyDescent="0.3">
      <c r="A5046" s="46"/>
    </row>
    <row r="5047" spans="1:1" hidden="1" x14ac:dyDescent="0.3">
      <c r="A5047" s="46"/>
    </row>
    <row r="5048" spans="1:1" hidden="1" x14ac:dyDescent="0.3">
      <c r="A5048" s="46"/>
    </row>
    <row r="5049" spans="1:1" hidden="1" x14ac:dyDescent="0.3">
      <c r="A5049" s="46"/>
    </row>
    <row r="5050" spans="1:1" hidden="1" x14ac:dyDescent="0.3">
      <c r="A5050" s="46"/>
    </row>
    <row r="5051" spans="1:1" hidden="1" x14ac:dyDescent="0.3">
      <c r="A5051" s="46"/>
    </row>
    <row r="5052" spans="1:1" hidden="1" x14ac:dyDescent="0.3">
      <c r="A5052" s="46"/>
    </row>
    <row r="5053" spans="1:1" hidden="1" x14ac:dyDescent="0.3">
      <c r="A5053" s="46"/>
    </row>
    <row r="5054" spans="1:1" hidden="1" x14ac:dyDescent="0.3">
      <c r="A5054" s="46"/>
    </row>
    <row r="5055" spans="1:1" hidden="1" x14ac:dyDescent="0.3">
      <c r="A5055" s="46"/>
    </row>
    <row r="5056" spans="1:1" hidden="1" x14ac:dyDescent="0.3">
      <c r="A5056" s="46"/>
    </row>
    <row r="5057" spans="1:1" hidden="1" x14ac:dyDescent="0.3">
      <c r="A5057" s="46"/>
    </row>
    <row r="5058" spans="1:1" hidden="1" x14ac:dyDescent="0.3">
      <c r="A5058" s="46"/>
    </row>
    <row r="5059" spans="1:1" hidden="1" x14ac:dyDescent="0.3">
      <c r="A5059" s="46"/>
    </row>
    <row r="5060" spans="1:1" hidden="1" x14ac:dyDescent="0.3">
      <c r="A5060" s="46"/>
    </row>
    <row r="5061" spans="1:1" hidden="1" x14ac:dyDescent="0.3">
      <c r="A5061" s="46"/>
    </row>
    <row r="5062" spans="1:1" hidden="1" x14ac:dyDescent="0.3">
      <c r="A5062" s="46"/>
    </row>
    <row r="5063" spans="1:1" hidden="1" x14ac:dyDescent="0.3">
      <c r="A5063" s="46"/>
    </row>
    <row r="5064" spans="1:1" hidden="1" x14ac:dyDescent="0.3">
      <c r="A5064" s="46"/>
    </row>
    <row r="5065" spans="1:1" hidden="1" x14ac:dyDescent="0.3">
      <c r="A5065" s="46"/>
    </row>
    <row r="5066" spans="1:1" hidden="1" x14ac:dyDescent="0.3">
      <c r="A5066" s="46"/>
    </row>
    <row r="5067" spans="1:1" hidden="1" x14ac:dyDescent="0.3">
      <c r="A5067" s="46"/>
    </row>
    <row r="5068" spans="1:1" hidden="1" x14ac:dyDescent="0.3">
      <c r="A5068" s="46"/>
    </row>
    <row r="5069" spans="1:1" hidden="1" x14ac:dyDescent="0.3">
      <c r="A5069" s="46"/>
    </row>
    <row r="5070" spans="1:1" hidden="1" x14ac:dyDescent="0.3">
      <c r="A5070" s="46"/>
    </row>
    <row r="5071" spans="1:1" hidden="1" x14ac:dyDescent="0.3">
      <c r="A5071" s="46"/>
    </row>
    <row r="5072" spans="1:1" hidden="1" x14ac:dyDescent="0.3">
      <c r="A5072" s="46"/>
    </row>
    <row r="5073" spans="1:1" hidden="1" x14ac:dyDescent="0.3">
      <c r="A5073" s="46"/>
    </row>
    <row r="5074" spans="1:1" hidden="1" x14ac:dyDescent="0.3">
      <c r="A5074" s="46"/>
    </row>
    <row r="5075" spans="1:1" hidden="1" x14ac:dyDescent="0.3">
      <c r="A5075" s="46"/>
    </row>
    <row r="5076" spans="1:1" hidden="1" x14ac:dyDescent="0.3">
      <c r="A5076" s="46"/>
    </row>
    <row r="5077" spans="1:1" hidden="1" x14ac:dyDescent="0.3">
      <c r="A5077" s="46"/>
    </row>
    <row r="5078" spans="1:1" hidden="1" x14ac:dyDescent="0.3">
      <c r="A5078" s="46"/>
    </row>
    <row r="5079" spans="1:1" hidden="1" x14ac:dyDescent="0.3">
      <c r="A5079" s="46"/>
    </row>
    <row r="5080" spans="1:1" hidden="1" x14ac:dyDescent="0.3">
      <c r="A5080" s="46"/>
    </row>
    <row r="5081" spans="1:1" hidden="1" x14ac:dyDescent="0.3">
      <c r="A5081" s="46"/>
    </row>
    <row r="5082" spans="1:1" hidden="1" x14ac:dyDescent="0.3">
      <c r="A5082" s="46"/>
    </row>
    <row r="5083" spans="1:1" hidden="1" x14ac:dyDescent="0.3">
      <c r="A5083" s="46"/>
    </row>
    <row r="5084" spans="1:1" hidden="1" x14ac:dyDescent="0.3">
      <c r="A5084" s="46"/>
    </row>
    <row r="5085" spans="1:1" hidden="1" x14ac:dyDescent="0.3">
      <c r="A5085" s="46"/>
    </row>
    <row r="5086" spans="1:1" hidden="1" x14ac:dyDescent="0.3">
      <c r="A5086" s="46"/>
    </row>
    <row r="5087" spans="1:1" hidden="1" x14ac:dyDescent="0.3">
      <c r="A5087" s="46"/>
    </row>
    <row r="5088" spans="1:1" hidden="1" x14ac:dyDescent="0.3">
      <c r="A5088" s="46"/>
    </row>
    <row r="5089" spans="1:1" hidden="1" x14ac:dyDescent="0.3">
      <c r="A5089" s="46"/>
    </row>
    <row r="5090" spans="1:1" hidden="1" x14ac:dyDescent="0.3">
      <c r="A5090" s="46"/>
    </row>
    <row r="5091" spans="1:1" hidden="1" x14ac:dyDescent="0.3">
      <c r="A5091" s="46"/>
    </row>
    <row r="5092" spans="1:1" hidden="1" x14ac:dyDescent="0.3">
      <c r="A5092" s="46"/>
    </row>
    <row r="5093" spans="1:1" hidden="1" x14ac:dyDescent="0.3">
      <c r="A5093" s="46"/>
    </row>
    <row r="5094" spans="1:1" hidden="1" x14ac:dyDescent="0.3">
      <c r="A5094" s="46"/>
    </row>
    <row r="5095" spans="1:1" x14ac:dyDescent="0.3">
      <c r="A5095" s="46"/>
    </row>
    <row r="5096" spans="1:1" x14ac:dyDescent="0.3">
      <c r="A5096" s="46"/>
    </row>
    <row r="5097" spans="1:1" x14ac:dyDescent="0.3">
      <c r="A5097" s="46"/>
    </row>
    <row r="5098" spans="1:1" x14ac:dyDescent="0.3">
      <c r="A5098" s="46"/>
    </row>
    <row r="5099" spans="1:1" x14ac:dyDescent="0.3">
      <c r="A5099" s="46"/>
    </row>
    <row r="5100" spans="1:1" x14ac:dyDescent="0.3">
      <c r="A5100" s="46"/>
    </row>
    <row r="5101" spans="1:1" x14ac:dyDescent="0.3">
      <c r="A5101" s="46"/>
    </row>
    <row r="5102" spans="1:1" x14ac:dyDescent="0.3">
      <c r="A5102" s="46"/>
    </row>
    <row r="5103" spans="1:1" x14ac:dyDescent="0.3">
      <c r="A5103" s="46"/>
    </row>
    <row r="5104" spans="1:1" x14ac:dyDescent="0.3">
      <c r="A5104" s="46"/>
    </row>
    <row r="5105" spans="1:1" x14ac:dyDescent="0.3">
      <c r="A5105" s="46"/>
    </row>
    <row r="5106" spans="1:1" x14ac:dyDescent="0.3">
      <c r="A5106" s="46"/>
    </row>
    <row r="5107" spans="1:1" x14ac:dyDescent="0.3">
      <c r="A5107" s="46"/>
    </row>
    <row r="5108" spans="1:1" x14ac:dyDescent="0.3">
      <c r="A5108" s="46"/>
    </row>
    <row r="5109" spans="1:1" hidden="1" x14ac:dyDescent="0.3">
      <c r="A5109" s="46"/>
    </row>
    <row r="5110" spans="1:1" hidden="1" x14ac:dyDescent="0.3">
      <c r="A5110" s="46"/>
    </row>
    <row r="5111" spans="1:1" hidden="1" x14ac:dyDescent="0.3">
      <c r="A5111" s="46"/>
    </row>
    <row r="5112" spans="1:1" hidden="1" x14ac:dyDescent="0.3">
      <c r="A5112" s="46"/>
    </row>
    <row r="5113" spans="1:1" hidden="1" x14ac:dyDescent="0.3">
      <c r="A5113" s="46"/>
    </row>
    <row r="5114" spans="1:1" hidden="1" x14ac:dyDescent="0.3">
      <c r="A5114" s="46"/>
    </row>
    <row r="5115" spans="1:1" hidden="1" x14ac:dyDescent="0.3">
      <c r="A5115" s="46"/>
    </row>
    <row r="5116" spans="1:1" hidden="1" x14ac:dyDescent="0.3">
      <c r="A5116" s="46"/>
    </row>
    <row r="5117" spans="1:1" hidden="1" x14ac:dyDescent="0.3">
      <c r="A5117" s="46"/>
    </row>
    <row r="5118" spans="1:1" hidden="1" x14ac:dyDescent="0.3">
      <c r="A5118" s="46"/>
    </row>
    <row r="5119" spans="1:1" hidden="1" x14ac:dyDescent="0.3">
      <c r="A5119" s="46"/>
    </row>
    <row r="5120" spans="1:1" hidden="1" x14ac:dyDescent="0.3">
      <c r="A5120" s="46"/>
    </row>
    <row r="5121" spans="1:1" hidden="1" x14ac:dyDescent="0.3">
      <c r="A5121" s="46"/>
    </row>
    <row r="5122" spans="1:1" hidden="1" x14ac:dyDescent="0.3">
      <c r="A5122" s="46"/>
    </row>
    <row r="5123" spans="1:1" x14ac:dyDescent="0.3">
      <c r="A5123" s="46"/>
    </row>
    <row r="5124" spans="1:1" x14ac:dyDescent="0.3">
      <c r="A5124" s="46"/>
    </row>
    <row r="5125" spans="1:1" x14ac:dyDescent="0.3">
      <c r="A5125" s="46"/>
    </row>
    <row r="5126" spans="1:1" x14ac:dyDescent="0.3">
      <c r="A5126" s="46"/>
    </row>
    <row r="5127" spans="1:1" x14ac:dyDescent="0.3">
      <c r="A5127" s="46"/>
    </row>
    <row r="5128" spans="1:1" x14ac:dyDescent="0.3">
      <c r="A5128" s="46"/>
    </row>
    <row r="5129" spans="1:1" x14ac:dyDescent="0.3">
      <c r="A5129" s="46"/>
    </row>
    <row r="5130" spans="1:1" x14ac:dyDescent="0.3">
      <c r="A5130" s="46"/>
    </row>
    <row r="5131" spans="1:1" hidden="1" x14ac:dyDescent="0.3">
      <c r="A5131" s="46"/>
    </row>
    <row r="5132" spans="1:1" hidden="1" x14ac:dyDescent="0.3">
      <c r="A5132" s="46"/>
    </row>
    <row r="5133" spans="1:1" hidden="1" x14ac:dyDescent="0.3">
      <c r="A5133" s="46"/>
    </row>
    <row r="5134" spans="1:1" hidden="1" x14ac:dyDescent="0.3">
      <c r="A5134" s="46"/>
    </row>
    <row r="5135" spans="1:1" hidden="1" x14ac:dyDescent="0.3">
      <c r="A5135" s="46"/>
    </row>
    <row r="5136" spans="1:1" x14ac:dyDescent="0.3">
      <c r="A5136" s="46"/>
    </row>
    <row r="5137" spans="1:11" hidden="1" x14ac:dyDescent="0.3">
      <c r="A5137" s="46"/>
      <c r="D5137" s="31"/>
      <c r="G5137" s="31"/>
      <c r="H5137" s="31"/>
      <c r="I5137" s="31"/>
      <c r="J5137" s="31"/>
      <c r="K5137" s="31"/>
    </row>
    <row r="5138" spans="1:11" hidden="1" x14ac:dyDescent="0.3">
      <c r="A5138" s="46"/>
    </row>
    <row r="5139" spans="1:11" hidden="1" x14ac:dyDescent="0.3">
      <c r="A5139" s="46"/>
    </row>
    <row r="5140" spans="1:11" hidden="1" x14ac:dyDescent="0.3">
      <c r="A5140" s="46"/>
    </row>
    <row r="5141" spans="1:11" x14ac:dyDescent="0.3">
      <c r="A5141" s="46"/>
    </row>
    <row r="5142" spans="1:11" x14ac:dyDescent="0.3">
      <c r="A5142" s="46"/>
    </row>
    <row r="5143" spans="1:11" x14ac:dyDescent="0.3">
      <c r="A5143" s="46"/>
    </row>
    <row r="5144" spans="1:11" hidden="1" x14ac:dyDescent="0.3">
      <c r="A5144" s="46"/>
    </row>
    <row r="5145" spans="1:11" hidden="1" x14ac:dyDescent="0.3">
      <c r="A5145" s="46"/>
    </row>
    <row r="5146" spans="1:11" hidden="1" x14ac:dyDescent="0.3">
      <c r="A5146" s="46"/>
    </row>
    <row r="5147" spans="1:11" hidden="1" x14ac:dyDescent="0.3">
      <c r="A5147" s="46"/>
    </row>
    <row r="5148" spans="1:11" hidden="1" x14ac:dyDescent="0.3">
      <c r="A5148" s="46"/>
    </row>
    <row r="5149" spans="1:11" hidden="1" x14ac:dyDescent="0.3">
      <c r="A5149" s="46"/>
    </row>
    <row r="5150" spans="1:11" hidden="1" x14ac:dyDescent="0.3">
      <c r="A5150" s="46"/>
    </row>
    <row r="5151" spans="1:11" x14ac:dyDescent="0.3">
      <c r="A5151" s="46"/>
    </row>
    <row r="5152" spans="1:11" hidden="1" x14ac:dyDescent="0.3">
      <c r="A5152" s="46"/>
    </row>
    <row r="5153" spans="1:1" hidden="1" x14ac:dyDescent="0.3">
      <c r="A5153" s="46"/>
    </row>
    <row r="5154" spans="1:1" hidden="1" x14ac:dyDescent="0.3">
      <c r="A5154" s="46"/>
    </row>
    <row r="5155" spans="1:1" hidden="1" x14ac:dyDescent="0.3">
      <c r="A5155" s="46"/>
    </row>
    <row r="5156" spans="1:1" hidden="1" x14ac:dyDescent="0.3">
      <c r="A5156" s="46"/>
    </row>
    <row r="5157" spans="1:1" x14ac:dyDescent="0.3">
      <c r="A5157" s="46"/>
    </row>
    <row r="5158" spans="1:1" hidden="1" x14ac:dyDescent="0.3">
      <c r="A5158" s="46"/>
    </row>
    <row r="5159" spans="1:1" hidden="1" x14ac:dyDescent="0.3">
      <c r="A5159" s="46"/>
    </row>
    <row r="5160" spans="1:1" hidden="1" x14ac:dyDescent="0.3">
      <c r="A5160" s="46"/>
    </row>
    <row r="5161" spans="1:1" hidden="1" x14ac:dyDescent="0.3">
      <c r="A5161" s="46"/>
    </row>
    <row r="5162" spans="1:1" hidden="1" x14ac:dyDescent="0.3">
      <c r="A5162" s="46"/>
    </row>
    <row r="5163" spans="1:1" hidden="1" x14ac:dyDescent="0.3">
      <c r="A5163" s="46"/>
    </row>
    <row r="5164" spans="1:1" x14ac:dyDescent="0.3">
      <c r="A5164" s="46"/>
    </row>
    <row r="5165" spans="1:1" hidden="1" x14ac:dyDescent="0.3">
      <c r="A5165" s="46"/>
    </row>
    <row r="5166" spans="1:1" hidden="1" x14ac:dyDescent="0.3">
      <c r="A5166" s="46"/>
    </row>
    <row r="5167" spans="1:1" x14ac:dyDescent="0.3">
      <c r="A5167" s="46"/>
    </row>
    <row r="5168" spans="1:1" hidden="1" x14ac:dyDescent="0.3">
      <c r="A5168" s="46"/>
    </row>
    <row r="5169" spans="1:1" hidden="1" x14ac:dyDescent="0.3">
      <c r="A5169" s="46"/>
    </row>
    <row r="5170" spans="1:1" hidden="1" x14ac:dyDescent="0.3">
      <c r="A5170" s="46"/>
    </row>
    <row r="5171" spans="1:1" x14ac:dyDescent="0.3">
      <c r="A5171" s="46"/>
    </row>
    <row r="5172" spans="1:1" hidden="1" x14ac:dyDescent="0.3">
      <c r="A5172" s="46"/>
    </row>
    <row r="5173" spans="1:1" hidden="1" x14ac:dyDescent="0.3">
      <c r="A5173" s="46"/>
    </row>
    <row r="5174" spans="1:1" hidden="1" x14ac:dyDescent="0.3">
      <c r="A5174" s="46"/>
    </row>
    <row r="5175" spans="1:1" hidden="1" x14ac:dyDescent="0.3">
      <c r="A5175" s="46"/>
    </row>
    <row r="5176" spans="1:1" hidden="1" x14ac:dyDescent="0.3">
      <c r="A5176" s="46"/>
    </row>
    <row r="5177" spans="1:1" hidden="1" x14ac:dyDescent="0.3">
      <c r="A5177" s="46"/>
    </row>
    <row r="5178" spans="1:1" hidden="1" x14ac:dyDescent="0.3">
      <c r="A5178" s="46"/>
    </row>
    <row r="5179" spans="1:1" hidden="1" x14ac:dyDescent="0.3">
      <c r="A5179" s="46"/>
    </row>
    <row r="5180" spans="1:1" hidden="1" x14ac:dyDescent="0.3">
      <c r="A5180" s="46"/>
    </row>
    <row r="5181" spans="1:1" hidden="1" x14ac:dyDescent="0.3">
      <c r="A5181" s="46"/>
    </row>
    <row r="5182" spans="1:1" hidden="1" x14ac:dyDescent="0.3">
      <c r="A5182" s="46"/>
    </row>
    <row r="5183" spans="1:1" x14ac:dyDescent="0.3">
      <c r="A5183" s="46"/>
    </row>
    <row r="5184" spans="1:1" x14ac:dyDescent="0.3">
      <c r="A5184" s="46"/>
    </row>
    <row r="5185" spans="1:1" x14ac:dyDescent="0.3">
      <c r="A5185" s="46"/>
    </row>
    <row r="5186" spans="1:1" x14ac:dyDescent="0.3">
      <c r="A5186" s="46"/>
    </row>
    <row r="5187" spans="1:1" x14ac:dyDescent="0.3">
      <c r="A5187" s="46"/>
    </row>
    <row r="5188" spans="1:1" x14ac:dyDescent="0.3">
      <c r="A5188" s="46"/>
    </row>
    <row r="5189" spans="1:1" x14ac:dyDescent="0.3">
      <c r="A5189" s="46"/>
    </row>
    <row r="5190" spans="1:1" hidden="1" x14ac:dyDescent="0.3">
      <c r="A5190" s="46"/>
    </row>
    <row r="5191" spans="1:1" x14ac:dyDescent="0.3">
      <c r="A5191" s="46"/>
    </row>
    <row r="5192" spans="1:1" hidden="1" x14ac:dyDescent="0.3">
      <c r="A5192" s="46"/>
    </row>
    <row r="5193" spans="1:1" hidden="1" x14ac:dyDescent="0.3">
      <c r="A5193" s="46"/>
    </row>
    <row r="5194" spans="1:1" hidden="1" x14ac:dyDescent="0.3">
      <c r="A5194" s="46"/>
    </row>
    <row r="5195" spans="1:1" hidden="1" x14ac:dyDescent="0.3">
      <c r="A5195" s="46"/>
    </row>
    <row r="5196" spans="1:1" hidden="1" x14ac:dyDescent="0.3">
      <c r="A5196" s="46"/>
    </row>
    <row r="5197" spans="1:1" hidden="1" x14ac:dyDescent="0.3">
      <c r="A5197" s="46"/>
    </row>
    <row r="5198" spans="1:1" hidden="1" x14ac:dyDescent="0.3">
      <c r="A5198" s="46"/>
    </row>
    <row r="5199" spans="1:1" x14ac:dyDescent="0.3">
      <c r="A5199" s="46"/>
    </row>
    <row r="5200" spans="1:1" hidden="1" x14ac:dyDescent="0.3">
      <c r="A5200" s="46"/>
    </row>
    <row r="5201" spans="1:11" hidden="1" x14ac:dyDescent="0.3">
      <c r="A5201" s="46"/>
    </row>
    <row r="5202" spans="1:11" hidden="1" x14ac:dyDescent="0.3">
      <c r="A5202" s="46"/>
      <c r="D5202" s="31"/>
      <c r="G5202" s="31"/>
      <c r="H5202" s="31"/>
      <c r="I5202" s="31"/>
      <c r="J5202" s="31"/>
      <c r="K5202" s="31"/>
    </row>
    <row r="5203" spans="1:11" hidden="1" x14ac:dyDescent="0.3">
      <c r="A5203" s="46"/>
    </row>
    <row r="5204" spans="1:11" hidden="1" x14ac:dyDescent="0.3">
      <c r="A5204" s="46"/>
    </row>
    <row r="5205" spans="1:11" hidden="1" x14ac:dyDescent="0.3">
      <c r="A5205" s="46"/>
    </row>
    <row r="5206" spans="1:11" hidden="1" x14ac:dyDescent="0.3">
      <c r="A5206" s="46"/>
    </row>
    <row r="5207" spans="1:11" hidden="1" x14ac:dyDescent="0.3">
      <c r="A5207" s="46"/>
    </row>
    <row r="5208" spans="1:11" hidden="1" x14ac:dyDescent="0.3">
      <c r="A5208" s="46"/>
    </row>
    <row r="5209" spans="1:11" hidden="1" x14ac:dyDescent="0.3">
      <c r="A5209" s="46"/>
    </row>
    <row r="5210" spans="1:11" hidden="1" x14ac:dyDescent="0.3">
      <c r="A5210" s="46"/>
    </row>
    <row r="5211" spans="1:11" hidden="1" x14ac:dyDescent="0.3">
      <c r="A5211" s="46"/>
    </row>
    <row r="5212" spans="1:11" hidden="1" x14ac:dyDescent="0.3">
      <c r="A5212" s="46"/>
    </row>
    <row r="5213" spans="1:11" hidden="1" x14ac:dyDescent="0.3">
      <c r="A5213" s="46"/>
    </row>
    <row r="5214" spans="1:11" hidden="1" x14ac:dyDescent="0.3">
      <c r="A5214" s="46"/>
    </row>
    <row r="5215" spans="1:11" hidden="1" x14ac:dyDescent="0.3">
      <c r="A5215" s="46"/>
    </row>
    <row r="5216" spans="1:11" x14ac:dyDescent="0.3">
      <c r="A5216" s="46"/>
    </row>
    <row r="5217" spans="1:1" hidden="1" x14ac:dyDescent="0.3">
      <c r="A5217" s="46"/>
    </row>
    <row r="5218" spans="1:1" hidden="1" x14ac:dyDescent="0.3">
      <c r="A5218" s="46"/>
    </row>
    <row r="5219" spans="1:1" hidden="1" x14ac:dyDescent="0.3">
      <c r="A5219" s="46"/>
    </row>
    <row r="5220" spans="1:1" hidden="1" x14ac:dyDescent="0.3">
      <c r="A5220" s="46"/>
    </row>
    <row r="5221" spans="1:1" hidden="1" x14ac:dyDescent="0.3">
      <c r="A5221" s="46"/>
    </row>
    <row r="5222" spans="1:1" hidden="1" x14ac:dyDescent="0.3">
      <c r="A5222" s="46"/>
    </row>
    <row r="5223" spans="1:1" hidden="1" x14ac:dyDescent="0.3">
      <c r="A5223" s="46"/>
    </row>
    <row r="5224" spans="1:1" hidden="1" x14ac:dyDescent="0.3">
      <c r="A5224" s="46"/>
    </row>
    <row r="5225" spans="1:1" hidden="1" x14ac:dyDescent="0.3">
      <c r="A5225" s="46"/>
    </row>
    <row r="5226" spans="1:1" hidden="1" x14ac:dyDescent="0.3">
      <c r="A5226" s="46"/>
    </row>
    <row r="5227" spans="1:1" hidden="1" x14ac:dyDescent="0.3">
      <c r="A5227" s="46"/>
    </row>
    <row r="5228" spans="1:1" hidden="1" x14ac:dyDescent="0.3">
      <c r="A5228" s="46"/>
    </row>
    <row r="5229" spans="1:1" hidden="1" x14ac:dyDescent="0.3">
      <c r="A5229" s="46"/>
    </row>
    <row r="5230" spans="1:1" hidden="1" x14ac:dyDescent="0.3">
      <c r="A5230" s="46"/>
    </row>
    <row r="5231" spans="1:1" hidden="1" x14ac:dyDescent="0.3">
      <c r="A5231" s="46"/>
    </row>
    <row r="5232" spans="1:1" hidden="1" x14ac:dyDescent="0.3">
      <c r="A5232" s="46"/>
    </row>
    <row r="5233" spans="1:1" hidden="1" x14ac:dyDescent="0.3">
      <c r="A5233" s="46"/>
    </row>
    <row r="5234" spans="1:1" hidden="1" x14ac:dyDescent="0.3">
      <c r="A5234" s="46"/>
    </row>
    <row r="5235" spans="1:1" hidden="1" x14ac:dyDescent="0.3">
      <c r="A5235" s="46"/>
    </row>
    <row r="5236" spans="1:1" hidden="1" x14ac:dyDescent="0.3">
      <c r="A5236" s="46"/>
    </row>
    <row r="5237" spans="1:1" hidden="1" x14ac:dyDescent="0.3">
      <c r="A5237" s="46"/>
    </row>
    <row r="5238" spans="1:1" hidden="1" x14ac:dyDescent="0.3">
      <c r="A5238" s="46"/>
    </row>
    <row r="5239" spans="1:1" hidden="1" x14ac:dyDescent="0.3">
      <c r="A5239" s="46"/>
    </row>
    <row r="5240" spans="1:1" hidden="1" x14ac:dyDescent="0.3">
      <c r="A5240" s="46"/>
    </row>
    <row r="5241" spans="1:1" hidden="1" x14ac:dyDescent="0.3">
      <c r="A5241" s="46"/>
    </row>
    <row r="5242" spans="1:1" hidden="1" x14ac:dyDescent="0.3">
      <c r="A5242" s="46"/>
    </row>
    <row r="5243" spans="1:1" hidden="1" x14ac:dyDescent="0.3">
      <c r="A5243" s="46"/>
    </row>
    <row r="5244" spans="1:1" x14ac:dyDescent="0.3">
      <c r="A5244" s="46"/>
    </row>
    <row r="5245" spans="1:1" hidden="1" x14ac:dyDescent="0.3">
      <c r="A5245" s="46"/>
    </row>
    <row r="5246" spans="1:1" hidden="1" x14ac:dyDescent="0.3">
      <c r="A5246" s="46"/>
    </row>
    <row r="5247" spans="1:1" hidden="1" x14ac:dyDescent="0.3">
      <c r="A5247" s="46"/>
    </row>
    <row r="5248" spans="1:1" hidden="1" x14ac:dyDescent="0.3">
      <c r="A5248" s="46"/>
    </row>
    <row r="5249" spans="1:1" x14ac:dyDescent="0.3">
      <c r="A5249" s="46"/>
    </row>
    <row r="5250" spans="1:1" hidden="1" x14ac:dyDescent="0.3">
      <c r="A5250" s="46"/>
    </row>
    <row r="5251" spans="1:1" hidden="1" x14ac:dyDescent="0.3">
      <c r="A5251" s="46"/>
    </row>
    <row r="5252" spans="1:1" hidden="1" x14ac:dyDescent="0.3">
      <c r="A5252" s="46"/>
    </row>
    <row r="5253" spans="1:1" hidden="1" x14ac:dyDescent="0.3">
      <c r="A5253" s="46"/>
    </row>
    <row r="5254" spans="1:1" hidden="1" x14ac:dyDescent="0.3">
      <c r="A5254" s="46"/>
    </row>
    <row r="5255" spans="1:1" hidden="1" x14ac:dyDescent="0.3">
      <c r="A5255" s="46"/>
    </row>
    <row r="5256" spans="1:1" hidden="1" x14ac:dyDescent="0.3">
      <c r="A5256" s="46"/>
    </row>
    <row r="5257" spans="1:1" hidden="1" x14ac:dyDescent="0.3">
      <c r="A5257" s="46"/>
    </row>
    <row r="5258" spans="1:1" hidden="1" x14ac:dyDescent="0.3">
      <c r="A5258" s="46"/>
    </row>
    <row r="5259" spans="1:1" hidden="1" x14ac:dyDescent="0.3">
      <c r="A5259" s="46"/>
    </row>
    <row r="5260" spans="1:1" hidden="1" x14ac:dyDescent="0.3">
      <c r="A5260" s="46"/>
    </row>
    <row r="5261" spans="1:1" hidden="1" x14ac:dyDescent="0.3">
      <c r="A5261" s="46"/>
    </row>
    <row r="5262" spans="1:1" hidden="1" x14ac:dyDescent="0.3">
      <c r="A5262" s="46"/>
    </row>
    <row r="5263" spans="1:1" hidden="1" x14ac:dyDescent="0.3">
      <c r="A5263" s="46"/>
    </row>
    <row r="5264" spans="1:1" hidden="1" x14ac:dyDescent="0.3">
      <c r="A5264" s="46"/>
    </row>
    <row r="5265" spans="1:1" hidden="1" x14ac:dyDescent="0.3">
      <c r="A5265" s="46"/>
    </row>
    <row r="5266" spans="1:1" hidden="1" x14ac:dyDescent="0.3">
      <c r="A5266" s="46"/>
    </row>
    <row r="5267" spans="1:1" hidden="1" x14ac:dyDescent="0.3">
      <c r="A5267" s="46"/>
    </row>
    <row r="5268" spans="1:1" hidden="1" x14ac:dyDescent="0.3">
      <c r="A5268" s="46"/>
    </row>
    <row r="5269" spans="1:1" hidden="1" x14ac:dyDescent="0.3">
      <c r="A5269" s="46"/>
    </row>
    <row r="5270" spans="1:1" hidden="1" x14ac:dyDescent="0.3">
      <c r="A5270" s="46"/>
    </row>
    <row r="5271" spans="1:1" hidden="1" x14ac:dyDescent="0.3">
      <c r="A5271" s="46"/>
    </row>
    <row r="5272" spans="1:1" hidden="1" x14ac:dyDescent="0.3">
      <c r="A5272" s="46"/>
    </row>
    <row r="5273" spans="1:1" hidden="1" x14ac:dyDescent="0.3">
      <c r="A5273" s="46"/>
    </row>
    <row r="5274" spans="1:1" hidden="1" x14ac:dyDescent="0.3">
      <c r="A5274" s="46"/>
    </row>
    <row r="5275" spans="1:1" hidden="1" x14ac:dyDescent="0.3">
      <c r="A5275" s="46"/>
    </row>
    <row r="5276" spans="1:1" hidden="1" x14ac:dyDescent="0.3">
      <c r="A5276" s="46"/>
    </row>
    <row r="5277" spans="1:1" hidden="1" x14ac:dyDescent="0.3">
      <c r="A5277" s="46"/>
    </row>
    <row r="5278" spans="1:1" hidden="1" x14ac:dyDescent="0.3">
      <c r="A5278" s="46"/>
    </row>
    <row r="5279" spans="1:1" hidden="1" x14ac:dyDescent="0.3">
      <c r="A5279" s="46"/>
    </row>
    <row r="5280" spans="1:1" hidden="1" x14ac:dyDescent="0.3">
      <c r="A5280" s="46"/>
    </row>
    <row r="5281" spans="1:1" hidden="1" x14ac:dyDescent="0.3">
      <c r="A5281" s="46"/>
    </row>
    <row r="5282" spans="1:1" hidden="1" x14ac:dyDescent="0.3">
      <c r="A5282" s="46"/>
    </row>
    <row r="5283" spans="1:1" hidden="1" x14ac:dyDescent="0.3">
      <c r="A5283" s="46"/>
    </row>
    <row r="5284" spans="1:1" hidden="1" x14ac:dyDescent="0.3">
      <c r="A5284" s="46"/>
    </row>
    <row r="5285" spans="1:1" hidden="1" x14ac:dyDescent="0.3">
      <c r="A5285" s="46"/>
    </row>
    <row r="5286" spans="1:1" hidden="1" x14ac:dyDescent="0.3">
      <c r="A5286" s="46"/>
    </row>
    <row r="5287" spans="1:1" hidden="1" x14ac:dyDescent="0.3">
      <c r="A5287" s="46"/>
    </row>
    <row r="5288" spans="1:1" hidden="1" x14ac:dyDescent="0.3">
      <c r="A5288" s="46"/>
    </row>
    <row r="5289" spans="1:1" hidden="1" x14ac:dyDescent="0.3">
      <c r="A5289" s="46"/>
    </row>
    <row r="5290" spans="1:1" hidden="1" x14ac:dyDescent="0.3">
      <c r="A5290" s="46"/>
    </row>
    <row r="5291" spans="1:1" hidden="1" x14ac:dyDescent="0.3">
      <c r="A5291" s="46"/>
    </row>
    <row r="5292" spans="1:1" hidden="1" x14ac:dyDescent="0.3">
      <c r="A5292" s="46"/>
    </row>
    <row r="5293" spans="1:1" hidden="1" x14ac:dyDescent="0.3">
      <c r="A5293" s="46"/>
    </row>
    <row r="5294" spans="1:1" hidden="1" x14ac:dyDescent="0.3">
      <c r="A5294" s="46"/>
    </row>
    <row r="5295" spans="1:1" hidden="1" x14ac:dyDescent="0.3">
      <c r="A5295" s="46"/>
    </row>
    <row r="5296" spans="1:1" hidden="1" x14ac:dyDescent="0.3">
      <c r="A5296" s="46"/>
    </row>
    <row r="5297" spans="1:1" hidden="1" x14ac:dyDescent="0.3">
      <c r="A5297" s="46"/>
    </row>
    <row r="5298" spans="1:1" hidden="1" x14ac:dyDescent="0.3">
      <c r="A5298" s="46"/>
    </row>
    <row r="5299" spans="1:1" hidden="1" x14ac:dyDescent="0.3">
      <c r="A5299" s="46"/>
    </row>
    <row r="5300" spans="1:1" hidden="1" x14ac:dyDescent="0.3">
      <c r="A5300" s="46"/>
    </row>
    <row r="5301" spans="1:1" hidden="1" x14ac:dyDescent="0.3">
      <c r="A5301" s="46"/>
    </row>
    <row r="5302" spans="1:1" hidden="1" x14ac:dyDescent="0.3">
      <c r="A5302" s="46"/>
    </row>
    <row r="5303" spans="1:1" hidden="1" x14ac:dyDescent="0.3">
      <c r="A5303" s="46"/>
    </row>
    <row r="5304" spans="1:1" hidden="1" x14ac:dyDescent="0.3">
      <c r="A5304" s="46"/>
    </row>
    <row r="5305" spans="1:1" hidden="1" x14ac:dyDescent="0.3">
      <c r="A5305" s="46"/>
    </row>
    <row r="5306" spans="1:1" hidden="1" x14ac:dyDescent="0.3">
      <c r="A5306" s="46"/>
    </row>
    <row r="5307" spans="1:1" hidden="1" x14ac:dyDescent="0.3">
      <c r="A5307" s="46"/>
    </row>
    <row r="5308" spans="1:1" hidden="1" x14ac:dyDescent="0.3">
      <c r="A5308" s="46"/>
    </row>
    <row r="5309" spans="1:1" hidden="1" x14ac:dyDescent="0.3">
      <c r="A5309" s="46"/>
    </row>
    <row r="5310" spans="1:1" hidden="1" x14ac:dyDescent="0.3">
      <c r="A5310" s="46"/>
    </row>
    <row r="5311" spans="1:1" hidden="1" x14ac:dyDescent="0.3">
      <c r="A5311" s="46"/>
    </row>
    <row r="5312" spans="1:1" hidden="1" x14ac:dyDescent="0.3">
      <c r="A5312" s="46"/>
    </row>
    <row r="5313" spans="1:11" hidden="1" x14ac:dyDescent="0.3">
      <c r="A5313" s="46"/>
    </row>
    <row r="5314" spans="1:11" hidden="1" x14ac:dyDescent="0.3">
      <c r="A5314" s="46"/>
    </row>
    <row r="5315" spans="1:11" hidden="1" x14ac:dyDescent="0.3">
      <c r="A5315" s="46"/>
    </row>
    <row r="5316" spans="1:11" hidden="1" x14ac:dyDescent="0.3">
      <c r="A5316" s="46"/>
    </row>
    <row r="5317" spans="1:11" hidden="1" x14ac:dyDescent="0.3">
      <c r="A5317" s="46"/>
    </row>
    <row r="5318" spans="1:11" hidden="1" x14ac:dyDescent="0.3">
      <c r="A5318" s="46"/>
    </row>
    <row r="5319" spans="1:11" hidden="1" x14ac:dyDescent="0.3">
      <c r="A5319" s="46"/>
    </row>
    <row r="5320" spans="1:11" hidden="1" x14ac:dyDescent="0.3">
      <c r="A5320" s="46"/>
      <c r="D5320" s="31"/>
      <c r="G5320" s="31"/>
      <c r="H5320" s="31"/>
      <c r="I5320" s="31"/>
      <c r="J5320" s="31"/>
      <c r="K5320" s="31"/>
    </row>
    <row r="5321" spans="1:11" hidden="1" x14ac:dyDescent="0.3">
      <c r="A5321" s="46"/>
    </row>
    <row r="5322" spans="1:11" hidden="1" x14ac:dyDescent="0.3">
      <c r="A5322" s="46"/>
    </row>
    <row r="5323" spans="1:11" hidden="1" x14ac:dyDescent="0.3">
      <c r="A5323" s="46"/>
    </row>
    <row r="5324" spans="1:11" hidden="1" x14ac:dyDescent="0.3">
      <c r="A5324" s="46"/>
    </row>
    <row r="5325" spans="1:11" hidden="1" x14ac:dyDescent="0.3">
      <c r="A5325" s="46"/>
    </row>
    <row r="5326" spans="1:11" hidden="1" x14ac:dyDescent="0.3">
      <c r="A5326" s="46"/>
    </row>
    <row r="5327" spans="1:11" hidden="1" x14ac:dyDescent="0.3">
      <c r="A5327" s="46"/>
    </row>
    <row r="5328" spans="1:11" hidden="1" x14ac:dyDescent="0.3">
      <c r="A5328" s="46"/>
    </row>
    <row r="5329" spans="1:1" hidden="1" x14ac:dyDescent="0.3">
      <c r="A5329" s="46"/>
    </row>
    <row r="5330" spans="1:1" hidden="1" x14ac:dyDescent="0.3">
      <c r="A5330" s="46"/>
    </row>
    <row r="5331" spans="1:1" hidden="1" x14ac:dyDescent="0.3">
      <c r="A5331" s="46"/>
    </row>
    <row r="5332" spans="1:1" hidden="1" x14ac:dyDescent="0.3">
      <c r="A5332" s="46"/>
    </row>
    <row r="5333" spans="1:1" hidden="1" x14ac:dyDescent="0.3">
      <c r="A5333" s="46"/>
    </row>
    <row r="5334" spans="1:1" hidden="1" x14ac:dyDescent="0.3">
      <c r="A5334" s="46"/>
    </row>
    <row r="5335" spans="1:1" hidden="1" x14ac:dyDescent="0.3">
      <c r="A5335" s="46"/>
    </row>
    <row r="5336" spans="1:1" hidden="1" x14ac:dyDescent="0.3">
      <c r="A5336" s="46"/>
    </row>
    <row r="5337" spans="1:1" hidden="1" x14ac:dyDescent="0.3">
      <c r="A5337" s="46"/>
    </row>
    <row r="5338" spans="1:1" hidden="1" x14ac:dyDescent="0.3">
      <c r="A5338" s="46"/>
    </row>
    <row r="5339" spans="1:1" hidden="1" x14ac:dyDescent="0.3">
      <c r="A5339" s="46"/>
    </row>
    <row r="5340" spans="1:1" hidden="1" x14ac:dyDescent="0.3">
      <c r="A5340" s="46"/>
    </row>
    <row r="5341" spans="1:1" hidden="1" x14ac:dyDescent="0.3">
      <c r="A5341" s="46"/>
    </row>
    <row r="5342" spans="1:1" hidden="1" x14ac:dyDescent="0.3">
      <c r="A5342" s="46"/>
    </row>
    <row r="5343" spans="1:1" hidden="1" x14ac:dyDescent="0.3">
      <c r="A5343" s="46"/>
    </row>
    <row r="5344" spans="1:1" hidden="1" x14ac:dyDescent="0.3">
      <c r="A5344" s="46"/>
    </row>
    <row r="5345" spans="1:1" hidden="1" x14ac:dyDescent="0.3">
      <c r="A5345" s="46"/>
    </row>
    <row r="5346" spans="1:1" hidden="1" x14ac:dyDescent="0.3">
      <c r="A5346" s="46"/>
    </row>
    <row r="5347" spans="1:1" hidden="1" x14ac:dyDescent="0.3">
      <c r="A5347" s="46"/>
    </row>
    <row r="5348" spans="1:1" hidden="1" x14ac:dyDescent="0.3">
      <c r="A5348" s="46"/>
    </row>
    <row r="5349" spans="1:1" hidden="1" x14ac:dyDescent="0.3">
      <c r="A5349" s="46"/>
    </row>
    <row r="5350" spans="1:1" hidden="1" x14ac:dyDescent="0.3">
      <c r="A5350" s="46"/>
    </row>
    <row r="5351" spans="1:1" hidden="1" x14ac:dyDescent="0.3">
      <c r="A5351" s="46"/>
    </row>
    <row r="5352" spans="1:1" hidden="1" x14ac:dyDescent="0.3">
      <c r="A5352" s="46"/>
    </row>
    <row r="5353" spans="1:1" hidden="1" x14ac:dyDescent="0.3">
      <c r="A5353" s="46"/>
    </row>
    <row r="5354" spans="1:1" hidden="1" x14ac:dyDescent="0.3">
      <c r="A5354" s="46"/>
    </row>
    <row r="5355" spans="1:1" hidden="1" x14ac:dyDescent="0.3">
      <c r="A5355" s="46"/>
    </row>
    <row r="5356" spans="1:1" hidden="1" x14ac:dyDescent="0.3">
      <c r="A5356" s="46"/>
    </row>
    <row r="5357" spans="1:1" hidden="1" x14ac:dyDescent="0.3">
      <c r="A5357" s="46"/>
    </row>
    <row r="5358" spans="1:1" hidden="1" x14ac:dyDescent="0.3">
      <c r="A5358" s="46"/>
    </row>
    <row r="5359" spans="1:1" hidden="1" x14ac:dyDescent="0.3">
      <c r="A5359" s="46"/>
    </row>
    <row r="5360" spans="1:1" hidden="1" x14ac:dyDescent="0.3">
      <c r="A5360" s="46"/>
    </row>
    <row r="5361" spans="1:11" hidden="1" x14ac:dyDescent="0.3">
      <c r="A5361" s="46"/>
    </row>
    <row r="5362" spans="1:11" hidden="1" x14ac:dyDescent="0.3">
      <c r="A5362" s="46"/>
    </row>
    <row r="5363" spans="1:11" hidden="1" x14ac:dyDescent="0.3">
      <c r="A5363" s="46"/>
    </row>
    <row r="5364" spans="1:11" hidden="1" x14ac:dyDescent="0.3">
      <c r="A5364" s="46"/>
    </row>
    <row r="5365" spans="1:11" hidden="1" x14ac:dyDescent="0.3">
      <c r="A5365" s="46"/>
    </row>
    <row r="5366" spans="1:11" hidden="1" x14ac:dyDescent="0.3">
      <c r="A5366" s="46"/>
    </row>
    <row r="5367" spans="1:11" hidden="1" x14ac:dyDescent="0.3">
      <c r="A5367" s="46"/>
    </row>
    <row r="5368" spans="1:11" hidden="1" x14ac:dyDescent="0.3">
      <c r="A5368" s="46"/>
    </row>
    <row r="5369" spans="1:11" hidden="1" x14ac:dyDescent="0.3">
      <c r="A5369" s="46"/>
    </row>
    <row r="5370" spans="1:11" hidden="1" x14ac:dyDescent="0.3">
      <c r="A5370" s="46"/>
    </row>
    <row r="5371" spans="1:11" hidden="1" x14ac:dyDescent="0.3">
      <c r="A5371" s="46"/>
    </row>
    <row r="5372" spans="1:11" hidden="1" x14ac:dyDescent="0.3">
      <c r="A5372" s="46"/>
      <c r="D5372" s="31"/>
      <c r="G5372" s="31"/>
      <c r="H5372" s="31"/>
      <c r="I5372" s="31"/>
      <c r="J5372" s="31"/>
      <c r="K5372" s="31"/>
    </row>
    <row r="5373" spans="1:11" hidden="1" x14ac:dyDescent="0.3">
      <c r="A5373" s="46"/>
    </row>
    <row r="5374" spans="1:11" hidden="1" x14ac:dyDescent="0.3">
      <c r="A5374" s="46"/>
    </row>
    <row r="5375" spans="1:11" hidden="1" x14ac:dyDescent="0.3">
      <c r="A5375" s="46"/>
    </row>
    <row r="5376" spans="1:11" hidden="1" x14ac:dyDescent="0.3">
      <c r="A5376" s="46"/>
    </row>
    <row r="5377" spans="1:1" hidden="1" x14ac:dyDescent="0.3">
      <c r="A5377" s="46"/>
    </row>
    <row r="5378" spans="1:1" hidden="1" x14ac:dyDescent="0.3">
      <c r="A5378" s="46"/>
    </row>
    <row r="5379" spans="1:1" hidden="1" x14ac:dyDescent="0.3">
      <c r="A5379" s="46"/>
    </row>
    <row r="5380" spans="1:1" hidden="1" x14ac:dyDescent="0.3">
      <c r="A5380" s="46"/>
    </row>
    <row r="5381" spans="1:1" hidden="1" x14ac:dyDescent="0.3">
      <c r="A5381" s="46"/>
    </row>
    <row r="5382" spans="1:1" hidden="1" x14ac:dyDescent="0.3">
      <c r="A5382" s="46"/>
    </row>
    <row r="5383" spans="1:1" hidden="1" x14ac:dyDescent="0.3">
      <c r="A5383" s="46"/>
    </row>
    <row r="5384" spans="1:1" hidden="1" x14ac:dyDescent="0.3">
      <c r="A5384" s="46"/>
    </row>
    <row r="5385" spans="1:1" hidden="1" x14ac:dyDescent="0.3">
      <c r="A5385" s="46"/>
    </row>
    <row r="5386" spans="1:1" hidden="1" x14ac:dyDescent="0.3">
      <c r="A5386" s="46"/>
    </row>
    <row r="5387" spans="1:1" hidden="1" x14ac:dyDescent="0.3">
      <c r="A5387" s="46"/>
    </row>
    <row r="5388" spans="1:1" hidden="1" x14ac:dyDescent="0.3">
      <c r="A5388" s="46"/>
    </row>
    <row r="5389" spans="1:1" hidden="1" x14ac:dyDescent="0.3">
      <c r="A5389" s="46"/>
    </row>
    <row r="5390" spans="1:1" hidden="1" x14ac:dyDescent="0.3">
      <c r="A5390" s="46"/>
    </row>
    <row r="5391" spans="1:1" hidden="1" x14ac:dyDescent="0.3">
      <c r="A5391" s="46"/>
    </row>
    <row r="5392" spans="1:1" hidden="1" x14ac:dyDescent="0.3">
      <c r="A5392" s="46"/>
    </row>
    <row r="5393" spans="1:1" hidden="1" x14ac:dyDescent="0.3">
      <c r="A5393" s="46"/>
    </row>
    <row r="5394" spans="1:1" hidden="1" x14ac:dyDescent="0.3">
      <c r="A5394" s="46"/>
    </row>
    <row r="5395" spans="1:1" hidden="1" x14ac:dyDescent="0.3">
      <c r="A5395" s="46"/>
    </row>
    <row r="5396" spans="1:1" hidden="1" x14ac:dyDescent="0.3">
      <c r="A5396" s="46"/>
    </row>
    <row r="5397" spans="1:1" hidden="1" x14ac:dyDescent="0.3">
      <c r="A5397" s="46"/>
    </row>
    <row r="5398" spans="1:1" hidden="1" x14ac:dyDescent="0.3">
      <c r="A5398" s="46"/>
    </row>
    <row r="5399" spans="1:1" hidden="1" x14ac:dyDescent="0.3">
      <c r="A5399" s="46"/>
    </row>
    <row r="5400" spans="1:1" hidden="1" x14ac:dyDescent="0.3">
      <c r="A5400" s="46"/>
    </row>
    <row r="5401" spans="1:1" hidden="1" x14ac:dyDescent="0.3">
      <c r="A5401" s="46"/>
    </row>
    <row r="5402" spans="1:1" hidden="1" x14ac:dyDescent="0.3">
      <c r="A5402" s="46"/>
    </row>
    <row r="5403" spans="1:1" hidden="1" x14ac:dyDescent="0.3">
      <c r="A5403" s="46"/>
    </row>
    <row r="5404" spans="1:1" hidden="1" x14ac:dyDescent="0.3">
      <c r="A5404" s="46"/>
    </row>
    <row r="5405" spans="1:1" hidden="1" x14ac:dyDescent="0.3">
      <c r="A5405" s="46"/>
    </row>
    <row r="5406" spans="1:1" hidden="1" x14ac:dyDescent="0.3">
      <c r="A5406" s="46"/>
    </row>
    <row r="5407" spans="1:1" hidden="1" x14ac:dyDescent="0.3">
      <c r="A5407" s="46"/>
    </row>
    <row r="5408" spans="1:1" hidden="1" x14ac:dyDescent="0.3">
      <c r="A5408" s="46"/>
    </row>
    <row r="5409" spans="1:1" hidden="1" x14ac:dyDescent="0.3">
      <c r="A5409" s="46"/>
    </row>
    <row r="5410" spans="1:1" hidden="1" x14ac:dyDescent="0.3">
      <c r="A5410" s="46"/>
    </row>
    <row r="5411" spans="1:1" hidden="1" x14ac:dyDescent="0.3">
      <c r="A5411" s="46"/>
    </row>
    <row r="5412" spans="1:1" hidden="1" x14ac:dyDescent="0.3">
      <c r="A5412" s="46"/>
    </row>
    <row r="5413" spans="1:1" hidden="1" x14ac:dyDescent="0.3">
      <c r="A5413" s="46"/>
    </row>
    <row r="5414" spans="1:1" hidden="1" x14ac:dyDescent="0.3">
      <c r="A5414" s="46"/>
    </row>
    <row r="5415" spans="1:1" hidden="1" x14ac:dyDescent="0.3">
      <c r="A5415" s="46"/>
    </row>
    <row r="5416" spans="1:1" hidden="1" x14ac:dyDescent="0.3">
      <c r="A5416" s="46"/>
    </row>
    <row r="5417" spans="1:1" hidden="1" x14ac:dyDescent="0.3">
      <c r="A5417" s="46"/>
    </row>
    <row r="5418" spans="1:1" hidden="1" x14ac:dyDescent="0.3">
      <c r="A5418" s="46"/>
    </row>
    <row r="5419" spans="1:1" hidden="1" x14ac:dyDescent="0.3">
      <c r="A5419" s="46"/>
    </row>
    <row r="5420" spans="1:1" hidden="1" x14ac:dyDescent="0.3">
      <c r="A5420" s="46"/>
    </row>
    <row r="5421" spans="1:1" hidden="1" x14ac:dyDescent="0.3">
      <c r="A5421" s="46"/>
    </row>
    <row r="5422" spans="1:1" hidden="1" x14ac:dyDescent="0.3">
      <c r="A5422" s="46"/>
    </row>
    <row r="5423" spans="1:1" hidden="1" x14ac:dyDescent="0.3">
      <c r="A5423" s="46"/>
    </row>
    <row r="5424" spans="1:1" hidden="1" x14ac:dyDescent="0.3">
      <c r="A5424" s="46"/>
    </row>
    <row r="5425" spans="1:1" hidden="1" x14ac:dyDescent="0.3">
      <c r="A5425" s="46"/>
    </row>
    <row r="5426" spans="1:1" hidden="1" x14ac:dyDescent="0.3">
      <c r="A5426" s="46"/>
    </row>
    <row r="5427" spans="1:1" hidden="1" x14ac:dyDescent="0.3">
      <c r="A5427" s="46"/>
    </row>
    <row r="5428" spans="1:1" hidden="1" x14ac:dyDescent="0.3">
      <c r="A5428" s="46"/>
    </row>
    <row r="5429" spans="1:1" hidden="1" x14ac:dyDescent="0.3">
      <c r="A5429" s="46"/>
    </row>
    <row r="5430" spans="1:1" hidden="1" x14ac:dyDescent="0.3">
      <c r="A5430" s="46"/>
    </row>
    <row r="5431" spans="1:1" hidden="1" x14ac:dyDescent="0.3">
      <c r="A5431" s="46"/>
    </row>
    <row r="5432" spans="1:1" hidden="1" x14ac:dyDescent="0.3">
      <c r="A5432" s="46"/>
    </row>
    <row r="5433" spans="1:1" hidden="1" x14ac:dyDescent="0.3">
      <c r="A5433" s="46"/>
    </row>
    <row r="5434" spans="1:1" hidden="1" x14ac:dyDescent="0.3">
      <c r="A5434" s="46"/>
    </row>
    <row r="5435" spans="1:1" hidden="1" x14ac:dyDescent="0.3">
      <c r="A5435" s="46"/>
    </row>
    <row r="5436" spans="1:1" hidden="1" x14ac:dyDescent="0.3">
      <c r="A5436" s="46"/>
    </row>
    <row r="5437" spans="1:1" hidden="1" x14ac:dyDescent="0.3">
      <c r="A5437" s="46"/>
    </row>
    <row r="5438" spans="1:1" hidden="1" x14ac:dyDescent="0.3">
      <c r="A5438" s="46"/>
    </row>
    <row r="5439" spans="1:1" hidden="1" x14ac:dyDescent="0.3">
      <c r="A5439" s="46"/>
    </row>
    <row r="5440" spans="1:1" hidden="1" x14ac:dyDescent="0.3">
      <c r="A5440" s="46"/>
    </row>
    <row r="5441" spans="1:1" hidden="1" x14ac:dyDescent="0.3">
      <c r="A5441" s="46"/>
    </row>
    <row r="5442" spans="1:1" hidden="1" x14ac:dyDescent="0.3">
      <c r="A5442" s="46"/>
    </row>
    <row r="5443" spans="1:1" hidden="1" x14ac:dyDescent="0.3">
      <c r="A5443" s="46"/>
    </row>
    <row r="5444" spans="1:1" hidden="1" x14ac:dyDescent="0.3">
      <c r="A5444" s="46"/>
    </row>
    <row r="5445" spans="1:1" hidden="1" x14ac:dyDescent="0.3">
      <c r="A5445" s="46"/>
    </row>
    <row r="5446" spans="1:1" hidden="1" x14ac:dyDescent="0.3">
      <c r="A5446" s="46"/>
    </row>
    <row r="5447" spans="1:1" hidden="1" x14ac:dyDescent="0.3">
      <c r="A5447" s="46"/>
    </row>
    <row r="5448" spans="1:1" hidden="1" x14ac:dyDescent="0.3">
      <c r="A5448" s="46"/>
    </row>
    <row r="5449" spans="1:1" hidden="1" x14ac:dyDescent="0.3">
      <c r="A5449" s="46"/>
    </row>
    <row r="5450" spans="1:1" hidden="1" x14ac:dyDescent="0.3">
      <c r="A5450" s="46"/>
    </row>
    <row r="5451" spans="1:1" hidden="1" x14ac:dyDescent="0.3">
      <c r="A5451" s="46"/>
    </row>
    <row r="5452" spans="1:1" hidden="1" x14ac:dyDescent="0.3">
      <c r="A5452" s="46"/>
    </row>
    <row r="5453" spans="1:1" hidden="1" x14ac:dyDescent="0.3">
      <c r="A5453" s="46"/>
    </row>
    <row r="5454" spans="1:1" hidden="1" x14ac:dyDescent="0.3">
      <c r="A5454" s="46"/>
    </row>
    <row r="5455" spans="1:1" hidden="1" x14ac:dyDescent="0.3">
      <c r="A5455" s="46"/>
    </row>
    <row r="5456" spans="1:1" hidden="1" x14ac:dyDescent="0.3">
      <c r="A5456" s="46"/>
    </row>
    <row r="5457" spans="1:1" hidden="1" x14ac:dyDescent="0.3">
      <c r="A5457" s="46"/>
    </row>
    <row r="5458" spans="1:1" hidden="1" x14ac:dyDescent="0.3">
      <c r="A5458" s="46"/>
    </row>
    <row r="5459" spans="1:1" hidden="1" x14ac:dyDescent="0.3">
      <c r="A5459" s="46"/>
    </row>
    <row r="5460" spans="1:1" hidden="1" x14ac:dyDescent="0.3">
      <c r="A5460" s="46"/>
    </row>
    <row r="5461" spans="1:1" hidden="1" x14ac:dyDescent="0.3">
      <c r="A5461" s="46"/>
    </row>
    <row r="5462" spans="1:1" hidden="1" x14ac:dyDescent="0.3">
      <c r="A5462" s="46"/>
    </row>
    <row r="5463" spans="1:1" hidden="1" x14ac:dyDescent="0.3">
      <c r="A5463" s="46"/>
    </row>
    <row r="5464" spans="1:1" hidden="1" x14ac:dyDescent="0.3">
      <c r="A5464" s="46"/>
    </row>
    <row r="5465" spans="1:1" hidden="1" x14ac:dyDescent="0.3">
      <c r="A5465" s="46"/>
    </row>
    <row r="5466" spans="1:1" hidden="1" x14ac:dyDescent="0.3">
      <c r="A5466" s="46"/>
    </row>
    <row r="5467" spans="1:1" hidden="1" x14ac:dyDescent="0.3">
      <c r="A5467" s="46"/>
    </row>
    <row r="5468" spans="1:1" hidden="1" x14ac:dyDescent="0.3">
      <c r="A5468" s="46"/>
    </row>
    <row r="5469" spans="1:1" hidden="1" x14ac:dyDescent="0.3">
      <c r="A5469" s="46"/>
    </row>
    <row r="5470" spans="1:1" hidden="1" x14ac:dyDescent="0.3">
      <c r="A5470" s="46"/>
    </row>
    <row r="5471" spans="1:1" hidden="1" x14ac:dyDescent="0.3">
      <c r="A5471" s="46"/>
    </row>
    <row r="5472" spans="1:1" hidden="1" x14ac:dyDescent="0.3">
      <c r="A5472" s="46"/>
    </row>
    <row r="5473" spans="1:1" hidden="1" x14ac:dyDescent="0.3">
      <c r="A5473" s="46"/>
    </row>
    <row r="5474" spans="1:1" hidden="1" x14ac:dyDescent="0.3">
      <c r="A5474" s="46"/>
    </row>
    <row r="5475" spans="1:1" hidden="1" x14ac:dyDescent="0.3">
      <c r="A5475" s="46"/>
    </row>
    <row r="5476" spans="1:1" hidden="1" x14ac:dyDescent="0.3">
      <c r="A5476" s="46"/>
    </row>
    <row r="5477" spans="1:1" hidden="1" x14ac:dyDescent="0.3">
      <c r="A5477" s="46"/>
    </row>
    <row r="5478" spans="1:1" hidden="1" x14ac:dyDescent="0.3">
      <c r="A5478" s="46"/>
    </row>
    <row r="5479" spans="1:1" hidden="1" x14ac:dyDescent="0.3">
      <c r="A5479" s="46"/>
    </row>
    <row r="5480" spans="1:1" hidden="1" x14ac:dyDescent="0.3">
      <c r="A5480" s="46"/>
    </row>
    <row r="5481" spans="1:1" hidden="1" x14ac:dyDescent="0.3">
      <c r="A5481" s="46"/>
    </row>
    <row r="5482" spans="1:1" hidden="1" x14ac:dyDescent="0.3">
      <c r="A5482" s="46"/>
    </row>
    <row r="5483" spans="1:1" hidden="1" x14ac:dyDescent="0.3">
      <c r="A5483" s="46"/>
    </row>
    <row r="5484" spans="1:1" hidden="1" x14ac:dyDescent="0.3">
      <c r="A5484" s="46"/>
    </row>
    <row r="5485" spans="1:1" hidden="1" x14ac:dyDescent="0.3">
      <c r="A5485" s="46"/>
    </row>
    <row r="5486" spans="1:1" hidden="1" x14ac:dyDescent="0.3">
      <c r="A5486" s="46"/>
    </row>
    <row r="5487" spans="1:1" hidden="1" x14ac:dyDescent="0.3">
      <c r="A5487" s="46"/>
    </row>
    <row r="5488" spans="1:1" hidden="1" x14ac:dyDescent="0.3">
      <c r="A5488" s="46"/>
    </row>
    <row r="5489" spans="1:1" hidden="1" x14ac:dyDescent="0.3">
      <c r="A5489" s="46"/>
    </row>
    <row r="5490" spans="1:1" hidden="1" x14ac:dyDescent="0.3">
      <c r="A5490" s="46"/>
    </row>
    <row r="5491" spans="1:1" hidden="1" x14ac:dyDescent="0.3">
      <c r="A5491" s="46"/>
    </row>
    <row r="5492" spans="1:1" hidden="1" x14ac:dyDescent="0.3">
      <c r="A5492" s="46"/>
    </row>
    <row r="5493" spans="1:1" hidden="1" x14ac:dyDescent="0.3">
      <c r="A5493" s="46"/>
    </row>
    <row r="5494" spans="1:1" hidden="1" x14ac:dyDescent="0.3">
      <c r="A5494" s="46"/>
    </row>
    <row r="5495" spans="1:1" hidden="1" x14ac:dyDescent="0.3">
      <c r="A5495" s="46"/>
    </row>
    <row r="5496" spans="1:1" hidden="1" x14ac:dyDescent="0.3">
      <c r="A5496" s="46"/>
    </row>
    <row r="5497" spans="1:1" hidden="1" x14ac:dyDescent="0.3">
      <c r="A5497" s="46"/>
    </row>
    <row r="5498" spans="1:1" hidden="1" x14ac:dyDescent="0.3">
      <c r="A5498" s="46"/>
    </row>
    <row r="5499" spans="1:1" hidden="1" x14ac:dyDescent="0.3">
      <c r="A5499" s="46"/>
    </row>
    <row r="5500" spans="1:1" hidden="1" x14ac:dyDescent="0.3">
      <c r="A5500" s="46"/>
    </row>
    <row r="5501" spans="1:1" hidden="1" x14ac:dyDescent="0.3">
      <c r="A5501" s="46"/>
    </row>
    <row r="5502" spans="1:1" hidden="1" x14ac:dyDescent="0.3">
      <c r="A5502" s="46"/>
    </row>
    <row r="5503" spans="1:1" hidden="1" x14ac:dyDescent="0.3">
      <c r="A5503" s="46"/>
    </row>
    <row r="5504" spans="1:1" hidden="1" x14ac:dyDescent="0.3">
      <c r="A5504" s="46"/>
    </row>
    <row r="5505" spans="1:1" hidden="1" x14ac:dyDescent="0.3">
      <c r="A5505" s="46"/>
    </row>
    <row r="5506" spans="1:1" hidden="1" x14ac:dyDescent="0.3">
      <c r="A5506" s="46"/>
    </row>
    <row r="5507" spans="1:1" hidden="1" x14ac:dyDescent="0.3">
      <c r="A5507" s="46"/>
    </row>
    <row r="5508" spans="1:1" hidden="1" x14ac:dyDescent="0.3">
      <c r="A5508" s="46"/>
    </row>
    <row r="5509" spans="1:1" hidden="1" x14ac:dyDescent="0.3">
      <c r="A5509" s="46"/>
    </row>
    <row r="5510" spans="1:1" hidden="1" x14ac:dyDescent="0.3">
      <c r="A5510" s="46"/>
    </row>
    <row r="5511" spans="1:1" hidden="1" x14ac:dyDescent="0.3">
      <c r="A5511" s="46"/>
    </row>
    <row r="5512" spans="1:1" hidden="1" x14ac:dyDescent="0.3">
      <c r="A5512" s="46"/>
    </row>
    <row r="5513" spans="1:1" hidden="1" x14ac:dyDescent="0.3">
      <c r="A5513" s="46"/>
    </row>
    <row r="5514" spans="1:1" hidden="1" x14ac:dyDescent="0.3">
      <c r="A5514" s="46"/>
    </row>
    <row r="5515" spans="1:1" hidden="1" x14ac:dyDescent="0.3">
      <c r="A5515" s="46"/>
    </row>
    <row r="5516" spans="1:1" hidden="1" x14ac:dyDescent="0.3">
      <c r="A5516" s="46"/>
    </row>
    <row r="5517" spans="1:1" hidden="1" x14ac:dyDescent="0.3">
      <c r="A5517" s="46"/>
    </row>
    <row r="5518" spans="1:1" hidden="1" x14ac:dyDescent="0.3">
      <c r="A5518" s="46"/>
    </row>
    <row r="5519" spans="1:1" hidden="1" x14ac:dyDescent="0.3">
      <c r="A5519" s="46"/>
    </row>
    <row r="5520" spans="1:1" hidden="1" x14ac:dyDescent="0.3">
      <c r="A5520" s="46"/>
    </row>
    <row r="5521" spans="1:1" hidden="1" x14ac:dyDescent="0.3">
      <c r="A5521" s="46"/>
    </row>
    <row r="5522" spans="1:1" hidden="1" x14ac:dyDescent="0.3">
      <c r="A5522" s="46"/>
    </row>
    <row r="5523" spans="1:1" hidden="1" x14ac:dyDescent="0.3">
      <c r="A5523" s="46"/>
    </row>
    <row r="5524" spans="1:1" hidden="1" x14ac:dyDescent="0.3">
      <c r="A5524" s="46"/>
    </row>
    <row r="5525" spans="1:1" hidden="1" x14ac:dyDescent="0.3">
      <c r="A5525" s="46"/>
    </row>
    <row r="5526" spans="1:1" hidden="1" x14ac:dyDescent="0.3">
      <c r="A5526" s="46"/>
    </row>
    <row r="5527" spans="1:1" hidden="1" x14ac:dyDescent="0.3">
      <c r="A5527" s="46"/>
    </row>
    <row r="5528" spans="1:1" hidden="1" x14ac:dyDescent="0.3">
      <c r="A5528" s="46"/>
    </row>
    <row r="5529" spans="1:1" hidden="1" x14ac:dyDescent="0.3">
      <c r="A5529" s="46"/>
    </row>
    <row r="5530" spans="1:1" hidden="1" x14ac:dyDescent="0.3">
      <c r="A5530" s="46"/>
    </row>
    <row r="5531" spans="1:1" hidden="1" x14ac:dyDescent="0.3">
      <c r="A5531" s="46"/>
    </row>
    <row r="5532" spans="1:1" hidden="1" x14ac:dyDescent="0.3">
      <c r="A5532" s="46"/>
    </row>
    <row r="5533" spans="1:1" hidden="1" x14ac:dyDescent="0.3">
      <c r="A5533" s="46"/>
    </row>
    <row r="5534" spans="1:1" hidden="1" x14ac:dyDescent="0.3">
      <c r="A5534" s="46"/>
    </row>
    <row r="5535" spans="1:1" hidden="1" x14ac:dyDescent="0.3">
      <c r="A5535" s="46"/>
    </row>
    <row r="5536" spans="1:1" hidden="1" x14ac:dyDescent="0.3">
      <c r="A5536" s="46"/>
    </row>
    <row r="5537" spans="1:1" hidden="1" x14ac:dyDescent="0.3">
      <c r="A5537" s="46"/>
    </row>
    <row r="5538" spans="1:1" hidden="1" x14ac:dyDescent="0.3">
      <c r="A5538" s="46"/>
    </row>
    <row r="5539" spans="1:1" hidden="1" x14ac:dyDescent="0.3">
      <c r="A5539" s="46"/>
    </row>
    <row r="5540" spans="1:1" hidden="1" x14ac:dyDescent="0.3">
      <c r="A5540" s="46"/>
    </row>
    <row r="5541" spans="1:1" hidden="1" x14ac:dyDescent="0.3">
      <c r="A5541" s="46"/>
    </row>
    <row r="5542" spans="1:1" hidden="1" x14ac:dyDescent="0.3">
      <c r="A5542" s="46"/>
    </row>
    <row r="5543" spans="1:1" hidden="1" x14ac:dyDescent="0.3">
      <c r="A5543" s="46"/>
    </row>
    <row r="5544" spans="1:1" hidden="1" x14ac:dyDescent="0.3">
      <c r="A5544" s="46"/>
    </row>
    <row r="5545" spans="1:1" hidden="1" x14ac:dyDescent="0.3">
      <c r="A5545" s="46"/>
    </row>
    <row r="5546" spans="1:1" hidden="1" x14ac:dyDescent="0.3">
      <c r="A5546" s="46"/>
    </row>
    <row r="5547" spans="1:1" hidden="1" x14ac:dyDescent="0.3">
      <c r="A5547" s="46"/>
    </row>
    <row r="5548" spans="1:1" hidden="1" x14ac:dyDescent="0.3">
      <c r="A5548" s="46"/>
    </row>
    <row r="5549" spans="1:1" hidden="1" x14ac:dyDescent="0.3">
      <c r="A5549" s="46"/>
    </row>
    <row r="5550" spans="1:1" hidden="1" x14ac:dyDescent="0.3">
      <c r="A5550" s="46"/>
    </row>
    <row r="5551" spans="1:1" hidden="1" x14ac:dyDescent="0.3">
      <c r="A5551" s="46"/>
    </row>
    <row r="5552" spans="1:1" hidden="1" x14ac:dyDescent="0.3">
      <c r="A5552" s="46"/>
    </row>
    <row r="5553" spans="1:1" hidden="1" x14ac:dyDescent="0.3">
      <c r="A5553" s="46"/>
    </row>
    <row r="5554" spans="1:1" hidden="1" x14ac:dyDescent="0.3">
      <c r="A5554" s="46"/>
    </row>
    <row r="5555" spans="1:1" hidden="1" x14ac:dyDescent="0.3">
      <c r="A5555" s="46"/>
    </row>
    <row r="5556" spans="1:1" hidden="1" x14ac:dyDescent="0.3">
      <c r="A5556" s="46"/>
    </row>
    <row r="5557" spans="1:1" hidden="1" x14ac:dyDescent="0.3">
      <c r="A5557" s="46"/>
    </row>
    <row r="5558" spans="1:1" hidden="1" x14ac:dyDescent="0.3">
      <c r="A5558" s="46"/>
    </row>
    <row r="5559" spans="1:1" hidden="1" x14ac:dyDescent="0.3">
      <c r="A5559" s="46"/>
    </row>
    <row r="5560" spans="1:1" hidden="1" x14ac:dyDescent="0.3">
      <c r="A5560" s="46"/>
    </row>
    <row r="5561" spans="1:1" hidden="1" x14ac:dyDescent="0.3">
      <c r="A5561" s="46"/>
    </row>
    <row r="5562" spans="1:1" hidden="1" x14ac:dyDescent="0.3">
      <c r="A5562" s="46"/>
    </row>
    <row r="5563" spans="1:1" hidden="1" x14ac:dyDescent="0.3">
      <c r="A5563" s="46"/>
    </row>
    <row r="5564" spans="1:1" hidden="1" x14ac:dyDescent="0.3">
      <c r="A5564" s="46"/>
    </row>
    <row r="5565" spans="1:1" hidden="1" x14ac:dyDescent="0.3">
      <c r="A5565" s="46"/>
    </row>
    <row r="5566" spans="1:1" hidden="1" x14ac:dyDescent="0.3">
      <c r="A5566" s="46"/>
    </row>
    <row r="5567" spans="1:1" hidden="1" x14ac:dyDescent="0.3">
      <c r="A5567" s="46"/>
    </row>
    <row r="5568" spans="1:1" hidden="1" x14ac:dyDescent="0.3">
      <c r="A5568" s="46"/>
    </row>
    <row r="5569" spans="1:1" hidden="1" x14ac:dyDescent="0.3">
      <c r="A5569" s="46"/>
    </row>
    <row r="5570" spans="1:1" hidden="1" x14ac:dyDescent="0.3">
      <c r="A5570" s="46"/>
    </row>
    <row r="5571" spans="1:1" hidden="1" x14ac:dyDescent="0.3">
      <c r="A5571" s="46"/>
    </row>
    <row r="5572" spans="1:1" hidden="1" x14ac:dyDescent="0.3">
      <c r="A5572" s="46"/>
    </row>
    <row r="5573" spans="1:1" hidden="1" x14ac:dyDescent="0.3">
      <c r="A5573" s="46"/>
    </row>
    <row r="5574" spans="1:1" hidden="1" x14ac:dyDescent="0.3">
      <c r="A5574" s="46"/>
    </row>
    <row r="5575" spans="1:1" hidden="1" x14ac:dyDescent="0.3">
      <c r="A5575" s="46"/>
    </row>
    <row r="5576" spans="1:1" hidden="1" x14ac:dyDescent="0.3">
      <c r="A5576" s="46"/>
    </row>
    <row r="5577" spans="1:1" hidden="1" x14ac:dyDescent="0.3">
      <c r="A5577" s="46"/>
    </row>
    <row r="5578" spans="1:1" hidden="1" x14ac:dyDescent="0.3">
      <c r="A5578" s="46"/>
    </row>
    <row r="5579" spans="1:1" hidden="1" x14ac:dyDescent="0.3">
      <c r="A5579" s="46"/>
    </row>
    <row r="5580" spans="1:1" hidden="1" x14ac:dyDescent="0.3">
      <c r="A5580" s="46"/>
    </row>
    <row r="5581" spans="1:1" hidden="1" x14ac:dyDescent="0.3">
      <c r="A5581" s="46"/>
    </row>
    <row r="5582" spans="1:1" hidden="1" x14ac:dyDescent="0.3">
      <c r="A5582" s="46"/>
    </row>
    <row r="5583" spans="1:1" hidden="1" x14ac:dyDescent="0.3">
      <c r="A5583" s="46"/>
    </row>
    <row r="5584" spans="1:1" hidden="1" x14ac:dyDescent="0.3">
      <c r="A5584" s="46"/>
    </row>
    <row r="5585" spans="1:1" hidden="1" x14ac:dyDescent="0.3">
      <c r="A5585" s="46"/>
    </row>
    <row r="5586" spans="1:1" hidden="1" x14ac:dyDescent="0.3">
      <c r="A5586" s="46"/>
    </row>
    <row r="5587" spans="1:1" hidden="1" x14ac:dyDescent="0.3">
      <c r="A5587" s="46"/>
    </row>
    <row r="5588" spans="1:1" hidden="1" x14ac:dyDescent="0.3">
      <c r="A5588" s="46"/>
    </row>
    <row r="5589" spans="1:1" hidden="1" x14ac:dyDescent="0.3">
      <c r="A5589" s="46"/>
    </row>
    <row r="5590" spans="1:1" hidden="1" x14ac:dyDescent="0.3">
      <c r="A5590" s="46"/>
    </row>
    <row r="5591" spans="1:1" hidden="1" x14ac:dyDescent="0.3">
      <c r="A5591" s="46"/>
    </row>
    <row r="5592" spans="1:1" hidden="1" x14ac:dyDescent="0.3">
      <c r="A5592" s="46"/>
    </row>
    <row r="5593" spans="1:1" hidden="1" x14ac:dyDescent="0.3">
      <c r="A5593" s="46"/>
    </row>
    <row r="5594" spans="1:1" hidden="1" x14ac:dyDescent="0.3">
      <c r="A5594" s="46"/>
    </row>
    <row r="5595" spans="1:1" hidden="1" x14ac:dyDescent="0.3">
      <c r="A5595" s="46"/>
    </row>
    <row r="5596" spans="1:1" hidden="1" x14ac:dyDescent="0.3">
      <c r="A5596" s="46"/>
    </row>
    <row r="5597" spans="1:1" hidden="1" x14ac:dyDescent="0.3">
      <c r="A5597" s="46"/>
    </row>
    <row r="5598" spans="1:1" hidden="1" x14ac:dyDescent="0.3">
      <c r="A5598" s="46"/>
    </row>
    <row r="5599" spans="1:1" hidden="1" x14ac:dyDescent="0.3">
      <c r="A5599" s="46"/>
    </row>
    <row r="5600" spans="1:1" hidden="1" x14ac:dyDescent="0.3">
      <c r="A5600" s="46"/>
    </row>
    <row r="5601" spans="1:1" hidden="1" x14ac:dyDescent="0.3">
      <c r="A5601" s="46"/>
    </row>
    <row r="5602" spans="1:1" hidden="1" x14ac:dyDescent="0.3">
      <c r="A5602" s="46"/>
    </row>
    <row r="5603" spans="1:1" hidden="1" x14ac:dyDescent="0.3">
      <c r="A5603" s="46"/>
    </row>
    <row r="5604" spans="1:1" hidden="1" x14ac:dyDescent="0.3">
      <c r="A5604" s="46"/>
    </row>
    <row r="5605" spans="1:1" hidden="1" x14ac:dyDescent="0.3">
      <c r="A5605" s="46"/>
    </row>
    <row r="5606" spans="1:1" hidden="1" x14ac:dyDescent="0.3">
      <c r="A5606" s="46"/>
    </row>
    <row r="5607" spans="1:1" hidden="1" x14ac:dyDescent="0.3">
      <c r="A5607" s="46"/>
    </row>
    <row r="5608" spans="1:1" hidden="1" x14ac:dyDescent="0.3">
      <c r="A5608" s="46"/>
    </row>
    <row r="5609" spans="1:1" hidden="1" x14ac:dyDescent="0.3">
      <c r="A5609" s="46"/>
    </row>
    <row r="5610" spans="1:1" hidden="1" x14ac:dyDescent="0.3">
      <c r="A5610" s="46"/>
    </row>
    <row r="5611" spans="1:1" hidden="1" x14ac:dyDescent="0.3">
      <c r="A5611" s="46"/>
    </row>
    <row r="5612" spans="1:1" hidden="1" x14ac:dyDescent="0.3">
      <c r="A5612" s="46"/>
    </row>
    <row r="5613" spans="1:1" hidden="1" x14ac:dyDescent="0.3">
      <c r="A5613" s="46"/>
    </row>
    <row r="5614" spans="1:1" hidden="1" x14ac:dyDescent="0.3">
      <c r="A5614" s="46"/>
    </row>
    <row r="5615" spans="1:1" hidden="1" x14ac:dyDescent="0.3">
      <c r="A5615" s="46"/>
    </row>
    <row r="5616" spans="1:1" hidden="1" x14ac:dyDescent="0.3">
      <c r="A5616" s="46"/>
    </row>
    <row r="5617" spans="1:1" hidden="1" x14ac:dyDescent="0.3">
      <c r="A5617" s="46"/>
    </row>
    <row r="5618" spans="1:1" hidden="1" x14ac:dyDescent="0.3">
      <c r="A5618" s="46"/>
    </row>
    <row r="5619" spans="1:1" hidden="1" x14ac:dyDescent="0.3">
      <c r="A5619" s="46"/>
    </row>
    <row r="5620" spans="1:1" hidden="1" x14ac:dyDescent="0.3">
      <c r="A5620" s="46"/>
    </row>
    <row r="5621" spans="1:1" hidden="1" x14ac:dyDescent="0.3">
      <c r="A5621" s="46"/>
    </row>
    <row r="5622" spans="1:1" hidden="1" x14ac:dyDescent="0.3">
      <c r="A5622" s="46"/>
    </row>
    <row r="5623" spans="1:1" hidden="1" x14ac:dyDescent="0.3">
      <c r="A5623" s="46"/>
    </row>
    <row r="5624" spans="1:1" hidden="1" x14ac:dyDescent="0.3">
      <c r="A5624" s="46"/>
    </row>
    <row r="5625" spans="1:1" hidden="1" x14ac:dyDescent="0.3">
      <c r="A5625" s="46"/>
    </row>
    <row r="5626" spans="1:1" hidden="1" x14ac:dyDescent="0.3">
      <c r="A5626" s="46"/>
    </row>
    <row r="5627" spans="1:1" hidden="1" x14ac:dyDescent="0.3">
      <c r="A5627" s="46"/>
    </row>
    <row r="5628" spans="1:1" hidden="1" x14ac:dyDescent="0.3">
      <c r="A5628" s="46"/>
    </row>
    <row r="5629" spans="1:1" hidden="1" x14ac:dyDescent="0.3">
      <c r="A5629" s="46"/>
    </row>
    <row r="5630" spans="1:1" hidden="1" x14ac:dyDescent="0.3">
      <c r="A5630" s="46"/>
    </row>
    <row r="5631" spans="1:1" hidden="1" x14ac:dyDescent="0.3">
      <c r="A5631" s="46"/>
    </row>
    <row r="5632" spans="1:1" hidden="1" x14ac:dyDescent="0.3">
      <c r="A5632" s="46"/>
    </row>
    <row r="5633" spans="1:1" hidden="1" x14ac:dyDescent="0.3">
      <c r="A5633" s="46"/>
    </row>
    <row r="5634" spans="1:1" hidden="1" x14ac:dyDescent="0.3">
      <c r="A5634" s="46"/>
    </row>
    <row r="5635" spans="1:1" hidden="1" x14ac:dyDescent="0.3">
      <c r="A5635" s="46"/>
    </row>
    <row r="5636" spans="1:1" hidden="1" x14ac:dyDescent="0.3">
      <c r="A5636" s="46"/>
    </row>
    <row r="5637" spans="1:1" hidden="1" x14ac:dyDescent="0.3">
      <c r="A5637" s="46"/>
    </row>
    <row r="5638" spans="1:1" hidden="1" x14ac:dyDescent="0.3">
      <c r="A5638" s="46"/>
    </row>
    <row r="5639" spans="1:1" hidden="1" x14ac:dyDescent="0.3">
      <c r="A5639" s="46"/>
    </row>
    <row r="5640" spans="1:1" hidden="1" x14ac:dyDescent="0.3">
      <c r="A5640" s="46"/>
    </row>
    <row r="5641" spans="1:1" hidden="1" x14ac:dyDescent="0.3">
      <c r="A5641" s="46"/>
    </row>
    <row r="5642" spans="1:1" hidden="1" x14ac:dyDescent="0.3">
      <c r="A5642" s="46"/>
    </row>
    <row r="5643" spans="1:1" hidden="1" x14ac:dyDescent="0.3">
      <c r="A5643" s="46"/>
    </row>
    <row r="5644" spans="1:1" hidden="1" x14ac:dyDescent="0.3">
      <c r="A5644" s="46"/>
    </row>
    <row r="5645" spans="1:1" hidden="1" x14ac:dyDescent="0.3">
      <c r="A5645" s="46"/>
    </row>
    <row r="5646" spans="1:1" hidden="1" x14ac:dyDescent="0.3">
      <c r="A5646" s="46"/>
    </row>
    <row r="5647" spans="1:1" hidden="1" x14ac:dyDescent="0.3">
      <c r="A5647" s="46"/>
    </row>
    <row r="5648" spans="1:1" hidden="1" x14ac:dyDescent="0.3">
      <c r="A5648" s="46"/>
    </row>
    <row r="5649" spans="1:1" hidden="1" x14ac:dyDescent="0.3">
      <c r="A5649" s="46"/>
    </row>
    <row r="5650" spans="1:1" hidden="1" x14ac:dyDescent="0.3">
      <c r="A5650" s="46"/>
    </row>
    <row r="5651" spans="1:1" hidden="1" x14ac:dyDescent="0.3">
      <c r="A5651" s="46"/>
    </row>
    <row r="5652" spans="1:1" hidden="1" x14ac:dyDescent="0.3">
      <c r="A5652" s="46"/>
    </row>
    <row r="5653" spans="1:1" hidden="1" x14ac:dyDescent="0.3">
      <c r="A5653" s="46"/>
    </row>
    <row r="5654" spans="1:1" hidden="1" x14ac:dyDescent="0.3">
      <c r="A5654" s="46"/>
    </row>
    <row r="5655" spans="1:1" hidden="1" x14ac:dyDescent="0.3">
      <c r="A5655" s="46"/>
    </row>
    <row r="5656" spans="1:1" hidden="1" x14ac:dyDescent="0.3">
      <c r="A5656" s="46"/>
    </row>
    <row r="5657" spans="1:1" hidden="1" x14ac:dyDescent="0.3">
      <c r="A5657" s="46"/>
    </row>
    <row r="5658" spans="1:1" hidden="1" x14ac:dyDescent="0.3">
      <c r="A5658" s="46"/>
    </row>
    <row r="5659" spans="1:1" hidden="1" x14ac:dyDescent="0.3">
      <c r="A5659" s="46"/>
    </row>
    <row r="5660" spans="1:1" hidden="1" x14ac:dyDescent="0.3">
      <c r="A5660" s="46"/>
    </row>
    <row r="5661" spans="1:1" hidden="1" x14ac:dyDescent="0.3">
      <c r="A5661" s="46"/>
    </row>
    <row r="5662" spans="1:1" hidden="1" x14ac:dyDescent="0.3">
      <c r="A5662" s="46"/>
    </row>
    <row r="5663" spans="1:1" hidden="1" x14ac:dyDescent="0.3">
      <c r="A5663" s="46"/>
    </row>
    <row r="5664" spans="1:1" hidden="1" x14ac:dyDescent="0.3">
      <c r="A5664" s="46"/>
    </row>
    <row r="5665" spans="1:1" hidden="1" x14ac:dyDescent="0.3">
      <c r="A5665" s="46"/>
    </row>
    <row r="5666" spans="1:1" hidden="1" x14ac:dyDescent="0.3">
      <c r="A5666" s="46"/>
    </row>
    <row r="5667" spans="1:1" hidden="1" x14ac:dyDescent="0.3">
      <c r="A5667" s="46"/>
    </row>
    <row r="5668" spans="1:1" hidden="1" x14ac:dyDescent="0.3">
      <c r="A5668" s="46"/>
    </row>
    <row r="5669" spans="1:1" hidden="1" x14ac:dyDescent="0.3">
      <c r="A5669" s="46"/>
    </row>
    <row r="5670" spans="1:1" hidden="1" x14ac:dyDescent="0.3">
      <c r="A5670" s="46"/>
    </row>
    <row r="5671" spans="1:1" hidden="1" x14ac:dyDescent="0.3">
      <c r="A5671" s="46"/>
    </row>
    <row r="5672" spans="1:1" hidden="1" x14ac:dyDescent="0.3">
      <c r="A5672" s="46"/>
    </row>
    <row r="5673" spans="1:1" hidden="1" x14ac:dyDescent="0.3">
      <c r="A5673" s="46"/>
    </row>
    <row r="5674" spans="1:1" hidden="1" x14ac:dyDescent="0.3">
      <c r="A5674" s="46"/>
    </row>
    <row r="5675" spans="1:1" hidden="1" x14ac:dyDescent="0.3">
      <c r="A5675" s="46"/>
    </row>
    <row r="5676" spans="1:1" hidden="1" x14ac:dyDescent="0.3">
      <c r="A5676" s="46"/>
    </row>
    <row r="5677" spans="1:1" hidden="1" x14ac:dyDescent="0.3">
      <c r="A5677" s="46"/>
    </row>
    <row r="5678" spans="1:1" hidden="1" x14ac:dyDescent="0.3">
      <c r="A5678" s="46"/>
    </row>
    <row r="5679" spans="1:1" hidden="1" x14ac:dyDescent="0.3">
      <c r="A5679" s="46"/>
    </row>
    <row r="5680" spans="1:1" hidden="1" x14ac:dyDescent="0.3">
      <c r="A5680" s="46"/>
    </row>
    <row r="5681" spans="1:1" hidden="1" x14ac:dyDescent="0.3">
      <c r="A5681" s="46"/>
    </row>
    <row r="5682" spans="1:1" hidden="1" x14ac:dyDescent="0.3">
      <c r="A5682" s="46"/>
    </row>
    <row r="5683" spans="1:1" hidden="1" x14ac:dyDescent="0.3">
      <c r="A5683" s="46"/>
    </row>
    <row r="5684" spans="1:1" hidden="1" x14ac:dyDescent="0.3">
      <c r="A5684" s="46"/>
    </row>
    <row r="5685" spans="1:1" hidden="1" x14ac:dyDescent="0.3">
      <c r="A5685" s="46"/>
    </row>
    <row r="5686" spans="1:1" hidden="1" x14ac:dyDescent="0.3">
      <c r="A5686" s="46"/>
    </row>
    <row r="5687" spans="1:1" hidden="1" x14ac:dyDescent="0.3">
      <c r="A5687" s="46"/>
    </row>
    <row r="5688" spans="1:1" hidden="1" x14ac:dyDescent="0.3">
      <c r="A5688" s="46"/>
    </row>
    <row r="5689" spans="1:1" hidden="1" x14ac:dyDescent="0.3">
      <c r="A5689" s="46"/>
    </row>
    <row r="5690" spans="1:1" hidden="1" x14ac:dyDescent="0.3">
      <c r="A5690" s="46"/>
    </row>
    <row r="5691" spans="1:1" hidden="1" x14ac:dyDescent="0.3">
      <c r="A5691" s="46"/>
    </row>
    <row r="5692" spans="1:1" hidden="1" x14ac:dyDescent="0.3">
      <c r="A5692" s="46"/>
    </row>
    <row r="5693" spans="1:1" hidden="1" x14ac:dyDescent="0.3">
      <c r="A5693" s="46"/>
    </row>
    <row r="5694" spans="1:1" hidden="1" x14ac:dyDescent="0.3">
      <c r="A5694" s="46"/>
    </row>
    <row r="5695" spans="1:1" hidden="1" x14ac:dyDescent="0.3">
      <c r="A5695" s="46"/>
    </row>
    <row r="5696" spans="1:1" hidden="1" x14ac:dyDescent="0.3">
      <c r="A5696" s="46"/>
    </row>
    <row r="5697" spans="1:1" hidden="1" x14ac:dyDescent="0.3">
      <c r="A5697" s="46"/>
    </row>
    <row r="5698" spans="1:1" hidden="1" x14ac:dyDescent="0.3">
      <c r="A5698" s="46"/>
    </row>
    <row r="5699" spans="1:1" hidden="1" x14ac:dyDescent="0.3">
      <c r="A5699" s="46"/>
    </row>
    <row r="5700" spans="1:1" hidden="1" x14ac:dyDescent="0.3">
      <c r="A5700" s="46"/>
    </row>
    <row r="5701" spans="1:1" hidden="1" x14ac:dyDescent="0.3">
      <c r="A5701" s="46"/>
    </row>
    <row r="5702" spans="1:1" hidden="1" x14ac:dyDescent="0.3">
      <c r="A5702" s="46"/>
    </row>
    <row r="5703" spans="1:1" hidden="1" x14ac:dyDescent="0.3">
      <c r="A5703" s="46"/>
    </row>
    <row r="5704" spans="1:1" hidden="1" x14ac:dyDescent="0.3">
      <c r="A5704" s="46"/>
    </row>
    <row r="5705" spans="1:1" hidden="1" x14ac:dyDescent="0.3">
      <c r="A5705" s="46"/>
    </row>
    <row r="5706" spans="1:1" hidden="1" x14ac:dyDescent="0.3">
      <c r="A5706" s="46"/>
    </row>
    <row r="5707" spans="1:1" hidden="1" x14ac:dyDescent="0.3">
      <c r="A5707" s="46"/>
    </row>
    <row r="5708" spans="1:1" hidden="1" x14ac:dyDescent="0.3">
      <c r="A5708" s="46"/>
    </row>
    <row r="5709" spans="1:1" hidden="1" x14ac:dyDescent="0.3">
      <c r="A5709" s="46"/>
    </row>
    <row r="5710" spans="1:1" hidden="1" x14ac:dyDescent="0.3">
      <c r="A5710" s="46"/>
    </row>
    <row r="5711" spans="1:1" hidden="1" x14ac:dyDescent="0.3">
      <c r="A5711" s="46"/>
    </row>
    <row r="5712" spans="1:1" hidden="1" x14ac:dyDescent="0.3">
      <c r="A5712" s="46"/>
    </row>
    <row r="5713" spans="1:1" hidden="1" x14ac:dyDescent="0.3">
      <c r="A5713" s="46"/>
    </row>
    <row r="5714" spans="1:1" hidden="1" x14ac:dyDescent="0.3">
      <c r="A5714" s="46"/>
    </row>
    <row r="5715" spans="1:1" hidden="1" x14ac:dyDescent="0.3">
      <c r="A5715" s="46"/>
    </row>
    <row r="5716" spans="1:1" hidden="1" x14ac:dyDescent="0.3">
      <c r="A5716" s="46"/>
    </row>
    <row r="5717" spans="1:1" hidden="1" x14ac:dyDescent="0.3">
      <c r="A5717" s="46"/>
    </row>
    <row r="5718" spans="1:1" hidden="1" x14ac:dyDescent="0.3">
      <c r="A5718" s="46"/>
    </row>
    <row r="5719" spans="1:1" hidden="1" x14ac:dyDescent="0.3">
      <c r="A5719" s="46"/>
    </row>
    <row r="5720" spans="1:1" hidden="1" x14ac:dyDescent="0.3">
      <c r="A5720" s="46"/>
    </row>
    <row r="5721" spans="1:1" hidden="1" x14ac:dyDescent="0.3">
      <c r="A5721" s="46"/>
    </row>
    <row r="5722" spans="1:1" hidden="1" x14ac:dyDescent="0.3">
      <c r="A5722" s="46"/>
    </row>
    <row r="5723" spans="1:1" hidden="1" x14ac:dyDescent="0.3">
      <c r="A5723" s="46"/>
    </row>
    <row r="5724" spans="1:1" hidden="1" x14ac:dyDescent="0.3">
      <c r="A5724" s="46"/>
    </row>
    <row r="5725" spans="1:1" hidden="1" x14ac:dyDescent="0.3">
      <c r="A5725" s="46"/>
    </row>
    <row r="5726" spans="1:1" hidden="1" x14ac:dyDescent="0.3">
      <c r="A5726" s="46"/>
    </row>
    <row r="5727" spans="1:1" hidden="1" x14ac:dyDescent="0.3">
      <c r="A5727" s="46"/>
    </row>
    <row r="5728" spans="1:1" hidden="1" x14ac:dyDescent="0.3">
      <c r="A5728" s="46"/>
    </row>
    <row r="5729" spans="1:1" hidden="1" x14ac:dyDescent="0.3">
      <c r="A5729" s="46"/>
    </row>
    <row r="5730" spans="1:1" hidden="1" x14ac:dyDescent="0.3">
      <c r="A5730" s="46"/>
    </row>
    <row r="5731" spans="1:1" hidden="1" x14ac:dyDescent="0.3">
      <c r="A5731" s="46"/>
    </row>
    <row r="5732" spans="1:1" hidden="1" x14ac:dyDescent="0.3">
      <c r="A5732" s="46"/>
    </row>
    <row r="5733" spans="1:1" hidden="1" x14ac:dyDescent="0.3">
      <c r="A5733" s="46"/>
    </row>
    <row r="5734" spans="1:1" hidden="1" x14ac:dyDescent="0.3">
      <c r="A5734" s="46"/>
    </row>
    <row r="5735" spans="1:1" hidden="1" x14ac:dyDescent="0.3">
      <c r="A5735" s="46"/>
    </row>
    <row r="5736" spans="1:1" hidden="1" x14ac:dyDescent="0.3">
      <c r="A5736" s="46"/>
    </row>
    <row r="5737" spans="1:1" hidden="1" x14ac:dyDescent="0.3">
      <c r="A5737" s="46"/>
    </row>
    <row r="5738" spans="1:1" hidden="1" x14ac:dyDescent="0.3">
      <c r="A5738" s="46"/>
    </row>
    <row r="5739" spans="1:1" hidden="1" x14ac:dyDescent="0.3">
      <c r="A5739" s="46"/>
    </row>
    <row r="5740" spans="1:1" hidden="1" x14ac:dyDescent="0.3">
      <c r="A5740" s="46"/>
    </row>
    <row r="5741" spans="1:1" hidden="1" x14ac:dyDescent="0.3">
      <c r="A5741" s="46"/>
    </row>
    <row r="5742" spans="1:1" hidden="1" x14ac:dyDescent="0.3">
      <c r="A5742" s="46"/>
    </row>
    <row r="5743" spans="1:1" hidden="1" x14ac:dyDescent="0.3">
      <c r="A5743" s="46"/>
    </row>
    <row r="5744" spans="1:1" hidden="1" x14ac:dyDescent="0.3">
      <c r="A5744" s="46"/>
    </row>
    <row r="5745" spans="1:1" hidden="1" x14ac:dyDescent="0.3">
      <c r="A5745" s="46"/>
    </row>
    <row r="5746" spans="1:1" hidden="1" x14ac:dyDescent="0.3">
      <c r="A5746" s="46"/>
    </row>
    <row r="5747" spans="1:1" hidden="1" x14ac:dyDescent="0.3">
      <c r="A5747" s="46"/>
    </row>
    <row r="5748" spans="1:1" hidden="1" x14ac:dyDescent="0.3">
      <c r="A5748" s="46"/>
    </row>
    <row r="5749" spans="1:1" hidden="1" x14ac:dyDescent="0.3">
      <c r="A5749" s="46"/>
    </row>
    <row r="5750" spans="1:1" hidden="1" x14ac:dyDescent="0.3">
      <c r="A5750" s="46"/>
    </row>
    <row r="5751" spans="1:1" hidden="1" x14ac:dyDescent="0.3">
      <c r="A5751" s="46"/>
    </row>
    <row r="5752" spans="1:1" hidden="1" x14ac:dyDescent="0.3">
      <c r="A5752" s="46"/>
    </row>
    <row r="5753" spans="1:1" hidden="1" x14ac:dyDescent="0.3">
      <c r="A5753" s="46"/>
    </row>
    <row r="5754" spans="1:1" hidden="1" x14ac:dyDescent="0.3">
      <c r="A5754" s="46"/>
    </row>
    <row r="5755" spans="1:1" hidden="1" x14ac:dyDescent="0.3">
      <c r="A5755" s="46"/>
    </row>
    <row r="5756" spans="1:1" hidden="1" x14ac:dyDescent="0.3">
      <c r="A5756" s="46"/>
    </row>
    <row r="5757" spans="1:1" hidden="1" x14ac:dyDescent="0.3">
      <c r="A5757" s="46"/>
    </row>
    <row r="5758" spans="1:1" hidden="1" x14ac:dyDescent="0.3">
      <c r="A5758" s="46"/>
    </row>
    <row r="5759" spans="1:1" hidden="1" x14ac:dyDescent="0.3">
      <c r="A5759" s="46"/>
    </row>
    <row r="5760" spans="1:1" hidden="1" x14ac:dyDescent="0.3">
      <c r="A5760" s="46"/>
    </row>
    <row r="5761" spans="1:1" hidden="1" x14ac:dyDescent="0.3">
      <c r="A5761" s="46"/>
    </row>
    <row r="5762" spans="1:1" hidden="1" x14ac:dyDescent="0.3">
      <c r="A5762" s="46"/>
    </row>
    <row r="5763" spans="1:1" hidden="1" x14ac:dyDescent="0.3">
      <c r="A5763" s="46"/>
    </row>
    <row r="5764" spans="1:1" hidden="1" x14ac:dyDescent="0.3">
      <c r="A5764" s="46"/>
    </row>
    <row r="5765" spans="1:1" hidden="1" x14ac:dyDescent="0.3">
      <c r="A5765" s="46"/>
    </row>
    <row r="5766" spans="1:1" hidden="1" x14ac:dyDescent="0.3">
      <c r="A5766" s="46"/>
    </row>
    <row r="5767" spans="1:1" hidden="1" x14ac:dyDescent="0.3">
      <c r="A5767" s="46"/>
    </row>
    <row r="5768" spans="1:1" hidden="1" x14ac:dyDescent="0.3">
      <c r="A5768" s="46"/>
    </row>
    <row r="5769" spans="1:1" hidden="1" x14ac:dyDescent="0.3">
      <c r="A5769" s="46"/>
    </row>
    <row r="5770" spans="1:1" hidden="1" x14ac:dyDescent="0.3">
      <c r="A5770" s="46"/>
    </row>
    <row r="5771" spans="1:1" hidden="1" x14ac:dyDescent="0.3">
      <c r="A5771" s="46"/>
    </row>
    <row r="5772" spans="1:1" hidden="1" x14ac:dyDescent="0.3">
      <c r="A5772" s="46"/>
    </row>
    <row r="5773" spans="1:1" hidden="1" x14ac:dyDescent="0.3">
      <c r="A5773" s="46"/>
    </row>
    <row r="5774" spans="1:1" hidden="1" x14ac:dyDescent="0.3">
      <c r="A5774" s="46"/>
    </row>
    <row r="5775" spans="1:1" hidden="1" x14ac:dyDescent="0.3">
      <c r="A5775" s="46"/>
    </row>
    <row r="5776" spans="1:1" hidden="1" x14ac:dyDescent="0.3">
      <c r="A5776" s="46"/>
    </row>
    <row r="5777" spans="1:1" hidden="1" x14ac:dyDescent="0.3">
      <c r="A5777" s="46"/>
    </row>
    <row r="5778" spans="1:1" hidden="1" x14ac:dyDescent="0.3">
      <c r="A5778" s="46"/>
    </row>
    <row r="5779" spans="1:1" hidden="1" x14ac:dyDescent="0.3">
      <c r="A5779" s="46"/>
    </row>
    <row r="5780" spans="1:1" hidden="1" x14ac:dyDescent="0.3">
      <c r="A5780" s="46"/>
    </row>
    <row r="5781" spans="1:1" hidden="1" x14ac:dyDescent="0.3">
      <c r="A5781" s="46"/>
    </row>
    <row r="5782" spans="1:1" hidden="1" x14ac:dyDescent="0.3">
      <c r="A5782" s="46"/>
    </row>
    <row r="5783" spans="1:1" hidden="1" x14ac:dyDescent="0.3">
      <c r="A5783" s="46"/>
    </row>
    <row r="5784" spans="1:1" hidden="1" x14ac:dyDescent="0.3">
      <c r="A5784" s="46"/>
    </row>
    <row r="5785" spans="1:1" hidden="1" x14ac:dyDescent="0.3">
      <c r="A5785" s="46"/>
    </row>
    <row r="5786" spans="1:1" hidden="1" x14ac:dyDescent="0.3">
      <c r="A5786" s="46"/>
    </row>
    <row r="5787" spans="1:1" hidden="1" x14ac:dyDescent="0.3">
      <c r="A5787" s="46"/>
    </row>
    <row r="5788" spans="1:1" hidden="1" x14ac:dyDescent="0.3">
      <c r="A5788" s="46"/>
    </row>
    <row r="5789" spans="1:1" hidden="1" x14ac:dyDescent="0.3">
      <c r="A5789" s="46"/>
    </row>
    <row r="5790" spans="1:1" hidden="1" x14ac:dyDescent="0.3">
      <c r="A5790" s="46"/>
    </row>
    <row r="5791" spans="1:1" hidden="1" x14ac:dyDescent="0.3">
      <c r="A5791" s="46"/>
    </row>
    <row r="5792" spans="1:1" hidden="1" x14ac:dyDescent="0.3">
      <c r="A5792" s="46"/>
    </row>
    <row r="5793" spans="1:1" hidden="1" x14ac:dyDescent="0.3">
      <c r="A5793" s="46"/>
    </row>
    <row r="5794" spans="1:1" hidden="1" x14ac:dyDescent="0.3">
      <c r="A5794" s="46"/>
    </row>
    <row r="5795" spans="1:1" hidden="1" x14ac:dyDescent="0.3">
      <c r="A5795" s="46"/>
    </row>
    <row r="5796" spans="1:1" hidden="1" x14ac:dyDescent="0.3">
      <c r="A5796" s="46"/>
    </row>
    <row r="5797" spans="1:1" hidden="1" x14ac:dyDescent="0.3">
      <c r="A5797" s="46"/>
    </row>
    <row r="5798" spans="1:1" hidden="1" x14ac:dyDescent="0.3">
      <c r="A5798" s="46"/>
    </row>
    <row r="5799" spans="1:1" hidden="1" x14ac:dyDescent="0.3">
      <c r="A5799" s="46"/>
    </row>
    <row r="5800" spans="1:1" hidden="1" x14ac:dyDescent="0.3">
      <c r="A5800" s="46"/>
    </row>
    <row r="5801" spans="1:1" hidden="1" x14ac:dyDescent="0.3">
      <c r="A5801" s="46"/>
    </row>
    <row r="5802" spans="1:1" hidden="1" x14ac:dyDescent="0.3">
      <c r="A5802" s="46"/>
    </row>
    <row r="5803" spans="1:1" hidden="1" x14ac:dyDescent="0.3">
      <c r="A5803" s="46"/>
    </row>
    <row r="5804" spans="1:1" hidden="1" x14ac:dyDescent="0.3">
      <c r="A5804" s="46"/>
    </row>
    <row r="5805" spans="1:1" hidden="1" x14ac:dyDescent="0.3">
      <c r="A5805" s="46"/>
    </row>
    <row r="5806" spans="1:1" hidden="1" x14ac:dyDescent="0.3">
      <c r="A5806" s="46"/>
    </row>
    <row r="5807" spans="1:1" hidden="1" x14ac:dyDescent="0.3">
      <c r="A5807" s="46"/>
    </row>
    <row r="5808" spans="1:1" hidden="1" x14ac:dyDescent="0.3">
      <c r="A5808" s="46"/>
    </row>
    <row r="5809" spans="1:1" hidden="1" x14ac:dyDescent="0.3">
      <c r="A5809" s="46"/>
    </row>
    <row r="5810" spans="1:1" hidden="1" x14ac:dyDescent="0.3">
      <c r="A5810" s="46"/>
    </row>
    <row r="5811" spans="1:1" hidden="1" x14ac:dyDescent="0.3">
      <c r="A5811" s="46"/>
    </row>
    <row r="5812" spans="1:1" hidden="1" x14ac:dyDescent="0.3">
      <c r="A5812" s="46"/>
    </row>
    <row r="5813" spans="1:1" hidden="1" x14ac:dyDescent="0.3">
      <c r="A5813" s="46"/>
    </row>
    <row r="5814" spans="1:1" hidden="1" x14ac:dyDescent="0.3">
      <c r="A5814" s="46"/>
    </row>
    <row r="5815" spans="1:1" hidden="1" x14ac:dyDescent="0.3">
      <c r="A5815" s="46"/>
    </row>
    <row r="5816" spans="1:1" hidden="1" x14ac:dyDescent="0.3">
      <c r="A5816" s="46"/>
    </row>
    <row r="5817" spans="1:1" hidden="1" x14ac:dyDescent="0.3">
      <c r="A5817" s="46"/>
    </row>
    <row r="5818" spans="1:1" hidden="1" x14ac:dyDescent="0.3">
      <c r="A5818" s="46"/>
    </row>
    <row r="5819" spans="1:1" hidden="1" x14ac:dyDescent="0.3">
      <c r="A5819" s="46"/>
    </row>
    <row r="5820" spans="1:1" hidden="1" x14ac:dyDescent="0.3">
      <c r="A5820" s="46"/>
    </row>
    <row r="5821" spans="1:1" hidden="1" x14ac:dyDescent="0.3">
      <c r="A5821" s="46"/>
    </row>
    <row r="5822" spans="1:1" hidden="1" x14ac:dyDescent="0.3">
      <c r="A5822" s="46"/>
    </row>
    <row r="5823" spans="1:1" hidden="1" x14ac:dyDescent="0.3">
      <c r="A5823" s="46"/>
    </row>
    <row r="5824" spans="1:1" hidden="1" x14ac:dyDescent="0.3">
      <c r="A5824" s="46"/>
    </row>
    <row r="5825" spans="1:1" hidden="1" x14ac:dyDescent="0.3">
      <c r="A5825" s="46"/>
    </row>
    <row r="5826" spans="1:1" hidden="1" x14ac:dyDescent="0.3">
      <c r="A5826" s="46"/>
    </row>
    <row r="5827" spans="1:1" hidden="1" x14ac:dyDescent="0.3">
      <c r="A5827" s="46"/>
    </row>
    <row r="5828" spans="1:1" hidden="1" x14ac:dyDescent="0.3">
      <c r="A5828" s="46"/>
    </row>
    <row r="5829" spans="1:1" hidden="1" x14ac:dyDescent="0.3">
      <c r="A5829" s="46"/>
    </row>
    <row r="5830" spans="1:1" hidden="1" x14ac:dyDescent="0.3">
      <c r="A5830" s="46"/>
    </row>
    <row r="5831" spans="1:1" hidden="1" x14ac:dyDescent="0.3">
      <c r="A5831" s="46"/>
    </row>
    <row r="5832" spans="1:1" hidden="1" x14ac:dyDescent="0.3">
      <c r="A5832" s="46"/>
    </row>
    <row r="5833" spans="1:1" hidden="1" x14ac:dyDescent="0.3">
      <c r="A5833" s="46"/>
    </row>
    <row r="5834" spans="1:1" hidden="1" x14ac:dyDescent="0.3">
      <c r="A5834" s="46"/>
    </row>
    <row r="5835" spans="1:1" hidden="1" x14ac:dyDescent="0.3">
      <c r="A5835" s="46"/>
    </row>
    <row r="5836" spans="1:1" hidden="1" x14ac:dyDescent="0.3">
      <c r="A5836" s="46"/>
    </row>
    <row r="5837" spans="1:1" hidden="1" x14ac:dyDescent="0.3">
      <c r="A5837" s="46"/>
    </row>
    <row r="5838" spans="1:1" hidden="1" x14ac:dyDescent="0.3">
      <c r="A5838" s="46"/>
    </row>
    <row r="5839" spans="1:1" hidden="1" x14ac:dyDescent="0.3">
      <c r="A5839" s="46"/>
    </row>
    <row r="5840" spans="1:1" hidden="1" x14ac:dyDescent="0.3">
      <c r="A5840" s="46"/>
    </row>
    <row r="5841" spans="1:1" hidden="1" x14ac:dyDescent="0.3">
      <c r="A5841" s="46"/>
    </row>
    <row r="5842" spans="1:1" hidden="1" x14ac:dyDescent="0.3">
      <c r="A5842" s="46"/>
    </row>
    <row r="5843" spans="1:1" hidden="1" x14ac:dyDescent="0.3">
      <c r="A5843" s="46"/>
    </row>
    <row r="5844" spans="1:1" hidden="1" x14ac:dyDescent="0.3">
      <c r="A5844" s="46"/>
    </row>
    <row r="5845" spans="1:1" hidden="1" x14ac:dyDescent="0.3">
      <c r="A5845" s="46"/>
    </row>
    <row r="5846" spans="1:1" hidden="1" x14ac:dyDescent="0.3">
      <c r="A5846" s="46"/>
    </row>
    <row r="5847" spans="1:1" hidden="1" x14ac:dyDescent="0.3">
      <c r="A5847" s="46"/>
    </row>
    <row r="5848" spans="1:1" hidden="1" x14ac:dyDescent="0.3">
      <c r="A5848" s="46"/>
    </row>
    <row r="5849" spans="1:1" hidden="1" x14ac:dyDescent="0.3">
      <c r="A5849" s="46"/>
    </row>
    <row r="5850" spans="1:1" hidden="1" x14ac:dyDescent="0.3">
      <c r="A5850" s="46"/>
    </row>
    <row r="5851" spans="1:1" hidden="1" x14ac:dyDescent="0.3">
      <c r="A5851" s="46"/>
    </row>
    <row r="5852" spans="1:1" hidden="1" x14ac:dyDescent="0.3">
      <c r="A5852" s="46"/>
    </row>
    <row r="5853" spans="1:1" hidden="1" x14ac:dyDescent="0.3">
      <c r="A5853" s="46"/>
    </row>
    <row r="5854" spans="1:1" hidden="1" x14ac:dyDescent="0.3">
      <c r="A5854" s="46"/>
    </row>
    <row r="5855" spans="1:1" hidden="1" x14ac:dyDescent="0.3">
      <c r="A5855" s="46"/>
    </row>
    <row r="5856" spans="1:1" hidden="1" x14ac:dyDescent="0.3">
      <c r="A5856" s="46"/>
    </row>
    <row r="5857" spans="1:1" hidden="1" x14ac:dyDescent="0.3">
      <c r="A5857" s="46"/>
    </row>
    <row r="5858" spans="1:1" hidden="1" x14ac:dyDescent="0.3">
      <c r="A5858" s="46"/>
    </row>
    <row r="5859" spans="1:1" hidden="1" x14ac:dyDescent="0.3">
      <c r="A5859" s="46"/>
    </row>
    <row r="5860" spans="1:1" hidden="1" x14ac:dyDescent="0.3">
      <c r="A5860" s="46"/>
    </row>
    <row r="5861" spans="1:1" hidden="1" x14ac:dyDescent="0.3">
      <c r="A5861" s="46"/>
    </row>
    <row r="5862" spans="1:1" hidden="1" x14ac:dyDescent="0.3">
      <c r="A5862" s="46"/>
    </row>
    <row r="5863" spans="1:1" hidden="1" x14ac:dyDescent="0.3">
      <c r="A5863" s="46"/>
    </row>
    <row r="5864" spans="1:1" hidden="1" x14ac:dyDescent="0.3">
      <c r="A5864" s="46"/>
    </row>
    <row r="5865" spans="1:1" hidden="1" x14ac:dyDescent="0.3">
      <c r="A5865" s="46"/>
    </row>
    <row r="5866" spans="1:1" hidden="1" x14ac:dyDescent="0.3">
      <c r="A5866" s="46"/>
    </row>
    <row r="5867" spans="1:1" hidden="1" x14ac:dyDescent="0.3">
      <c r="A5867" s="46"/>
    </row>
    <row r="5868" spans="1:1" hidden="1" x14ac:dyDescent="0.3">
      <c r="A5868" s="46"/>
    </row>
    <row r="5869" spans="1:1" hidden="1" x14ac:dyDescent="0.3">
      <c r="A5869" s="46"/>
    </row>
    <row r="5870" spans="1:1" hidden="1" x14ac:dyDescent="0.3">
      <c r="A5870" s="46"/>
    </row>
    <row r="5871" spans="1:1" hidden="1" x14ac:dyDescent="0.3">
      <c r="A5871" s="46"/>
    </row>
    <row r="5872" spans="1:1" hidden="1" x14ac:dyDescent="0.3">
      <c r="A5872" s="46"/>
    </row>
    <row r="5873" spans="1:1" hidden="1" x14ac:dyDescent="0.3">
      <c r="A5873" s="46"/>
    </row>
    <row r="5874" spans="1:1" hidden="1" x14ac:dyDescent="0.3">
      <c r="A5874" s="46"/>
    </row>
    <row r="5875" spans="1:1" hidden="1" x14ac:dyDescent="0.3">
      <c r="A5875" s="46"/>
    </row>
    <row r="5876" spans="1:1" hidden="1" x14ac:dyDescent="0.3">
      <c r="A5876" s="46"/>
    </row>
    <row r="5877" spans="1:1" hidden="1" x14ac:dyDescent="0.3">
      <c r="A5877" s="46"/>
    </row>
    <row r="5878" spans="1:1" hidden="1" x14ac:dyDescent="0.3">
      <c r="A5878" s="46"/>
    </row>
    <row r="5879" spans="1:1" hidden="1" x14ac:dyDescent="0.3">
      <c r="A5879" s="46"/>
    </row>
    <row r="5880" spans="1:1" hidden="1" x14ac:dyDescent="0.3">
      <c r="A5880" s="46"/>
    </row>
    <row r="5881" spans="1:1" hidden="1" x14ac:dyDescent="0.3">
      <c r="A5881" s="46"/>
    </row>
    <row r="5882" spans="1:1" hidden="1" x14ac:dyDescent="0.3">
      <c r="A5882" s="46"/>
    </row>
    <row r="5883" spans="1:1" hidden="1" x14ac:dyDescent="0.3">
      <c r="A5883" s="46"/>
    </row>
    <row r="5884" spans="1:1" hidden="1" x14ac:dyDescent="0.3">
      <c r="A5884" s="46"/>
    </row>
    <row r="5885" spans="1:1" hidden="1" x14ac:dyDescent="0.3">
      <c r="A5885" s="46"/>
    </row>
    <row r="5886" spans="1:1" hidden="1" x14ac:dyDescent="0.3">
      <c r="A5886" s="46"/>
    </row>
    <row r="5887" spans="1:1" hidden="1" x14ac:dyDescent="0.3">
      <c r="A5887" s="46"/>
    </row>
    <row r="5888" spans="1:1" hidden="1" x14ac:dyDescent="0.3">
      <c r="A5888" s="46"/>
    </row>
    <row r="5889" spans="1:1" hidden="1" x14ac:dyDescent="0.3">
      <c r="A5889" s="46"/>
    </row>
    <row r="5890" spans="1:1" hidden="1" x14ac:dyDescent="0.3">
      <c r="A5890" s="46"/>
    </row>
    <row r="5891" spans="1:1" hidden="1" x14ac:dyDescent="0.3">
      <c r="A5891" s="46"/>
    </row>
    <row r="5892" spans="1:1" hidden="1" x14ac:dyDescent="0.3">
      <c r="A5892" s="46"/>
    </row>
    <row r="5893" spans="1:1" hidden="1" x14ac:dyDescent="0.3">
      <c r="A5893" s="46"/>
    </row>
    <row r="5894" spans="1:1" hidden="1" x14ac:dyDescent="0.3">
      <c r="A5894" s="46"/>
    </row>
    <row r="5895" spans="1:1" hidden="1" x14ac:dyDescent="0.3">
      <c r="A5895" s="46"/>
    </row>
    <row r="5896" spans="1:1" hidden="1" x14ac:dyDescent="0.3">
      <c r="A5896" s="46"/>
    </row>
    <row r="5897" spans="1:1" hidden="1" x14ac:dyDescent="0.3">
      <c r="A5897" s="46"/>
    </row>
    <row r="5898" spans="1:1" hidden="1" x14ac:dyDescent="0.3">
      <c r="A5898" s="46"/>
    </row>
    <row r="5899" spans="1:1" hidden="1" x14ac:dyDescent="0.3">
      <c r="A5899" s="46"/>
    </row>
    <row r="5900" spans="1:1" hidden="1" x14ac:dyDescent="0.3">
      <c r="A5900" s="46"/>
    </row>
    <row r="5901" spans="1:1" hidden="1" x14ac:dyDescent="0.3">
      <c r="A5901" s="46"/>
    </row>
    <row r="5902" spans="1:1" hidden="1" x14ac:dyDescent="0.3">
      <c r="A5902" s="46"/>
    </row>
    <row r="5903" spans="1:1" hidden="1" x14ac:dyDescent="0.3">
      <c r="A5903" s="46"/>
    </row>
    <row r="5904" spans="1:1" hidden="1" x14ac:dyDescent="0.3">
      <c r="A5904" s="46"/>
    </row>
    <row r="5905" spans="1:1" hidden="1" x14ac:dyDescent="0.3">
      <c r="A5905" s="46"/>
    </row>
    <row r="5906" spans="1:1" hidden="1" x14ac:dyDescent="0.3">
      <c r="A5906" s="46"/>
    </row>
    <row r="5907" spans="1:1" hidden="1" x14ac:dyDescent="0.3">
      <c r="A5907" s="46"/>
    </row>
    <row r="5908" spans="1:1" hidden="1" x14ac:dyDescent="0.3">
      <c r="A5908" s="46"/>
    </row>
    <row r="5909" spans="1:1" hidden="1" x14ac:dyDescent="0.3">
      <c r="A5909" s="46"/>
    </row>
    <row r="5910" spans="1:1" hidden="1" x14ac:dyDescent="0.3">
      <c r="A5910" s="46"/>
    </row>
    <row r="5911" spans="1:1" hidden="1" x14ac:dyDescent="0.3">
      <c r="A5911" s="46"/>
    </row>
    <row r="5912" spans="1:1" hidden="1" x14ac:dyDescent="0.3">
      <c r="A5912" s="46"/>
    </row>
    <row r="5913" spans="1:1" hidden="1" x14ac:dyDescent="0.3">
      <c r="A5913" s="46"/>
    </row>
    <row r="5914" spans="1:1" hidden="1" x14ac:dyDescent="0.3">
      <c r="A5914" s="46"/>
    </row>
    <row r="5915" spans="1:1" hidden="1" x14ac:dyDescent="0.3">
      <c r="A5915" s="46"/>
    </row>
    <row r="5916" spans="1:1" hidden="1" x14ac:dyDescent="0.3">
      <c r="A5916" s="46"/>
    </row>
    <row r="5917" spans="1:1" hidden="1" x14ac:dyDescent="0.3">
      <c r="A5917" s="46"/>
    </row>
    <row r="5918" spans="1:1" hidden="1" x14ac:dyDescent="0.3">
      <c r="A5918" s="46"/>
    </row>
    <row r="5919" spans="1:1" hidden="1" x14ac:dyDescent="0.3">
      <c r="A5919" s="46"/>
    </row>
    <row r="5920" spans="1:1" hidden="1" x14ac:dyDescent="0.3">
      <c r="A5920" s="46"/>
    </row>
    <row r="5921" spans="1:11" hidden="1" x14ac:dyDescent="0.3">
      <c r="A5921" s="46"/>
    </row>
    <row r="5922" spans="1:11" hidden="1" x14ac:dyDescent="0.3">
      <c r="A5922" s="46"/>
    </row>
    <row r="5923" spans="1:11" hidden="1" x14ac:dyDescent="0.3">
      <c r="A5923" s="46"/>
    </row>
    <row r="5924" spans="1:11" hidden="1" x14ac:dyDescent="0.3">
      <c r="A5924" s="46"/>
    </row>
    <row r="5925" spans="1:11" hidden="1" x14ac:dyDescent="0.3">
      <c r="A5925" s="46"/>
    </row>
    <row r="5926" spans="1:11" hidden="1" x14ac:dyDescent="0.3">
      <c r="A5926" s="46"/>
    </row>
    <row r="5927" spans="1:11" hidden="1" x14ac:dyDescent="0.3">
      <c r="A5927" s="46"/>
    </row>
    <row r="5928" spans="1:11" hidden="1" x14ac:dyDescent="0.3">
      <c r="A5928" s="46"/>
    </row>
    <row r="5929" spans="1:11" hidden="1" x14ac:dyDescent="0.3">
      <c r="A5929" s="46"/>
    </row>
    <row r="5930" spans="1:11" hidden="1" x14ac:dyDescent="0.3">
      <c r="A5930" s="46"/>
    </row>
    <row r="5931" spans="1:11" hidden="1" x14ac:dyDescent="0.3">
      <c r="A5931" s="46"/>
    </row>
    <row r="5932" spans="1:11" hidden="1" x14ac:dyDescent="0.3">
      <c r="A5932" s="46"/>
    </row>
    <row r="5933" spans="1:11" hidden="1" x14ac:dyDescent="0.3">
      <c r="A5933" s="46"/>
    </row>
    <row r="5934" spans="1:11" hidden="1" x14ac:dyDescent="0.3">
      <c r="A5934" s="46"/>
    </row>
    <row r="5935" spans="1:11" hidden="1" x14ac:dyDescent="0.3">
      <c r="A5935" s="46"/>
    </row>
    <row r="5936" spans="1:11" hidden="1" x14ac:dyDescent="0.3">
      <c r="A5936" s="46"/>
      <c r="D5936" s="31"/>
      <c r="G5936" s="31"/>
      <c r="H5936" s="31"/>
      <c r="I5936" s="31"/>
      <c r="J5936" s="31"/>
      <c r="K5936" s="31"/>
    </row>
    <row r="5937" spans="1:1" hidden="1" x14ac:dyDescent="0.3">
      <c r="A5937" s="46"/>
    </row>
    <row r="5938" spans="1:1" hidden="1" x14ac:dyDescent="0.3">
      <c r="A5938" s="46"/>
    </row>
    <row r="5939" spans="1:1" hidden="1" x14ac:dyDescent="0.3">
      <c r="A5939" s="46"/>
    </row>
    <row r="5940" spans="1:1" hidden="1" x14ac:dyDescent="0.3">
      <c r="A5940" s="46"/>
    </row>
    <row r="5941" spans="1:1" hidden="1" x14ac:dyDescent="0.3">
      <c r="A5941" s="46"/>
    </row>
    <row r="5942" spans="1:1" hidden="1" x14ac:dyDescent="0.3">
      <c r="A5942" s="46"/>
    </row>
    <row r="5943" spans="1:1" hidden="1" x14ac:dyDescent="0.3">
      <c r="A5943" s="46"/>
    </row>
    <row r="5944" spans="1:1" hidden="1" x14ac:dyDescent="0.3">
      <c r="A5944" s="46"/>
    </row>
    <row r="5945" spans="1:1" hidden="1" x14ac:dyDescent="0.3">
      <c r="A5945" s="46"/>
    </row>
    <row r="5946" spans="1:1" hidden="1" x14ac:dyDescent="0.3">
      <c r="A5946" s="46"/>
    </row>
    <row r="5947" spans="1:1" hidden="1" x14ac:dyDescent="0.3">
      <c r="A5947" s="46"/>
    </row>
    <row r="5948" spans="1:1" hidden="1" x14ac:dyDescent="0.3">
      <c r="A5948" s="46"/>
    </row>
    <row r="5949" spans="1:1" hidden="1" x14ac:dyDescent="0.3">
      <c r="A5949" s="46"/>
    </row>
    <row r="5950" spans="1:1" hidden="1" x14ac:dyDescent="0.3">
      <c r="A5950" s="46"/>
    </row>
    <row r="5951" spans="1:1" hidden="1" x14ac:dyDescent="0.3">
      <c r="A5951" s="46"/>
    </row>
    <row r="5952" spans="1:1" hidden="1" x14ac:dyDescent="0.3">
      <c r="A5952" s="46"/>
    </row>
    <row r="5953" spans="1:1" hidden="1" x14ac:dyDescent="0.3">
      <c r="A5953" s="46"/>
    </row>
    <row r="5954" spans="1:1" hidden="1" x14ac:dyDescent="0.3">
      <c r="A5954" s="46"/>
    </row>
    <row r="5955" spans="1:1" hidden="1" x14ac:dyDescent="0.3">
      <c r="A5955" s="46"/>
    </row>
    <row r="5956" spans="1:1" hidden="1" x14ac:dyDescent="0.3">
      <c r="A5956" s="46"/>
    </row>
    <row r="5957" spans="1:1" hidden="1" x14ac:dyDescent="0.3">
      <c r="A5957" s="46"/>
    </row>
    <row r="5958" spans="1:1" hidden="1" x14ac:dyDescent="0.3">
      <c r="A5958" s="46"/>
    </row>
    <row r="5959" spans="1:1" hidden="1" x14ac:dyDescent="0.3">
      <c r="A5959" s="46"/>
    </row>
    <row r="5960" spans="1:1" hidden="1" x14ac:dyDescent="0.3">
      <c r="A5960" s="46"/>
    </row>
    <row r="5961" spans="1:1" hidden="1" x14ac:dyDescent="0.3">
      <c r="A5961" s="46"/>
    </row>
    <row r="5962" spans="1:1" hidden="1" x14ac:dyDescent="0.3">
      <c r="A5962" s="46"/>
    </row>
    <row r="5963" spans="1:1" hidden="1" x14ac:dyDescent="0.3">
      <c r="A5963" s="46"/>
    </row>
    <row r="5964" spans="1:1" hidden="1" x14ac:dyDescent="0.3">
      <c r="A5964" s="46"/>
    </row>
    <row r="5965" spans="1:1" hidden="1" x14ac:dyDescent="0.3">
      <c r="A5965" s="46"/>
    </row>
    <row r="5966" spans="1:1" hidden="1" x14ac:dyDescent="0.3">
      <c r="A5966" s="46"/>
    </row>
    <row r="5967" spans="1:1" hidden="1" x14ac:dyDescent="0.3">
      <c r="A5967" s="46"/>
    </row>
    <row r="5968" spans="1:1" hidden="1" x14ac:dyDescent="0.3">
      <c r="A5968" s="46"/>
    </row>
    <row r="5969" spans="1:1" hidden="1" x14ac:dyDescent="0.3">
      <c r="A5969" s="46"/>
    </row>
    <row r="5970" spans="1:1" hidden="1" x14ac:dyDescent="0.3">
      <c r="A5970" s="46"/>
    </row>
    <row r="5971" spans="1:1" hidden="1" x14ac:dyDescent="0.3">
      <c r="A5971" s="46"/>
    </row>
    <row r="5972" spans="1:1" hidden="1" x14ac:dyDescent="0.3">
      <c r="A5972" s="46"/>
    </row>
    <row r="5973" spans="1:1" hidden="1" x14ac:dyDescent="0.3">
      <c r="A5973" s="46"/>
    </row>
    <row r="5974" spans="1:1" hidden="1" x14ac:dyDescent="0.3">
      <c r="A5974" s="46"/>
    </row>
    <row r="5975" spans="1:1" hidden="1" x14ac:dyDescent="0.3">
      <c r="A5975" s="46"/>
    </row>
    <row r="5976" spans="1:1" hidden="1" x14ac:dyDescent="0.3">
      <c r="A5976" s="46"/>
    </row>
    <row r="5977" spans="1:1" hidden="1" x14ac:dyDescent="0.3">
      <c r="A5977" s="46"/>
    </row>
    <row r="5978" spans="1:1" hidden="1" x14ac:dyDescent="0.3">
      <c r="A5978" s="46"/>
    </row>
    <row r="5979" spans="1:1" hidden="1" x14ac:dyDescent="0.3">
      <c r="A5979" s="46"/>
    </row>
    <row r="5980" spans="1:1" hidden="1" x14ac:dyDescent="0.3">
      <c r="A5980" s="46"/>
    </row>
    <row r="5981" spans="1:1" hidden="1" x14ac:dyDescent="0.3">
      <c r="A5981" s="46"/>
    </row>
    <row r="5982" spans="1:1" hidden="1" x14ac:dyDescent="0.3">
      <c r="A5982" s="46"/>
    </row>
    <row r="5983" spans="1:1" hidden="1" x14ac:dyDescent="0.3">
      <c r="A5983" s="46"/>
    </row>
    <row r="5984" spans="1:1" hidden="1" x14ac:dyDescent="0.3">
      <c r="A5984" s="46"/>
    </row>
    <row r="5985" spans="1:1" hidden="1" x14ac:dyDescent="0.3">
      <c r="A5985" s="46"/>
    </row>
    <row r="5986" spans="1:1" hidden="1" x14ac:dyDescent="0.3">
      <c r="A5986" s="46"/>
    </row>
    <row r="5987" spans="1:1" hidden="1" x14ac:dyDescent="0.3">
      <c r="A5987" s="46"/>
    </row>
    <row r="5988" spans="1:1" hidden="1" x14ac:dyDescent="0.3">
      <c r="A5988" s="46"/>
    </row>
    <row r="5989" spans="1:1" hidden="1" x14ac:dyDescent="0.3">
      <c r="A5989" s="46"/>
    </row>
    <row r="5990" spans="1:1" hidden="1" x14ac:dyDescent="0.3">
      <c r="A5990" s="46"/>
    </row>
    <row r="5991" spans="1:1" hidden="1" x14ac:dyDescent="0.3">
      <c r="A5991" s="46"/>
    </row>
    <row r="5992" spans="1:1" hidden="1" x14ac:dyDescent="0.3">
      <c r="A5992" s="46"/>
    </row>
    <row r="5993" spans="1:1" hidden="1" x14ac:dyDescent="0.3">
      <c r="A5993" s="46"/>
    </row>
    <row r="5994" spans="1:1" hidden="1" x14ac:dyDescent="0.3">
      <c r="A5994" s="46"/>
    </row>
    <row r="5995" spans="1:1" hidden="1" x14ac:dyDescent="0.3">
      <c r="A5995" s="46"/>
    </row>
    <row r="5996" spans="1:1" hidden="1" x14ac:dyDescent="0.3">
      <c r="A5996" s="46"/>
    </row>
    <row r="5997" spans="1:1" hidden="1" x14ac:dyDescent="0.3">
      <c r="A5997" s="46"/>
    </row>
    <row r="5998" spans="1:1" hidden="1" x14ac:dyDescent="0.3">
      <c r="A5998" s="46"/>
    </row>
    <row r="5999" spans="1:1" hidden="1" x14ac:dyDescent="0.3">
      <c r="A5999" s="46"/>
    </row>
    <row r="6000" spans="1:1" hidden="1" x14ac:dyDescent="0.3">
      <c r="A6000" s="46"/>
    </row>
    <row r="6001" spans="1:1" hidden="1" x14ac:dyDescent="0.3">
      <c r="A6001" s="46"/>
    </row>
    <row r="6002" spans="1:1" hidden="1" x14ac:dyDescent="0.3">
      <c r="A6002" s="46"/>
    </row>
    <row r="6003" spans="1:1" hidden="1" x14ac:dyDescent="0.3">
      <c r="A6003" s="46"/>
    </row>
    <row r="6004" spans="1:1" hidden="1" x14ac:dyDescent="0.3">
      <c r="A6004" s="46"/>
    </row>
    <row r="6005" spans="1:1" hidden="1" x14ac:dyDescent="0.3">
      <c r="A6005" s="46"/>
    </row>
    <row r="6006" spans="1:1" hidden="1" x14ac:dyDescent="0.3">
      <c r="A6006" s="46"/>
    </row>
    <row r="6007" spans="1:1" hidden="1" x14ac:dyDescent="0.3">
      <c r="A6007" s="46"/>
    </row>
    <row r="6008" spans="1:1" hidden="1" x14ac:dyDescent="0.3">
      <c r="A6008" s="46"/>
    </row>
    <row r="6009" spans="1:1" hidden="1" x14ac:dyDescent="0.3">
      <c r="A6009" s="46"/>
    </row>
    <row r="6010" spans="1:1" hidden="1" x14ac:dyDescent="0.3">
      <c r="A6010" s="46"/>
    </row>
    <row r="6011" spans="1:1" hidden="1" x14ac:dyDescent="0.3">
      <c r="A6011" s="46"/>
    </row>
    <row r="6012" spans="1:1" hidden="1" x14ac:dyDescent="0.3">
      <c r="A6012" s="46"/>
    </row>
    <row r="6013" spans="1:1" hidden="1" x14ac:dyDescent="0.3">
      <c r="A6013" s="46"/>
    </row>
    <row r="6014" spans="1:1" hidden="1" x14ac:dyDescent="0.3">
      <c r="A6014" s="46"/>
    </row>
    <row r="6015" spans="1:1" hidden="1" x14ac:dyDescent="0.3">
      <c r="A6015" s="46"/>
    </row>
    <row r="6016" spans="1:1" hidden="1" x14ac:dyDescent="0.3">
      <c r="A6016" s="46"/>
    </row>
    <row r="6017" spans="1:1" hidden="1" x14ac:dyDescent="0.3">
      <c r="A6017" s="46"/>
    </row>
    <row r="6018" spans="1:1" hidden="1" x14ac:dyDescent="0.3">
      <c r="A6018" s="46"/>
    </row>
    <row r="6019" spans="1:1" hidden="1" x14ac:dyDescent="0.3">
      <c r="A6019" s="46"/>
    </row>
    <row r="6020" spans="1:1" hidden="1" x14ac:dyDescent="0.3">
      <c r="A6020" s="46"/>
    </row>
    <row r="6021" spans="1:1" hidden="1" x14ac:dyDescent="0.3">
      <c r="A6021" s="46"/>
    </row>
    <row r="6022" spans="1:1" hidden="1" x14ac:dyDescent="0.3">
      <c r="A6022" s="46"/>
    </row>
    <row r="6023" spans="1:1" hidden="1" x14ac:dyDescent="0.3">
      <c r="A6023" s="46"/>
    </row>
    <row r="6024" spans="1:1" hidden="1" x14ac:dyDescent="0.3">
      <c r="A6024" s="46"/>
    </row>
    <row r="6025" spans="1:1" hidden="1" x14ac:dyDescent="0.3">
      <c r="A6025" s="46"/>
    </row>
    <row r="6026" spans="1:1" hidden="1" x14ac:dyDescent="0.3">
      <c r="A6026" s="46"/>
    </row>
    <row r="6027" spans="1:1" hidden="1" x14ac:dyDescent="0.3">
      <c r="A6027" s="46"/>
    </row>
    <row r="6028" spans="1:1" hidden="1" x14ac:dyDescent="0.3">
      <c r="A6028" s="46"/>
    </row>
    <row r="6029" spans="1:1" hidden="1" x14ac:dyDescent="0.3">
      <c r="A6029" s="46"/>
    </row>
    <row r="6030" spans="1:1" hidden="1" x14ac:dyDescent="0.3">
      <c r="A6030" s="46"/>
    </row>
    <row r="6031" spans="1:1" hidden="1" x14ac:dyDescent="0.3">
      <c r="A6031" s="46"/>
    </row>
    <row r="6032" spans="1:1" hidden="1" x14ac:dyDescent="0.3">
      <c r="A6032" s="46"/>
    </row>
    <row r="6033" spans="1:1" hidden="1" x14ac:dyDescent="0.3">
      <c r="A6033" s="46"/>
    </row>
    <row r="6034" spans="1:1" hidden="1" x14ac:dyDescent="0.3">
      <c r="A6034" s="46"/>
    </row>
    <row r="6035" spans="1:1" hidden="1" x14ac:dyDescent="0.3">
      <c r="A6035" s="46"/>
    </row>
    <row r="6036" spans="1:1" hidden="1" x14ac:dyDescent="0.3">
      <c r="A6036" s="46"/>
    </row>
    <row r="6037" spans="1:1" hidden="1" x14ac:dyDescent="0.3">
      <c r="A6037" s="46"/>
    </row>
    <row r="6038" spans="1:1" hidden="1" x14ac:dyDescent="0.3">
      <c r="A6038" s="46"/>
    </row>
    <row r="6039" spans="1:1" hidden="1" x14ac:dyDescent="0.3">
      <c r="A6039" s="46"/>
    </row>
    <row r="6040" spans="1:1" hidden="1" x14ac:dyDescent="0.3">
      <c r="A6040" s="46"/>
    </row>
    <row r="6041" spans="1:1" hidden="1" x14ac:dyDescent="0.3">
      <c r="A6041" s="46"/>
    </row>
    <row r="6042" spans="1:1" hidden="1" x14ac:dyDescent="0.3">
      <c r="A6042" s="46"/>
    </row>
    <row r="6043" spans="1:1" hidden="1" x14ac:dyDescent="0.3">
      <c r="A6043" s="46"/>
    </row>
    <row r="6044" spans="1:1" hidden="1" x14ac:dyDescent="0.3">
      <c r="A6044" s="46"/>
    </row>
    <row r="6045" spans="1:1" hidden="1" x14ac:dyDescent="0.3">
      <c r="A6045" s="46"/>
    </row>
    <row r="6046" spans="1:1" hidden="1" x14ac:dyDescent="0.3">
      <c r="A6046" s="46"/>
    </row>
    <row r="6047" spans="1:1" hidden="1" x14ac:dyDescent="0.3">
      <c r="A6047" s="46"/>
    </row>
    <row r="6048" spans="1:1" hidden="1" x14ac:dyDescent="0.3">
      <c r="A6048" s="46"/>
    </row>
    <row r="6049" spans="1:1" hidden="1" x14ac:dyDescent="0.3">
      <c r="A6049" s="46"/>
    </row>
    <row r="6050" spans="1:1" hidden="1" x14ac:dyDescent="0.3">
      <c r="A6050" s="46"/>
    </row>
    <row r="6051" spans="1:1" hidden="1" x14ac:dyDescent="0.3">
      <c r="A6051" s="46"/>
    </row>
    <row r="6052" spans="1:1" hidden="1" x14ac:dyDescent="0.3">
      <c r="A6052" s="46"/>
    </row>
    <row r="6053" spans="1:1" hidden="1" x14ac:dyDescent="0.3">
      <c r="A6053" s="46"/>
    </row>
    <row r="6054" spans="1:1" hidden="1" x14ac:dyDescent="0.3">
      <c r="A6054" s="46"/>
    </row>
    <row r="6055" spans="1:1" hidden="1" x14ac:dyDescent="0.3">
      <c r="A6055" s="46"/>
    </row>
    <row r="6056" spans="1:1" hidden="1" x14ac:dyDescent="0.3">
      <c r="A6056" s="46"/>
    </row>
    <row r="6057" spans="1:1" hidden="1" x14ac:dyDescent="0.3">
      <c r="A6057" s="46"/>
    </row>
    <row r="6058" spans="1:1" hidden="1" x14ac:dyDescent="0.3">
      <c r="A6058" s="46"/>
    </row>
    <row r="6059" spans="1:1" hidden="1" x14ac:dyDescent="0.3">
      <c r="A6059" s="46"/>
    </row>
    <row r="6060" spans="1:1" hidden="1" x14ac:dyDescent="0.3">
      <c r="A6060" s="46"/>
    </row>
    <row r="6061" spans="1:1" hidden="1" x14ac:dyDescent="0.3">
      <c r="A6061" s="46"/>
    </row>
    <row r="6062" spans="1:1" hidden="1" x14ac:dyDescent="0.3">
      <c r="A6062" s="46"/>
    </row>
    <row r="6063" spans="1:1" hidden="1" x14ac:dyDescent="0.3">
      <c r="A6063" s="46"/>
    </row>
    <row r="6064" spans="1:1" hidden="1" x14ac:dyDescent="0.3">
      <c r="A6064" s="46"/>
    </row>
    <row r="6065" spans="1:11" hidden="1" x14ac:dyDescent="0.3">
      <c r="A6065" s="46"/>
    </row>
    <row r="6066" spans="1:11" hidden="1" x14ac:dyDescent="0.3">
      <c r="A6066" s="46"/>
    </row>
    <row r="6067" spans="1:11" hidden="1" x14ac:dyDescent="0.3">
      <c r="A6067" s="46"/>
    </row>
    <row r="6068" spans="1:11" hidden="1" x14ac:dyDescent="0.3">
      <c r="A6068" s="46"/>
    </row>
    <row r="6069" spans="1:11" hidden="1" x14ac:dyDescent="0.3">
      <c r="A6069" s="46"/>
    </row>
    <row r="6070" spans="1:11" hidden="1" x14ac:dyDescent="0.3">
      <c r="A6070" s="46"/>
    </row>
    <row r="6071" spans="1:11" hidden="1" x14ac:dyDescent="0.3">
      <c r="A6071" s="46"/>
    </row>
    <row r="6072" spans="1:11" hidden="1" x14ac:dyDescent="0.3">
      <c r="A6072" s="46"/>
      <c r="D6072" s="31"/>
      <c r="G6072" s="31"/>
      <c r="H6072" s="31"/>
      <c r="I6072" s="31"/>
      <c r="J6072" s="31"/>
      <c r="K6072" s="31"/>
    </row>
    <row r="6073" spans="1:11" hidden="1" x14ac:dyDescent="0.3">
      <c r="A6073" s="46"/>
    </row>
    <row r="6074" spans="1:11" hidden="1" x14ac:dyDescent="0.3">
      <c r="A6074" s="46"/>
    </row>
    <row r="6075" spans="1:11" hidden="1" x14ac:dyDescent="0.3">
      <c r="A6075" s="46"/>
    </row>
    <row r="6076" spans="1:11" hidden="1" x14ac:dyDescent="0.3">
      <c r="A6076" s="46"/>
    </row>
    <row r="6077" spans="1:11" hidden="1" x14ac:dyDescent="0.3">
      <c r="A6077" s="46"/>
    </row>
    <row r="6078" spans="1:11" hidden="1" x14ac:dyDescent="0.3">
      <c r="A6078" s="46"/>
    </row>
    <row r="6079" spans="1:11" hidden="1" x14ac:dyDescent="0.3">
      <c r="A6079" s="46"/>
    </row>
    <row r="6080" spans="1:11" hidden="1" x14ac:dyDescent="0.3">
      <c r="A6080" s="46"/>
    </row>
    <row r="6081" spans="1:1" hidden="1" x14ac:dyDescent="0.3">
      <c r="A6081" s="46"/>
    </row>
    <row r="6082" spans="1:1" hidden="1" x14ac:dyDescent="0.3">
      <c r="A6082" s="46"/>
    </row>
    <row r="6083" spans="1:1" hidden="1" x14ac:dyDescent="0.3">
      <c r="A6083" s="46"/>
    </row>
    <row r="6084" spans="1:1" hidden="1" x14ac:dyDescent="0.3">
      <c r="A6084" s="46"/>
    </row>
    <row r="6085" spans="1:1" hidden="1" x14ac:dyDescent="0.3">
      <c r="A6085" s="46"/>
    </row>
    <row r="6086" spans="1:1" hidden="1" x14ac:dyDescent="0.3">
      <c r="A6086" s="46"/>
    </row>
    <row r="6087" spans="1:1" hidden="1" x14ac:dyDescent="0.3">
      <c r="A6087" s="46"/>
    </row>
    <row r="6088" spans="1:1" hidden="1" x14ac:dyDescent="0.3">
      <c r="A6088" s="46"/>
    </row>
    <row r="6089" spans="1:1" hidden="1" x14ac:dyDescent="0.3">
      <c r="A6089" s="46"/>
    </row>
    <row r="6090" spans="1:1" hidden="1" x14ac:dyDescent="0.3">
      <c r="A6090" s="46"/>
    </row>
    <row r="6091" spans="1:1" hidden="1" x14ac:dyDescent="0.3">
      <c r="A6091" s="46"/>
    </row>
    <row r="6092" spans="1:1" hidden="1" x14ac:dyDescent="0.3">
      <c r="A6092" s="46"/>
    </row>
    <row r="6093" spans="1:1" hidden="1" x14ac:dyDescent="0.3">
      <c r="A6093" s="46"/>
    </row>
    <row r="6094" spans="1:1" hidden="1" x14ac:dyDescent="0.3">
      <c r="A6094" s="46"/>
    </row>
    <row r="6095" spans="1:1" hidden="1" x14ac:dyDescent="0.3">
      <c r="A6095" s="46"/>
    </row>
    <row r="6096" spans="1:1" hidden="1" x14ac:dyDescent="0.3">
      <c r="A6096" s="46"/>
    </row>
    <row r="6097" spans="1:1" hidden="1" x14ac:dyDescent="0.3">
      <c r="A6097" s="46"/>
    </row>
    <row r="6098" spans="1:1" hidden="1" x14ac:dyDescent="0.3">
      <c r="A6098" s="46"/>
    </row>
    <row r="6099" spans="1:1" hidden="1" x14ac:dyDescent="0.3">
      <c r="A6099" s="46"/>
    </row>
    <row r="6100" spans="1:1" hidden="1" x14ac:dyDescent="0.3">
      <c r="A6100" s="46"/>
    </row>
    <row r="6101" spans="1:1" hidden="1" x14ac:dyDescent="0.3">
      <c r="A6101" s="46"/>
    </row>
    <row r="6102" spans="1:1" hidden="1" x14ac:dyDescent="0.3">
      <c r="A6102" s="46"/>
    </row>
    <row r="6103" spans="1:1" hidden="1" x14ac:dyDescent="0.3">
      <c r="A6103" s="46"/>
    </row>
    <row r="6104" spans="1:1" hidden="1" x14ac:dyDescent="0.3">
      <c r="A6104" s="46"/>
    </row>
    <row r="6105" spans="1:1" hidden="1" x14ac:dyDescent="0.3">
      <c r="A6105" s="46"/>
    </row>
    <row r="6106" spans="1:1" hidden="1" x14ac:dyDescent="0.3">
      <c r="A6106" s="46"/>
    </row>
    <row r="6107" spans="1:1" hidden="1" x14ac:dyDescent="0.3">
      <c r="A6107" s="46"/>
    </row>
    <row r="6108" spans="1:1" hidden="1" x14ac:dyDescent="0.3">
      <c r="A6108" s="46"/>
    </row>
    <row r="6109" spans="1:1" hidden="1" x14ac:dyDescent="0.3">
      <c r="A6109" s="46"/>
    </row>
    <row r="6110" spans="1:1" hidden="1" x14ac:dyDescent="0.3">
      <c r="A6110" s="46"/>
    </row>
    <row r="6111" spans="1:1" hidden="1" x14ac:dyDescent="0.3">
      <c r="A6111" s="46"/>
    </row>
    <row r="6112" spans="1:1" hidden="1" x14ac:dyDescent="0.3">
      <c r="A6112" s="46"/>
    </row>
    <row r="6113" spans="1:1" hidden="1" x14ac:dyDescent="0.3">
      <c r="A6113" s="46"/>
    </row>
    <row r="6114" spans="1:1" hidden="1" x14ac:dyDescent="0.3">
      <c r="A6114" s="46"/>
    </row>
    <row r="6115" spans="1:1" hidden="1" x14ac:dyDescent="0.3">
      <c r="A6115" s="46"/>
    </row>
    <row r="6116" spans="1:1" hidden="1" x14ac:dyDescent="0.3">
      <c r="A6116" s="46"/>
    </row>
    <row r="6117" spans="1:1" hidden="1" x14ac:dyDescent="0.3">
      <c r="A6117" s="46"/>
    </row>
    <row r="6118" spans="1:1" hidden="1" x14ac:dyDescent="0.3">
      <c r="A6118" s="46"/>
    </row>
    <row r="6119" spans="1:1" hidden="1" x14ac:dyDescent="0.3">
      <c r="A6119" s="46"/>
    </row>
    <row r="6120" spans="1:1" hidden="1" x14ac:dyDescent="0.3">
      <c r="A6120" s="46"/>
    </row>
    <row r="6121" spans="1:1" hidden="1" x14ac:dyDescent="0.3">
      <c r="A6121" s="46"/>
    </row>
    <row r="6122" spans="1:1" hidden="1" x14ac:dyDescent="0.3">
      <c r="A6122" s="46"/>
    </row>
    <row r="6123" spans="1:1" hidden="1" x14ac:dyDescent="0.3">
      <c r="A6123" s="46"/>
    </row>
    <row r="6124" spans="1:1" hidden="1" x14ac:dyDescent="0.3">
      <c r="A6124" s="46"/>
    </row>
    <row r="6125" spans="1:1" hidden="1" x14ac:dyDescent="0.3">
      <c r="A6125" s="46"/>
    </row>
    <row r="6126" spans="1:1" hidden="1" x14ac:dyDescent="0.3">
      <c r="A6126" s="46"/>
    </row>
    <row r="6127" spans="1:1" hidden="1" x14ac:dyDescent="0.3">
      <c r="A6127" s="46"/>
    </row>
    <row r="6128" spans="1:1" hidden="1" x14ac:dyDescent="0.3">
      <c r="A6128" s="46"/>
    </row>
    <row r="6129" spans="1:1" hidden="1" x14ac:dyDescent="0.3">
      <c r="A6129" s="46"/>
    </row>
    <row r="6130" spans="1:1" hidden="1" x14ac:dyDescent="0.3">
      <c r="A6130" s="46"/>
    </row>
    <row r="6131" spans="1:1" hidden="1" x14ac:dyDescent="0.3">
      <c r="A6131" s="46"/>
    </row>
    <row r="6132" spans="1:1" hidden="1" x14ac:dyDescent="0.3">
      <c r="A6132" s="46"/>
    </row>
    <row r="6133" spans="1:1" hidden="1" x14ac:dyDescent="0.3">
      <c r="A6133" s="46"/>
    </row>
    <row r="6134" spans="1:1" hidden="1" x14ac:dyDescent="0.3">
      <c r="A6134" s="46"/>
    </row>
    <row r="6135" spans="1:1" hidden="1" x14ac:dyDescent="0.3">
      <c r="A6135" s="46"/>
    </row>
    <row r="6136" spans="1:1" hidden="1" x14ac:dyDescent="0.3">
      <c r="A6136" s="46"/>
    </row>
    <row r="6137" spans="1:1" hidden="1" x14ac:dyDescent="0.3">
      <c r="A6137" s="46"/>
    </row>
    <row r="6138" spans="1:1" hidden="1" x14ac:dyDescent="0.3">
      <c r="A6138" s="46"/>
    </row>
    <row r="6139" spans="1:1" hidden="1" x14ac:dyDescent="0.3">
      <c r="A6139" s="46"/>
    </row>
    <row r="6140" spans="1:1" hidden="1" x14ac:dyDescent="0.3">
      <c r="A6140" s="46"/>
    </row>
    <row r="6141" spans="1:1" hidden="1" x14ac:dyDescent="0.3">
      <c r="A6141" s="46"/>
    </row>
    <row r="6142" spans="1:1" hidden="1" x14ac:dyDescent="0.3">
      <c r="A6142" s="46"/>
    </row>
    <row r="6143" spans="1:1" hidden="1" x14ac:dyDescent="0.3">
      <c r="A6143" s="46"/>
    </row>
    <row r="6144" spans="1:1" hidden="1" x14ac:dyDescent="0.3">
      <c r="A6144" s="46"/>
    </row>
    <row r="6145" spans="1:1" hidden="1" x14ac:dyDescent="0.3">
      <c r="A6145" s="46"/>
    </row>
    <row r="6146" spans="1:1" hidden="1" x14ac:dyDescent="0.3">
      <c r="A6146" s="46"/>
    </row>
    <row r="6147" spans="1:1" hidden="1" x14ac:dyDescent="0.3">
      <c r="A6147" s="46"/>
    </row>
    <row r="6148" spans="1:1" hidden="1" x14ac:dyDescent="0.3">
      <c r="A6148" s="46"/>
    </row>
    <row r="6149" spans="1:1" hidden="1" x14ac:dyDescent="0.3">
      <c r="A6149" s="46"/>
    </row>
    <row r="6150" spans="1:1" hidden="1" x14ac:dyDescent="0.3">
      <c r="A6150" s="46"/>
    </row>
    <row r="6151" spans="1:1" hidden="1" x14ac:dyDescent="0.3">
      <c r="A6151" s="46"/>
    </row>
    <row r="6152" spans="1:1" hidden="1" x14ac:dyDescent="0.3">
      <c r="A6152" s="46"/>
    </row>
    <row r="6153" spans="1:1" hidden="1" x14ac:dyDescent="0.3">
      <c r="A6153" s="46"/>
    </row>
    <row r="6154" spans="1:1" hidden="1" x14ac:dyDescent="0.3">
      <c r="A6154" s="46"/>
    </row>
    <row r="6155" spans="1:1" hidden="1" x14ac:dyDescent="0.3">
      <c r="A6155" s="46"/>
    </row>
    <row r="6156" spans="1:1" hidden="1" x14ac:dyDescent="0.3">
      <c r="A6156" s="46"/>
    </row>
    <row r="6157" spans="1:1" hidden="1" x14ac:dyDescent="0.3">
      <c r="A6157" s="46"/>
    </row>
    <row r="6158" spans="1:1" hidden="1" x14ac:dyDescent="0.3">
      <c r="A6158" s="46"/>
    </row>
    <row r="6159" spans="1:1" hidden="1" x14ac:dyDescent="0.3">
      <c r="A6159" s="46"/>
    </row>
    <row r="6160" spans="1:1" hidden="1" x14ac:dyDescent="0.3">
      <c r="A6160" s="46"/>
    </row>
    <row r="6161" spans="1:1" hidden="1" x14ac:dyDescent="0.3">
      <c r="A6161" s="46"/>
    </row>
    <row r="6162" spans="1:1" hidden="1" x14ac:dyDescent="0.3">
      <c r="A6162" s="46"/>
    </row>
    <row r="6163" spans="1:1" hidden="1" x14ac:dyDescent="0.3">
      <c r="A6163" s="46"/>
    </row>
    <row r="6164" spans="1:1" hidden="1" x14ac:dyDescent="0.3">
      <c r="A6164" s="46"/>
    </row>
    <row r="6165" spans="1:1" hidden="1" x14ac:dyDescent="0.3">
      <c r="A6165" s="46"/>
    </row>
    <row r="6166" spans="1:1" hidden="1" x14ac:dyDescent="0.3">
      <c r="A6166" s="46"/>
    </row>
    <row r="6167" spans="1:1" hidden="1" x14ac:dyDescent="0.3">
      <c r="A6167" s="46"/>
    </row>
    <row r="6168" spans="1:1" hidden="1" x14ac:dyDescent="0.3">
      <c r="A6168" s="46"/>
    </row>
    <row r="6169" spans="1:1" hidden="1" x14ac:dyDescent="0.3">
      <c r="A6169" s="46"/>
    </row>
    <row r="6170" spans="1:1" hidden="1" x14ac:dyDescent="0.3">
      <c r="A6170" s="46"/>
    </row>
    <row r="6171" spans="1:1" hidden="1" x14ac:dyDescent="0.3">
      <c r="A6171" s="46"/>
    </row>
    <row r="6172" spans="1:1" hidden="1" x14ac:dyDescent="0.3">
      <c r="A6172" s="46"/>
    </row>
    <row r="6173" spans="1:1" hidden="1" x14ac:dyDescent="0.3">
      <c r="A6173" s="46"/>
    </row>
    <row r="6174" spans="1:1" hidden="1" x14ac:dyDescent="0.3">
      <c r="A6174" s="46"/>
    </row>
    <row r="6175" spans="1:1" hidden="1" x14ac:dyDescent="0.3">
      <c r="A6175" s="46"/>
    </row>
    <row r="6176" spans="1:1" hidden="1" x14ac:dyDescent="0.3">
      <c r="A6176" s="46"/>
    </row>
    <row r="6177" spans="1:1" hidden="1" x14ac:dyDescent="0.3">
      <c r="A6177" s="46"/>
    </row>
    <row r="6178" spans="1:1" hidden="1" x14ac:dyDescent="0.3">
      <c r="A6178" s="46"/>
    </row>
    <row r="6179" spans="1:1" hidden="1" x14ac:dyDescent="0.3">
      <c r="A6179" s="46"/>
    </row>
    <row r="6180" spans="1:1" hidden="1" x14ac:dyDescent="0.3">
      <c r="A6180" s="46"/>
    </row>
    <row r="6181" spans="1:1" hidden="1" x14ac:dyDescent="0.3">
      <c r="A6181" s="46"/>
    </row>
    <row r="6182" spans="1:1" hidden="1" x14ac:dyDescent="0.3">
      <c r="A6182" s="46"/>
    </row>
    <row r="6183" spans="1:1" hidden="1" x14ac:dyDescent="0.3">
      <c r="A6183" s="46"/>
    </row>
    <row r="6184" spans="1:1" hidden="1" x14ac:dyDescent="0.3">
      <c r="A6184" s="46"/>
    </row>
    <row r="6185" spans="1:1" hidden="1" x14ac:dyDescent="0.3">
      <c r="A6185" s="46"/>
    </row>
    <row r="6186" spans="1:1" hidden="1" x14ac:dyDescent="0.3">
      <c r="A6186" s="46"/>
    </row>
    <row r="6187" spans="1:1" hidden="1" x14ac:dyDescent="0.3">
      <c r="A6187" s="46"/>
    </row>
    <row r="6188" spans="1:1" hidden="1" x14ac:dyDescent="0.3">
      <c r="A6188" s="46"/>
    </row>
    <row r="6189" spans="1:1" hidden="1" x14ac:dyDescent="0.3">
      <c r="A6189" s="46"/>
    </row>
    <row r="6190" spans="1:1" hidden="1" x14ac:dyDescent="0.3">
      <c r="A6190" s="46"/>
    </row>
    <row r="6191" spans="1:1" hidden="1" x14ac:dyDescent="0.3">
      <c r="A6191" s="46"/>
    </row>
    <row r="6192" spans="1:1" hidden="1" x14ac:dyDescent="0.3">
      <c r="A6192" s="46"/>
    </row>
    <row r="6193" spans="1:1" hidden="1" x14ac:dyDescent="0.3">
      <c r="A6193" s="46"/>
    </row>
    <row r="6194" spans="1:1" hidden="1" x14ac:dyDescent="0.3">
      <c r="A6194" s="46"/>
    </row>
    <row r="6195" spans="1:1" hidden="1" x14ac:dyDescent="0.3">
      <c r="A6195" s="46"/>
    </row>
    <row r="6196" spans="1:1" hidden="1" x14ac:dyDescent="0.3">
      <c r="A6196" s="46"/>
    </row>
    <row r="6197" spans="1:1" hidden="1" x14ac:dyDescent="0.3">
      <c r="A6197" s="46"/>
    </row>
    <row r="6198" spans="1:1" hidden="1" x14ac:dyDescent="0.3">
      <c r="A6198" s="46"/>
    </row>
    <row r="6199" spans="1:1" hidden="1" x14ac:dyDescent="0.3">
      <c r="A6199" s="46"/>
    </row>
    <row r="6200" spans="1:1" hidden="1" x14ac:dyDescent="0.3">
      <c r="A6200" s="46"/>
    </row>
    <row r="6201" spans="1:1" hidden="1" x14ac:dyDescent="0.3">
      <c r="A6201" s="46"/>
    </row>
    <row r="6202" spans="1:1" hidden="1" x14ac:dyDescent="0.3">
      <c r="A6202" s="46"/>
    </row>
    <row r="6203" spans="1:1" hidden="1" x14ac:dyDescent="0.3">
      <c r="A6203" s="46"/>
    </row>
    <row r="6204" spans="1:1" hidden="1" x14ac:dyDescent="0.3">
      <c r="A6204" s="46"/>
    </row>
    <row r="6205" spans="1:1" hidden="1" x14ac:dyDescent="0.3">
      <c r="A6205" s="46"/>
    </row>
    <row r="6206" spans="1:1" hidden="1" x14ac:dyDescent="0.3">
      <c r="A6206" s="46"/>
    </row>
    <row r="6207" spans="1:1" hidden="1" x14ac:dyDescent="0.3">
      <c r="A6207" s="46"/>
    </row>
    <row r="6208" spans="1:1" hidden="1" x14ac:dyDescent="0.3">
      <c r="A6208" s="46"/>
    </row>
    <row r="6209" spans="1:1" hidden="1" x14ac:dyDescent="0.3">
      <c r="A6209" s="46"/>
    </row>
    <row r="6210" spans="1:1" hidden="1" x14ac:dyDescent="0.3">
      <c r="A6210" s="46"/>
    </row>
    <row r="6211" spans="1:1" hidden="1" x14ac:dyDescent="0.3">
      <c r="A6211" s="46"/>
    </row>
    <row r="6212" spans="1:1" hidden="1" x14ac:dyDescent="0.3">
      <c r="A6212" s="46"/>
    </row>
    <row r="6213" spans="1:1" hidden="1" x14ac:dyDescent="0.3">
      <c r="A6213" s="46"/>
    </row>
    <row r="6214" spans="1:1" hidden="1" x14ac:dyDescent="0.3">
      <c r="A6214" s="46"/>
    </row>
    <row r="6215" spans="1:1" hidden="1" x14ac:dyDescent="0.3">
      <c r="A6215" s="46"/>
    </row>
    <row r="6216" spans="1:1" hidden="1" x14ac:dyDescent="0.3">
      <c r="A6216" s="46"/>
    </row>
    <row r="6217" spans="1:1" hidden="1" x14ac:dyDescent="0.3">
      <c r="A6217" s="46"/>
    </row>
    <row r="6218" spans="1:1" hidden="1" x14ac:dyDescent="0.3">
      <c r="A6218" s="46"/>
    </row>
    <row r="6219" spans="1:1" hidden="1" x14ac:dyDescent="0.3">
      <c r="A6219" s="46"/>
    </row>
    <row r="6220" spans="1:1" hidden="1" x14ac:dyDescent="0.3">
      <c r="A6220" s="46"/>
    </row>
    <row r="6221" spans="1:1" hidden="1" x14ac:dyDescent="0.3">
      <c r="A6221" s="46"/>
    </row>
    <row r="6222" spans="1:1" hidden="1" x14ac:dyDescent="0.3">
      <c r="A6222" s="46"/>
    </row>
    <row r="6223" spans="1:1" hidden="1" x14ac:dyDescent="0.3">
      <c r="A6223" s="46"/>
    </row>
    <row r="6224" spans="1:1" hidden="1" x14ac:dyDescent="0.3">
      <c r="A6224" s="46"/>
    </row>
    <row r="6225" spans="1:1" hidden="1" x14ac:dyDescent="0.3">
      <c r="A6225" s="46"/>
    </row>
    <row r="6226" spans="1:1" hidden="1" x14ac:dyDescent="0.3">
      <c r="A6226" s="46"/>
    </row>
    <row r="6227" spans="1:1" hidden="1" x14ac:dyDescent="0.3">
      <c r="A6227" s="46"/>
    </row>
    <row r="6228" spans="1:1" hidden="1" x14ac:dyDescent="0.3">
      <c r="A6228" s="46"/>
    </row>
    <row r="6229" spans="1:1" hidden="1" x14ac:dyDescent="0.3">
      <c r="A6229" s="46"/>
    </row>
    <row r="6230" spans="1:1" hidden="1" x14ac:dyDescent="0.3">
      <c r="A6230" s="46"/>
    </row>
    <row r="6231" spans="1:1" hidden="1" x14ac:dyDescent="0.3">
      <c r="A6231" s="46"/>
    </row>
    <row r="6232" spans="1:1" hidden="1" x14ac:dyDescent="0.3">
      <c r="A6232" s="46"/>
    </row>
    <row r="6233" spans="1:1" hidden="1" x14ac:dyDescent="0.3">
      <c r="A6233" s="46"/>
    </row>
    <row r="6234" spans="1:1" hidden="1" x14ac:dyDescent="0.3">
      <c r="A6234" s="46"/>
    </row>
    <row r="6235" spans="1:1" hidden="1" x14ac:dyDescent="0.3">
      <c r="A6235" s="46"/>
    </row>
    <row r="6236" spans="1:1" hidden="1" x14ac:dyDescent="0.3">
      <c r="A6236" s="46"/>
    </row>
    <row r="6237" spans="1:1" hidden="1" x14ac:dyDescent="0.3">
      <c r="A6237" s="46"/>
    </row>
    <row r="6238" spans="1:1" hidden="1" x14ac:dyDescent="0.3">
      <c r="A6238" s="46"/>
    </row>
    <row r="6239" spans="1:1" hidden="1" x14ac:dyDescent="0.3">
      <c r="A6239" s="46"/>
    </row>
    <row r="6240" spans="1:1" hidden="1" x14ac:dyDescent="0.3">
      <c r="A6240" s="46"/>
    </row>
    <row r="6241" spans="1:1" hidden="1" x14ac:dyDescent="0.3">
      <c r="A6241" s="46"/>
    </row>
    <row r="6242" spans="1:1" hidden="1" x14ac:dyDescent="0.3">
      <c r="A6242" s="46"/>
    </row>
    <row r="6243" spans="1:1" hidden="1" x14ac:dyDescent="0.3">
      <c r="A6243" s="46"/>
    </row>
    <row r="6244" spans="1:1" hidden="1" x14ac:dyDescent="0.3">
      <c r="A6244" s="46"/>
    </row>
    <row r="6245" spans="1:1" hidden="1" x14ac:dyDescent="0.3">
      <c r="A6245" s="46"/>
    </row>
    <row r="6246" spans="1:1" hidden="1" x14ac:dyDescent="0.3">
      <c r="A6246" s="46"/>
    </row>
    <row r="6247" spans="1:1" hidden="1" x14ac:dyDescent="0.3">
      <c r="A6247" s="46"/>
    </row>
    <row r="6248" spans="1:1" hidden="1" x14ac:dyDescent="0.3">
      <c r="A6248" s="46"/>
    </row>
    <row r="6249" spans="1:1" hidden="1" x14ac:dyDescent="0.3">
      <c r="A6249" s="46"/>
    </row>
    <row r="6250" spans="1:1" hidden="1" x14ac:dyDescent="0.3">
      <c r="A6250" s="46"/>
    </row>
    <row r="6251" spans="1:1" hidden="1" x14ac:dyDescent="0.3">
      <c r="A6251" s="46"/>
    </row>
    <row r="6252" spans="1:1" hidden="1" x14ac:dyDescent="0.3">
      <c r="A6252" s="46"/>
    </row>
    <row r="6253" spans="1:1" hidden="1" x14ac:dyDescent="0.3">
      <c r="A6253" s="46"/>
    </row>
    <row r="6254" spans="1:1" hidden="1" x14ac:dyDescent="0.3">
      <c r="A6254" s="46"/>
    </row>
    <row r="6255" spans="1:1" hidden="1" x14ac:dyDescent="0.3">
      <c r="A6255" s="46"/>
    </row>
    <row r="6256" spans="1:1" hidden="1" x14ac:dyDescent="0.3">
      <c r="A6256" s="46"/>
    </row>
    <row r="6257" spans="1:1" hidden="1" x14ac:dyDescent="0.3">
      <c r="A6257" s="46"/>
    </row>
    <row r="6258" spans="1:1" hidden="1" x14ac:dyDescent="0.3">
      <c r="A6258" s="46"/>
    </row>
    <row r="6259" spans="1:1" hidden="1" x14ac:dyDescent="0.3">
      <c r="A6259" s="46"/>
    </row>
    <row r="6260" spans="1:1" hidden="1" x14ac:dyDescent="0.3">
      <c r="A6260" s="46"/>
    </row>
    <row r="6261" spans="1:1" hidden="1" x14ac:dyDescent="0.3">
      <c r="A6261" s="46"/>
    </row>
    <row r="6262" spans="1:1" hidden="1" x14ac:dyDescent="0.3">
      <c r="A6262" s="46"/>
    </row>
    <row r="6263" spans="1:1" hidden="1" x14ac:dyDescent="0.3">
      <c r="A6263" s="46"/>
    </row>
    <row r="6264" spans="1:1" hidden="1" x14ac:dyDescent="0.3">
      <c r="A6264" s="46"/>
    </row>
    <row r="6265" spans="1:1" hidden="1" x14ac:dyDescent="0.3">
      <c r="A6265" s="46"/>
    </row>
    <row r="6266" spans="1:1" hidden="1" x14ac:dyDescent="0.3">
      <c r="A6266" s="46"/>
    </row>
    <row r="6267" spans="1:1" hidden="1" x14ac:dyDescent="0.3">
      <c r="A6267" s="46"/>
    </row>
    <row r="6268" spans="1:1" hidden="1" x14ac:dyDescent="0.3">
      <c r="A6268" s="46"/>
    </row>
    <row r="6269" spans="1:1" hidden="1" x14ac:dyDescent="0.3">
      <c r="A6269" s="46"/>
    </row>
    <row r="6270" spans="1:1" hidden="1" x14ac:dyDescent="0.3">
      <c r="A6270" s="46"/>
    </row>
    <row r="6271" spans="1:1" hidden="1" x14ac:dyDescent="0.3">
      <c r="A6271" s="46"/>
    </row>
    <row r="6272" spans="1:1" hidden="1" x14ac:dyDescent="0.3">
      <c r="A6272" s="46"/>
    </row>
    <row r="6273" spans="1:1" hidden="1" x14ac:dyDescent="0.3">
      <c r="A6273" s="46"/>
    </row>
    <row r="6274" spans="1:1" hidden="1" x14ac:dyDescent="0.3">
      <c r="A6274" s="46"/>
    </row>
    <row r="6275" spans="1:1" hidden="1" x14ac:dyDescent="0.3">
      <c r="A6275" s="46"/>
    </row>
    <row r="6276" spans="1:1" hidden="1" x14ac:dyDescent="0.3">
      <c r="A6276" s="46"/>
    </row>
    <row r="6277" spans="1:1" hidden="1" x14ac:dyDescent="0.3">
      <c r="A6277" s="46"/>
    </row>
    <row r="6278" spans="1:1" hidden="1" x14ac:dyDescent="0.3">
      <c r="A6278" s="46"/>
    </row>
    <row r="6279" spans="1:1" hidden="1" x14ac:dyDescent="0.3">
      <c r="A6279" s="46"/>
    </row>
    <row r="6280" spans="1:1" hidden="1" x14ac:dyDescent="0.3">
      <c r="A6280" s="46"/>
    </row>
    <row r="6281" spans="1:1" hidden="1" x14ac:dyDescent="0.3">
      <c r="A6281" s="46"/>
    </row>
    <row r="6282" spans="1:1" hidden="1" x14ac:dyDescent="0.3">
      <c r="A6282" s="46"/>
    </row>
    <row r="6283" spans="1:1" hidden="1" x14ac:dyDescent="0.3">
      <c r="A6283" s="46"/>
    </row>
    <row r="6284" spans="1:1" hidden="1" x14ac:dyDescent="0.3">
      <c r="A6284" s="46"/>
    </row>
    <row r="6285" spans="1:1" hidden="1" x14ac:dyDescent="0.3">
      <c r="A6285" s="46"/>
    </row>
    <row r="6286" spans="1:1" hidden="1" x14ac:dyDescent="0.3">
      <c r="A6286" s="46"/>
    </row>
    <row r="6287" spans="1:1" hidden="1" x14ac:dyDescent="0.3">
      <c r="A6287" s="46"/>
    </row>
    <row r="6288" spans="1:1" hidden="1" x14ac:dyDescent="0.3">
      <c r="A6288" s="46"/>
    </row>
    <row r="6289" spans="1:1" hidden="1" x14ac:dyDescent="0.3">
      <c r="A6289" s="46"/>
    </row>
    <row r="6290" spans="1:1" hidden="1" x14ac:dyDescent="0.3">
      <c r="A6290" s="46"/>
    </row>
    <row r="6291" spans="1:1" hidden="1" x14ac:dyDescent="0.3">
      <c r="A6291" s="46"/>
    </row>
    <row r="6292" spans="1:1" hidden="1" x14ac:dyDescent="0.3">
      <c r="A6292" s="46"/>
    </row>
    <row r="6293" spans="1:1" hidden="1" x14ac:dyDescent="0.3">
      <c r="A6293" s="46"/>
    </row>
    <row r="6294" spans="1:1" hidden="1" x14ac:dyDescent="0.3">
      <c r="A6294" s="46"/>
    </row>
    <row r="6295" spans="1:1" hidden="1" x14ac:dyDescent="0.3">
      <c r="A6295" s="46"/>
    </row>
    <row r="6296" spans="1:1" hidden="1" x14ac:dyDescent="0.3">
      <c r="A6296" s="46"/>
    </row>
    <row r="6297" spans="1:1" hidden="1" x14ac:dyDescent="0.3">
      <c r="A6297" s="46"/>
    </row>
    <row r="6298" spans="1:1" hidden="1" x14ac:dyDescent="0.3">
      <c r="A6298" s="46"/>
    </row>
    <row r="6299" spans="1:1" hidden="1" x14ac:dyDescent="0.3">
      <c r="A6299" s="46"/>
    </row>
    <row r="6300" spans="1:1" hidden="1" x14ac:dyDescent="0.3">
      <c r="A6300" s="46"/>
    </row>
    <row r="6301" spans="1:1" hidden="1" x14ac:dyDescent="0.3">
      <c r="A6301" s="46"/>
    </row>
    <row r="6302" spans="1:1" hidden="1" x14ac:dyDescent="0.3">
      <c r="A6302" s="46"/>
    </row>
    <row r="6303" spans="1:1" hidden="1" x14ac:dyDescent="0.3">
      <c r="A6303" s="46"/>
    </row>
    <row r="6304" spans="1:1" hidden="1" x14ac:dyDescent="0.3">
      <c r="A6304" s="46"/>
    </row>
    <row r="6305" spans="1:1" hidden="1" x14ac:dyDescent="0.3">
      <c r="A6305" s="46"/>
    </row>
    <row r="6306" spans="1:1" hidden="1" x14ac:dyDescent="0.3">
      <c r="A6306" s="46"/>
    </row>
    <row r="6307" spans="1:1" hidden="1" x14ac:dyDescent="0.3">
      <c r="A6307" s="46"/>
    </row>
    <row r="6308" spans="1:1" hidden="1" x14ac:dyDescent="0.3">
      <c r="A6308" s="46"/>
    </row>
    <row r="6309" spans="1:1" hidden="1" x14ac:dyDescent="0.3">
      <c r="A6309" s="46"/>
    </row>
    <row r="6310" spans="1:1" hidden="1" x14ac:dyDescent="0.3">
      <c r="A6310" s="46"/>
    </row>
    <row r="6311" spans="1:1" hidden="1" x14ac:dyDescent="0.3">
      <c r="A6311" s="46"/>
    </row>
    <row r="6312" spans="1:1" hidden="1" x14ac:dyDescent="0.3">
      <c r="A6312" s="46"/>
    </row>
    <row r="6313" spans="1:1" hidden="1" x14ac:dyDescent="0.3">
      <c r="A6313" s="46"/>
    </row>
    <row r="6314" spans="1:1" hidden="1" x14ac:dyDescent="0.3">
      <c r="A6314" s="46"/>
    </row>
    <row r="6315" spans="1:1" hidden="1" x14ac:dyDescent="0.3">
      <c r="A6315" s="46"/>
    </row>
    <row r="6316" spans="1:1" hidden="1" x14ac:dyDescent="0.3">
      <c r="A6316" s="46"/>
    </row>
    <row r="6317" spans="1:1" hidden="1" x14ac:dyDescent="0.3">
      <c r="A6317" s="46"/>
    </row>
    <row r="6318" spans="1:1" hidden="1" x14ac:dyDescent="0.3">
      <c r="A6318" s="46"/>
    </row>
    <row r="6319" spans="1:1" hidden="1" x14ac:dyDescent="0.3">
      <c r="A6319" s="46"/>
    </row>
    <row r="6320" spans="1:1" hidden="1" x14ac:dyDescent="0.3">
      <c r="A6320" s="46"/>
    </row>
    <row r="6321" spans="1:1" hidden="1" x14ac:dyDescent="0.3">
      <c r="A6321" s="46"/>
    </row>
    <row r="6322" spans="1:1" hidden="1" x14ac:dyDescent="0.3">
      <c r="A6322" s="46"/>
    </row>
    <row r="6323" spans="1:1" hidden="1" x14ac:dyDescent="0.3">
      <c r="A6323" s="46"/>
    </row>
    <row r="6324" spans="1:1" hidden="1" x14ac:dyDescent="0.3">
      <c r="A6324" s="46"/>
    </row>
    <row r="6325" spans="1:1" hidden="1" x14ac:dyDescent="0.3">
      <c r="A6325" s="46"/>
    </row>
    <row r="6326" spans="1:1" hidden="1" x14ac:dyDescent="0.3">
      <c r="A6326" s="46"/>
    </row>
    <row r="6327" spans="1:1" hidden="1" x14ac:dyDescent="0.3">
      <c r="A6327" s="46"/>
    </row>
    <row r="6328" spans="1:1" hidden="1" x14ac:dyDescent="0.3">
      <c r="A6328" s="46"/>
    </row>
    <row r="6329" spans="1:1" hidden="1" x14ac:dyDescent="0.3">
      <c r="A6329" s="46"/>
    </row>
    <row r="6330" spans="1:1" hidden="1" x14ac:dyDescent="0.3">
      <c r="A6330" s="46"/>
    </row>
    <row r="6331" spans="1:1" hidden="1" x14ac:dyDescent="0.3">
      <c r="A6331" s="46"/>
    </row>
    <row r="6332" spans="1:1" hidden="1" x14ac:dyDescent="0.3">
      <c r="A6332" s="46"/>
    </row>
    <row r="6333" spans="1:1" hidden="1" x14ac:dyDescent="0.3">
      <c r="A6333" s="46"/>
    </row>
    <row r="6334" spans="1:1" hidden="1" x14ac:dyDescent="0.3">
      <c r="A6334" s="46"/>
    </row>
    <row r="6335" spans="1:1" hidden="1" x14ac:dyDescent="0.3">
      <c r="A6335" s="46"/>
    </row>
    <row r="6336" spans="1:1" hidden="1" x14ac:dyDescent="0.3">
      <c r="A6336" s="46"/>
    </row>
    <row r="6337" spans="1:1" hidden="1" x14ac:dyDescent="0.3">
      <c r="A6337" s="46"/>
    </row>
    <row r="6338" spans="1:1" hidden="1" x14ac:dyDescent="0.3">
      <c r="A6338" s="46"/>
    </row>
    <row r="6339" spans="1:1" hidden="1" x14ac:dyDescent="0.3">
      <c r="A6339" s="46"/>
    </row>
    <row r="6340" spans="1:1" hidden="1" x14ac:dyDescent="0.3">
      <c r="A6340" s="46"/>
    </row>
    <row r="6341" spans="1:1" hidden="1" x14ac:dyDescent="0.3">
      <c r="A6341" s="46"/>
    </row>
    <row r="6342" spans="1:1" hidden="1" x14ac:dyDescent="0.3">
      <c r="A6342" s="46"/>
    </row>
    <row r="6343" spans="1:1" hidden="1" x14ac:dyDescent="0.3">
      <c r="A6343" s="46"/>
    </row>
    <row r="6344" spans="1:1" hidden="1" x14ac:dyDescent="0.3">
      <c r="A6344" s="46"/>
    </row>
    <row r="6345" spans="1:1" hidden="1" x14ac:dyDescent="0.3">
      <c r="A6345" s="46"/>
    </row>
    <row r="6346" spans="1:1" hidden="1" x14ac:dyDescent="0.3">
      <c r="A6346" s="46"/>
    </row>
    <row r="6347" spans="1:1" hidden="1" x14ac:dyDescent="0.3">
      <c r="A6347" s="46"/>
    </row>
    <row r="6348" spans="1:1" hidden="1" x14ac:dyDescent="0.3">
      <c r="A6348" s="46"/>
    </row>
    <row r="6349" spans="1:1" hidden="1" x14ac:dyDescent="0.3">
      <c r="A6349" s="46"/>
    </row>
    <row r="6350" spans="1:1" hidden="1" x14ac:dyDescent="0.3">
      <c r="A6350" s="46"/>
    </row>
    <row r="6351" spans="1:1" hidden="1" x14ac:dyDescent="0.3">
      <c r="A6351" s="46"/>
    </row>
    <row r="6352" spans="1:1" hidden="1" x14ac:dyDescent="0.3">
      <c r="A6352" s="46"/>
    </row>
    <row r="6353" spans="1:1" hidden="1" x14ac:dyDescent="0.3">
      <c r="A6353" s="46"/>
    </row>
    <row r="6354" spans="1:1" hidden="1" x14ac:dyDescent="0.3">
      <c r="A6354" s="46"/>
    </row>
    <row r="6355" spans="1:1" hidden="1" x14ac:dyDescent="0.3">
      <c r="A6355" s="46"/>
    </row>
    <row r="6356" spans="1:1" hidden="1" x14ac:dyDescent="0.3">
      <c r="A6356" s="46"/>
    </row>
    <row r="6357" spans="1:1" hidden="1" x14ac:dyDescent="0.3">
      <c r="A6357" s="46"/>
    </row>
    <row r="6358" spans="1:1" hidden="1" x14ac:dyDescent="0.3">
      <c r="A6358" s="46"/>
    </row>
    <row r="6359" spans="1:1" hidden="1" x14ac:dyDescent="0.3">
      <c r="A6359" s="46"/>
    </row>
    <row r="6360" spans="1:1" hidden="1" x14ac:dyDescent="0.3">
      <c r="A6360" s="46"/>
    </row>
    <row r="6361" spans="1:1" hidden="1" x14ac:dyDescent="0.3">
      <c r="A6361" s="46"/>
    </row>
    <row r="6362" spans="1:1" hidden="1" x14ac:dyDescent="0.3">
      <c r="A6362" s="46"/>
    </row>
    <row r="6363" spans="1:1" hidden="1" x14ac:dyDescent="0.3">
      <c r="A6363" s="46"/>
    </row>
    <row r="6364" spans="1:1" hidden="1" x14ac:dyDescent="0.3">
      <c r="A6364" s="46"/>
    </row>
    <row r="6365" spans="1:1" hidden="1" x14ac:dyDescent="0.3">
      <c r="A6365" s="46"/>
    </row>
    <row r="6366" spans="1:1" hidden="1" x14ac:dyDescent="0.3">
      <c r="A6366" s="46"/>
    </row>
    <row r="6367" spans="1:1" hidden="1" x14ac:dyDescent="0.3">
      <c r="A6367" s="46"/>
    </row>
    <row r="6368" spans="1:1" hidden="1" x14ac:dyDescent="0.3">
      <c r="A6368" s="46"/>
    </row>
    <row r="6369" spans="1:1" hidden="1" x14ac:dyDescent="0.3">
      <c r="A6369" s="46"/>
    </row>
    <row r="6370" spans="1:1" hidden="1" x14ac:dyDescent="0.3">
      <c r="A6370" s="46"/>
    </row>
    <row r="6371" spans="1:1" hidden="1" x14ac:dyDescent="0.3">
      <c r="A6371" s="46"/>
    </row>
    <row r="6372" spans="1:1" hidden="1" x14ac:dyDescent="0.3">
      <c r="A6372" s="46"/>
    </row>
    <row r="6373" spans="1:1" hidden="1" x14ac:dyDescent="0.3">
      <c r="A6373" s="46"/>
    </row>
    <row r="6374" spans="1:1" hidden="1" x14ac:dyDescent="0.3">
      <c r="A6374" s="46"/>
    </row>
    <row r="6375" spans="1:1" hidden="1" x14ac:dyDescent="0.3">
      <c r="A6375" s="46"/>
    </row>
    <row r="6376" spans="1:1" hidden="1" x14ac:dyDescent="0.3">
      <c r="A6376" s="46"/>
    </row>
    <row r="6377" spans="1:1" hidden="1" x14ac:dyDescent="0.3">
      <c r="A6377" s="46"/>
    </row>
    <row r="6378" spans="1:1" hidden="1" x14ac:dyDescent="0.3">
      <c r="A6378" s="46"/>
    </row>
    <row r="6379" spans="1:1" hidden="1" x14ac:dyDescent="0.3">
      <c r="A6379" s="46"/>
    </row>
    <row r="6380" spans="1:1" hidden="1" x14ac:dyDescent="0.3">
      <c r="A6380" s="46"/>
    </row>
    <row r="6381" spans="1:1" hidden="1" x14ac:dyDescent="0.3">
      <c r="A6381" s="46"/>
    </row>
    <row r="6382" spans="1:1" hidden="1" x14ac:dyDescent="0.3">
      <c r="A6382" s="46"/>
    </row>
    <row r="6383" spans="1:1" hidden="1" x14ac:dyDescent="0.3">
      <c r="A6383" s="46"/>
    </row>
    <row r="6384" spans="1:1" hidden="1" x14ac:dyDescent="0.3">
      <c r="A6384" s="46"/>
    </row>
    <row r="6385" spans="1:1" hidden="1" x14ac:dyDescent="0.3">
      <c r="A6385" s="46"/>
    </row>
    <row r="6386" spans="1:1" hidden="1" x14ac:dyDescent="0.3">
      <c r="A6386" s="46"/>
    </row>
    <row r="6387" spans="1:1" hidden="1" x14ac:dyDescent="0.3">
      <c r="A6387" s="46"/>
    </row>
    <row r="6388" spans="1:1" hidden="1" x14ac:dyDescent="0.3">
      <c r="A6388" s="46"/>
    </row>
    <row r="6389" spans="1:1" hidden="1" x14ac:dyDescent="0.3">
      <c r="A6389" s="46"/>
    </row>
    <row r="6390" spans="1:1" hidden="1" x14ac:dyDescent="0.3">
      <c r="A6390" s="46"/>
    </row>
    <row r="6391" spans="1:1" hidden="1" x14ac:dyDescent="0.3">
      <c r="A6391" s="46"/>
    </row>
    <row r="6392" spans="1:1" hidden="1" x14ac:dyDescent="0.3">
      <c r="A6392" s="46"/>
    </row>
    <row r="6393" spans="1:1" hidden="1" x14ac:dyDescent="0.3">
      <c r="A6393" s="46"/>
    </row>
    <row r="6394" spans="1:1" hidden="1" x14ac:dyDescent="0.3">
      <c r="A6394" s="46"/>
    </row>
    <row r="6395" spans="1:1" hidden="1" x14ac:dyDescent="0.3">
      <c r="A6395" s="46"/>
    </row>
    <row r="6396" spans="1:1" hidden="1" x14ac:dyDescent="0.3">
      <c r="A6396" s="46"/>
    </row>
    <row r="6397" spans="1:1" hidden="1" x14ac:dyDescent="0.3">
      <c r="A6397" s="46"/>
    </row>
    <row r="6398" spans="1:1" hidden="1" x14ac:dyDescent="0.3">
      <c r="A6398" s="46"/>
    </row>
    <row r="6399" spans="1:1" hidden="1" x14ac:dyDescent="0.3">
      <c r="A6399" s="46"/>
    </row>
    <row r="6400" spans="1:1" hidden="1" x14ac:dyDescent="0.3">
      <c r="A6400" s="46"/>
    </row>
    <row r="6401" spans="1:1" hidden="1" x14ac:dyDescent="0.3">
      <c r="A6401" s="46"/>
    </row>
    <row r="6402" spans="1:1" hidden="1" x14ac:dyDescent="0.3">
      <c r="A6402" s="46"/>
    </row>
    <row r="6403" spans="1:1" hidden="1" x14ac:dyDescent="0.3">
      <c r="A6403" s="46"/>
    </row>
    <row r="6404" spans="1:1" hidden="1" x14ac:dyDescent="0.3">
      <c r="A6404" s="46"/>
    </row>
    <row r="6405" spans="1:1" hidden="1" x14ac:dyDescent="0.3">
      <c r="A6405" s="46"/>
    </row>
    <row r="6406" spans="1:1" hidden="1" x14ac:dyDescent="0.3">
      <c r="A6406" s="46"/>
    </row>
    <row r="6407" spans="1:1" hidden="1" x14ac:dyDescent="0.3">
      <c r="A6407" s="46"/>
    </row>
    <row r="6408" spans="1:1" hidden="1" x14ac:dyDescent="0.3">
      <c r="A6408" s="46"/>
    </row>
    <row r="6409" spans="1:1" hidden="1" x14ac:dyDescent="0.3">
      <c r="A6409" s="46"/>
    </row>
    <row r="6410" spans="1:1" hidden="1" x14ac:dyDescent="0.3">
      <c r="A6410" s="46"/>
    </row>
    <row r="6411" spans="1:1" hidden="1" x14ac:dyDescent="0.3">
      <c r="A6411" s="46"/>
    </row>
    <row r="6412" spans="1:1" hidden="1" x14ac:dyDescent="0.3">
      <c r="A6412" s="46"/>
    </row>
    <row r="6413" spans="1:1" hidden="1" x14ac:dyDescent="0.3">
      <c r="A6413" s="46"/>
    </row>
    <row r="6414" spans="1:1" hidden="1" x14ac:dyDescent="0.3">
      <c r="A6414" s="46"/>
    </row>
    <row r="6415" spans="1:1" hidden="1" x14ac:dyDescent="0.3">
      <c r="A6415" s="46"/>
    </row>
    <row r="6416" spans="1:1" hidden="1" x14ac:dyDescent="0.3">
      <c r="A6416" s="46"/>
    </row>
    <row r="6417" spans="1:1" hidden="1" x14ac:dyDescent="0.3">
      <c r="A6417" s="46"/>
    </row>
    <row r="6418" spans="1:1" hidden="1" x14ac:dyDescent="0.3">
      <c r="A6418" s="46"/>
    </row>
    <row r="6419" spans="1:1" hidden="1" x14ac:dyDescent="0.3">
      <c r="A6419" s="46"/>
    </row>
    <row r="6420" spans="1:1" hidden="1" x14ac:dyDescent="0.3">
      <c r="A6420" s="46"/>
    </row>
    <row r="6421" spans="1:1" hidden="1" x14ac:dyDescent="0.3">
      <c r="A6421" s="46"/>
    </row>
    <row r="6422" spans="1:1" hidden="1" x14ac:dyDescent="0.3">
      <c r="A6422" s="46"/>
    </row>
    <row r="6423" spans="1:1" hidden="1" x14ac:dyDescent="0.3">
      <c r="A6423" s="46"/>
    </row>
    <row r="6424" spans="1:1" hidden="1" x14ac:dyDescent="0.3">
      <c r="A6424" s="46"/>
    </row>
    <row r="6425" spans="1:1" hidden="1" x14ac:dyDescent="0.3">
      <c r="A6425" s="46"/>
    </row>
    <row r="6426" spans="1:1" hidden="1" x14ac:dyDescent="0.3">
      <c r="A6426" s="46"/>
    </row>
    <row r="6427" spans="1:1" hidden="1" x14ac:dyDescent="0.3">
      <c r="A6427" s="46"/>
    </row>
    <row r="6428" spans="1:1" hidden="1" x14ac:dyDescent="0.3">
      <c r="A6428" s="46"/>
    </row>
    <row r="6429" spans="1:1" hidden="1" x14ac:dyDescent="0.3">
      <c r="A6429" s="46"/>
    </row>
    <row r="6430" spans="1:1" hidden="1" x14ac:dyDescent="0.3">
      <c r="A6430" s="46"/>
    </row>
    <row r="6431" spans="1:1" hidden="1" x14ac:dyDescent="0.3">
      <c r="A6431" s="46"/>
    </row>
    <row r="6432" spans="1:1" hidden="1" x14ac:dyDescent="0.3">
      <c r="A6432" s="46"/>
    </row>
    <row r="6433" spans="1:1" hidden="1" x14ac:dyDescent="0.3">
      <c r="A6433" s="46"/>
    </row>
    <row r="6434" spans="1:1" hidden="1" x14ac:dyDescent="0.3">
      <c r="A6434" s="46"/>
    </row>
    <row r="6435" spans="1:1" hidden="1" x14ac:dyDescent="0.3">
      <c r="A6435" s="46"/>
    </row>
    <row r="6436" spans="1:1" hidden="1" x14ac:dyDescent="0.3">
      <c r="A6436" s="46"/>
    </row>
    <row r="6437" spans="1:1" hidden="1" x14ac:dyDescent="0.3">
      <c r="A6437" s="46"/>
    </row>
    <row r="6438" spans="1:1" hidden="1" x14ac:dyDescent="0.3">
      <c r="A6438" s="46"/>
    </row>
    <row r="6439" spans="1:1" hidden="1" x14ac:dyDescent="0.3">
      <c r="A6439" s="46"/>
    </row>
    <row r="6440" spans="1:1" hidden="1" x14ac:dyDescent="0.3">
      <c r="A6440" s="46"/>
    </row>
    <row r="6441" spans="1:1" hidden="1" x14ac:dyDescent="0.3">
      <c r="A6441" s="46"/>
    </row>
    <row r="6442" spans="1:1" hidden="1" x14ac:dyDescent="0.3">
      <c r="A6442" s="46"/>
    </row>
    <row r="6443" spans="1:1" hidden="1" x14ac:dyDescent="0.3">
      <c r="A6443" s="46"/>
    </row>
    <row r="6444" spans="1:1" hidden="1" x14ac:dyDescent="0.3">
      <c r="A6444" s="46"/>
    </row>
    <row r="6445" spans="1:1" hidden="1" x14ac:dyDescent="0.3">
      <c r="A6445" s="46"/>
    </row>
    <row r="6446" spans="1:1" hidden="1" x14ac:dyDescent="0.3">
      <c r="A6446" s="46"/>
    </row>
    <row r="6447" spans="1:1" hidden="1" x14ac:dyDescent="0.3">
      <c r="A6447" s="46"/>
    </row>
    <row r="6448" spans="1:1" hidden="1" x14ac:dyDescent="0.3">
      <c r="A6448" s="46"/>
    </row>
    <row r="6449" spans="1:1" hidden="1" x14ac:dyDescent="0.3">
      <c r="A6449" s="46"/>
    </row>
    <row r="6450" spans="1:1" hidden="1" x14ac:dyDescent="0.3">
      <c r="A6450" s="46"/>
    </row>
    <row r="6451" spans="1:1" hidden="1" x14ac:dyDescent="0.3">
      <c r="A6451" s="46"/>
    </row>
    <row r="6452" spans="1:1" hidden="1" x14ac:dyDescent="0.3">
      <c r="A6452" s="46"/>
    </row>
    <row r="6453" spans="1:1" hidden="1" x14ac:dyDescent="0.3">
      <c r="A6453" s="46"/>
    </row>
    <row r="6454" spans="1:1" hidden="1" x14ac:dyDescent="0.3">
      <c r="A6454" s="46"/>
    </row>
    <row r="6455" spans="1:1" hidden="1" x14ac:dyDescent="0.3">
      <c r="A6455" s="46"/>
    </row>
    <row r="6456" spans="1:1" hidden="1" x14ac:dyDescent="0.3">
      <c r="A6456" s="46"/>
    </row>
    <row r="6457" spans="1:1" hidden="1" x14ac:dyDescent="0.3">
      <c r="A6457" s="46"/>
    </row>
    <row r="6458" spans="1:1" hidden="1" x14ac:dyDescent="0.3">
      <c r="A6458" s="46"/>
    </row>
    <row r="6459" spans="1:1" hidden="1" x14ac:dyDescent="0.3">
      <c r="A6459" s="46"/>
    </row>
    <row r="6460" spans="1:1" hidden="1" x14ac:dyDescent="0.3">
      <c r="A6460" s="46"/>
    </row>
    <row r="6461" spans="1:1" hidden="1" x14ac:dyDescent="0.3">
      <c r="A6461" s="46"/>
    </row>
    <row r="6462" spans="1:1" hidden="1" x14ac:dyDescent="0.3">
      <c r="A6462" s="46"/>
    </row>
    <row r="6463" spans="1:1" hidden="1" x14ac:dyDescent="0.3">
      <c r="A6463" s="46"/>
    </row>
    <row r="6464" spans="1:1" hidden="1" x14ac:dyDescent="0.3">
      <c r="A6464" s="46"/>
    </row>
    <row r="6465" spans="1:1" hidden="1" x14ac:dyDescent="0.3">
      <c r="A6465" s="46"/>
    </row>
    <row r="6466" spans="1:1" hidden="1" x14ac:dyDescent="0.3">
      <c r="A6466" s="46"/>
    </row>
    <row r="6467" spans="1:1" hidden="1" x14ac:dyDescent="0.3">
      <c r="A6467" s="46"/>
    </row>
    <row r="6468" spans="1:1" hidden="1" x14ac:dyDescent="0.3">
      <c r="A6468" s="46"/>
    </row>
    <row r="6469" spans="1:1" hidden="1" x14ac:dyDescent="0.3">
      <c r="A6469" s="46"/>
    </row>
    <row r="6470" spans="1:1" hidden="1" x14ac:dyDescent="0.3">
      <c r="A6470" s="46"/>
    </row>
    <row r="6471" spans="1:1" hidden="1" x14ac:dyDescent="0.3">
      <c r="A6471" s="46"/>
    </row>
    <row r="6472" spans="1:1" hidden="1" x14ac:dyDescent="0.3">
      <c r="A6472" s="46"/>
    </row>
    <row r="6473" spans="1:1" hidden="1" x14ac:dyDescent="0.3">
      <c r="A6473" s="46"/>
    </row>
    <row r="6474" spans="1:1" hidden="1" x14ac:dyDescent="0.3">
      <c r="A6474" s="46"/>
    </row>
    <row r="6475" spans="1:1" hidden="1" x14ac:dyDescent="0.3">
      <c r="A6475" s="46"/>
    </row>
    <row r="6476" spans="1:1" hidden="1" x14ac:dyDescent="0.3">
      <c r="A6476" s="46"/>
    </row>
    <row r="6477" spans="1:1" hidden="1" x14ac:dyDescent="0.3">
      <c r="A6477" s="46"/>
    </row>
    <row r="6478" spans="1:1" hidden="1" x14ac:dyDescent="0.3">
      <c r="A6478" s="46"/>
    </row>
    <row r="6479" spans="1:1" hidden="1" x14ac:dyDescent="0.3">
      <c r="A6479" s="46"/>
    </row>
    <row r="6480" spans="1:1" hidden="1" x14ac:dyDescent="0.3">
      <c r="A6480" s="46"/>
    </row>
    <row r="6481" spans="1:1" hidden="1" x14ac:dyDescent="0.3">
      <c r="A6481" s="46"/>
    </row>
    <row r="6482" spans="1:1" hidden="1" x14ac:dyDescent="0.3">
      <c r="A6482" s="46"/>
    </row>
    <row r="6483" spans="1:1" hidden="1" x14ac:dyDescent="0.3">
      <c r="A6483" s="46"/>
    </row>
    <row r="6484" spans="1:1" hidden="1" x14ac:dyDescent="0.3">
      <c r="A6484" s="46"/>
    </row>
    <row r="6485" spans="1:1" hidden="1" x14ac:dyDescent="0.3">
      <c r="A6485" s="46"/>
    </row>
    <row r="6486" spans="1:1" hidden="1" x14ac:dyDescent="0.3">
      <c r="A6486" s="46"/>
    </row>
    <row r="6487" spans="1:1" hidden="1" x14ac:dyDescent="0.3">
      <c r="A6487" s="46"/>
    </row>
    <row r="6488" spans="1:1" hidden="1" x14ac:dyDescent="0.3">
      <c r="A6488" s="46"/>
    </row>
    <row r="6489" spans="1:1" hidden="1" x14ac:dyDescent="0.3">
      <c r="A6489" s="46"/>
    </row>
    <row r="6490" spans="1:1" hidden="1" x14ac:dyDescent="0.3">
      <c r="A6490" s="46"/>
    </row>
    <row r="6491" spans="1:1" hidden="1" x14ac:dyDescent="0.3">
      <c r="A6491" s="46"/>
    </row>
    <row r="6492" spans="1:1" hidden="1" x14ac:dyDescent="0.3">
      <c r="A6492" s="46"/>
    </row>
    <row r="6493" spans="1:1" hidden="1" x14ac:dyDescent="0.3">
      <c r="A6493" s="46"/>
    </row>
    <row r="6494" spans="1:1" hidden="1" x14ac:dyDescent="0.3">
      <c r="A6494" s="46"/>
    </row>
    <row r="6495" spans="1:1" hidden="1" x14ac:dyDescent="0.3">
      <c r="A6495" s="46"/>
    </row>
    <row r="6496" spans="1:1" hidden="1" x14ac:dyDescent="0.3">
      <c r="A6496" s="46"/>
    </row>
    <row r="6497" spans="1:1" hidden="1" x14ac:dyDescent="0.3">
      <c r="A6497" s="46"/>
    </row>
    <row r="6498" spans="1:1" hidden="1" x14ac:dyDescent="0.3">
      <c r="A6498" s="46"/>
    </row>
    <row r="6499" spans="1:1" hidden="1" x14ac:dyDescent="0.3">
      <c r="A6499" s="46"/>
    </row>
    <row r="6500" spans="1:1" hidden="1" x14ac:dyDescent="0.3">
      <c r="A6500" s="46"/>
    </row>
    <row r="6501" spans="1:1" hidden="1" x14ac:dyDescent="0.3">
      <c r="A6501" s="46"/>
    </row>
    <row r="6502" spans="1:1" hidden="1" x14ac:dyDescent="0.3">
      <c r="A6502" s="46"/>
    </row>
    <row r="6503" spans="1:1" hidden="1" x14ac:dyDescent="0.3">
      <c r="A6503" s="46"/>
    </row>
    <row r="6504" spans="1:1" hidden="1" x14ac:dyDescent="0.3">
      <c r="A6504" s="46"/>
    </row>
    <row r="6505" spans="1:1" hidden="1" x14ac:dyDescent="0.3">
      <c r="A6505" s="46"/>
    </row>
    <row r="6506" spans="1:1" hidden="1" x14ac:dyDescent="0.3">
      <c r="A6506" s="46"/>
    </row>
    <row r="6507" spans="1:1" hidden="1" x14ac:dyDescent="0.3">
      <c r="A6507" s="46"/>
    </row>
    <row r="6508" spans="1:1" hidden="1" x14ac:dyDescent="0.3">
      <c r="A6508" s="46"/>
    </row>
    <row r="6509" spans="1:1" hidden="1" x14ac:dyDescent="0.3">
      <c r="A6509" s="46"/>
    </row>
    <row r="6510" spans="1:1" hidden="1" x14ac:dyDescent="0.3">
      <c r="A6510" s="46"/>
    </row>
    <row r="6511" spans="1:1" hidden="1" x14ac:dyDescent="0.3">
      <c r="A6511" s="46"/>
    </row>
    <row r="6512" spans="1:1" hidden="1" x14ac:dyDescent="0.3">
      <c r="A6512" s="46"/>
    </row>
    <row r="6513" spans="1:1" hidden="1" x14ac:dyDescent="0.3">
      <c r="A6513" s="46"/>
    </row>
    <row r="6514" spans="1:1" hidden="1" x14ac:dyDescent="0.3">
      <c r="A6514" s="46"/>
    </row>
    <row r="6515" spans="1:1" hidden="1" x14ac:dyDescent="0.3">
      <c r="A6515" s="46"/>
    </row>
    <row r="6516" spans="1:1" hidden="1" x14ac:dyDescent="0.3">
      <c r="A6516" s="46"/>
    </row>
    <row r="6517" spans="1:1" hidden="1" x14ac:dyDescent="0.3">
      <c r="A6517" s="46"/>
    </row>
    <row r="6518" spans="1:1" hidden="1" x14ac:dyDescent="0.3">
      <c r="A6518" s="46"/>
    </row>
    <row r="6519" spans="1:1" hidden="1" x14ac:dyDescent="0.3">
      <c r="A6519" s="46"/>
    </row>
    <row r="6520" spans="1:1" hidden="1" x14ac:dyDescent="0.3">
      <c r="A6520" s="46"/>
    </row>
    <row r="6521" spans="1:1" hidden="1" x14ac:dyDescent="0.3">
      <c r="A6521" s="46"/>
    </row>
    <row r="6522" spans="1:1" hidden="1" x14ac:dyDescent="0.3">
      <c r="A6522" s="46"/>
    </row>
    <row r="6523" spans="1:1" hidden="1" x14ac:dyDescent="0.3">
      <c r="A6523" s="46"/>
    </row>
    <row r="6524" spans="1:1" hidden="1" x14ac:dyDescent="0.3">
      <c r="A6524" s="46"/>
    </row>
    <row r="6525" spans="1:1" hidden="1" x14ac:dyDescent="0.3">
      <c r="A6525" s="46"/>
    </row>
    <row r="6526" spans="1:1" hidden="1" x14ac:dyDescent="0.3">
      <c r="A6526" s="46"/>
    </row>
    <row r="6527" spans="1:1" hidden="1" x14ac:dyDescent="0.3">
      <c r="A6527" s="46"/>
    </row>
    <row r="6528" spans="1:1" hidden="1" x14ac:dyDescent="0.3">
      <c r="A6528" s="46"/>
    </row>
    <row r="6529" spans="1:1" hidden="1" x14ac:dyDescent="0.3">
      <c r="A6529" s="46"/>
    </row>
    <row r="6530" spans="1:1" hidden="1" x14ac:dyDescent="0.3">
      <c r="A6530" s="46"/>
    </row>
    <row r="6531" spans="1:1" hidden="1" x14ac:dyDescent="0.3">
      <c r="A6531" s="46"/>
    </row>
    <row r="6532" spans="1:1" hidden="1" x14ac:dyDescent="0.3">
      <c r="A6532" s="46"/>
    </row>
    <row r="6533" spans="1:1" hidden="1" x14ac:dyDescent="0.3">
      <c r="A6533" s="46"/>
    </row>
    <row r="6534" spans="1:1" hidden="1" x14ac:dyDescent="0.3">
      <c r="A6534" s="46"/>
    </row>
    <row r="6535" spans="1:1" hidden="1" x14ac:dyDescent="0.3">
      <c r="A6535" s="46"/>
    </row>
    <row r="6536" spans="1:1" hidden="1" x14ac:dyDescent="0.3">
      <c r="A6536" s="46"/>
    </row>
    <row r="6537" spans="1:1" hidden="1" x14ac:dyDescent="0.3">
      <c r="A6537" s="46"/>
    </row>
    <row r="6538" spans="1:1" hidden="1" x14ac:dyDescent="0.3">
      <c r="A6538" s="46"/>
    </row>
    <row r="6539" spans="1:1" hidden="1" x14ac:dyDescent="0.3">
      <c r="A6539" s="46"/>
    </row>
    <row r="6540" spans="1:1" hidden="1" x14ac:dyDescent="0.3">
      <c r="A6540" s="46"/>
    </row>
    <row r="6541" spans="1:1" hidden="1" x14ac:dyDescent="0.3">
      <c r="A6541" s="46"/>
    </row>
    <row r="6542" spans="1:1" hidden="1" x14ac:dyDescent="0.3">
      <c r="A6542" s="46"/>
    </row>
    <row r="6543" spans="1:1" hidden="1" x14ac:dyDescent="0.3">
      <c r="A6543" s="46"/>
    </row>
    <row r="6544" spans="1:1" hidden="1" x14ac:dyDescent="0.3">
      <c r="A6544" s="46"/>
    </row>
    <row r="6545" spans="1:1" hidden="1" x14ac:dyDescent="0.3">
      <c r="A6545" s="46"/>
    </row>
    <row r="6546" spans="1:1" hidden="1" x14ac:dyDescent="0.3">
      <c r="A6546" s="46"/>
    </row>
    <row r="6547" spans="1:1" hidden="1" x14ac:dyDescent="0.3">
      <c r="A6547" s="46"/>
    </row>
    <row r="6548" spans="1:1" hidden="1" x14ac:dyDescent="0.3">
      <c r="A6548" s="46"/>
    </row>
    <row r="6549" spans="1:1" hidden="1" x14ac:dyDescent="0.3">
      <c r="A6549" s="46"/>
    </row>
    <row r="6550" spans="1:1" hidden="1" x14ac:dyDescent="0.3">
      <c r="A6550" s="46"/>
    </row>
    <row r="6551" spans="1:1" hidden="1" x14ac:dyDescent="0.3">
      <c r="A6551" s="46"/>
    </row>
    <row r="6552" spans="1:1" hidden="1" x14ac:dyDescent="0.3">
      <c r="A6552" s="46"/>
    </row>
    <row r="6553" spans="1:1" hidden="1" x14ac:dyDescent="0.3">
      <c r="A6553" s="46"/>
    </row>
    <row r="6554" spans="1:1" hidden="1" x14ac:dyDescent="0.3">
      <c r="A6554" s="46"/>
    </row>
    <row r="6555" spans="1:1" hidden="1" x14ac:dyDescent="0.3">
      <c r="A6555" s="46"/>
    </row>
    <row r="6556" spans="1:1" hidden="1" x14ac:dyDescent="0.3">
      <c r="A6556" s="46"/>
    </row>
    <row r="6557" spans="1:1" hidden="1" x14ac:dyDescent="0.3">
      <c r="A6557" s="46"/>
    </row>
    <row r="6558" spans="1:1" hidden="1" x14ac:dyDescent="0.3">
      <c r="A6558" s="46"/>
    </row>
    <row r="6559" spans="1:1" hidden="1" x14ac:dyDescent="0.3">
      <c r="A6559" s="46"/>
    </row>
    <row r="6560" spans="1:1" hidden="1" x14ac:dyDescent="0.3">
      <c r="A6560" s="46"/>
    </row>
    <row r="6561" spans="1:1" hidden="1" x14ac:dyDescent="0.3">
      <c r="A6561" s="46"/>
    </row>
    <row r="6562" spans="1:1" hidden="1" x14ac:dyDescent="0.3">
      <c r="A6562" s="46"/>
    </row>
    <row r="6563" spans="1:1" hidden="1" x14ac:dyDescent="0.3">
      <c r="A6563" s="46"/>
    </row>
    <row r="6564" spans="1:1" hidden="1" x14ac:dyDescent="0.3">
      <c r="A6564" s="46"/>
    </row>
    <row r="6565" spans="1:1" hidden="1" x14ac:dyDescent="0.3">
      <c r="A6565" s="46"/>
    </row>
    <row r="6566" spans="1:1" hidden="1" x14ac:dyDescent="0.3">
      <c r="A6566" s="46"/>
    </row>
    <row r="6567" spans="1:1" hidden="1" x14ac:dyDescent="0.3">
      <c r="A6567" s="46"/>
    </row>
    <row r="6568" spans="1:1" hidden="1" x14ac:dyDescent="0.3">
      <c r="A6568" s="46"/>
    </row>
    <row r="6569" spans="1:1" hidden="1" x14ac:dyDescent="0.3">
      <c r="A6569" s="46"/>
    </row>
    <row r="6570" spans="1:1" hidden="1" x14ac:dyDescent="0.3">
      <c r="A6570" s="46"/>
    </row>
    <row r="6571" spans="1:1" hidden="1" x14ac:dyDescent="0.3">
      <c r="A6571" s="46"/>
    </row>
    <row r="6572" spans="1:1" hidden="1" x14ac:dyDescent="0.3">
      <c r="A6572" s="46"/>
    </row>
    <row r="6573" spans="1:1" hidden="1" x14ac:dyDescent="0.3">
      <c r="A6573" s="46"/>
    </row>
    <row r="6574" spans="1:1" hidden="1" x14ac:dyDescent="0.3">
      <c r="A6574" s="46"/>
    </row>
    <row r="6575" spans="1:1" hidden="1" x14ac:dyDescent="0.3">
      <c r="A6575" s="46"/>
    </row>
    <row r="6576" spans="1:1" hidden="1" x14ac:dyDescent="0.3">
      <c r="A6576" s="46"/>
    </row>
    <row r="6577" spans="1:1" hidden="1" x14ac:dyDescent="0.3">
      <c r="A6577" s="46"/>
    </row>
    <row r="6578" spans="1:1" hidden="1" x14ac:dyDescent="0.3">
      <c r="A6578" s="46"/>
    </row>
    <row r="6579" spans="1:1" hidden="1" x14ac:dyDescent="0.3">
      <c r="A6579" s="46"/>
    </row>
    <row r="6580" spans="1:1" hidden="1" x14ac:dyDescent="0.3">
      <c r="A6580" s="46"/>
    </row>
    <row r="6581" spans="1:1" hidden="1" x14ac:dyDescent="0.3">
      <c r="A6581" s="46"/>
    </row>
    <row r="6582" spans="1:1" hidden="1" x14ac:dyDescent="0.3">
      <c r="A6582" s="46"/>
    </row>
    <row r="6583" spans="1:1" hidden="1" x14ac:dyDescent="0.3">
      <c r="A6583" s="46"/>
    </row>
    <row r="6584" spans="1:1" hidden="1" x14ac:dyDescent="0.3">
      <c r="A6584" s="46"/>
    </row>
    <row r="6585" spans="1:1" hidden="1" x14ac:dyDescent="0.3">
      <c r="A6585" s="46"/>
    </row>
    <row r="6586" spans="1:1" hidden="1" x14ac:dyDescent="0.3">
      <c r="A6586" s="46"/>
    </row>
    <row r="6587" spans="1:1" hidden="1" x14ac:dyDescent="0.3">
      <c r="A6587" s="46"/>
    </row>
    <row r="6588" spans="1:1" hidden="1" x14ac:dyDescent="0.3">
      <c r="A6588" s="46"/>
    </row>
    <row r="6589" spans="1:1" hidden="1" x14ac:dyDescent="0.3">
      <c r="A6589" s="46"/>
    </row>
    <row r="6590" spans="1:1" hidden="1" x14ac:dyDescent="0.3">
      <c r="A6590" s="46"/>
    </row>
    <row r="6591" spans="1:1" hidden="1" x14ac:dyDescent="0.3">
      <c r="A6591" s="46"/>
    </row>
    <row r="6592" spans="1:1" hidden="1" x14ac:dyDescent="0.3">
      <c r="A6592" s="46"/>
    </row>
    <row r="6593" spans="1:1" hidden="1" x14ac:dyDescent="0.3">
      <c r="A6593" s="46"/>
    </row>
    <row r="6594" spans="1:1" hidden="1" x14ac:dyDescent="0.3">
      <c r="A6594" s="46"/>
    </row>
    <row r="6595" spans="1:1" hidden="1" x14ac:dyDescent="0.3">
      <c r="A6595" s="46"/>
    </row>
    <row r="6596" spans="1:1" hidden="1" x14ac:dyDescent="0.3">
      <c r="A6596" s="46"/>
    </row>
    <row r="6597" spans="1:1" hidden="1" x14ac:dyDescent="0.3">
      <c r="A6597" s="46"/>
    </row>
    <row r="6598" spans="1:1" hidden="1" x14ac:dyDescent="0.3">
      <c r="A6598" s="46"/>
    </row>
    <row r="6599" spans="1:1" hidden="1" x14ac:dyDescent="0.3">
      <c r="A6599" s="46"/>
    </row>
    <row r="6600" spans="1:1" hidden="1" x14ac:dyDescent="0.3">
      <c r="A6600" s="46"/>
    </row>
    <row r="6601" spans="1:1" hidden="1" x14ac:dyDescent="0.3">
      <c r="A6601" s="46"/>
    </row>
    <row r="6602" spans="1:1" hidden="1" x14ac:dyDescent="0.3">
      <c r="A6602" s="46"/>
    </row>
    <row r="6603" spans="1:1" hidden="1" x14ac:dyDescent="0.3">
      <c r="A6603" s="46"/>
    </row>
    <row r="6604" spans="1:1" hidden="1" x14ac:dyDescent="0.3">
      <c r="A6604" s="46"/>
    </row>
    <row r="6605" spans="1:1" hidden="1" x14ac:dyDescent="0.3">
      <c r="A6605" s="46"/>
    </row>
    <row r="6606" spans="1:1" hidden="1" x14ac:dyDescent="0.3">
      <c r="A6606" s="46"/>
    </row>
    <row r="6607" spans="1:1" hidden="1" x14ac:dyDescent="0.3">
      <c r="A6607" s="46"/>
    </row>
    <row r="6608" spans="1:1" hidden="1" x14ac:dyDescent="0.3">
      <c r="A6608" s="46"/>
    </row>
    <row r="6609" spans="1:1" hidden="1" x14ac:dyDescent="0.3">
      <c r="A6609" s="46"/>
    </row>
    <row r="6610" spans="1:1" hidden="1" x14ac:dyDescent="0.3">
      <c r="A6610" s="46"/>
    </row>
    <row r="6611" spans="1:1" hidden="1" x14ac:dyDescent="0.3">
      <c r="A6611" s="46"/>
    </row>
    <row r="6612" spans="1:1" hidden="1" x14ac:dyDescent="0.3">
      <c r="A6612" s="46"/>
    </row>
    <row r="6613" spans="1:1" hidden="1" x14ac:dyDescent="0.3">
      <c r="A6613" s="46"/>
    </row>
    <row r="6614" spans="1:1" hidden="1" x14ac:dyDescent="0.3">
      <c r="A6614" s="46"/>
    </row>
    <row r="6615" spans="1:1" hidden="1" x14ac:dyDescent="0.3">
      <c r="A6615" s="46"/>
    </row>
    <row r="6616" spans="1:1" hidden="1" x14ac:dyDescent="0.3">
      <c r="A6616" s="46"/>
    </row>
    <row r="6617" spans="1:1" hidden="1" x14ac:dyDescent="0.3">
      <c r="A6617" s="46"/>
    </row>
    <row r="6618" spans="1:1" hidden="1" x14ac:dyDescent="0.3">
      <c r="A6618" s="46"/>
    </row>
    <row r="6619" spans="1:1" hidden="1" x14ac:dyDescent="0.3">
      <c r="A6619" s="46"/>
    </row>
    <row r="6620" spans="1:1" hidden="1" x14ac:dyDescent="0.3">
      <c r="A6620" s="46"/>
    </row>
    <row r="6621" spans="1:1" hidden="1" x14ac:dyDescent="0.3">
      <c r="A6621" s="46"/>
    </row>
    <row r="6622" spans="1:1" hidden="1" x14ac:dyDescent="0.3">
      <c r="A6622" s="46"/>
    </row>
    <row r="6623" spans="1:1" hidden="1" x14ac:dyDescent="0.3">
      <c r="A6623" s="46"/>
    </row>
    <row r="6624" spans="1:1" hidden="1" x14ac:dyDescent="0.3">
      <c r="A6624" s="46"/>
    </row>
    <row r="6625" spans="1:1" hidden="1" x14ac:dyDescent="0.3">
      <c r="A6625" s="46"/>
    </row>
    <row r="6626" spans="1:1" hidden="1" x14ac:dyDescent="0.3">
      <c r="A6626" s="46"/>
    </row>
    <row r="6627" spans="1:1" hidden="1" x14ac:dyDescent="0.3">
      <c r="A6627" s="46"/>
    </row>
    <row r="6628" spans="1:1" hidden="1" x14ac:dyDescent="0.3">
      <c r="A6628" s="46"/>
    </row>
    <row r="6629" spans="1:1" hidden="1" x14ac:dyDescent="0.3">
      <c r="A6629" s="46"/>
    </row>
    <row r="6630" spans="1:1" hidden="1" x14ac:dyDescent="0.3">
      <c r="A6630" s="46"/>
    </row>
    <row r="6631" spans="1:1" hidden="1" x14ac:dyDescent="0.3">
      <c r="A6631" s="46"/>
    </row>
    <row r="6632" spans="1:1" hidden="1" x14ac:dyDescent="0.3">
      <c r="A6632" s="46"/>
    </row>
    <row r="6633" spans="1:1" hidden="1" x14ac:dyDescent="0.3">
      <c r="A6633" s="46"/>
    </row>
    <row r="6634" spans="1:1" hidden="1" x14ac:dyDescent="0.3">
      <c r="A6634" s="46"/>
    </row>
    <row r="6635" spans="1:1" hidden="1" x14ac:dyDescent="0.3">
      <c r="A6635" s="46"/>
    </row>
    <row r="6636" spans="1:1" hidden="1" x14ac:dyDescent="0.3">
      <c r="A6636" s="46"/>
    </row>
    <row r="6637" spans="1:1" hidden="1" x14ac:dyDescent="0.3">
      <c r="A6637" s="46"/>
    </row>
    <row r="6638" spans="1:1" hidden="1" x14ac:dyDescent="0.3">
      <c r="A6638" s="46"/>
    </row>
    <row r="6639" spans="1:1" hidden="1" x14ac:dyDescent="0.3">
      <c r="A6639" s="46"/>
    </row>
    <row r="6640" spans="1:1" hidden="1" x14ac:dyDescent="0.3">
      <c r="A6640" s="46"/>
    </row>
    <row r="6641" spans="1:1" hidden="1" x14ac:dyDescent="0.3">
      <c r="A6641" s="46"/>
    </row>
    <row r="6642" spans="1:1" hidden="1" x14ac:dyDescent="0.3">
      <c r="A6642" s="46"/>
    </row>
    <row r="6643" spans="1:1" hidden="1" x14ac:dyDescent="0.3">
      <c r="A6643" s="46"/>
    </row>
    <row r="6644" spans="1:1" hidden="1" x14ac:dyDescent="0.3">
      <c r="A6644" s="46"/>
    </row>
    <row r="6645" spans="1:1" hidden="1" x14ac:dyDescent="0.3">
      <c r="A6645" s="46"/>
    </row>
    <row r="6646" spans="1:1" hidden="1" x14ac:dyDescent="0.3">
      <c r="A6646" s="46"/>
    </row>
    <row r="6647" spans="1:1" hidden="1" x14ac:dyDescent="0.3">
      <c r="A6647" s="46"/>
    </row>
    <row r="6648" spans="1:1" hidden="1" x14ac:dyDescent="0.3">
      <c r="A6648" s="46"/>
    </row>
    <row r="6649" spans="1:1" hidden="1" x14ac:dyDescent="0.3">
      <c r="A6649" s="46"/>
    </row>
    <row r="6650" spans="1:1" hidden="1" x14ac:dyDescent="0.3">
      <c r="A6650" s="46"/>
    </row>
    <row r="6651" spans="1:1" hidden="1" x14ac:dyDescent="0.3">
      <c r="A6651" s="46"/>
    </row>
    <row r="6652" spans="1:1" hidden="1" x14ac:dyDescent="0.3">
      <c r="A6652" s="46"/>
    </row>
    <row r="6653" spans="1:1" hidden="1" x14ac:dyDescent="0.3">
      <c r="A6653" s="46"/>
    </row>
    <row r="6654" spans="1:1" hidden="1" x14ac:dyDescent="0.3">
      <c r="A6654" s="46"/>
    </row>
    <row r="6655" spans="1:1" hidden="1" x14ac:dyDescent="0.3">
      <c r="A6655" s="46"/>
    </row>
    <row r="6656" spans="1:1" hidden="1" x14ac:dyDescent="0.3">
      <c r="A6656" s="46"/>
    </row>
    <row r="6657" spans="1:1" hidden="1" x14ac:dyDescent="0.3">
      <c r="A6657" s="46"/>
    </row>
    <row r="6658" spans="1:1" hidden="1" x14ac:dyDescent="0.3">
      <c r="A6658" s="46"/>
    </row>
    <row r="6659" spans="1:1" hidden="1" x14ac:dyDescent="0.3">
      <c r="A6659" s="46"/>
    </row>
    <row r="6660" spans="1:1" hidden="1" x14ac:dyDescent="0.3">
      <c r="A6660" s="46"/>
    </row>
    <row r="6661" spans="1:1" hidden="1" x14ac:dyDescent="0.3">
      <c r="A6661" s="46"/>
    </row>
    <row r="6662" spans="1:1" hidden="1" x14ac:dyDescent="0.3">
      <c r="A6662" s="46"/>
    </row>
    <row r="6663" spans="1:1" hidden="1" x14ac:dyDescent="0.3">
      <c r="A6663" s="46"/>
    </row>
    <row r="6664" spans="1:1" hidden="1" x14ac:dyDescent="0.3">
      <c r="A6664" s="46"/>
    </row>
    <row r="6665" spans="1:1" hidden="1" x14ac:dyDescent="0.3">
      <c r="A6665" s="46"/>
    </row>
    <row r="6666" spans="1:1" hidden="1" x14ac:dyDescent="0.3">
      <c r="A6666" s="46"/>
    </row>
    <row r="6667" spans="1:1" hidden="1" x14ac:dyDescent="0.3">
      <c r="A6667" s="46"/>
    </row>
    <row r="6668" spans="1:1" hidden="1" x14ac:dyDescent="0.3">
      <c r="A6668" s="46"/>
    </row>
    <row r="6669" spans="1:1" hidden="1" x14ac:dyDescent="0.3">
      <c r="A6669" s="46"/>
    </row>
    <row r="6670" spans="1:1" hidden="1" x14ac:dyDescent="0.3">
      <c r="A6670" s="46"/>
    </row>
    <row r="6671" spans="1:1" hidden="1" x14ac:dyDescent="0.3">
      <c r="A6671" s="46"/>
    </row>
    <row r="6672" spans="1:1" hidden="1" x14ac:dyDescent="0.3">
      <c r="A6672" s="46"/>
    </row>
    <row r="6673" spans="1:1" hidden="1" x14ac:dyDescent="0.3">
      <c r="A6673" s="46"/>
    </row>
    <row r="6674" spans="1:1" hidden="1" x14ac:dyDescent="0.3">
      <c r="A6674" s="46"/>
    </row>
    <row r="6675" spans="1:1" hidden="1" x14ac:dyDescent="0.3">
      <c r="A6675" s="46"/>
    </row>
    <row r="6676" spans="1:1" hidden="1" x14ac:dyDescent="0.3">
      <c r="A6676" s="46"/>
    </row>
    <row r="6677" spans="1:1" hidden="1" x14ac:dyDescent="0.3">
      <c r="A6677" s="46"/>
    </row>
    <row r="6678" spans="1:1" hidden="1" x14ac:dyDescent="0.3">
      <c r="A6678" s="46"/>
    </row>
    <row r="6679" spans="1:1" hidden="1" x14ac:dyDescent="0.3">
      <c r="A6679" s="46"/>
    </row>
    <row r="6680" spans="1:1" hidden="1" x14ac:dyDescent="0.3">
      <c r="A6680" s="46"/>
    </row>
    <row r="6681" spans="1:1" hidden="1" x14ac:dyDescent="0.3">
      <c r="A6681" s="46"/>
    </row>
    <row r="6682" spans="1:1" hidden="1" x14ac:dyDescent="0.3">
      <c r="A6682" s="46"/>
    </row>
    <row r="6683" spans="1:1" hidden="1" x14ac:dyDescent="0.3">
      <c r="A6683" s="46"/>
    </row>
    <row r="6684" spans="1:1" hidden="1" x14ac:dyDescent="0.3">
      <c r="A6684" s="46"/>
    </row>
    <row r="6685" spans="1:1" hidden="1" x14ac:dyDescent="0.3">
      <c r="A6685" s="46"/>
    </row>
    <row r="6686" spans="1:1" hidden="1" x14ac:dyDescent="0.3">
      <c r="A6686" s="46"/>
    </row>
    <row r="6687" spans="1:1" hidden="1" x14ac:dyDescent="0.3">
      <c r="A6687" s="46"/>
    </row>
    <row r="6688" spans="1:1" hidden="1" x14ac:dyDescent="0.3">
      <c r="A6688" s="46"/>
    </row>
    <row r="6689" spans="1:1" hidden="1" x14ac:dyDescent="0.3">
      <c r="A6689" s="46"/>
    </row>
    <row r="6690" spans="1:1" hidden="1" x14ac:dyDescent="0.3">
      <c r="A6690" s="46"/>
    </row>
    <row r="6691" spans="1:1" hidden="1" x14ac:dyDescent="0.3">
      <c r="A6691" s="46"/>
    </row>
    <row r="6692" spans="1:1" hidden="1" x14ac:dyDescent="0.3">
      <c r="A6692" s="46"/>
    </row>
    <row r="6693" spans="1:1" hidden="1" x14ac:dyDescent="0.3">
      <c r="A6693" s="46"/>
    </row>
    <row r="6694" spans="1:1" hidden="1" x14ac:dyDescent="0.3">
      <c r="A6694" s="46"/>
    </row>
    <row r="6695" spans="1:1" hidden="1" x14ac:dyDescent="0.3">
      <c r="A6695" s="46"/>
    </row>
    <row r="6696" spans="1:1" hidden="1" x14ac:dyDescent="0.3">
      <c r="A6696" s="46"/>
    </row>
    <row r="6697" spans="1:1" hidden="1" x14ac:dyDescent="0.3">
      <c r="A6697" s="46"/>
    </row>
    <row r="6698" spans="1:1" hidden="1" x14ac:dyDescent="0.3">
      <c r="A6698" s="46"/>
    </row>
    <row r="6699" spans="1:1" hidden="1" x14ac:dyDescent="0.3">
      <c r="A6699" s="46"/>
    </row>
    <row r="6700" spans="1:1" hidden="1" x14ac:dyDescent="0.3">
      <c r="A6700" s="46"/>
    </row>
    <row r="6701" spans="1:1" hidden="1" x14ac:dyDescent="0.3">
      <c r="A6701" s="46"/>
    </row>
    <row r="6702" spans="1:1" hidden="1" x14ac:dyDescent="0.3">
      <c r="A6702" s="46"/>
    </row>
    <row r="6703" spans="1:1" hidden="1" x14ac:dyDescent="0.3">
      <c r="A6703" s="46"/>
    </row>
    <row r="6704" spans="1:1" hidden="1" x14ac:dyDescent="0.3">
      <c r="A6704" s="46"/>
    </row>
    <row r="6705" spans="1:1" hidden="1" x14ac:dyDescent="0.3">
      <c r="A6705" s="46"/>
    </row>
    <row r="6706" spans="1:1" hidden="1" x14ac:dyDescent="0.3">
      <c r="A6706" s="46"/>
    </row>
    <row r="6707" spans="1:1" hidden="1" x14ac:dyDescent="0.3">
      <c r="A6707" s="46"/>
    </row>
    <row r="6708" spans="1:1" hidden="1" x14ac:dyDescent="0.3">
      <c r="A6708" s="46"/>
    </row>
    <row r="6709" spans="1:1" hidden="1" x14ac:dyDescent="0.3">
      <c r="A6709" s="46"/>
    </row>
    <row r="6710" spans="1:1" hidden="1" x14ac:dyDescent="0.3">
      <c r="A6710" s="46"/>
    </row>
    <row r="6711" spans="1:1" hidden="1" x14ac:dyDescent="0.3">
      <c r="A6711" s="46"/>
    </row>
    <row r="6712" spans="1:1" hidden="1" x14ac:dyDescent="0.3">
      <c r="A6712" s="46"/>
    </row>
    <row r="6713" spans="1:1" hidden="1" x14ac:dyDescent="0.3">
      <c r="A6713" s="46"/>
    </row>
    <row r="6714" spans="1:1" hidden="1" x14ac:dyDescent="0.3">
      <c r="A6714" s="46"/>
    </row>
    <row r="6715" spans="1:1" hidden="1" x14ac:dyDescent="0.3">
      <c r="A6715" s="46"/>
    </row>
    <row r="6716" spans="1:1" hidden="1" x14ac:dyDescent="0.3">
      <c r="A6716" s="46"/>
    </row>
    <row r="6717" spans="1:1" hidden="1" x14ac:dyDescent="0.3">
      <c r="A6717" s="46"/>
    </row>
    <row r="6718" spans="1:1" hidden="1" x14ac:dyDescent="0.3">
      <c r="A6718" s="46"/>
    </row>
    <row r="6719" spans="1:1" hidden="1" x14ac:dyDescent="0.3">
      <c r="A6719" s="46"/>
    </row>
    <row r="6720" spans="1:1" hidden="1" x14ac:dyDescent="0.3">
      <c r="A6720" s="46"/>
    </row>
    <row r="6721" spans="1:1" hidden="1" x14ac:dyDescent="0.3">
      <c r="A6721" s="46"/>
    </row>
    <row r="6722" spans="1:1" hidden="1" x14ac:dyDescent="0.3">
      <c r="A6722" s="46"/>
    </row>
    <row r="6723" spans="1:1" hidden="1" x14ac:dyDescent="0.3">
      <c r="A6723" s="46"/>
    </row>
    <row r="6724" spans="1:1" hidden="1" x14ac:dyDescent="0.3">
      <c r="A6724" s="46"/>
    </row>
    <row r="6725" spans="1:1" hidden="1" x14ac:dyDescent="0.3">
      <c r="A6725" s="46"/>
    </row>
    <row r="6726" spans="1:1" hidden="1" x14ac:dyDescent="0.3">
      <c r="A6726" s="46"/>
    </row>
    <row r="6727" spans="1:1" hidden="1" x14ac:dyDescent="0.3">
      <c r="A6727" s="46"/>
    </row>
    <row r="6728" spans="1:1" hidden="1" x14ac:dyDescent="0.3">
      <c r="A6728" s="46"/>
    </row>
    <row r="6729" spans="1:1" hidden="1" x14ac:dyDescent="0.3">
      <c r="A6729" s="46"/>
    </row>
    <row r="6730" spans="1:1" hidden="1" x14ac:dyDescent="0.3">
      <c r="A6730" s="46"/>
    </row>
    <row r="6731" spans="1:1" hidden="1" x14ac:dyDescent="0.3">
      <c r="A6731" s="46"/>
    </row>
    <row r="6732" spans="1:1" hidden="1" x14ac:dyDescent="0.3">
      <c r="A6732" s="46"/>
    </row>
    <row r="6733" spans="1:1" hidden="1" x14ac:dyDescent="0.3">
      <c r="A6733" s="46"/>
    </row>
    <row r="6734" spans="1:1" hidden="1" x14ac:dyDescent="0.3">
      <c r="A6734" s="46"/>
    </row>
    <row r="6735" spans="1:1" hidden="1" x14ac:dyDescent="0.3">
      <c r="A6735" s="46"/>
    </row>
    <row r="6736" spans="1:1" hidden="1" x14ac:dyDescent="0.3">
      <c r="A6736" s="46"/>
    </row>
    <row r="6737" spans="1:1" hidden="1" x14ac:dyDescent="0.3">
      <c r="A6737" s="46"/>
    </row>
    <row r="6738" spans="1:1" hidden="1" x14ac:dyDescent="0.3">
      <c r="A6738" s="46"/>
    </row>
    <row r="6739" spans="1:1" hidden="1" x14ac:dyDescent="0.3">
      <c r="A6739" s="46"/>
    </row>
    <row r="6740" spans="1:1" hidden="1" x14ac:dyDescent="0.3">
      <c r="A6740" s="46"/>
    </row>
    <row r="6741" spans="1:1" hidden="1" x14ac:dyDescent="0.3">
      <c r="A6741" s="46"/>
    </row>
    <row r="6742" spans="1:1" hidden="1" x14ac:dyDescent="0.3">
      <c r="A6742" s="46"/>
    </row>
    <row r="6743" spans="1:1" hidden="1" x14ac:dyDescent="0.3">
      <c r="A6743" s="46"/>
    </row>
    <row r="6744" spans="1:1" hidden="1" x14ac:dyDescent="0.3">
      <c r="A6744" s="46"/>
    </row>
    <row r="6745" spans="1:1" hidden="1" x14ac:dyDescent="0.3">
      <c r="A6745" s="46"/>
    </row>
    <row r="6746" spans="1:1" hidden="1" x14ac:dyDescent="0.3">
      <c r="A6746" s="46"/>
    </row>
    <row r="6747" spans="1:1" hidden="1" x14ac:dyDescent="0.3">
      <c r="A6747" s="46"/>
    </row>
    <row r="6748" spans="1:1" hidden="1" x14ac:dyDescent="0.3">
      <c r="A6748" s="46"/>
    </row>
    <row r="6749" spans="1:1" hidden="1" x14ac:dyDescent="0.3">
      <c r="A6749" s="46"/>
    </row>
    <row r="6750" spans="1:1" hidden="1" x14ac:dyDescent="0.3">
      <c r="A6750" s="46"/>
    </row>
    <row r="6751" spans="1:1" hidden="1" x14ac:dyDescent="0.3">
      <c r="A6751" s="46"/>
    </row>
    <row r="6752" spans="1:1" hidden="1" x14ac:dyDescent="0.3">
      <c r="A6752" s="46"/>
    </row>
    <row r="6753" spans="1:1" hidden="1" x14ac:dyDescent="0.3">
      <c r="A6753" s="46"/>
    </row>
    <row r="6754" spans="1:1" hidden="1" x14ac:dyDescent="0.3">
      <c r="A6754" s="46"/>
    </row>
    <row r="6755" spans="1:1" hidden="1" x14ac:dyDescent="0.3">
      <c r="A6755" s="46"/>
    </row>
    <row r="6756" spans="1:1" hidden="1" x14ac:dyDescent="0.3">
      <c r="A6756" s="46"/>
    </row>
    <row r="6757" spans="1:1" hidden="1" x14ac:dyDescent="0.3">
      <c r="A6757" s="46"/>
    </row>
    <row r="6758" spans="1:1" hidden="1" x14ac:dyDescent="0.3">
      <c r="A6758" s="46"/>
    </row>
    <row r="6759" spans="1:1" hidden="1" x14ac:dyDescent="0.3">
      <c r="A6759" s="46"/>
    </row>
    <row r="6760" spans="1:1" hidden="1" x14ac:dyDescent="0.3">
      <c r="A6760" s="46"/>
    </row>
    <row r="6761" spans="1:1" hidden="1" x14ac:dyDescent="0.3">
      <c r="A6761" s="46"/>
    </row>
    <row r="6762" spans="1:1" hidden="1" x14ac:dyDescent="0.3">
      <c r="A6762" s="46"/>
    </row>
    <row r="6763" spans="1:1" hidden="1" x14ac:dyDescent="0.3">
      <c r="A6763" s="46"/>
    </row>
    <row r="6764" spans="1:1" hidden="1" x14ac:dyDescent="0.3">
      <c r="A6764" s="46"/>
    </row>
    <row r="6765" spans="1:1" hidden="1" x14ac:dyDescent="0.3">
      <c r="A6765" s="46"/>
    </row>
    <row r="6766" spans="1:1" hidden="1" x14ac:dyDescent="0.3">
      <c r="A6766" s="46"/>
    </row>
    <row r="6767" spans="1:1" hidden="1" x14ac:dyDescent="0.3">
      <c r="A6767" s="46"/>
    </row>
    <row r="6768" spans="1:1" hidden="1" x14ac:dyDescent="0.3">
      <c r="A6768" s="46"/>
    </row>
    <row r="6769" spans="1:1" hidden="1" x14ac:dyDescent="0.3">
      <c r="A6769" s="46"/>
    </row>
    <row r="6770" spans="1:1" hidden="1" x14ac:dyDescent="0.3">
      <c r="A6770" s="46"/>
    </row>
    <row r="6771" spans="1:1" hidden="1" x14ac:dyDescent="0.3">
      <c r="A6771" s="46"/>
    </row>
    <row r="6772" spans="1:1" hidden="1" x14ac:dyDescent="0.3">
      <c r="A6772" s="46"/>
    </row>
    <row r="6773" spans="1:1" hidden="1" x14ac:dyDescent="0.3">
      <c r="A6773" s="46"/>
    </row>
    <row r="6774" spans="1:1" hidden="1" x14ac:dyDescent="0.3">
      <c r="A6774" s="46"/>
    </row>
    <row r="6775" spans="1:1" hidden="1" x14ac:dyDescent="0.3">
      <c r="A6775" s="46"/>
    </row>
    <row r="6776" spans="1:1" hidden="1" x14ac:dyDescent="0.3">
      <c r="A6776" s="46"/>
    </row>
    <row r="6777" spans="1:1" hidden="1" x14ac:dyDescent="0.3">
      <c r="A6777" s="46"/>
    </row>
    <row r="6778" spans="1:1" hidden="1" x14ac:dyDescent="0.3">
      <c r="A6778" s="46"/>
    </row>
    <row r="6779" spans="1:1" hidden="1" x14ac:dyDescent="0.3">
      <c r="A6779" s="46"/>
    </row>
    <row r="6780" spans="1:1" hidden="1" x14ac:dyDescent="0.3">
      <c r="A6780" s="46"/>
    </row>
    <row r="6781" spans="1:1" hidden="1" x14ac:dyDescent="0.3">
      <c r="A6781" s="46"/>
    </row>
    <row r="6782" spans="1:1" hidden="1" x14ac:dyDescent="0.3">
      <c r="A6782" s="46"/>
    </row>
    <row r="6783" spans="1:1" hidden="1" x14ac:dyDescent="0.3">
      <c r="A6783" s="46"/>
    </row>
    <row r="6784" spans="1:1" hidden="1" x14ac:dyDescent="0.3">
      <c r="A6784" s="46"/>
    </row>
    <row r="6785" spans="1:1" hidden="1" x14ac:dyDescent="0.3">
      <c r="A6785" s="46"/>
    </row>
    <row r="6786" spans="1:1" hidden="1" x14ac:dyDescent="0.3">
      <c r="A6786" s="46"/>
    </row>
    <row r="6787" spans="1:1" hidden="1" x14ac:dyDescent="0.3">
      <c r="A6787" s="46"/>
    </row>
    <row r="6788" spans="1:1" hidden="1" x14ac:dyDescent="0.3">
      <c r="A6788" s="46"/>
    </row>
    <row r="6789" spans="1:1" hidden="1" x14ac:dyDescent="0.3">
      <c r="A6789" s="46"/>
    </row>
    <row r="6790" spans="1:1" hidden="1" x14ac:dyDescent="0.3">
      <c r="A6790" s="46"/>
    </row>
    <row r="6791" spans="1:1" hidden="1" x14ac:dyDescent="0.3">
      <c r="A6791" s="46"/>
    </row>
    <row r="6792" spans="1:1" hidden="1" x14ac:dyDescent="0.3">
      <c r="A6792" s="46"/>
    </row>
    <row r="6793" spans="1:1" hidden="1" x14ac:dyDescent="0.3">
      <c r="A6793" s="46"/>
    </row>
    <row r="6794" spans="1:1" hidden="1" x14ac:dyDescent="0.3">
      <c r="A6794" s="46"/>
    </row>
    <row r="6795" spans="1:1" hidden="1" x14ac:dyDescent="0.3">
      <c r="A6795" s="46"/>
    </row>
    <row r="6796" spans="1:1" hidden="1" x14ac:dyDescent="0.3">
      <c r="A6796" s="46"/>
    </row>
    <row r="6797" spans="1:1" hidden="1" x14ac:dyDescent="0.3">
      <c r="A6797" s="46"/>
    </row>
    <row r="6798" spans="1:1" hidden="1" x14ac:dyDescent="0.3">
      <c r="A6798" s="46"/>
    </row>
    <row r="6799" spans="1:1" hidden="1" x14ac:dyDescent="0.3">
      <c r="A6799" s="46"/>
    </row>
    <row r="6800" spans="1:1" hidden="1" x14ac:dyDescent="0.3">
      <c r="A6800" s="46"/>
    </row>
    <row r="6801" spans="1:1" hidden="1" x14ac:dyDescent="0.3">
      <c r="A6801" s="46"/>
    </row>
    <row r="6802" spans="1:1" hidden="1" x14ac:dyDescent="0.3">
      <c r="A6802" s="46"/>
    </row>
    <row r="6803" spans="1:1" hidden="1" x14ac:dyDescent="0.3">
      <c r="A6803" s="46"/>
    </row>
    <row r="6804" spans="1:1" hidden="1" x14ac:dyDescent="0.3">
      <c r="A6804" s="46"/>
    </row>
    <row r="6805" spans="1:1" hidden="1" x14ac:dyDescent="0.3">
      <c r="A6805" s="46"/>
    </row>
    <row r="6806" spans="1:1" hidden="1" x14ac:dyDescent="0.3">
      <c r="A6806" s="46"/>
    </row>
    <row r="6807" spans="1:1" hidden="1" x14ac:dyDescent="0.3">
      <c r="A6807" s="46"/>
    </row>
    <row r="6808" spans="1:1" hidden="1" x14ac:dyDescent="0.3">
      <c r="A6808" s="46"/>
    </row>
    <row r="6809" spans="1:1" hidden="1" x14ac:dyDescent="0.3">
      <c r="A6809" s="46"/>
    </row>
    <row r="6810" spans="1:1" hidden="1" x14ac:dyDescent="0.3">
      <c r="A6810" s="46"/>
    </row>
    <row r="6811" spans="1:1" hidden="1" x14ac:dyDescent="0.3">
      <c r="A6811" s="46"/>
    </row>
    <row r="6812" spans="1:1" hidden="1" x14ac:dyDescent="0.3">
      <c r="A6812" s="46"/>
    </row>
    <row r="6813" spans="1:1" hidden="1" x14ac:dyDescent="0.3">
      <c r="A6813" s="46"/>
    </row>
    <row r="6814" spans="1:1" hidden="1" x14ac:dyDescent="0.3">
      <c r="A6814" s="46"/>
    </row>
    <row r="6815" spans="1:1" hidden="1" x14ac:dyDescent="0.3">
      <c r="A6815" s="46"/>
    </row>
    <row r="6816" spans="1:1" hidden="1" x14ac:dyDescent="0.3">
      <c r="A6816" s="46"/>
    </row>
    <row r="6817" spans="1:1" hidden="1" x14ac:dyDescent="0.3">
      <c r="A6817" s="46"/>
    </row>
    <row r="6818" spans="1:1" hidden="1" x14ac:dyDescent="0.3">
      <c r="A6818" s="46"/>
    </row>
    <row r="6819" spans="1:1" hidden="1" x14ac:dyDescent="0.3">
      <c r="A6819" s="46"/>
    </row>
    <row r="6820" spans="1:1" hidden="1" x14ac:dyDescent="0.3">
      <c r="A6820" s="46"/>
    </row>
    <row r="6821" spans="1:1" hidden="1" x14ac:dyDescent="0.3">
      <c r="A6821" s="46"/>
    </row>
    <row r="6822" spans="1:1" hidden="1" x14ac:dyDescent="0.3">
      <c r="A6822" s="46"/>
    </row>
    <row r="6823" spans="1:1" hidden="1" x14ac:dyDescent="0.3">
      <c r="A6823" s="46"/>
    </row>
    <row r="6824" spans="1:1" hidden="1" x14ac:dyDescent="0.3">
      <c r="A6824" s="46"/>
    </row>
    <row r="6825" spans="1:1" hidden="1" x14ac:dyDescent="0.3">
      <c r="A6825" s="46"/>
    </row>
    <row r="6826" spans="1:1" hidden="1" x14ac:dyDescent="0.3">
      <c r="A6826" s="46"/>
    </row>
    <row r="6827" spans="1:1" hidden="1" x14ac:dyDescent="0.3">
      <c r="A6827" s="46"/>
    </row>
    <row r="6828" spans="1:1" hidden="1" x14ac:dyDescent="0.3">
      <c r="A6828" s="46"/>
    </row>
    <row r="6829" spans="1:1" hidden="1" x14ac:dyDescent="0.3">
      <c r="A6829" s="46"/>
    </row>
    <row r="6830" spans="1:1" hidden="1" x14ac:dyDescent="0.3">
      <c r="A6830" s="46"/>
    </row>
    <row r="6831" spans="1:1" hidden="1" x14ac:dyDescent="0.3">
      <c r="A6831" s="46"/>
    </row>
    <row r="6832" spans="1:1" hidden="1" x14ac:dyDescent="0.3">
      <c r="A6832" s="46"/>
    </row>
    <row r="6833" spans="1:1" hidden="1" x14ac:dyDescent="0.3">
      <c r="A6833" s="46"/>
    </row>
    <row r="6834" spans="1:1" hidden="1" x14ac:dyDescent="0.3">
      <c r="A6834" s="46"/>
    </row>
    <row r="6835" spans="1:1" hidden="1" x14ac:dyDescent="0.3">
      <c r="A6835" s="46"/>
    </row>
    <row r="6836" spans="1:1" hidden="1" x14ac:dyDescent="0.3">
      <c r="A6836" s="46"/>
    </row>
    <row r="6837" spans="1:1" hidden="1" x14ac:dyDescent="0.3">
      <c r="A6837" s="46"/>
    </row>
    <row r="6838" spans="1:1" hidden="1" x14ac:dyDescent="0.3">
      <c r="A6838" s="46"/>
    </row>
    <row r="6839" spans="1:1" hidden="1" x14ac:dyDescent="0.3">
      <c r="A6839" s="46"/>
    </row>
    <row r="6840" spans="1:1" hidden="1" x14ac:dyDescent="0.3">
      <c r="A6840" s="46"/>
    </row>
    <row r="6841" spans="1:1" hidden="1" x14ac:dyDescent="0.3">
      <c r="A6841" s="46"/>
    </row>
    <row r="6842" spans="1:1" hidden="1" x14ac:dyDescent="0.3">
      <c r="A6842" s="46"/>
    </row>
    <row r="6843" spans="1:1" hidden="1" x14ac:dyDescent="0.3">
      <c r="A6843" s="46"/>
    </row>
    <row r="6844" spans="1:1" hidden="1" x14ac:dyDescent="0.3">
      <c r="A6844" s="46"/>
    </row>
    <row r="6845" spans="1:1" hidden="1" x14ac:dyDescent="0.3">
      <c r="A6845" s="46"/>
    </row>
    <row r="6846" spans="1:1" hidden="1" x14ac:dyDescent="0.3">
      <c r="A6846" s="46"/>
    </row>
    <row r="6847" spans="1:1" hidden="1" x14ac:dyDescent="0.3">
      <c r="A6847" s="46"/>
    </row>
    <row r="6848" spans="1:1" hidden="1" x14ac:dyDescent="0.3">
      <c r="A6848" s="46"/>
    </row>
    <row r="6849" spans="1:1" hidden="1" x14ac:dyDescent="0.3">
      <c r="A6849" s="46"/>
    </row>
    <row r="6850" spans="1:1" hidden="1" x14ac:dyDescent="0.3">
      <c r="A6850" s="46"/>
    </row>
    <row r="6851" spans="1:1" hidden="1" x14ac:dyDescent="0.3">
      <c r="A6851" s="46"/>
    </row>
    <row r="6852" spans="1:1" hidden="1" x14ac:dyDescent="0.3">
      <c r="A6852" s="46"/>
    </row>
    <row r="6853" spans="1:1" hidden="1" x14ac:dyDescent="0.3">
      <c r="A6853" s="46"/>
    </row>
    <row r="6854" spans="1:1" hidden="1" x14ac:dyDescent="0.3">
      <c r="A6854" s="46"/>
    </row>
    <row r="6855" spans="1:1" hidden="1" x14ac:dyDescent="0.3">
      <c r="A6855" s="46"/>
    </row>
    <row r="6856" spans="1:1" hidden="1" x14ac:dyDescent="0.3">
      <c r="A6856" s="46"/>
    </row>
    <row r="6857" spans="1:1" hidden="1" x14ac:dyDescent="0.3">
      <c r="A6857" s="46"/>
    </row>
    <row r="6858" spans="1:1" hidden="1" x14ac:dyDescent="0.3">
      <c r="A6858" s="46"/>
    </row>
    <row r="6859" spans="1:1" hidden="1" x14ac:dyDescent="0.3">
      <c r="A6859" s="46"/>
    </row>
    <row r="6860" spans="1:1" hidden="1" x14ac:dyDescent="0.3">
      <c r="A6860" s="46"/>
    </row>
    <row r="6861" spans="1:1" hidden="1" x14ac:dyDescent="0.3">
      <c r="A6861" s="46"/>
    </row>
    <row r="6862" spans="1:1" hidden="1" x14ac:dyDescent="0.3">
      <c r="A6862" s="46"/>
    </row>
    <row r="6863" spans="1:1" hidden="1" x14ac:dyDescent="0.3">
      <c r="A6863" s="46"/>
    </row>
    <row r="6864" spans="1:1" hidden="1" x14ac:dyDescent="0.3">
      <c r="A6864" s="46"/>
    </row>
    <row r="6865" spans="1:1" hidden="1" x14ac:dyDescent="0.3">
      <c r="A6865" s="46"/>
    </row>
    <row r="6866" spans="1:1" hidden="1" x14ac:dyDescent="0.3">
      <c r="A6866" s="46"/>
    </row>
    <row r="6867" spans="1:1" hidden="1" x14ac:dyDescent="0.3">
      <c r="A6867" s="46"/>
    </row>
    <row r="6868" spans="1:1" hidden="1" x14ac:dyDescent="0.3">
      <c r="A6868" s="46"/>
    </row>
    <row r="6869" spans="1:1" hidden="1" x14ac:dyDescent="0.3">
      <c r="A6869" s="46"/>
    </row>
    <row r="6870" spans="1:1" hidden="1" x14ac:dyDescent="0.3">
      <c r="A6870" s="46"/>
    </row>
    <row r="6871" spans="1:1" hidden="1" x14ac:dyDescent="0.3">
      <c r="A6871" s="46"/>
    </row>
    <row r="6872" spans="1:1" hidden="1" x14ac:dyDescent="0.3">
      <c r="A6872" s="46"/>
    </row>
    <row r="6873" spans="1:1" hidden="1" x14ac:dyDescent="0.3">
      <c r="A6873" s="46"/>
    </row>
    <row r="6874" spans="1:1" hidden="1" x14ac:dyDescent="0.3">
      <c r="A6874" s="46"/>
    </row>
    <row r="6875" spans="1:1" hidden="1" x14ac:dyDescent="0.3">
      <c r="A6875" s="46"/>
    </row>
    <row r="6876" spans="1:1" hidden="1" x14ac:dyDescent="0.3">
      <c r="A6876" s="46"/>
    </row>
    <row r="6877" spans="1:1" hidden="1" x14ac:dyDescent="0.3">
      <c r="A6877" s="46"/>
    </row>
    <row r="6878" spans="1:1" hidden="1" x14ac:dyDescent="0.3">
      <c r="A6878" s="46"/>
    </row>
    <row r="6879" spans="1:1" hidden="1" x14ac:dyDescent="0.3">
      <c r="A6879" s="46"/>
    </row>
    <row r="6880" spans="1:1" hidden="1" x14ac:dyDescent="0.3">
      <c r="A6880" s="46"/>
    </row>
    <row r="6881" spans="1:1" hidden="1" x14ac:dyDescent="0.3">
      <c r="A6881" s="46"/>
    </row>
    <row r="6882" spans="1:1" hidden="1" x14ac:dyDescent="0.3">
      <c r="A6882" s="46"/>
    </row>
    <row r="6883" spans="1:1" hidden="1" x14ac:dyDescent="0.3">
      <c r="A6883" s="46"/>
    </row>
    <row r="6884" spans="1:1" hidden="1" x14ac:dyDescent="0.3">
      <c r="A6884" s="46"/>
    </row>
    <row r="6885" spans="1:1" hidden="1" x14ac:dyDescent="0.3">
      <c r="A6885" s="46"/>
    </row>
    <row r="6886" spans="1:1" hidden="1" x14ac:dyDescent="0.3">
      <c r="A6886" s="46"/>
    </row>
    <row r="6887" spans="1:1" hidden="1" x14ac:dyDescent="0.3">
      <c r="A6887" s="46"/>
    </row>
    <row r="6888" spans="1:1" hidden="1" x14ac:dyDescent="0.3">
      <c r="A6888" s="46"/>
    </row>
    <row r="6889" spans="1:1" hidden="1" x14ac:dyDescent="0.3">
      <c r="A6889" s="46"/>
    </row>
    <row r="6890" spans="1:1" hidden="1" x14ac:dyDescent="0.3">
      <c r="A6890" s="46"/>
    </row>
    <row r="6891" spans="1:1" hidden="1" x14ac:dyDescent="0.3">
      <c r="A6891" s="46"/>
    </row>
    <row r="6892" spans="1:1" hidden="1" x14ac:dyDescent="0.3">
      <c r="A6892" s="46"/>
    </row>
    <row r="6893" spans="1:1" hidden="1" x14ac:dyDescent="0.3">
      <c r="A6893" s="46"/>
    </row>
    <row r="6894" spans="1:1" hidden="1" x14ac:dyDescent="0.3">
      <c r="A6894" s="46"/>
    </row>
    <row r="6895" spans="1:1" hidden="1" x14ac:dyDescent="0.3">
      <c r="A6895" s="46"/>
    </row>
    <row r="6896" spans="1:1" hidden="1" x14ac:dyDescent="0.3">
      <c r="A6896" s="46"/>
    </row>
    <row r="6897" spans="1:1" hidden="1" x14ac:dyDescent="0.3">
      <c r="A6897" s="46"/>
    </row>
    <row r="6898" spans="1:1" hidden="1" x14ac:dyDescent="0.3">
      <c r="A6898" s="46"/>
    </row>
    <row r="6899" spans="1:1" hidden="1" x14ac:dyDescent="0.3">
      <c r="A6899" s="46"/>
    </row>
    <row r="6900" spans="1:1" hidden="1" x14ac:dyDescent="0.3">
      <c r="A6900" s="46"/>
    </row>
    <row r="6901" spans="1:1" hidden="1" x14ac:dyDescent="0.3">
      <c r="A6901" s="46"/>
    </row>
    <row r="6902" spans="1:1" hidden="1" x14ac:dyDescent="0.3">
      <c r="A6902" s="46"/>
    </row>
    <row r="6903" spans="1:1" hidden="1" x14ac:dyDescent="0.3">
      <c r="A6903" s="46"/>
    </row>
    <row r="6904" spans="1:1" hidden="1" x14ac:dyDescent="0.3">
      <c r="A6904" s="46"/>
    </row>
    <row r="6905" spans="1:1" hidden="1" x14ac:dyDescent="0.3">
      <c r="A6905" s="46"/>
    </row>
    <row r="6906" spans="1:1" hidden="1" x14ac:dyDescent="0.3">
      <c r="A6906" s="46"/>
    </row>
    <row r="6907" spans="1:1" hidden="1" x14ac:dyDescent="0.3">
      <c r="A6907" s="46"/>
    </row>
    <row r="6908" spans="1:1" hidden="1" x14ac:dyDescent="0.3">
      <c r="A6908" s="46"/>
    </row>
    <row r="6909" spans="1:1" hidden="1" x14ac:dyDescent="0.3">
      <c r="A6909" s="46"/>
    </row>
    <row r="6910" spans="1:1" hidden="1" x14ac:dyDescent="0.3">
      <c r="A6910" s="46"/>
    </row>
    <row r="6911" spans="1:1" hidden="1" x14ac:dyDescent="0.3">
      <c r="A6911" s="46"/>
    </row>
    <row r="6912" spans="1:1" hidden="1" x14ac:dyDescent="0.3">
      <c r="A6912" s="46"/>
    </row>
    <row r="6913" spans="1:1" hidden="1" x14ac:dyDescent="0.3">
      <c r="A6913" s="46"/>
    </row>
    <row r="6914" spans="1:1" hidden="1" x14ac:dyDescent="0.3">
      <c r="A6914" s="46"/>
    </row>
    <row r="6915" spans="1:1" hidden="1" x14ac:dyDescent="0.3">
      <c r="A6915" s="46"/>
    </row>
    <row r="6916" spans="1:1" hidden="1" x14ac:dyDescent="0.3">
      <c r="A6916" s="46"/>
    </row>
    <row r="6917" spans="1:1" hidden="1" x14ac:dyDescent="0.3">
      <c r="A6917" s="46"/>
    </row>
    <row r="6918" spans="1:1" hidden="1" x14ac:dyDescent="0.3">
      <c r="A6918" s="46"/>
    </row>
    <row r="6919" spans="1:1" hidden="1" x14ac:dyDescent="0.3">
      <c r="A6919" s="46"/>
    </row>
    <row r="6920" spans="1:1" hidden="1" x14ac:dyDescent="0.3">
      <c r="A6920" s="46"/>
    </row>
    <row r="6921" spans="1:1" hidden="1" x14ac:dyDescent="0.3">
      <c r="A6921" s="46"/>
    </row>
    <row r="6922" spans="1:1" hidden="1" x14ac:dyDescent="0.3">
      <c r="A6922" s="46"/>
    </row>
    <row r="6923" spans="1:1" hidden="1" x14ac:dyDescent="0.3">
      <c r="A6923" s="46"/>
    </row>
    <row r="6924" spans="1:1" hidden="1" x14ac:dyDescent="0.3">
      <c r="A6924" s="46"/>
    </row>
    <row r="6925" spans="1:1" hidden="1" x14ac:dyDescent="0.3">
      <c r="A6925" s="46"/>
    </row>
    <row r="6926" spans="1:1" hidden="1" x14ac:dyDescent="0.3">
      <c r="A6926" s="46"/>
    </row>
    <row r="6927" spans="1:1" hidden="1" x14ac:dyDescent="0.3">
      <c r="A6927" s="46"/>
    </row>
    <row r="6928" spans="1:1" hidden="1" x14ac:dyDescent="0.3">
      <c r="A6928" s="46"/>
    </row>
    <row r="6929" spans="1:1" hidden="1" x14ac:dyDescent="0.3">
      <c r="A6929" s="46"/>
    </row>
    <row r="6930" spans="1:1" hidden="1" x14ac:dyDescent="0.3">
      <c r="A6930" s="46"/>
    </row>
    <row r="6931" spans="1:1" hidden="1" x14ac:dyDescent="0.3">
      <c r="A6931" s="46"/>
    </row>
    <row r="6932" spans="1:1" hidden="1" x14ac:dyDescent="0.3">
      <c r="A6932" s="46"/>
    </row>
    <row r="6933" spans="1:1" hidden="1" x14ac:dyDescent="0.3">
      <c r="A6933" s="46"/>
    </row>
    <row r="6934" spans="1:1" hidden="1" x14ac:dyDescent="0.3">
      <c r="A6934" s="46"/>
    </row>
    <row r="6935" spans="1:1" hidden="1" x14ac:dyDescent="0.3">
      <c r="A6935" s="46"/>
    </row>
    <row r="6936" spans="1:1" hidden="1" x14ac:dyDescent="0.3">
      <c r="A6936" s="46"/>
    </row>
    <row r="6937" spans="1:1" hidden="1" x14ac:dyDescent="0.3">
      <c r="A6937" s="46"/>
    </row>
    <row r="6938" spans="1:1" hidden="1" x14ac:dyDescent="0.3">
      <c r="A6938" s="46"/>
    </row>
    <row r="6939" spans="1:1" hidden="1" x14ac:dyDescent="0.3">
      <c r="A6939" s="46"/>
    </row>
    <row r="6940" spans="1:1" hidden="1" x14ac:dyDescent="0.3">
      <c r="A6940" s="46"/>
    </row>
    <row r="6941" spans="1:1" hidden="1" x14ac:dyDescent="0.3">
      <c r="A6941" s="46"/>
    </row>
    <row r="6942" spans="1:1" hidden="1" x14ac:dyDescent="0.3">
      <c r="A6942" s="46"/>
    </row>
    <row r="6943" spans="1:1" hidden="1" x14ac:dyDescent="0.3">
      <c r="A6943" s="46"/>
    </row>
    <row r="6944" spans="1:1" hidden="1" x14ac:dyDescent="0.3">
      <c r="A6944" s="46"/>
    </row>
    <row r="6945" spans="1:1" hidden="1" x14ac:dyDescent="0.3">
      <c r="A6945" s="46"/>
    </row>
    <row r="6946" spans="1:1" hidden="1" x14ac:dyDescent="0.3">
      <c r="A6946" s="46"/>
    </row>
    <row r="6947" spans="1:1" hidden="1" x14ac:dyDescent="0.3">
      <c r="A6947" s="46"/>
    </row>
    <row r="6948" spans="1:1" hidden="1" x14ac:dyDescent="0.3">
      <c r="A6948" s="46"/>
    </row>
    <row r="6949" spans="1:1" hidden="1" x14ac:dyDescent="0.3">
      <c r="A6949" s="46"/>
    </row>
    <row r="6950" spans="1:1" hidden="1" x14ac:dyDescent="0.3">
      <c r="A6950" s="46"/>
    </row>
    <row r="6951" spans="1:1" hidden="1" x14ac:dyDescent="0.3">
      <c r="A6951" s="46"/>
    </row>
    <row r="6952" spans="1:1" hidden="1" x14ac:dyDescent="0.3">
      <c r="A6952" s="46"/>
    </row>
    <row r="6953" spans="1:1" hidden="1" x14ac:dyDescent="0.3">
      <c r="A6953" s="46"/>
    </row>
    <row r="6954" spans="1:1" hidden="1" x14ac:dyDescent="0.3">
      <c r="A6954" s="46"/>
    </row>
    <row r="6955" spans="1:1" hidden="1" x14ac:dyDescent="0.3">
      <c r="A6955" s="46"/>
    </row>
    <row r="6956" spans="1:1" hidden="1" x14ac:dyDescent="0.3">
      <c r="A6956" s="46"/>
    </row>
    <row r="6957" spans="1:1" hidden="1" x14ac:dyDescent="0.3">
      <c r="A6957" s="46"/>
    </row>
    <row r="6958" spans="1:1" hidden="1" x14ac:dyDescent="0.3">
      <c r="A6958" s="46"/>
    </row>
    <row r="6959" spans="1:1" hidden="1" x14ac:dyDescent="0.3">
      <c r="A6959" s="46"/>
    </row>
    <row r="6960" spans="1:1" hidden="1" x14ac:dyDescent="0.3">
      <c r="A6960" s="46"/>
    </row>
    <row r="6961" spans="1:1" hidden="1" x14ac:dyDescent="0.3">
      <c r="A6961" s="46"/>
    </row>
    <row r="6962" spans="1:1" hidden="1" x14ac:dyDescent="0.3">
      <c r="A6962" s="46"/>
    </row>
    <row r="6963" spans="1:1" hidden="1" x14ac:dyDescent="0.3">
      <c r="A6963" s="46"/>
    </row>
    <row r="6964" spans="1:1" hidden="1" x14ac:dyDescent="0.3">
      <c r="A6964" s="46"/>
    </row>
    <row r="6965" spans="1:1" hidden="1" x14ac:dyDescent="0.3">
      <c r="A6965" s="46"/>
    </row>
    <row r="6966" spans="1:1" hidden="1" x14ac:dyDescent="0.3">
      <c r="A6966" s="46"/>
    </row>
    <row r="6967" spans="1:1" hidden="1" x14ac:dyDescent="0.3">
      <c r="A6967" s="46"/>
    </row>
    <row r="6968" spans="1:1" hidden="1" x14ac:dyDescent="0.3">
      <c r="A6968" s="46"/>
    </row>
    <row r="6969" spans="1:1" hidden="1" x14ac:dyDescent="0.3">
      <c r="A6969" s="46"/>
    </row>
    <row r="6970" spans="1:1" hidden="1" x14ac:dyDescent="0.3">
      <c r="A6970" s="46"/>
    </row>
    <row r="6971" spans="1:1" hidden="1" x14ac:dyDescent="0.3">
      <c r="A6971" s="46"/>
    </row>
    <row r="6972" spans="1:1" hidden="1" x14ac:dyDescent="0.3">
      <c r="A6972" s="46"/>
    </row>
    <row r="6973" spans="1:1" hidden="1" x14ac:dyDescent="0.3">
      <c r="A6973" s="46"/>
    </row>
    <row r="6974" spans="1:1" hidden="1" x14ac:dyDescent="0.3">
      <c r="A6974" s="46"/>
    </row>
    <row r="6975" spans="1:1" hidden="1" x14ac:dyDescent="0.3">
      <c r="A6975" s="46"/>
    </row>
    <row r="6976" spans="1:1" hidden="1" x14ac:dyDescent="0.3">
      <c r="A6976" s="46"/>
    </row>
    <row r="6977" spans="1:1" hidden="1" x14ac:dyDescent="0.3">
      <c r="A6977" s="46"/>
    </row>
    <row r="6978" spans="1:1" hidden="1" x14ac:dyDescent="0.3">
      <c r="A6978" s="46"/>
    </row>
    <row r="6979" spans="1:1" hidden="1" x14ac:dyDescent="0.3">
      <c r="A6979" s="46"/>
    </row>
    <row r="6980" spans="1:1" hidden="1" x14ac:dyDescent="0.3">
      <c r="A6980" s="46"/>
    </row>
    <row r="6981" spans="1:1" hidden="1" x14ac:dyDescent="0.3">
      <c r="A6981" s="46"/>
    </row>
    <row r="6982" spans="1:1" hidden="1" x14ac:dyDescent="0.3">
      <c r="A6982" s="46"/>
    </row>
    <row r="6983" spans="1:1" hidden="1" x14ac:dyDescent="0.3">
      <c r="A6983" s="46"/>
    </row>
    <row r="6984" spans="1:1" hidden="1" x14ac:dyDescent="0.3">
      <c r="A6984" s="46"/>
    </row>
    <row r="6985" spans="1:1" hidden="1" x14ac:dyDescent="0.3">
      <c r="A6985" s="46"/>
    </row>
    <row r="6986" spans="1:1" hidden="1" x14ac:dyDescent="0.3">
      <c r="A6986" s="46"/>
    </row>
    <row r="6987" spans="1:1" hidden="1" x14ac:dyDescent="0.3">
      <c r="A6987" s="46"/>
    </row>
    <row r="6988" spans="1:1" hidden="1" x14ac:dyDescent="0.3">
      <c r="A6988" s="46"/>
    </row>
    <row r="6989" spans="1:1" hidden="1" x14ac:dyDescent="0.3">
      <c r="A6989" s="46"/>
    </row>
    <row r="6990" spans="1:1" hidden="1" x14ac:dyDescent="0.3">
      <c r="A6990" s="46"/>
    </row>
    <row r="6991" spans="1:1" hidden="1" x14ac:dyDescent="0.3">
      <c r="A6991" s="46"/>
    </row>
    <row r="6992" spans="1:1" hidden="1" x14ac:dyDescent="0.3">
      <c r="A6992" s="46"/>
    </row>
    <row r="6993" spans="1:1" hidden="1" x14ac:dyDescent="0.3">
      <c r="A6993" s="46"/>
    </row>
    <row r="6994" spans="1:1" hidden="1" x14ac:dyDescent="0.3">
      <c r="A6994" s="46"/>
    </row>
    <row r="6995" spans="1:1" hidden="1" x14ac:dyDescent="0.3">
      <c r="A6995" s="46"/>
    </row>
    <row r="6996" spans="1:1" hidden="1" x14ac:dyDescent="0.3">
      <c r="A6996" s="46"/>
    </row>
    <row r="6997" spans="1:1" hidden="1" x14ac:dyDescent="0.3">
      <c r="A6997" s="46"/>
    </row>
    <row r="6998" spans="1:1" hidden="1" x14ac:dyDescent="0.3">
      <c r="A6998" s="46"/>
    </row>
    <row r="6999" spans="1:1" hidden="1" x14ac:dyDescent="0.3">
      <c r="A6999" s="46"/>
    </row>
    <row r="7000" spans="1:1" hidden="1" x14ac:dyDescent="0.3">
      <c r="A7000" s="46"/>
    </row>
    <row r="7001" spans="1:1" hidden="1" x14ac:dyDescent="0.3">
      <c r="A7001" s="46"/>
    </row>
    <row r="7002" spans="1:1" hidden="1" x14ac:dyDescent="0.3">
      <c r="A7002" s="46"/>
    </row>
    <row r="7003" spans="1:1" hidden="1" x14ac:dyDescent="0.3">
      <c r="A7003" s="46"/>
    </row>
    <row r="7004" spans="1:1" hidden="1" x14ac:dyDescent="0.3">
      <c r="A7004" s="46"/>
    </row>
    <row r="7005" spans="1:1" hidden="1" x14ac:dyDescent="0.3">
      <c r="A7005" s="46"/>
    </row>
    <row r="7006" spans="1:1" hidden="1" x14ac:dyDescent="0.3">
      <c r="A7006" s="46"/>
    </row>
    <row r="7007" spans="1:1" hidden="1" x14ac:dyDescent="0.3">
      <c r="A7007" s="46"/>
    </row>
    <row r="7008" spans="1:1" hidden="1" x14ac:dyDescent="0.3">
      <c r="A7008" s="46"/>
    </row>
    <row r="7009" spans="1:1" hidden="1" x14ac:dyDescent="0.3">
      <c r="A7009" s="46"/>
    </row>
    <row r="7010" spans="1:1" hidden="1" x14ac:dyDescent="0.3">
      <c r="A7010" s="46"/>
    </row>
    <row r="7011" spans="1:1" hidden="1" x14ac:dyDescent="0.3">
      <c r="A7011" s="46"/>
    </row>
    <row r="7012" spans="1:1" hidden="1" x14ac:dyDescent="0.3">
      <c r="A7012" s="46"/>
    </row>
    <row r="7013" spans="1:1" hidden="1" x14ac:dyDescent="0.3">
      <c r="A7013" s="46"/>
    </row>
    <row r="7014" spans="1:1" hidden="1" x14ac:dyDescent="0.3">
      <c r="A7014" s="46"/>
    </row>
    <row r="7015" spans="1:1" hidden="1" x14ac:dyDescent="0.3">
      <c r="A7015" s="46"/>
    </row>
    <row r="7016" spans="1:1" hidden="1" x14ac:dyDescent="0.3">
      <c r="A7016" s="46"/>
    </row>
    <row r="7017" spans="1:1" hidden="1" x14ac:dyDescent="0.3">
      <c r="A7017" s="46"/>
    </row>
    <row r="7018" spans="1:1" hidden="1" x14ac:dyDescent="0.3">
      <c r="A7018" s="46"/>
    </row>
    <row r="7019" spans="1:1" hidden="1" x14ac:dyDescent="0.3">
      <c r="A7019" s="46"/>
    </row>
    <row r="7020" spans="1:1" hidden="1" x14ac:dyDescent="0.3">
      <c r="A7020" s="46"/>
    </row>
    <row r="7021" spans="1:1" hidden="1" x14ac:dyDescent="0.3">
      <c r="A7021" s="46"/>
    </row>
    <row r="7022" spans="1:1" hidden="1" x14ac:dyDescent="0.3">
      <c r="A7022" s="46"/>
    </row>
    <row r="7023" spans="1:1" hidden="1" x14ac:dyDescent="0.3">
      <c r="A7023" s="46"/>
    </row>
    <row r="7024" spans="1:1" hidden="1" x14ac:dyDescent="0.3">
      <c r="A7024" s="46"/>
    </row>
    <row r="7025" spans="1:1" hidden="1" x14ac:dyDescent="0.3">
      <c r="A7025" s="46"/>
    </row>
    <row r="7026" spans="1:1" hidden="1" x14ac:dyDescent="0.3">
      <c r="A7026" s="46"/>
    </row>
    <row r="7027" spans="1:1" hidden="1" x14ac:dyDescent="0.3">
      <c r="A7027" s="46"/>
    </row>
    <row r="7028" spans="1:1" hidden="1" x14ac:dyDescent="0.3">
      <c r="A7028" s="46"/>
    </row>
    <row r="7029" spans="1:1" hidden="1" x14ac:dyDescent="0.3">
      <c r="A7029" s="46"/>
    </row>
    <row r="7030" spans="1:1" hidden="1" x14ac:dyDescent="0.3">
      <c r="A7030" s="46"/>
    </row>
    <row r="7031" spans="1:1" hidden="1" x14ac:dyDescent="0.3">
      <c r="A7031" s="46"/>
    </row>
    <row r="7032" spans="1:1" hidden="1" x14ac:dyDescent="0.3">
      <c r="A7032" s="46"/>
    </row>
    <row r="7033" spans="1:1" hidden="1" x14ac:dyDescent="0.3">
      <c r="A7033" s="46"/>
    </row>
    <row r="7034" spans="1:1" hidden="1" x14ac:dyDescent="0.3">
      <c r="A7034" s="46"/>
    </row>
    <row r="7035" spans="1:1" hidden="1" x14ac:dyDescent="0.3">
      <c r="A7035" s="46"/>
    </row>
    <row r="7036" spans="1:1" hidden="1" x14ac:dyDescent="0.3">
      <c r="A7036" s="46"/>
    </row>
    <row r="7037" spans="1:1" hidden="1" x14ac:dyDescent="0.3">
      <c r="A7037" s="46"/>
    </row>
    <row r="7038" spans="1:1" hidden="1" x14ac:dyDescent="0.3">
      <c r="A7038" s="46"/>
    </row>
    <row r="7039" spans="1:1" hidden="1" x14ac:dyDescent="0.3">
      <c r="A7039" s="46"/>
    </row>
    <row r="7040" spans="1:1" hidden="1" x14ac:dyDescent="0.3">
      <c r="A7040" s="46"/>
    </row>
    <row r="7041" spans="1:1" hidden="1" x14ac:dyDescent="0.3">
      <c r="A7041" s="46"/>
    </row>
    <row r="7042" spans="1:1" hidden="1" x14ac:dyDescent="0.3">
      <c r="A7042" s="46"/>
    </row>
    <row r="7043" spans="1:1" hidden="1" x14ac:dyDescent="0.3">
      <c r="A7043" s="46"/>
    </row>
    <row r="7044" spans="1:1" hidden="1" x14ac:dyDescent="0.3">
      <c r="A7044" s="46"/>
    </row>
    <row r="7045" spans="1:1" hidden="1" x14ac:dyDescent="0.3">
      <c r="A7045" s="46"/>
    </row>
    <row r="7046" spans="1:1" hidden="1" x14ac:dyDescent="0.3">
      <c r="A7046" s="46"/>
    </row>
    <row r="7047" spans="1:1" hidden="1" x14ac:dyDescent="0.3">
      <c r="A7047" s="46"/>
    </row>
    <row r="7048" spans="1:1" hidden="1" x14ac:dyDescent="0.3">
      <c r="A7048" s="46"/>
    </row>
    <row r="7049" spans="1:1" hidden="1" x14ac:dyDescent="0.3">
      <c r="A7049" s="46"/>
    </row>
    <row r="7050" spans="1:1" hidden="1" x14ac:dyDescent="0.3">
      <c r="A7050" s="46"/>
    </row>
    <row r="7051" spans="1:1" hidden="1" x14ac:dyDescent="0.3">
      <c r="A7051" s="46"/>
    </row>
    <row r="7052" spans="1:1" hidden="1" x14ac:dyDescent="0.3">
      <c r="A7052" s="46"/>
    </row>
    <row r="7053" spans="1:1" hidden="1" x14ac:dyDescent="0.3">
      <c r="A7053" s="46"/>
    </row>
    <row r="7054" spans="1:1" hidden="1" x14ac:dyDescent="0.3">
      <c r="A7054" s="46"/>
    </row>
    <row r="7055" spans="1:1" hidden="1" x14ac:dyDescent="0.3">
      <c r="A7055" s="46"/>
    </row>
    <row r="7056" spans="1:1" hidden="1" x14ac:dyDescent="0.3">
      <c r="A7056" s="46"/>
    </row>
    <row r="7057" spans="1:1" hidden="1" x14ac:dyDescent="0.3">
      <c r="A7057" s="46"/>
    </row>
    <row r="7058" spans="1:1" hidden="1" x14ac:dyDescent="0.3">
      <c r="A7058" s="46"/>
    </row>
    <row r="7059" spans="1:1" hidden="1" x14ac:dyDescent="0.3">
      <c r="A7059" s="46"/>
    </row>
    <row r="7060" spans="1:1" hidden="1" x14ac:dyDescent="0.3">
      <c r="A7060" s="46"/>
    </row>
    <row r="7061" spans="1:1" hidden="1" x14ac:dyDescent="0.3">
      <c r="A7061" s="46"/>
    </row>
    <row r="7062" spans="1:1" hidden="1" x14ac:dyDescent="0.3">
      <c r="A7062" s="46"/>
    </row>
    <row r="7063" spans="1:1" hidden="1" x14ac:dyDescent="0.3">
      <c r="A7063" s="46"/>
    </row>
    <row r="7064" spans="1:1" hidden="1" x14ac:dyDescent="0.3">
      <c r="A7064" s="46"/>
    </row>
    <row r="7065" spans="1:1" hidden="1" x14ac:dyDescent="0.3">
      <c r="A7065" s="46"/>
    </row>
    <row r="7066" spans="1:1" hidden="1" x14ac:dyDescent="0.3">
      <c r="A7066" s="46"/>
    </row>
    <row r="7067" spans="1:1" hidden="1" x14ac:dyDescent="0.3">
      <c r="A7067" s="46"/>
    </row>
    <row r="7068" spans="1:1" hidden="1" x14ac:dyDescent="0.3">
      <c r="A7068" s="46"/>
    </row>
    <row r="7069" spans="1:1" hidden="1" x14ac:dyDescent="0.3">
      <c r="A7069" s="46"/>
    </row>
    <row r="7070" spans="1:1" hidden="1" x14ac:dyDescent="0.3">
      <c r="A7070" s="46"/>
    </row>
    <row r="7071" spans="1:1" hidden="1" x14ac:dyDescent="0.3">
      <c r="A7071" s="46"/>
    </row>
    <row r="7072" spans="1:1" hidden="1" x14ac:dyDescent="0.3">
      <c r="A7072" s="46"/>
    </row>
    <row r="7073" spans="1:1" hidden="1" x14ac:dyDescent="0.3">
      <c r="A7073" s="46"/>
    </row>
    <row r="7074" spans="1:1" hidden="1" x14ac:dyDescent="0.3">
      <c r="A7074" s="46"/>
    </row>
    <row r="7075" spans="1:1" hidden="1" x14ac:dyDescent="0.3">
      <c r="A7075" s="46"/>
    </row>
    <row r="7076" spans="1:1" hidden="1" x14ac:dyDescent="0.3">
      <c r="A7076" s="46"/>
    </row>
    <row r="7077" spans="1:1" hidden="1" x14ac:dyDescent="0.3">
      <c r="A7077" s="46"/>
    </row>
    <row r="7078" spans="1:1" hidden="1" x14ac:dyDescent="0.3">
      <c r="A7078" s="46"/>
    </row>
    <row r="7079" spans="1:1" hidden="1" x14ac:dyDescent="0.3">
      <c r="A7079" s="46"/>
    </row>
    <row r="7080" spans="1:1" hidden="1" x14ac:dyDescent="0.3">
      <c r="A7080" s="46"/>
    </row>
    <row r="7081" spans="1:1" hidden="1" x14ac:dyDescent="0.3">
      <c r="A7081" s="46"/>
    </row>
    <row r="7082" spans="1:1" hidden="1" x14ac:dyDescent="0.3">
      <c r="A7082" s="46"/>
    </row>
    <row r="7083" spans="1:1" hidden="1" x14ac:dyDescent="0.3">
      <c r="A7083" s="46"/>
    </row>
    <row r="7084" spans="1:1" hidden="1" x14ac:dyDescent="0.3">
      <c r="A7084" s="46"/>
    </row>
    <row r="7085" spans="1:1" hidden="1" x14ac:dyDescent="0.3">
      <c r="A7085" s="46"/>
    </row>
    <row r="7086" spans="1:1" hidden="1" x14ac:dyDescent="0.3">
      <c r="A7086" s="46"/>
    </row>
    <row r="7087" spans="1:1" hidden="1" x14ac:dyDescent="0.3">
      <c r="A7087" s="46"/>
    </row>
    <row r="7088" spans="1:1" hidden="1" x14ac:dyDescent="0.3">
      <c r="A7088" s="46"/>
    </row>
    <row r="7089" spans="1:1" hidden="1" x14ac:dyDescent="0.3">
      <c r="A7089" s="46"/>
    </row>
    <row r="7090" spans="1:1" hidden="1" x14ac:dyDescent="0.3">
      <c r="A7090" s="46"/>
    </row>
    <row r="7091" spans="1:1" hidden="1" x14ac:dyDescent="0.3">
      <c r="A7091" s="46"/>
    </row>
    <row r="7092" spans="1:1" hidden="1" x14ac:dyDescent="0.3">
      <c r="A7092" s="46"/>
    </row>
    <row r="7093" spans="1:1" hidden="1" x14ac:dyDescent="0.3">
      <c r="A7093" s="46"/>
    </row>
    <row r="7094" spans="1:1" hidden="1" x14ac:dyDescent="0.3">
      <c r="A7094" s="46"/>
    </row>
    <row r="7095" spans="1:1" hidden="1" x14ac:dyDescent="0.3">
      <c r="A7095" s="46"/>
    </row>
    <row r="7096" spans="1:1" hidden="1" x14ac:dyDescent="0.3">
      <c r="A7096" s="46"/>
    </row>
    <row r="7097" spans="1:1" hidden="1" x14ac:dyDescent="0.3">
      <c r="A7097" s="46"/>
    </row>
    <row r="7098" spans="1:1" hidden="1" x14ac:dyDescent="0.3">
      <c r="A7098" s="46"/>
    </row>
    <row r="7099" spans="1:1" hidden="1" x14ac:dyDescent="0.3">
      <c r="A7099" s="46"/>
    </row>
    <row r="7100" spans="1:1" hidden="1" x14ac:dyDescent="0.3">
      <c r="A7100" s="46"/>
    </row>
    <row r="7101" spans="1:1" hidden="1" x14ac:dyDescent="0.3">
      <c r="A7101" s="46"/>
    </row>
    <row r="7102" spans="1:1" hidden="1" x14ac:dyDescent="0.3">
      <c r="A7102" s="46"/>
    </row>
    <row r="7103" spans="1:1" hidden="1" x14ac:dyDescent="0.3">
      <c r="A7103" s="46"/>
    </row>
    <row r="7104" spans="1:1" hidden="1" x14ac:dyDescent="0.3">
      <c r="A7104" s="46"/>
    </row>
    <row r="7105" spans="1:1" hidden="1" x14ac:dyDescent="0.3">
      <c r="A7105" s="46"/>
    </row>
    <row r="7106" spans="1:1" hidden="1" x14ac:dyDescent="0.3">
      <c r="A7106" s="46"/>
    </row>
    <row r="7107" spans="1:1" hidden="1" x14ac:dyDescent="0.3">
      <c r="A7107" s="46"/>
    </row>
    <row r="7108" spans="1:1" hidden="1" x14ac:dyDescent="0.3">
      <c r="A7108" s="46"/>
    </row>
    <row r="7109" spans="1:1" hidden="1" x14ac:dyDescent="0.3">
      <c r="A7109" s="46"/>
    </row>
    <row r="7110" spans="1:1" hidden="1" x14ac:dyDescent="0.3">
      <c r="A7110" s="46"/>
    </row>
    <row r="7111" spans="1:1" hidden="1" x14ac:dyDescent="0.3">
      <c r="A7111" s="46"/>
    </row>
    <row r="7112" spans="1:1" hidden="1" x14ac:dyDescent="0.3">
      <c r="A7112" s="46"/>
    </row>
    <row r="7113" spans="1:1" hidden="1" x14ac:dyDescent="0.3">
      <c r="A7113" s="46"/>
    </row>
    <row r="7114" spans="1:1" hidden="1" x14ac:dyDescent="0.3">
      <c r="A7114" s="46"/>
    </row>
    <row r="7115" spans="1:1" hidden="1" x14ac:dyDescent="0.3">
      <c r="A7115" s="46"/>
    </row>
    <row r="7116" spans="1:1" hidden="1" x14ac:dyDescent="0.3">
      <c r="A7116" s="46"/>
    </row>
    <row r="7117" spans="1:1" hidden="1" x14ac:dyDescent="0.3">
      <c r="A7117" s="46"/>
    </row>
    <row r="7118" spans="1:1" hidden="1" x14ac:dyDescent="0.3">
      <c r="A7118" s="46"/>
    </row>
    <row r="7119" spans="1:1" hidden="1" x14ac:dyDescent="0.3">
      <c r="A7119" s="46"/>
    </row>
    <row r="7120" spans="1:1" hidden="1" x14ac:dyDescent="0.3">
      <c r="A7120" s="46"/>
    </row>
    <row r="7121" spans="1:1" hidden="1" x14ac:dyDescent="0.3">
      <c r="A7121" s="46"/>
    </row>
    <row r="7122" spans="1:1" hidden="1" x14ac:dyDescent="0.3">
      <c r="A7122" s="46"/>
    </row>
    <row r="7123" spans="1:1" hidden="1" x14ac:dyDescent="0.3">
      <c r="A7123" s="46"/>
    </row>
    <row r="7124" spans="1:1" hidden="1" x14ac:dyDescent="0.3">
      <c r="A7124" s="46"/>
    </row>
    <row r="7125" spans="1:1" hidden="1" x14ac:dyDescent="0.3">
      <c r="A7125" s="46"/>
    </row>
    <row r="7126" spans="1:1" hidden="1" x14ac:dyDescent="0.3">
      <c r="A7126" s="46"/>
    </row>
    <row r="7127" spans="1:1" hidden="1" x14ac:dyDescent="0.3">
      <c r="A7127" s="46"/>
    </row>
    <row r="7128" spans="1:1" hidden="1" x14ac:dyDescent="0.3">
      <c r="A7128" s="46"/>
    </row>
    <row r="7129" spans="1:1" hidden="1" x14ac:dyDescent="0.3">
      <c r="A7129" s="46"/>
    </row>
    <row r="7130" spans="1:1" hidden="1" x14ac:dyDescent="0.3">
      <c r="A7130" s="46"/>
    </row>
    <row r="7131" spans="1:1" hidden="1" x14ac:dyDescent="0.3">
      <c r="A7131" s="46"/>
    </row>
    <row r="7132" spans="1:1" hidden="1" x14ac:dyDescent="0.3">
      <c r="A7132" s="46"/>
    </row>
    <row r="7133" spans="1:1" hidden="1" x14ac:dyDescent="0.3">
      <c r="A7133" s="46"/>
    </row>
    <row r="7134" spans="1:1" hidden="1" x14ac:dyDescent="0.3">
      <c r="A7134" s="46"/>
    </row>
    <row r="7135" spans="1:1" hidden="1" x14ac:dyDescent="0.3">
      <c r="A7135" s="46"/>
    </row>
    <row r="7136" spans="1:1" hidden="1" x14ac:dyDescent="0.3">
      <c r="A7136" s="46"/>
    </row>
    <row r="7137" spans="1:1" hidden="1" x14ac:dyDescent="0.3">
      <c r="A7137" s="46"/>
    </row>
    <row r="7138" spans="1:1" hidden="1" x14ac:dyDescent="0.3">
      <c r="A7138" s="46"/>
    </row>
    <row r="7139" spans="1:1" hidden="1" x14ac:dyDescent="0.3">
      <c r="A7139" s="46"/>
    </row>
    <row r="7140" spans="1:1" hidden="1" x14ac:dyDescent="0.3">
      <c r="A7140" s="46"/>
    </row>
    <row r="7141" spans="1:1" hidden="1" x14ac:dyDescent="0.3">
      <c r="A7141" s="46"/>
    </row>
    <row r="7142" spans="1:1" hidden="1" x14ac:dyDescent="0.3">
      <c r="A7142" s="46"/>
    </row>
    <row r="7143" spans="1:1" hidden="1" x14ac:dyDescent="0.3">
      <c r="A7143" s="46"/>
    </row>
    <row r="7144" spans="1:1" hidden="1" x14ac:dyDescent="0.3">
      <c r="A7144" s="46"/>
    </row>
    <row r="7145" spans="1:1" hidden="1" x14ac:dyDescent="0.3">
      <c r="A7145" s="46"/>
    </row>
    <row r="7146" spans="1:1" hidden="1" x14ac:dyDescent="0.3">
      <c r="A7146" s="46"/>
    </row>
    <row r="7147" spans="1:1" hidden="1" x14ac:dyDescent="0.3">
      <c r="A7147" s="46"/>
    </row>
    <row r="7148" spans="1:1" hidden="1" x14ac:dyDescent="0.3">
      <c r="A7148" s="46"/>
    </row>
    <row r="7149" spans="1:1" hidden="1" x14ac:dyDescent="0.3">
      <c r="A7149" s="46"/>
    </row>
    <row r="7150" spans="1:1" hidden="1" x14ac:dyDescent="0.3">
      <c r="A7150" s="46"/>
    </row>
    <row r="7151" spans="1:1" hidden="1" x14ac:dyDescent="0.3">
      <c r="A7151" s="46"/>
    </row>
    <row r="7152" spans="1:1" hidden="1" x14ac:dyDescent="0.3">
      <c r="A7152" s="46"/>
    </row>
    <row r="7153" spans="1:1" hidden="1" x14ac:dyDescent="0.3">
      <c r="A7153" s="46"/>
    </row>
    <row r="7154" spans="1:1" hidden="1" x14ac:dyDescent="0.3">
      <c r="A7154" s="46"/>
    </row>
    <row r="7155" spans="1:1" hidden="1" x14ac:dyDescent="0.3">
      <c r="A7155" s="46"/>
    </row>
    <row r="7156" spans="1:1" hidden="1" x14ac:dyDescent="0.3">
      <c r="A7156" s="46"/>
    </row>
    <row r="7157" spans="1:1" hidden="1" x14ac:dyDescent="0.3">
      <c r="A7157" s="46"/>
    </row>
    <row r="7158" spans="1:1" hidden="1" x14ac:dyDescent="0.3">
      <c r="A7158" s="46"/>
    </row>
    <row r="7159" spans="1:1" hidden="1" x14ac:dyDescent="0.3">
      <c r="A7159" s="46"/>
    </row>
    <row r="7160" spans="1:1" hidden="1" x14ac:dyDescent="0.3">
      <c r="A7160" s="46"/>
    </row>
    <row r="7161" spans="1:1" hidden="1" x14ac:dyDescent="0.3">
      <c r="A7161" s="46"/>
    </row>
    <row r="7162" spans="1:1" hidden="1" x14ac:dyDescent="0.3">
      <c r="A7162" s="46"/>
    </row>
    <row r="7163" spans="1:1" hidden="1" x14ac:dyDescent="0.3">
      <c r="A7163" s="46"/>
    </row>
    <row r="7164" spans="1:1" hidden="1" x14ac:dyDescent="0.3">
      <c r="A7164" s="46"/>
    </row>
    <row r="7165" spans="1:1" hidden="1" x14ac:dyDescent="0.3">
      <c r="A7165" s="46"/>
    </row>
    <row r="7166" spans="1:1" hidden="1" x14ac:dyDescent="0.3">
      <c r="A7166" s="46"/>
    </row>
    <row r="7167" spans="1:1" hidden="1" x14ac:dyDescent="0.3">
      <c r="A7167" s="46"/>
    </row>
    <row r="7168" spans="1:1" hidden="1" x14ac:dyDescent="0.3">
      <c r="A7168" s="46"/>
    </row>
    <row r="7169" spans="1:1" hidden="1" x14ac:dyDescent="0.3">
      <c r="A7169" s="46"/>
    </row>
    <row r="7170" spans="1:1" hidden="1" x14ac:dyDescent="0.3">
      <c r="A7170" s="46"/>
    </row>
    <row r="7171" spans="1:1" hidden="1" x14ac:dyDescent="0.3">
      <c r="A7171" s="46"/>
    </row>
    <row r="7172" spans="1:1" hidden="1" x14ac:dyDescent="0.3">
      <c r="A7172" s="46"/>
    </row>
    <row r="7173" spans="1:1" hidden="1" x14ac:dyDescent="0.3">
      <c r="A7173" s="46"/>
    </row>
    <row r="7174" spans="1:1" hidden="1" x14ac:dyDescent="0.3">
      <c r="A7174" s="46"/>
    </row>
    <row r="7175" spans="1:1" hidden="1" x14ac:dyDescent="0.3">
      <c r="A7175" s="46"/>
    </row>
    <row r="7176" spans="1:1" hidden="1" x14ac:dyDescent="0.3">
      <c r="A7176" s="46"/>
    </row>
    <row r="7177" spans="1:1" hidden="1" x14ac:dyDescent="0.3">
      <c r="A7177" s="46"/>
    </row>
    <row r="7178" spans="1:1" hidden="1" x14ac:dyDescent="0.3">
      <c r="A7178" s="46"/>
    </row>
    <row r="7179" spans="1:1" hidden="1" x14ac:dyDescent="0.3">
      <c r="A7179" s="46"/>
    </row>
    <row r="7180" spans="1:1" hidden="1" x14ac:dyDescent="0.3">
      <c r="A7180" s="46"/>
    </row>
    <row r="7181" spans="1:1" hidden="1" x14ac:dyDescent="0.3">
      <c r="A7181" s="46"/>
    </row>
    <row r="7182" spans="1:1" hidden="1" x14ac:dyDescent="0.3">
      <c r="A7182" s="46"/>
    </row>
    <row r="7183" spans="1:1" hidden="1" x14ac:dyDescent="0.3">
      <c r="A7183" s="46"/>
    </row>
    <row r="7184" spans="1:1" hidden="1" x14ac:dyDescent="0.3">
      <c r="A7184" s="46"/>
    </row>
    <row r="7185" spans="1:1" hidden="1" x14ac:dyDescent="0.3">
      <c r="A7185" s="46"/>
    </row>
    <row r="7186" spans="1:1" hidden="1" x14ac:dyDescent="0.3">
      <c r="A7186" s="46"/>
    </row>
    <row r="7187" spans="1:1" hidden="1" x14ac:dyDescent="0.3">
      <c r="A7187" s="46"/>
    </row>
    <row r="7188" spans="1:1" hidden="1" x14ac:dyDescent="0.3">
      <c r="A7188" s="46"/>
    </row>
    <row r="7189" spans="1:1" hidden="1" x14ac:dyDescent="0.3">
      <c r="A7189" s="46"/>
    </row>
    <row r="7190" spans="1:1" hidden="1" x14ac:dyDescent="0.3">
      <c r="A7190" s="46"/>
    </row>
    <row r="7191" spans="1:1" hidden="1" x14ac:dyDescent="0.3">
      <c r="A7191" s="46"/>
    </row>
    <row r="7192" spans="1:1" hidden="1" x14ac:dyDescent="0.3">
      <c r="A7192" s="46"/>
    </row>
    <row r="7193" spans="1:1" hidden="1" x14ac:dyDescent="0.3">
      <c r="A7193" s="46"/>
    </row>
    <row r="7194" spans="1:1" hidden="1" x14ac:dyDescent="0.3">
      <c r="A7194" s="46"/>
    </row>
    <row r="7195" spans="1:1" hidden="1" x14ac:dyDescent="0.3">
      <c r="A7195" s="46"/>
    </row>
    <row r="7196" spans="1:1" hidden="1" x14ac:dyDescent="0.3">
      <c r="A7196" s="46"/>
    </row>
    <row r="7197" spans="1:1" hidden="1" x14ac:dyDescent="0.3">
      <c r="A7197" s="46"/>
    </row>
    <row r="7198" spans="1:1" hidden="1" x14ac:dyDescent="0.3">
      <c r="A7198" s="46"/>
    </row>
    <row r="7199" spans="1:1" hidden="1" x14ac:dyDescent="0.3">
      <c r="A7199" s="46"/>
    </row>
    <row r="7200" spans="1:1" hidden="1" x14ac:dyDescent="0.3">
      <c r="A7200" s="46"/>
    </row>
    <row r="7201" spans="1:1" hidden="1" x14ac:dyDescent="0.3">
      <c r="A7201" s="46"/>
    </row>
    <row r="7202" spans="1:1" hidden="1" x14ac:dyDescent="0.3">
      <c r="A7202" s="46"/>
    </row>
    <row r="7203" spans="1:1" hidden="1" x14ac:dyDescent="0.3">
      <c r="A7203" s="46"/>
    </row>
    <row r="7204" spans="1:1" hidden="1" x14ac:dyDescent="0.3">
      <c r="A7204" s="46"/>
    </row>
    <row r="7205" spans="1:1" hidden="1" x14ac:dyDescent="0.3">
      <c r="A7205" s="46"/>
    </row>
    <row r="7206" spans="1:1" hidden="1" x14ac:dyDescent="0.3">
      <c r="A7206" s="46"/>
    </row>
    <row r="7207" spans="1:1" hidden="1" x14ac:dyDescent="0.3">
      <c r="A7207" s="46"/>
    </row>
    <row r="7208" spans="1:1" hidden="1" x14ac:dyDescent="0.3">
      <c r="A7208" s="46"/>
    </row>
    <row r="7209" spans="1:1" hidden="1" x14ac:dyDescent="0.3">
      <c r="A7209" s="46"/>
    </row>
    <row r="7210" spans="1:1" hidden="1" x14ac:dyDescent="0.3">
      <c r="A7210" s="46"/>
    </row>
    <row r="7211" spans="1:1" hidden="1" x14ac:dyDescent="0.3">
      <c r="A7211" s="46"/>
    </row>
    <row r="7212" spans="1:1" hidden="1" x14ac:dyDescent="0.3">
      <c r="A7212" s="46"/>
    </row>
    <row r="7213" spans="1:1" hidden="1" x14ac:dyDescent="0.3">
      <c r="A7213" s="46"/>
    </row>
    <row r="7214" spans="1:1" hidden="1" x14ac:dyDescent="0.3">
      <c r="A7214" s="46"/>
    </row>
    <row r="7215" spans="1:1" hidden="1" x14ac:dyDescent="0.3">
      <c r="A7215" s="46"/>
    </row>
    <row r="7216" spans="1:1" hidden="1" x14ac:dyDescent="0.3">
      <c r="A7216" s="46"/>
    </row>
    <row r="7217" spans="1:1" hidden="1" x14ac:dyDescent="0.3">
      <c r="A7217" s="46"/>
    </row>
    <row r="7218" spans="1:1" hidden="1" x14ac:dyDescent="0.3">
      <c r="A7218" s="46"/>
    </row>
    <row r="7219" spans="1:1" hidden="1" x14ac:dyDescent="0.3">
      <c r="A7219" s="46"/>
    </row>
    <row r="7220" spans="1:1" hidden="1" x14ac:dyDescent="0.3">
      <c r="A7220" s="46"/>
    </row>
    <row r="7221" spans="1:1" hidden="1" x14ac:dyDescent="0.3">
      <c r="A7221" s="46"/>
    </row>
    <row r="7222" spans="1:1" hidden="1" x14ac:dyDescent="0.3">
      <c r="A7222" s="46"/>
    </row>
    <row r="7223" spans="1:1" hidden="1" x14ac:dyDescent="0.3">
      <c r="A7223" s="46"/>
    </row>
    <row r="7224" spans="1:1" hidden="1" x14ac:dyDescent="0.3">
      <c r="A7224" s="46"/>
    </row>
    <row r="7225" spans="1:1" hidden="1" x14ac:dyDescent="0.3">
      <c r="A7225" s="46"/>
    </row>
    <row r="7226" spans="1:1" hidden="1" x14ac:dyDescent="0.3">
      <c r="A7226" s="46"/>
    </row>
    <row r="7227" spans="1:1" hidden="1" x14ac:dyDescent="0.3">
      <c r="A7227" s="46"/>
    </row>
    <row r="7228" spans="1:1" hidden="1" x14ac:dyDescent="0.3">
      <c r="A7228" s="46"/>
    </row>
    <row r="7229" spans="1:1" hidden="1" x14ac:dyDescent="0.3">
      <c r="A7229" s="46"/>
    </row>
    <row r="7230" spans="1:1" hidden="1" x14ac:dyDescent="0.3">
      <c r="A7230" s="46"/>
    </row>
    <row r="7231" spans="1:1" hidden="1" x14ac:dyDescent="0.3">
      <c r="A7231" s="46"/>
    </row>
    <row r="7232" spans="1:1" hidden="1" x14ac:dyDescent="0.3">
      <c r="A7232" s="46"/>
    </row>
    <row r="7233" spans="1:1" hidden="1" x14ac:dyDescent="0.3">
      <c r="A7233" s="46"/>
    </row>
    <row r="7234" spans="1:1" hidden="1" x14ac:dyDescent="0.3">
      <c r="A7234" s="46"/>
    </row>
    <row r="7235" spans="1:1" hidden="1" x14ac:dyDescent="0.3">
      <c r="A7235" s="46"/>
    </row>
    <row r="7236" spans="1:1" hidden="1" x14ac:dyDescent="0.3">
      <c r="A7236" s="46"/>
    </row>
    <row r="7237" spans="1:1" hidden="1" x14ac:dyDescent="0.3">
      <c r="A7237" s="46"/>
    </row>
    <row r="7238" spans="1:1" hidden="1" x14ac:dyDescent="0.3">
      <c r="A7238" s="46"/>
    </row>
    <row r="7239" spans="1:1" hidden="1" x14ac:dyDescent="0.3">
      <c r="A7239" s="46"/>
    </row>
    <row r="7240" spans="1:1" hidden="1" x14ac:dyDescent="0.3">
      <c r="A7240" s="46"/>
    </row>
    <row r="7241" spans="1:1" hidden="1" x14ac:dyDescent="0.3">
      <c r="A7241" s="46"/>
    </row>
    <row r="7242" spans="1:1" hidden="1" x14ac:dyDescent="0.3">
      <c r="A7242" s="46"/>
    </row>
    <row r="7243" spans="1:1" hidden="1" x14ac:dyDescent="0.3">
      <c r="A7243" s="46"/>
    </row>
    <row r="7244" spans="1:1" hidden="1" x14ac:dyDescent="0.3">
      <c r="A7244" s="46"/>
    </row>
    <row r="7245" spans="1:1" hidden="1" x14ac:dyDescent="0.3">
      <c r="A7245" s="46"/>
    </row>
    <row r="7246" spans="1:1" hidden="1" x14ac:dyDescent="0.3">
      <c r="A7246" s="46"/>
    </row>
    <row r="7247" spans="1:1" hidden="1" x14ac:dyDescent="0.3">
      <c r="A7247" s="46"/>
    </row>
    <row r="7248" spans="1:1" hidden="1" x14ac:dyDescent="0.3">
      <c r="A7248" s="46"/>
    </row>
    <row r="7249" spans="1:1" hidden="1" x14ac:dyDescent="0.3">
      <c r="A7249" s="46"/>
    </row>
    <row r="7250" spans="1:1" hidden="1" x14ac:dyDescent="0.3">
      <c r="A7250" s="46"/>
    </row>
    <row r="7251" spans="1:1" hidden="1" x14ac:dyDescent="0.3">
      <c r="A7251" s="46"/>
    </row>
    <row r="7252" spans="1:1" hidden="1" x14ac:dyDescent="0.3">
      <c r="A7252" s="46"/>
    </row>
    <row r="7253" spans="1:1" hidden="1" x14ac:dyDescent="0.3">
      <c r="A7253" s="46"/>
    </row>
    <row r="7254" spans="1:1" hidden="1" x14ac:dyDescent="0.3">
      <c r="A7254" s="46"/>
    </row>
    <row r="7255" spans="1:1" hidden="1" x14ac:dyDescent="0.3">
      <c r="A7255" s="46"/>
    </row>
    <row r="7256" spans="1:1" hidden="1" x14ac:dyDescent="0.3">
      <c r="A7256" s="46"/>
    </row>
    <row r="7257" spans="1:1" hidden="1" x14ac:dyDescent="0.3">
      <c r="A7257" s="46"/>
    </row>
    <row r="7258" spans="1:1" hidden="1" x14ac:dyDescent="0.3">
      <c r="A7258" s="46"/>
    </row>
    <row r="7259" spans="1:1" hidden="1" x14ac:dyDescent="0.3">
      <c r="A7259" s="46"/>
    </row>
    <row r="7260" spans="1:1" hidden="1" x14ac:dyDescent="0.3">
      <c r="A7260" s="46"/>
    </row>
    <row r="7261" spans="1:1" hidden="1" x14ac:dyDescent="0.3">
      <c r="A7261" s="46"/>
    </row>
    <row r="7262" spans="1:1" hidden="1" x14ac:dyDescent="0.3">
      <c r="A7262" s="46"/>
    </row>
    <row r="7263" spans="1:1" hidden="1" x14ac:dyDescent="0.3">
      <c r="A7263" s="46"/>
    </row>
    <row r="7264" spans="1:1" hidden="1" x14ac:dyDescent="0.3">
      <c r="A7264" s="46"/>
    </row>
    <row r="7265" spans="1:1" hidden="1" x14ac:dyDescent="0.3">
      <c r="A7265" s="46"/>
    </row>
    <row r="7266" spans="1:1" hidden="1" x14ac:dyDescent="0.3">
      <c r="A7266" s="46"/>
    </row>
    <row r="7267" spans="1:1" hidden="1" x14ac:dyDescent="0.3">
      <c r="A7267" s="46"/>
    </row>
    <row r="7268" spans="1:1" hidden="1" x14ac:dyDescent="0.3">
      <c r="A7268" s="46"/>
    </row>
    <row r="7269" spans="1:1" hidden="1" x14ac:dyDescent="0.3">
      <c r="A7269" s="46"/>
    </row>
    <row r="7270" spans="1:1" hidden="1" x14ac:dyDescent="0.3">
      <c r="A7270" s="46"/>
    </row>
    <row r="7271" spans="1:1" hidden="1" x14ac:dyDescent="0.3">
      <c r="A7271" s="46"/>
    </row>
    <row r="7272" spans="1:1" hidden="1" x14ac:dyDescent="0.3">
      <c r="A7272" s="46"/>
    </row>
    <row r="7273" spans="1:1" hidden="1" x14ac:dyDescent="0.3">
      <c r="A7273" s="46"/>
    </row>
    <row r="7274" spans="1:1" hidden="1" x14ac:dyDescent="0.3">
      <c r="A7274" s="46"/>
    </row>
    <row r="7275" spans="1:1" hidden="1" x14ac:dyDescent="0.3">
      <c r="A7275" s="46"/>
    </row>
    <row r="7276" spans="1:1" hidden="1" x14ac:dyDescent="0.3">
      <c r="A7276" s="46"/>
    </row>
    <row r="7277" spans="1:1" hidden="1" x14ac:dyDescent="0.3">
      <c r="A7277" s="46"/>
    </row>
    <row r="7278" spans="1:1" hidden="1" x14ac:dyDescent="0.3">
      <c r="A7278" s="46"/>
    </row>
    <row r="7279" spans="1:1" hidden="1" x14ac:dyDescent="0.3">
      <c r="A7279" s="46"/>
    </row>
    <row r="7280" spans="1:1" hidden="1" x14ac:dyDescent="0.3">
      <c r="A7280" s="46"/>
    </row>
    <row r="7281" spans="1:1" hidden="1" x14ac:dyDescent="0.3">
      <c r="A7281" s="46"/>
    </row>
    <row r="7282" spans="1:1" hidden="1" x14ac:dyDescent="0.3">
      <c r="A7282" s="46"/>
    </row>
    <row r="7283" spans="1:1" hidden="1" x14ac:dyDescent="0.3">
      <c r="A7283" s="46"/>
    </row>
    <row r="7284" spans="1:1" hidden="1" x14ac:dyDescent="0.3">
      <c r="A7284" s="46"/>
    </row>
    <row r="7285" spans="1:1" hidden="1" x14ac:dyDescent="0.3">
      <c r="A7285" s="46"/>
    </row>
    <row r="7286" spans="1:1" hidden="1" x14ac:dyDescent="0.3">
      <c r="A7286" s="46"/>
    </row>
    <row r="7287" spans="1:1" hidden="1" x14ac:dyDescent="0.3">
      <c r="A7287" s="46"/>
    </row>
    <row r="7288" spans="1:1" hidden="1" x14ac:dyDescent="0.3">
      <c r="A7288" s="46"/>
    </row>
    <row r="7289" spans="1:1" hidden="1" x14ac:dyDescent="0.3">
      <c r="A7289" s="46"/>
    </row>
    <row r="7290" spans="1:1" hidden="1" x14ac:dyDescent="0.3">
      <c r="A7290" s="46"/>
    </row>
    <row r="7291" spans="1:1" hidden="1" x14ac:dyDescent="0.3">
      <c r="A7291" s="46"/>
    </row>
    <row r="7292" spans="1:1" hidden="1" x14ac:dyDescent="0.3">
      <c r="A7292" s="46"/>
    </row>
    <row r="7293" spans="1:1" hidden="1" x14ac:dyDescent="0.3">
      <c r="A7293" s="46"/>
    </row>
    <row r="7294" spans="1:1" hidden="1" x14ac:dyDescent="0.3">
      <c r="A7294" s="46"/>
    </row>
    <row r="7295" spans="1:1" hidden="1" x14ac:dyDescent="0.3">
      <c r="A7295" s="46"/>
    </row>
    <row r="7296" spans="1:1" hidden="1" x14ac:dyDescent="0.3">
      <c r="A7296" s="46"/>
    </row>
    <row r="7297" spans="1:1" hidden="1" x14ac:dyDescent="0.3">
      <c r="A7297" s="46"/>
    </row>
    <row r="7298" spans="1:1" hidden="1" x14ac:dyDescent="0.3">
      <c r="A7298" s="46"/>
    </row>
    <row r="7299" spans="1:1" hidden="1" x14ac:dyDescent="0.3">
      <c r="A7299" s="46"/>
    </row>
    <row r="7300" spans="1:1" hidden="1" x14ac:dyDescent="0.3">
      <c r="A7300" s="46"/>
    </row>
    <row r="7301" spans="1:1" hidden="1" x14ac:dyDescent="0.3">
      <c r="A7301" s="46"/>
    </row>
    <row r="7302" spans="1:1" hidden="1" x14ac:dyDescent="0.3">
      <c r="A7302" s="46"/>
    </row>
    <row r="7303" spans="1:1" hidden="1" x14ac:dyDescent="0.3">
      <c r="A7303" s="46"/>
    </row>
    <row r="7304" spans="1:1" hidden="1" x14ac:dyDescent="0.3">
      <c r="A7304" s="46"/>
    </row>
    <row r="7305" spans="1:1" hidden="1" x14ac:dyDescent="0.3">
      <c r="A7305" s="46"/>
    </row>
    <row r="7306" spans="1:1" hidden="1" x14ac:dyDescent="0.3">
      <c r="A7306" s="46"/>
    </row>
    <row r="7307" spans="1:1" hidden="1" x14ac:dyDescent="0.3">
      <c r="A7307" s="46"/>
    </row>
    <row r="7308" spans="1:1" hidden="1" x14ac:dyDescent="0.3">
      <c r="A7308" s="46"/>
    </row>
    <row r="7309" spans="1:1" hidden="1" x14ac:dyDescent="0.3">
      <c r="A7309" s="46"/>
    </row>
    <row r="7310" spans="1:1" hidden="1" x14ac:dyDescent="0.3">
      <c r="A7310" s="46"/>
    </row>
    <row r="7311" spans="1:1" hidden="1" x14ac:dyDescent="0.3">
      <c r="A7311" s="46"/>
    </row>
    <row r="7312" spans="1:1" hidden="1" x14ac:dyDescent="0.3">
      <c r="A7312" s="46"/>
    </row>
    <row r="7313" spans="1:1" hidden="1" x14ac:dyDescent="0.3">
      <c r="A7313" s="46"/>
    </row>
    <row r="7314" spans="1:1" hidden="1" x14ac:dyDescent="0.3">
      <c r="A7314" s="46"/>
    </row>
    <row r="7315" spans="1:1" hidden="1" x14ac:dyDescent="0.3">
      <c r="A7315" s="46"/>
    </row>
    <row r="7316" spans="1:1" hidden="1" x14ac:dyDescent="0.3">
      <c r="A7316" s="46"/>
    </row>
    <row r="7317" spans="1:1" hidden="1" x14ac:dyDescent="0.3">
      <c r="A7317" s="46"/>
    </row>
    <row r="7318" spans="1:1" hidden="1" x14ac:dyDescent="0.3">
      <c r="A7318" s="46"/>
    </row>
    <row r="7319" spans="1:1" hidden="1" x14ac:dyDescent="0.3">
      <c r="A7319" s="46"/>
    </row>
    <row r="7320" spans="1:1" hidden="1" x14ac:dyDescent="0.3">
      <c r="A7320" s="46"/>
    </row>
    <row r="7321" spans="1:1" hidden="1" x14ac:dyDescent="0.3">
      <c r="A7321" s="46"/>
    </row>
    <row r="7322" spans="1:1" hidden="1" x14ac:dyDescent="0.3">
      <c r="A7322" s="46"/>
    </row>
    <row r="7323" spans="1:1" hidden="1" x14ac:dyDescent="0.3">
      <c r="A7323" s="46"/>
    </row>
    <row r="7324" spans="1:1" hidden="1" x14ac:dyDescent="0.3">
      <c r="A7324" s="46"/>
    </row>
    <row r="7325" spans="1:1" hidden="1" x14ac:dyDescent="0.3">
      <c r="A7325" s="46"/>
    </row>
    <row r="7326" spans="1:1" hidden="1" x14ac:dyDescent="0.3">
      <c r="A7326" s="46"/>
    </row>
    <row r="7327" spans="1:1" hidden="1" x14ac:dyDescent="0.3">
      <c r="A7327" s="46"/>
    </row>
    <row r="7328" spans="1:1" hidden="1" x14ac:dyDescent="0.3">
      <c r="A7328" s="46"/>
    </row>
    <row r="7329" spans="1:1" hidden="1" x14ac:dyDescent="0.3">
      <c r="A7329" s="46"/>
    </row>
    <row r="7330" spans="1:1" hidden="1" x14ac:dyDescent="0.3">
      <c r="A7330" s="46"/>
    </row>
    <row r="7331" spans="1:1" hidden="1" x14ac:dyDescent="0.3">
      <c r="A7331" s="46"/>
    </row>
    <row r="7332" spans="1:1" hidden="1" x14ac:dyDescent="0.3">
      <c r="A7332" s="46"/>
    </row>
    <row r="7333" spans="1:1" hidden="1" x14ac:dyDescent="0.3">
      <c r="A7333" s="46"/>
    </row>
    <row r="7334" spans="1:1" hidden="1" x14ac:dyDescent="0.3">
      <c r="A7334" s="46"/>
    </row>
    <row r="7335" spans="1:1" hidden="1" x14ac:dyDescent="0.3">
      <c r="A7335" s="46"/>
    </row>
    <row r="7336" spans="1:1" hidden="1" x14ac:dyDescent="0.3">
      <c r="A7336" s="46"/>
    </row>
    <row r="7337" spans="1:1" hidden="1" x14ac:dyDescent="0.3">
      <c r="A7337" s="46"/>
    </row>
    <row r="7338" spans="1:1" hidden="1" x14ac:dyDescent="0.3">
      <c r="A7338" s="46"/>
    </row>
    <row r="7339" spans="1:1" hidden="1" x14ac:dyDescent="0.3">
      <c r="A7339" s="46"/>
    </row>
    <row r="7340" spans="1:1" hidden="1" x14ac:dyDescent="0.3">
      <c r="A7340" s="46"/>
    </row>
    <row r="7341" spans="1:1" hidden="1" x14ac:dyDescent="0.3">
      <c r="A7341" s="46"/>
    </row>
    <row r="7342" spans="1:1" hidden="1" x14ac:dyDescent="0.3">
      <c r="A7342" s="46"/>
    </row>
    <row r="7343" spans="1:1" hidden="1" x14ac:dyDescent="0.3">
      <c r="A7343" s="46"/>
    </row>
    <row r="7344" spans="1:1" hidden="1" x14ac:dyDescent="0.3">
      <c r="A7344" s="46"/>
    </row>
    <row r="7345" spans="1:1" hidden="1" x14ac:dyDescent="0.3">
      <c r="A7345" s="46"/>
    </row>
    <row r="7346" spans="1:1" hidden="1" x14ac:dyDescent="0.3">
      <c r="A7346" s="46"/>
    </row>
    <row r="7347" spans="1:1" hidden="1" x14ac:dyDescent="0.3">
      <c r="A7347" s="46"/>
    </row>
    <row r="7348" spans="1:1" hidden="1" x14ac:dyDescent="0.3">
      <c r="A7348" s="46"/>
    </row>
    <row r="7349" spans="1:1" hidden="1" x14ac:dyDescent="0.3">
      <c r="A7349" s="46"/>
    </row>
    <row r="7350" spans="1:1" hidden="1" x14ac:dyDescent="0.3">
      <c r="A7350" s="46"/>
    </row>
    <row r="7351" spans="1:1" hidden="1" x14ac:dyDescent="0.3">
      <c r="A7351" s="46"/>
    </row>
    <row r="7352" spans="1:1" hidden="1" x14ac:dyDescent="0.3">
      <c r="A7352" s="46"/>
    </row>
    <row r="7353" spans="1:1" hidden="1" x14ac:dyDescent="0.3">
      <c r="A7353" s="46"/>
    </row>
    <row r="7354" spans="1:1" hidden="1" x14ac:dyDescent="0.3">
      <c r="A7354" s="46"/>
    </row>
    <row r="7355" spans="1:1" hidden="1" x14ac:dyDescent="0.3">
      <c r="A7355" s="46"/>
    </row>
    <row r="7356" spans="1:1" hidden="1" x14ac:dyDescent="0.3">
      <c r="A7356" s="46"/>
    </row>
    <row r="7357" spans="1:1" hidden="1" x14ac:dyDescent="0.3">
      <c r="A7357" s="46"/>
    </row>
    <row r="7358" spans="1:1" hidden="1" x14ac:dyDescent="0.3">
      <c r="A7358" s="46"/>
    </row>
    <row r="7359" spans="1:1" hidden="1" x14ac:dyDescent="0.3">
      <c r="A7359" s="46"/>
    </row>
    <row r="7360" spans="1:1" hidden="1" x14ac:dyDescent="0.3">
      <c r="A7360" s="46"/>
    </row>
    <row r="7361" spans="1:1" hidden="1" x14ac:dyDescent="0.3">
      <c r="A7361" s="46"/>
    </row>
    <row r="7362" spans="1:1" hidden="1" x14ac:dyDescent="0.3">
      <c r="A7362" s="46"/>
    </row>
    <row r="7363" spans="1:1" hidden="1" x14ac:dyDescent="0.3">
      <c r="A7363" s="46"/>
    </row>
    <row r="7364" spans="1:1" hidden="1" x14ac:dyDescent="0.3">
      <c r="A7364" s="46"/>
    </row>
    <row r="7365" spans="1:1" hidden="1" x14ac:dyDescent="0.3">
      <c r="A7365" s="46"/>
    </row>
    <row r="7366" spans="1:1" hidden="1" x14ac:dyDescent="0.3">
      <c r="A7366" s="46"/>
    </row>
    <row r="7367" spans="1:1" hidden="1" x14ac:dyDescent="0.3">
      <c r="A7367" s="46"/>
    </row>
    <row r="7368" spans="1:1" hidden="1" x14ac:dyDescent="0.3">
      <c r="A7368" s="46"/>
    </row>
    <row r="7369" spans="1:1" hidden="1" x14ac:dyDescent="0.3">
      <c r="A7369" s="46"/>
    </row>
    <row r="7370" spans="1:1" hidden="1" x14ac:dyDescent="0.3">
      <c r="A7370" s="46"/>
    </row>
    <row r="7371" spans="1:1" hidden="1" x14ac:dyDescent="0.3">
      <c r="A7371" s="46"/>
    </row>
    <row r="7372" spans="1:1" hidden="1" x14ac:dyDescent="0.3">
      <c r="A7372" s="46"/>
    </row>
    <row r="7373" spans="1:1" hidden="1" x14ac:dyDescent="0.3">
      <c r="A7373" s="46"/>
    </row>
    <row r="7374" spans="1:1" hidden="1" x14ac:dyDescent="0.3">
      <c r="A7374" s="46"/>
    </row>
    <row r="7375" spans="1:1" hidden="1" x14ac:dyDescent="0.3">
      <c r="A7375" s="46"/>
    </row>
    <row r="7376" spans="1:1" hidden="1" x14ac:dyDescent="0.3">
      <c r="A7376" s="46"/>
    </row>
    <row r="7377" spans="1:1" hidden="1" x14ac:dyDescent="0.3">
      <c r="A7377" s="46"/>
    </row>
    <row r="7378" spans="1:1" hidden="1" x14ac:dyDescent="0.3">
      <c r="A7378" s="46"/>
    </row>
    <row r="7379" spans="1:1" hidden="1" x14ac:dyDescent="0.3">
      <c r="A7379" s="46"/>
    </row>
    <row r="7380" spans="1:1" hidden="1" x14ac:dyDescent="0.3">
      <c r="A7380" s="46"/>
    </row>
    <row r="7381" spans="1:1" hidden="1" x14ac:dyDescent="0.3">
      <c r="A7381" s="46"/>
    </row>
    <row r="7382" spans="1:1" hidden="1" x14ac:dyDescent="0.3">
      <c r="A7382" s="46"/>
    </row>
    <row r="7383" spans="1:1" hidden="1" x14ac:dyDescent="0.3">
      <c r="A7383" s="46"/>
    </row>
    <row r="7384" spans="1:1" hidden="1" x14ac:dyDescent="0.3">
      <c r="A7384" s="46"/>
    </row>
    <row r="7385" spans="1:1" hidden="1" x14ac:dyDescent="0.3">
      <c r="A7385" s="46"/>
    </row>
    <row r="7386" spans="1:1" hidden="1" x14ac:dyDescent="0.3">
      <c r="A7386" s="46"/>
    </row>
    <row r="7387" spans="1:1" hidden="1" x14ac:dyDescent="0.3">
      <c r="A7387" s="46"/>
    </row>
    <row r="7388" spans="1:1" hidden="1" x14ac:dyDescent="0.3">
      <c r="A7388" s="46"/>
    </row>
    <row r="7389" spans="1:1" hidden="1" x14ac:dyDescent="0.3">
      <c r="A7389" s="46"/>
    </row>
    <row r="7390" spans="1:1" hidden="1" x14ac:dyDescent="0.3">
      <c r="A7390" s="46"/>
    </row>
    <row r="7391" spans="1:1" hidden="1" x14ac:dyDescent="0.3">
      <c r="A7391" s="46"/>
    </row>
    <row r="7392" spans="1:1" hidden="1" x14ac:dyDescent="0.3">
      <c r="A7392" s="46"/>
    </row>
    <row r="7393" spans="1:1" hidden="1" x14ac:dyDescent="0.3">
      <c r="A7393" s="46"/>
    </row>
    <row r="7394" spans="1:1" hidden="1" x14ac:dyDescent="0.3">
      <c r="A7394" s="46"/>
    </row>
    <row r="7395" spans="1:1" hidden="1" x14ac:dyDescent="0.3">
      <c r="A7395" s="46"/>
    </row>
    <row r="7396" spans="1:1" hidden="1" x14ac:dyDescent="0.3">
      <c r="A7396" s="46"/>
    </row>
    <row r="7397" spans="1:1" hidden="1" x14ac:dyDescent="0.3">
      <c r="A7397" s="46"/>
    </row>
    <row r="7398" spans="1:1" hidden="1" x14ac:dyDescent="0.3">
      <c r="A7398" s="46"/>
    </row>
    <row r="7399" spans="1:1" hidden="1" x14ac:dyDescent="0.3">
      <c r="A7399" s="46"/>
    </row>
    <row r="7400" spans="1:1" hidden="1" x14ac:dyDescent="0.3">
      <c r="A7400" s="46"/>
    </row>
    <row r="7401" spans="1:1" hidden="1" x14ac:dyDescent="0.3">
      <c r="A7401" s="46"/>
    </row>
    <row r="7402" spans="1:1" hidden="1" x14ac:dyDescent="0.3">
      <c r="A7402" s="46"/>
    </row>
    <row r="7403" spans="1:1" hidden="1" x14ac:dyDescent="0.3">
      <c r="A7403" s="46"/>
    </row>
    <row r="7404" spans="1:1" hidden="1" x14ac:dyDescent="0.3">
      <c r="A7404" s="46"/>
    </row>
    <row r="7405" spans="1:1" hidden="1" x14ac:dyDescent="0.3">
      <c r="A7405" s="46"/>
    </row>
    <row r="7406" spans="1:1" hidden="1" x14ac:dyDescent="0.3">
      <c r="A7406" s="46"/>
    </row>
    <row r="7407" spans="1:1" hidden="1" x14ac:dyDescent="0.3">
      <c r="A7407" s="46"/>
    </row>
    <row r="7408" spans="1:1" hidden="1" x14ac:dyDescent="0.3">
      <c r="A7408" s="46"/>
    </row>
    <row r="7409" spans="1:11" hidden="1" x14ac:dyDescent="0.3">
      <c r="A7409" s="46"/>
    </row>
    <row r="7410" spans="1:11" hidden="1" x14ac:dyDescent="0.3">
      <c r="A7410" s="46"/>
      <c r="D7410" s="31"/>
      <c r="G7410" s="31"/>
      <c r="H7410" s="31"/>
      <c r="I7410" s="31"/>
      <c r="J7410" s="31"/>
      <c r="K7410" s="31"/>
    </row>
    <row r="7411" spans="1:11" hidden="1" x14ac:dyDescent="0.3">
      <c r="A7411" s="46"/>
    </row>
    <row r="7412" spans="1:11" hidden="1" x14ac:dyDescent="0.3">
      <c r="A7412" s="46"/>
    </row>
    <row r="7413" spans="1:11" hidden="1" x14ac:dyDescent="0.3">
      <c r="A7413" s="46"/>
    </row>
    <row r="7414" spans="1:11" hidden="1" x14ac:dyDescent="0.3">
      <c r="A7414" s="46"/>
    </row>
    <row r="7415" spans="1:11" hidden="1" x14ac:dyDescent="0.3">
      <c r="A7415" s="46"/>
    </row>
    <row r="7416" spans="1:11" hidden="1" x14ac:dyDescent="0.3">
      <c r="A7416" s="46"/>
    </row>
    <row r="7417" spans="1:11" hidden="1" x14ac:dyDescent="0.3">
      <c r="A7417" s="46"/>
    </row>
    <row r="7418" spans="1:11" hidden="1" x14ac:dyDescent="0.3">
      <c r="A7418" s="46"/>
    </row>
    <row r="7419" spans="1:11" hidden="1" x14ac:dyDescent="0.3">
      <c r="A7419" s="46"/>
    </row>
    <row r="7420" spans="1:11" hidden="1" x14ac:dyDescent="0.3">
      <c r="A7420" s="46"/>
    </row>
    <row r="7421" spans="1:11" hidden="1" x14ac:dyDescent="0.3">
      <c r="A7421" s="46"/>
    </row>
    <row r="7422" spans="1:11" hidden="1" x14ac:dyDescent="0.3">
      <c r="A7422" s="46"/>
    </row>
    <row r="7423" spans="1:11" hidden="1" x14ac:dyDescent="0.3">
      <c r="A7423" s="46"/>
    </row>
    <row r="7424" spans="1:11" hidden="1" x14ac:dyDescent="0.3">
      <c r="A7424" s="46"/>
    </row>
    <row r="7425" spans="1:1" hidden="1" x14ac:dyDescent="0.3">
      <c r="A7425" s="46"/>
    </row>
    <row r="7426" spans="1:1" hidden="1" x14ac:dyDescent="0.3">
      <c r="A7426" s="46"/>
    </row>
    <row r="7427" spans="1:1" hidden="1" x14ac:dyDescent="0.3">
      <c r="A7427" s="46"/>
    </row>
    <row r="7428" spans="1:1" hidden="1" x14ac:dyDescent="0.3">
      <c r="A7428" s="46"/>
    </row>
    <row r="7429" spans="1:1" hidden="1" x14ac:dyDescent="0.3">
      <c r="A7429" s="46"/>
    </row>
    <row r="7430" spans="1:1" hidden="1" x14ac:dyDescent="0.3">
      <c r="A7430" s="46"/>
    </row>
    <row r="7431" spans="1:1" hidden="1" x14ac:dyDescent="0.3">
      <c r="A7431" s="46"/>
    </row>
    <row r="7432" spans="1:1" hidden="1" x14ac:dyDescent="0.3">
      <c r="A7432" s="46"/>
    </row>
    <row r="7433" spans="1:1" hidden="1" x14ac:dyDescent="0.3">
      <c r="A7433" s="46"/>
    </row>
    <row r="7434" spans="1:1" hidden="1" x14ac:dyDescent="0.3">
      <c r="A7434" s="46"/>
    </row>
    <row r="7435" spans="1:1" hidden="1" x14ac:dyDescent="0.3">
      <c r="A7435" s="46"/>
    </row>
    <row r="7436" spans="1:1" hidden="1" x14ac:dyDescent="0.3">
      <c r="A7436" s="46"/>
    </row>
    <row r="7437" spans="1:1" hidden="1" x14ac:dyDescent="0.3">
      <c r="A7437" s="46"/>
    </row>
    <row r="7438" spans="1:1" hidden="1" x14ac:dyDescent="0.3">
      <c r="A7438" s="46"/>
    </row>
    <row r="7439" spans="1:1" hidden="1" x14ac:dyDescent="0.3">
      <c r="A7439" s="46"/>
    </row>
    <row r="7440" spans="1:1" hidden="1" x14ac:dyDescent="0.3">
      <c r="A7440" s="46"/>
    </row>
    <row r="7441" spans="1:1" hidden="1" x14ac:dyDescent="0.3">
      <c r="A7441" s="46"/>
    </row>
    <row r="7442" spans="1:1" hidden="1" x14ac:dyDescent="0.3">
      <c r="A7442" s="46"/>
    </row>
    <row r="7443" spans="1:1" hidden="1" x14ac:dyDescent="0.3">
      <c r="A7443" s="46"/>
    </row>
    <row r="7444" spans="1:1" hidden="1" x14ac:dyDescent="0.3">
      <c r="A7444" s="46"/>
    </row>
    <row r="7445" spans="1:1" hidden="1" x14ac:dyDescent="0.3">
      <c r="A7445" s="46"/>
    </row>
    <row r="7446" spans="1:1" hidden="1" x14ac:dyDescent="0.3">
      <c r="A7446" s="46"/>
    </row>
    <row r="7447" spans="1:1" hidden="1" x14ac:dyDescent="0.3">
      <c r="A7447" s="46"/>
    </row>
    <row r="7448" spans="1:1" hidden="1" x14ac:dyDescent="0.3">
      <c r="A7448" s="46"/>
    </row>
    <row r="7449" spans="1:1" hidden="1" x14ac:dyDescent="0.3">
      <c r="A7449" s="46"/>
    </row>
    <row r="7450" spans="1:1" hidden="1" x14ac:dyDescent="0.3">
      <c r="A7450" s="46"/>
    </row>
    <row r="7451" spans="1:1" hidden="1" x14ac:dyDescent="0.3">
      <c r="A7451" s="46"/>
    </row>
    <row r="7452" spans="1:1" hidden="1" x14ac:dyDescent="0.3">
      <c r="A7452" s="46"/>
    </row>
    <row r="7453" spans="1:1" hidden="1" x14ac:dyDescent="0.3">
      <c r="A7453" s="46"/>
    </row>
    <row r="7454" spans="1:1" hidden="1" x14ac:dyDescent="0.3">
      <c r="A7454" s="46"/>
    </row>
    <row r="7455" spans="1:1" hidden="1" x14ac:dyDescent="0.3">
      <c r="A7455" s="46"/>
    </row>
    <row r="7456" spans="1:1" hidden="1" x14ac:dyDescent="0.3">
      <c r="A7456" s="46"/>
    </row>
    <row r="7457" spans="1:1" hidden="1" x14ac:dyDescent="0.3">
      <c r="A7457" s="46"/>
    </row>
    <row r="7458" spans="1:1" hidden="1" x14ac:dyDescent="0.3">
      <c r="A7458" s="46"/>
    </row>
    <row r="7459" spans="1:1" hidden="1" x14ac:dyDescent="0.3">
      <c r="A7459" s="46"/>
    </row>
    <row r="7460" spans="1:1" hidden="1" x14ac:dyDescent="0.3">
      <c r="A7460" s="46"/>
    </row>
    <row r="7461" spans="1:1" hidden="1" x14ac:dyDescent="0.3">
      <c r="A7461" s="46"/>
    </row>
    <row r="7462" spans="1:1" hidden="1" x14ac:dyDescent="0.3">
      <c r="A7462" s="46"/>
    </row>
    <row r="7463" spans="1:1" hidden="1" x14ac:dyDescent="0.3">
      <c r="A7463" s="46"/>
    </row>
    <row r="7464" spans="1:1" hidden="1" x14ac:dyDescent="0.3">
      <c r="A7464" s="46"/>
    </row>
    <row r="7465" spans="1:1" hidden="1" x14ac:dyDescent="0.3">
      <c r="A7465" s="46"/>
    </row>
    <row r="7466" spans="1:1" hidden="1" x14ac:dyDescent="0.3">
      <c r="A7466" s="46"/>
    </row>
    <row r="7467" spans="1:1" hidden="1" x14ac:dyDescent="0.3">
      <c r="A7467" s="46"/>
    </row>
    <row r="7468" spans="1:1" hidden="1" x14ac:dyDescent="0.3">
      <c r="A7468" s="46"/>
    </row>
    <row r="7469" spans="1:1" hidden="1" x14ac:dyDescent="0.3">
      <c r="A7469" s="46"/>
    </row>
    <row r="7470" spans="1:1" hidden="1" x14ac:dyDescent="0.3">
      <c r="A7470" s="46"/>
    </row>
    <row r="7471" spans="1:1" hidden="1" x14ac:dyDescent="0.3">
      <c r="A7471" s="46"/>
    </row>
    <row r="7472" spans="1:1" hidden="1" x14ac:dyDescent="0.3">
      <c r="A7472" s="46"/>
    </row>
    <row r="7473" spans="1:1" hidden="1" x14ac:dyDescent="0.3">
      <c r="A7473" s="46"/>
    </row>
    <row r="7474" spans="1:1" hidden="1" x14ac:dyDescent="0.3">
      <c r="A7474" s="46"/>
    </row>
    <row r="7475" spans="1:1" hidden="1" x14ac:dyDescent="0.3">
      <c r="A7475" s="46"/>
    </row>
    <row r="7476" spans="1:1" hidden="1" x14ac:dyDescent="0.3">
      <c r="A7476" s="46"/>
    </row>
    <row r="7477" spans="1:1" hidden="1" x14ac:dyDescent="0.3">
      <c r="A7477" s="46"/>
    </row>
    <row r="7478" spans="1:1" hidden="1" x14ac:dyDescent="0.3">
      <c r="A7478" s="46"/>
    </row>
    <row r="7479" spans="1:1" hidden="1" x14ac:dyDescent="0.3">
      <c r="A7479" s="46"/>
    </row>
    <row r="7480" spans="1:1" hidden="1" x14ac:dyDescent="0.3">
      <c r="A7480" s="46"/>
    </row>
    <row r="7481" spans="1:1" hidden="1" x14ac:dyDescent="0.3">
      <c r="A7481" s="46"/>
    </row>
    <row r="7482" spans="1:1" hidden="1" x14ac:dyDescent="0.3">
      <c r="A7482" s="46"/>
    </row>
    <row r="7483" spans="1:1" hidden="1" x14ac:dyDescent="0.3">
      <c r="A7483" s="46"/>
    </row>
    <row r="7484" spans="1:1" hidden="1" x14ac:dyDescent="0.3">
      <c r="A7484" s="46"/>
    </row>
    <row r="7485" spans="1:1" hidden="1" x14ac:dyDescent="0.3">
      <c r="A7485" s="46"/>
    </row>
    <row r="7486" spans="1:1" hidden="1" x14ac:dyDescent="0.3">
      <c r="A7486" s="46"/>
    </row>
    <row r="7487" spans="1:1" hidden="1" x14ac:dyDescent="0.3">
      <c r="A7487" s="46"/>
    </row>
    <row r="7488" spans="1:1" hidden="1" x14ac:dyDescent="0.3">
      <c r="A7488" s="46"/>
    </row>
    <row r="7489" spans="1:1" hidden="1" x14ac:dyDescent="0.3">
      <c r="A7489" s="46"/>
    </row>
    <row r="7490" spans="1:1" hidden="1" x14ac:dyDescent="0.3">
      <c r="A7490" s="46"/>
    </row>
    <row r="7491" spans="1:1" hidden="1" x14ac:dyDescent="0.3">
      <c r="A7491" s="46"/>
    </row>
    <row r="7492" spans="1:1" hidden="1" x14ac:dyDescent="0.3">
      <c r="A7492" s="46"/>
    </row>
    <row r="7493" spans="1:1" hidden="1" x14ac:dyDescent="0.3">
      <c r="A7493" s="46"/>
    </row>
    <row r="7494" spans="1:1" hidden="1" x14ac:dyDescent="0.3">
      <c r="A7494" s="46"/>
    </row>
    <row r="7495" spans="1:1" hidden="1" x14ac:dyDescent="0.3">
      <c r="A7495" s="46"/>
    </row>
    <row r="7496" spans="1:1" hidden="1" x14ac:dyDescent="0.3">
      <c r="A7496" s="46"/>
    </row>
    <row r="7497" spans="1:1" hidden="1" x14ac:dyDescent="0.3">
      <c r="A7497" s="46"/>
    </row>
    <row r="7498" spans="1:1" hidden="1" x14ac:dyDescent="0.3">
      <c r="A7498" s="46"/>
    </row>
    <row r="7499" spans="1:1" hidden="1" x14ac:dyDescent="0.3">
      <c r="A7499" s="46"/>
    </row>
    <row r="7500" spans="1:1" hidden="1" x14ac:dyDescent="0.3">
      <c r="A7500" s="46"/>
    </row>
    <row r="7501" spans="1:1" hidden="1" x14ac:dyDescent="0.3">
      <c r="A7501" s="46"/>
    </row>
    <row r="7502" spans="1:1" hidden="1" x14ac:dyDescent="0.3">
      <c r="A7502" s="46"/>
    </row>
    <row r="7503" spans="1:1" hidden="1" x14ac:dyDescent="0.3">
      <c r="A7503" s="46"/>
    </row>
    <row r="7504" spans="1:1" hidden="1" x14ac:dyDescent="0.3">
      <c r="A7504" s="46"/>
    </row>
    <row r="7505" spans="1:1" hidden="1" x14ac:dyDescent="0.3">
      <c r="A7505" s="46"/>
    </row>
    <row r="7506" spans="1:1" hidden="1" x14ac:dyDescent="0.3">
      <c r="A7506" s="46"/>
    </row>
    <row r="7507" spans="1:1" hidden="1" x14ac:dyDescent="0.3">
      <c r="A7507" s="46"/>
    </row>
    <row r="7508" spans="1:1" hidden="1" x14ac:dyDescent="0.3">
      <c r="A7508" s="46"/>
    </row>
    <row r="7509" spans="1:1" hidden="1" x14ac:dyDescent="0.3">
      <c r="A7509" s="46"/>
    </row>
    <row r="7510" spans="1:1" hidden="1" x14ac:dyDescent="0.3">
      <c r="A7510" s="46"/>
    </row>
    <row r="7511" spans="1:1" hidden="1" x14ac:dyDescent="0.3">
      <c r="A7511" s="46"/>
    </row>
    <row r="7512" spans="1:1" hidden="1" x14ac:dyDescent="0.3">
      <c r="A7512" s="46"/>
    </row>
    <row r="7513" spans="1:1" hidden="1" x14ac:dyDescent="0.3">
      <c r="A7513" s="46"/>
    </row>
    <row r="7514" spans="1:1" hidden="1" x14ac:dyDescent="0.3">
      <c r="A7514" s="46"/>
    </row>
    <row r="7515" spans="1:1" hidden="1" x14ac:dyDescent="0.3">
      <c r="A7515" s="46"/>
    </row>
    <row r="7516" spans="1:1" hidden="1" x14ac:dyDescent="0.3">
      <c r="A7516" s="46"/>
    </row>
    <row r="7517" spans="1:1" hidden="1" x14ac:dyDescent="0.3">
      <c r="A7517" s="46"/>
    </row>
    <row r="7518" spans="1:1" hidden="1" x14ac:dyDescent="0.3">
      <c r="A7518" s="46"/>
    </row>
    <row r="7519" spans="1:1" hidden="1" x14ac:dyDescent="0.3">
      <c r="A7519" s="46"/>
    </row>
    <row r="7520" spans="1:1" hidden="1" x14ac:dyDescent="0.3">
      <c r="A7520" s="46"/>
    </row>
    <row r="7521" spans="1:1" hidden="1" x14ac:dyDescent="0.3">
      <c r="A7521" s="46"/>
    </row>
    <row r="7522" spans="1:1" hidden="1" x14ac:dyDescent="0.3">
      <c r="A7522" s="46"/>
    </row>
    <row r="7523" spans="1:1" hidden="1" x14ac:dyDescent="0.3">
      <c r="A7523" s="46"/>
    </row>
    <row r="7524" spans="1:1" hidden="1" x14ac:dyDescent="0.3">
      <c r="A7524" s="46"/>
    </row>
    <row r="7525" spans="1:1" hidden="1" x14ac:dyDescent="0.3">
      <c r="A7525" s="46"/>
    </row>
    <row r="7526" spans="1:1" hidden="1" x14ac:dyDescent="0.3">
      <c r="A7526" s="46"/>
    </row>
    <row r="7527" spans="1:1" hidden="1" x14ac:dyDescent="0.3">
      <c r="A7527" s="46"/>
    </row>
    <row r="7528" spans="1:1" hidden="1" x14ac:dyDescent="0.3">
      <c r="A7528" s="46"/>
    </row>
    <row r="7529" spans="1:1" hidden="1" x14ac:dyDescent="0.3">
      <c r="A7529" s="46"/>
    </row>
    <row r="7530" spans="1:1" hidden="1" x14ac:dyDescent="0.3">
      <c r="A7530" s="46"/>
    </row>
    <row r="7531" spans="1:1" hidden="1" x14ac:dyDescent="0.3">
      <c r="A7531" s="46"/>
    </row>
    <row r="7532" spans="1:1" hidden="1" x14ac:dyDescent="0.3">
      <c r="A7532" s="46"/>
    </row>
    <row r="7533" spans="1:1" hidden="1" x14ac:dyDescent="0.3">
      <c r="A7533" s="46"/>
    </row>
    <row r="7534" spans="1:1" hidden="1" x14ac:dyDescent="0.3">
      <c r="A7534" s="46"/>
    </row>
    <row r="7535" spans="1:1" hidden="1" x14ac:dyDescent="0.3">
      <c r="A7535" s="46"/>
    </row>
    <row r="7536" spans="1:1" hidden="1" x14ac:dyDescent="0.3">
      <c r="A7536" s="46"/>
    </row>
    <row r="7537" spans="1:1" hidden="1" x14ac:dyDescent="0.3">
      <c r="A7537" s="46"/>
    </row>
    <row r="7538" spans="1:1" hidden="1" x14ac:dyDescent="0.3">
      <c r="A7538" s="46"/>
    </row>
    <row r="7539" spans="1:1" hidden="1" x14ac:dyDescent="0.3">
      <c r="A7539" s="46"/>
    </row>
    <row r="7540" spans="1:1" hidden="1" x14ac:dyDescent="0.3">
      <c r="A7540" s="46"/>
    </row>
    <row r="7541" spans="1:1" hidden="1" x14ac:dyDescent="0.3">
      <c r="A7541" s="46"/>
    </row>
    <row r="7542" spans="1:1" hidden="1" x14ac:dyDescent="0.3">
      <c r="A7542" s="46"/>
    </row>
    <row r="7543" spans="1:1" hidden="1" x14ac:dyDescent="0.3">
      <c r="A7543" s="46"/>
    </row>
    <row r="7544" spans="1:1" hidden="1" x14ac:dyDescent="0.3">
      <c r="A7544" s="46"/>
    </row>
    <row r="7545" spans="1:1" hidden="1" x14ac:dyDescent="0.3">
      <c r="A7545" s="46"/>
    </row>
    <row r="7546" spans="1:1" hidden="1" x14ac:dyDescent="0.3">
      <c r="A7546" s="46"/>
    </row>
    <row r="7547" spans="1:1" hidden="1" x14ac:dyDescent="0.3">
      <c r="A7547" s="46"/>
    </row>
    <row r="7548" spans="1:1" hidden="1" x14ac:dyDescent="0.3">
      <c r="A7548" s="46"/>
    </row>
    <row r="7549" spans="1:1" hidden="1" x14ac:dyDescent="0.3">
      <c r="A7549" s="46"/>
    </row>
    <row r="7550" spans="1:1" hidden="1" x14ac:dyDescent="0.3">
      <c r="A7550" s="46"/>
    </row>
    <row r="7551" spans="1:1" hidden="1" x14ac:dyDescent="0.3">
      <c r="A7551" s="46"/>
    </row>
    <row r="7552" spans="1:1" hidden="1" x14ac:dyDescent="0.3">
      <c r="A7552" s="46"/>
    </row>
    <row r="7553" spans="1:1" hidden="1" x14ac:dyDescent="0.3">
      <c r="A7553" s="46"/>
    </row>
    <row r="7554" spans="1:1" hidden="1" x14ac:dyDescent="0.3">
      <c r="A7554" s="46"/>
    </row>
    <row r="7555" spans="1:1" hidden="1" x14ac:dyDescent="0.3">
      <c r="A7555" s="46"/>
    </row>
    <row r="7556" spans="1:1" hidden="1" x14ac:dyDescent="0.3">
      <c r="A7556" s="46"/>
    </row>
    <row r="7557" spans="1:1" hidden="1" x14ac:dyDescent="0.3">
      <c r="A7557" s="46"/>
    </row>
    <row r="7558" spans="1:1" hidden="1" x14ac:dyDescent="0.3">
      <c r="A7558" s="46"/>
    </row>
    <row r="7559" spans="1:1" hidden="1" x14ac:dyDescent="0.3">
      <c r="A7559" s="46"/>
    </row>
    <row r="7560" spans="1:1" hidden="1" x14ac:dyDescent="0.3">
      <c r="A7560" s="46"/>
    </row>
    <row r="7561" spans="1:1" hidden="1" x14ac:dyDescent="0.3">
      <c r="A7561" s="46"/>
    </row>
    <row r="7562" spans="1:1" hidden="1" x14ac:dyDescent="0.3">
      <c r="A7562" s="46"/>
    </row>
    <row r="7563" spans="1:1" hidden="1" x14ac:dyDescent="0.3">
      <c r="A7563" s="46"/>
    </row>
    <row r="7564" spans="1:1" hidden="1" x14ac:dyDescent="0.3">
      <c r="A7564" s="46"/>
    </row>
    <row r="7565" spans="1:1" hidden="1" x14ac:dyDescent="0.3">
      <c r="A7565" s="46"/>
    </row>
    <row r="7566" spans="1:1" hidden="1" x14ac:dyDescent="0.3">
      <c r="A7566" s="46"/>
    </row>
    <row r="7567" spans="1:1" hidden="1" x14ac:dyDescent="0.3">
      <c r="A7567" s="46"/>
    </row>
    <row r="7568" spans="1:1" hidden="1" x14ac:dyDescent="0.3">
      <c r="A7568" s="46"/>
    </row>
    <row r="7569" spans="1:1" hidden="1" x14ac:dyDescent="0.3">
      <c r="A7569" s="46"/>
    </row>
    <row r="7570" spans="1:1" hidden="1" x14ac:dyDescent="0.3">
      <c r="A7570" s="46"/>
    </row>
    <row r="7571" spans="1:1" hidden="1" x14ac:dyDescent="0.3">
      <c r="A7571" s="46"/>
    </row>
    <row r="7572" spans="1:1" hidden="1" x14ac:dyDescent="0.3">
      <c r="A7572" s="46"/>
    </row>
    <row r="7573" spans="1:1" hidden="1" x14ac:dyDescent="0.3">
      <c r="A7573" s="46"/>
    </row>
    <row r="7574" spans="1:1" hidden="1" x14ac:dyDescent="0.3">
      <c r="A7574" s="46"/>
    </row>
    <row r="7575" spans="1:1" hidden="1" x14ac:dyDescent="0.3">
      <c r="A7575" s="46"/>
    </row>
    <row r="7576" spans="1:1" hidden="1" x14ac:dyDescent="0.3">
      <c r="A7576" s="46"/>
    </row>
    <row r="7577" spans="1:1" hidden="1" x14ac:dyDescent="0.3">
      <c r="A7577" s="46"/>
    </row>
    <row r="7578" spans="1:1" hidden="1" x14ac:dyDescent="0.3">
      <c r="A7578" s="46"/>
    </row>
    <row r="7579" spans="1:1" hidden="1" x14ac:dyDescent="0.3">
      <c r="A7579" s="46"/>
    </row>
    <row r="7580" spans="1:1" hidden="1" x14ac:dyDescent="0.3">
      <c r="A7580" s="46"/>
    </row>
    <row r="7581" spans="1:1" hidden="1" x14ac:dyDescent="0.3">
      <c r="A7581" s="46"/>
    </row>
    <row r="7582" spans="1:1" hidden="1" x14ac:dyDescent="0.3">
      <c r="A7582" s="46"/>
    </row>
    <row r="7583" spans="1:1" hidden="1" x14ac:dyDescent="0.3">
      <c r="A7583" s="46"/>
    </row>
    <row r="7584" spans="1:1" hidden="1" x14ac:dyDescent="0.3">
      <c r="A7584" s="46"/>
    </row>
    <row r="7585" spans="1:1" hidden="1" x14ac:dyDescent="0.3">
      <c r="A7585" s="46"/>
    </row>
    <row r="7586" spans="1:1" hidden="1" x14ac:dyDescent="0.3">
      <c r="A7586" s="46"/>
    </row>
    <row r="7587" spans="1:1" hidden="1" x14ac:dyDescent="0.3">
      <c r="A7587" s="46"/>
    </row>
    <row r="7588" spans="1:1" hidden="1" x14ac:dyDescent="0.3">
      <c r="A7588" s="46"/>
    </row>
    <row r="7589" spans="1:1" hidden="1" x14ac:dyDescent="0.3">
      <c r="A7589" s="46"/>
    </row>
    <row r="7590" spans="1:1" hidden="1" x14ac:dyDescent="0.3">
      <c r="A7590" s="46"/>
    </row>
    <row r="7591" spans="1:1" hidden="1" x14ac:dyDescent="0.3">
      <c r="A7591" s="46"/>
    </row>
    <row r="7592" spans="1:1" hidden="1" x14ac:dyDescent="0.3">
      <c r="A7592" s="46"/>
    </row>
    <row r="7593" spans="1:1" hidden="1" x14ac:dyDescent="0.3">
      <c r="A7593" s="46"/>
    </row>
    <row r="7594" spans="1:1" hidden="1" x14ac:dyDescent="0.3">
      <c r="A7594" s="46"/>
    </row>
    <row r="7595" spans="1:1" hidden="1" x14ac:dyDescent="0.3">
      <c r="A7595" s="46"/>
    </row>
    <row r="7596" spans="1:1" hidden="1" x14ac:dyDescent="0.3">
      <c r="A7596" s="46"/>
    </row>
    <row r="7597" spans="1:1" hidden="1" x14ac:dyDescent="0.3">
      <c r="A7597" s="46"/>
    </row>
    <row r="7598" spans="1:1" hidden="1" x14ac:dyDescent="0.3">
      <c r="A7598" s="46"/>
    </row>
    <row r="7599" spans="1:1" hidden="1" x14ac:dyDescent="0.3">
      <c r="A7599" s="46"/>
    </row>
    <row r="7600" spans="1:1" hidden="1" x14ac:dyDescent="0.3">
      <c r="A7600" s="46"/>
    </row>
    <row r="7601" spans="1:1" hidden="1" x14ac:dyDescent="0.3">
      <c r="A7601" s="46"/>
    </row>
    <row r="7602" spans="1:1" hidden="1" x14ac:dyDescent="0.3">
      <c r="A7602" s="46"/>
    </row>
    <row r="7603" spans="1:1" hidden="1" x14ac:dyDescent="0.3">
      <c r="A7603" s="46"/>
    </row>
    <row r="7604" spans="1:1" hidden="1" x14ac:dyDescent="0.3">
      <c r="A7604" s="46"/>
    </row>
    <row r="7605" spans="1:1" hidden="1" x14ac:dyDescent="0.3">
      <c r="A7605" s="46"/>
    </row>
    <row r="7606" spans="1:1" hidden="1" x14ac:dyDescent="0.3">
      <c r="A7606" s="46"/>
    </row>
    <row r="7607" spans="1:1" hidden="1" x14ac:dyDescent="0.3">
      <c r="A7607" s="46"/>
    </row>
    <row r="7608" spans="1:1" hidden="1" x14ac:dyDescent="0.3">
      <c r="A7608" s="46"/>
    </row>
    <row r="7609" spans="1:1" hidden="1" x14ac:dyDescent="0.3">
      <c r="A7609" s="46"/>
    </row>
    <row r="7610" spans="1:1" hidden="1" x14ac:dyDescent="0.3">
      <c r="A7610" s="46"/>
    </row>
    <row r="7611" spans="1:1" hidden="1" x14ac:dyDescent="0.3">
      <c r="A7611" s="46"/>
    </row>
    <row r="7612" spans="1:1" hidden="1" x14ac:dyDescent="0.3">
      <c r="A7612" s="46"/>
    </row>
    <row r="7613" spans="1:1" hidden="1" x14ac:dyDescent="0.3">
      <c r="A7613" s="46"/>
    </row>
    <row r="7614" spans="1:1" hidden="1" x14ac:dyDescent="0.3">
      <c r="A7614" s="46"/>
    </row>
    <row r="7615" spans="1:1" hidden="1" x14ac:dyDescent="0.3">
      <c r="A7615" s="46"/>
    </row>
    <row r="7616" spans="1:1" hidden="1" x14ac:dyDescent="0.3">
      <c r="A7616" s="46"/>
    </row>
    <row r="7617" spans="1:1" hidden="1" x14ac:dyDescent="0.3">
      <c r="A7617" s="46"/>
    </row>
    <row r="7618" spans="1:1" hidden="1" x14ac:dyDescent="0.3">
      <c r="A7618" s="46"/>
    </row>
    <row r="7619" spans="1:1" hidden="1" x14ac:dyDescent="0.3">
      <c r="A7619" s="46"/>
    </row>
    <row r="7620" spans="1:1" hidden="1" x14ac:dyDescent="0.3">
      <c r="A7620" s="46"/>
    </row>
    <row r="7621" spans="1:1" hidden="1" x14ac:dyDescent="0.3">
      <c r="A7621" s="46"/>
    </row>
    <row r="7622" spans="1:1" hidden="1" x14ac:dyDescent="0.3">
      <c r="A7622" s="46"/>
    </row>
    <row r="7623" spans="1:1" hidden="1" x14ac:dyDescent="0.3">
      <c r="A7623" s="46"/>
    </row>
    <row r="7624" spans="1:1" hidden="1" x14ac:dyDescent="0.3">
      <c r="A7624" s="46"/>
    </row>
    <row r="7625" spans="1:1" hidden="1" x14ac:dyDescent="0.3">
      <c r="A7625" s="46"/>
    </row>
    <row r="7626" spans="1:1" hidden="1" x14ac:dyDescent="0.3">
      <c r="A7626" s="46"/>
    </row>
    <row r="7627" spans="1:1" hidden="1" x14ac:dyDescent="0.3">
      <c r="A7627" s="46"/>
    </row>
    <row r="7628" spans="1:1" hidden="1" x14ac:dyDescent="0.3">
      <c r="A7628" s="46"/>
    </row>
    <row r="7629" spans="1:1" hidden="1" x14ac:dyDescent="0.3">
      <c r="A7629" s="46"/>
    </row>
    <row r="7630" spans="1:1" hidden="1" x14ac:dyDescent="0.3">
      <c r="A7630" s="46"/>
    </row>
    <row r="7631" spans="1:1" hidden="1" x14ac:dyDescent="0.3">
      <c r="A7631" s="46"/>
    </row>
    <row r="7632" spans="1:1" hidden="1" x14ac:dyDescent="0.3">
      <c r="A7632" s="46"/>
    </row>
    <row r="7633" spans="1:1" hidden="1" x14ac:dyDescent="0.3">
      <c r="A7633" s="46"/>
    </row>
    <row r="7634" spans="1:1" hidden="1" x14ac:dyDescent="0.3">
      <c r="A7634" s="46"/>
    </row>
    <row r="7635" spans="1:1" hidden="1" x14ac:dyDescent="0.3">
      <c r="A7635" s="46"/>
    </row>
    <row r="7636" spans="1:1" hidden="1" x14ac:dyDescent="0.3">
      <c r="A7636" s="46"/>
    </row>
    <row r="7637" spans="1:1" hidden="1" x14ac:dyDescent="0.3">
      <c r="A7637" s="46"/>
    </row>
    <row r="7638" spans="1:1" hidden="1" x14ac:dyDescent="0.3">
      <c r="A7638" s="46"/>
    </row>
    <row r="7639" spans="1:1" hidden="1" x14ac:dyDescent="0.3">
      <c r="A7639" s="46"/>
    </row>
    <row r="7640" spans="1:1" hidden="1" x14ac:dyDescent="0.3">
      <c r="A7640" s="46"/>
    </row>
    <row r="7641" spans="1:1" hidden="1" x14ac:dyDescent="0.3">
      <c r="A7641" s="46"/>
    </row>
    <row r="7642" spans="1:1" hidden="1" x14ac:dyDescent="0.3">
      <c r="A7642" s="46"/>
    </row>
    <row r="7643" spans="1:1" hidden="1" x14ac:dyDescent="0.3">
      <c r="A7643" s="46"/>
    </row>
    <row r="7644" spans="1:1" hidden="1" x14ac:dyDescent="0.3">
      <c r="A7644" s="46"/>
    </row>
    <row r="7645" spans="1:1" hidden="1" x14ac:dyDescent="0.3">
      <c r="A7645" s="46"/>
    </row>
    <row r="7646" spans="1:1" hidden="1" x14ac:dyDescent="0.3">
      <c r="A7646" s="46"/>
    </row>
    <row r="7647" spans="1:1" hidden="1" x14ac:dyDescent="0.3">
      <c r="A7647" s="46"/>
    </row>
    <row r="7648" spans="1:1" hidden="1" x14ac:dyDescent="0.3">
      <c r="A7648" s="46"/>
    </row>
    <row r="7649" spans="1:1" hidden="1" x14ac:dyDescent="0.3">
      <c r="A7649" s="46"/>
    </row>
    <row r="7650" spans="1:1" hidden="1" x14ac:dyDescent="0.3">
      <c r="A7650" s="46"/>
    </row>
    <row r="7651" spans="1:1" hidden="1" x14ac:dyDescent="0.3">
      <c r="A7651" s="46"/>
    </row>
    <row r="7652" spans="1:1" hidden="1" x14ac:dyDescent="0.3">
      <c r="A7652" s="46"/>
    </row>
    <row r="7653" spans="1:1" hidden="1" x14ac:dyDescent="0.3">
      <c r="A7653" s="46"/>
    </row>
    <row r="7654" spans="1:1" hidden="1" x14ac:dyDescent="0.3">
      <c r="A7654" s="46"/>
    </row>
    <row r="7655" spans="1:1" hidden="1" x14ac:dyDescent="0.3">
      <c r="A7655" s="46"/>
    </row>
    <row r="7656" spans="1:1" hidden="1" x14ac:dyDescent="0.3">
      <c r="A7656" s="46"/>
    </row>
    <row r="7657" spans="1:1" hidden="1" x14ac:dyDescent="0.3">
      <c r="A7657" s="46"/>
    </row>
    <row r="7658" spans="1:1" hidden="1" x14ac:dyDescent="0.3">
      <c r="A7658" s="46"/>
    </row>
    <row r="7659" spans="1:1" hidden="1" x14ac:dyDescent="0.3">
      <c r="A7659" s="46"/>
    </row>
    <row r="7660" spans="1:1" hidden="1" x14ac:dyDescent="0.3">
      <c r="A7660" s="46"/>
    </row>
    <row r="7661" spans="1:1" hidden="1" x14ac:dyDescent="0.3">
      <c r="A7661" s="46"/>
    </row>
    <row r="7662" spans="1:1" hidden="1" x14ac:dyDescent="0.3">
      <c r="A7662" s="46"/>
    </row>
    <row r="7663" spans="1:1" hidden="1" x14ac:dyDescent="0.3">
      <c r="A7663" s="46"/>
    </row>
    <row r="7664" spans="1:1" hidden="1" x14ac:dyDescent="0.3">
      <c r="A7664" s="46"/>
    </row>
    <row r="7665" spans="1:1" hidden="1" x14ac:dyDescent="0.3">
      <c r="A7665" s="46"/>
    </row>
    <row r="7666" spans="1:1" hidden="1" x14ac:dyDescent="0.3">
      <c r="A7666" s="46"/>
    </row>
    <row r="7667" spans="1:1" hidden="1" x14ac:dyDescent="0.3">
      <c r="A7667" s="46"/>
    </row>
    <row r="7668" spans="1:1" hidden="1" x14ac:dyDescent="0.3">
      <c r="A7668" s="46"/>
    </row>
    <row r="7669" spans="1:1" hidden="1" x14ac:dyDescent="0.3">
      <c r="A7669" s="46"/>
    </row>
    <row r="7670" spans="1:1" hidden="1" x14ac:dyDescent="0.3">
      <c r="A7670" s="46"/>
    </row>
    <row r="7671" spans="1:1" hidden="1" x14ac:dyDescent="0.3">
      <c r="A7671" s="46"/>
    </row>
    <row r="7672" spans="1:1" hidden="1" x14ac:dyDescent="0.3">
      <c r="A7672" s="46"/>
    </row>
    <row r="7673" spans="1:1" hidden="1" x14ac:dyDescent="0.3">
      <c r="A7673" s="46"/>
    </row>
    <row r="7674" spans="1:1" hidden="1" x14ac:dyDescent="0.3">
      <c r="A7674" s="46"/>
    </row>
    <row r="7675" spans="1:1" hidden="1" x14ac:dyDescent="0.3">
      <c r="A7675" s="46"/>
    </row>
    <row r="7676" spans="1:1" hidden="1" x14ac:dyDescent="0.3">
      <c r="A7676" s="46"/>
    </row>
    <row r="7677" spans="1:1" hidden="1" x14ac:dyDescent="0.3">
      <c r="A7677" s="46"/>
    </row>
    <row r="7678" spans="1:1" hidden="1" x14ac:dyDescent="0.3">
      <c r="A7678" s="46"/>
    </row>
    <row r="7679" spans="1:1" hidden="1" x14ac:dyDescent="0.3">
      <c r="A7679" s="46"/>
    </row>
    <row r="7680" spans="1:1" hidden="1" x14ac:dyDescent="0.3">
      <c r="A7680" s="46"/>
    </row>
    <row r="7681" spans="1:1" hidden="1" x14ac:dyDescent="0.3">
      <c r="A7681" s="46"/>
    </row>
    <row r="7682" spans="1:1" hidden="1" x14ac:dyDescent="0.3">
      <c r="A7682" s="46"/>
    </row>
    <row r="7683" spans="1:1" hidden="1" x14ac:dyDescent="0.3">
      <c r="A7683" s="46"/>
    </row>
    <row r="7684" spans="1:1" hidden="1" x14ac:dyDescent="0.3">
      <c r="A7684" s="46"/>
    </row>
    <row r="7685" spans="1:1" hidden="1" x14ac:dyDescent="0.3">
      <c r="A7685" s="46"/>
    </row>
    <row r="7686" spans="1:1" hidden="1" x14ac:dyDescent="0.3">
      <c r="A7686" s="46"/>
    </row>
    <row r="7687" spans="1:1" hidden="1" x14ac:dyDescent="0.3">
      <c r="A7687" s="46"/>
    </row>
    <row r="7688" spans="1:1" hidden="1" x14ac:dyDescent="0.3">
      <c r="A7688" s="46"/>
    </row>
    <row r="7689" spans="1:1" hidden="1" x14ac:dyDescent="0.3">
      <c r="A7689" s="46"/>
    </row>
    <row r="7690" spans="1:1" hidden="1" x14ac:dyDescent="0.3">
      <c r="A7690" s="46"/>
    </row>
    <row r="7691" spans="1:1" hidden="1" x14ac:dyDescent="0.3">
      <c r="A7691" s="46"/>
    </row>
    <row r="7692" spans="1:1" hidden="1" x14ac:dyDescent="0.3">
      <c r="A7692" s="46"/>
    </row>
    <row r="7693" spans="1:1" hidden="1" x14ac:dyDescent="0.3">
      <c r="A7693" s="46"/>
    </row>
    <row r="7694" spans="1:1" hidden="1" x14ac:dyDescent="0.3">
      <c r="A7694" s="46"/>
    </row>
    <row r="7695" spans="1:1" hidden="1" x14ac:dyDescent="0.3">
      <c r="A7695" s="46"/>
    </row>
    <row r="7696" spans="1:1" hidden="1" x14ac:dyDescent="0.3">
      <c r="A7696" s="46"/>
    </row>
    <row r="7697" spans="1:1" hidden="1" x14ac:dyDescent="0.3">
      <c r="A7697" s="46"/>
    </row>
    <row r="7698" spans="1:1" hidden="1" x14ac:dyDescent="0.3">
      <c r="A7698" s="46"/>
    </row>
    <row r="7699" spans="1:1" hidden="1" x14ac:dyDescent="0.3">
      <c r="A7699" s="46"/>
    </row>
    <row r="7700" spans="1:1" hidden="1" x14ac:dyDescent="0.3">
      <c r="A7700" s="46"/>
    </row>
    <row r="7701" spans="1:1" hidden="1" x14ac:dyDescent="0.3">
      <c r="A7701" s="46"/>
    </row>
    <row r="7702" spans="1:1" hidden="1" x14ac:dyDescent="0.3">
      <c r="A7702" s="46"/>
    </row>
    <row r="7703" spans="1:1" hidden="1" x14ac:dyDescent="0.3">
      <c r="A7703" s="46"/>
    </row>
    <row r="7704" spans="1:1" hidden="1" x14ac:dyDescent="0.3">
      <c r="A7704" s="46"/>
    </row>
    <row r="7705" spans="1:1" hidden="1" x14ac:dyDescent="0.3">
      <c r="A7705" s="46"/>
    </row>
    <row r="7706" spans="1:1" hidden="1" x14ac:dyDescent="0.3">
      <c r="A7706" s="46"/>
    </row>
    <row r="7707" spans="1:1" hidden="1" x14ac:dyDescent="0.3">
      <c r="A7707" s="46"/>
    </row>
    <row r="7708" spans="1:1" hidden="1" x14ac:dyDescent="0.3">
      <c r="A7708" s="46"/>
    </row>
    <row r="7709" spans="1:1" hidden="1" x14ac:dyDescent="0.3">
      <c r="A7709" s="46"/>
    </row>
    <row r="7710" spans="1:1" hidden="1" x14ac:dyDescent="0.3">
      <c r="A7710" s="46"/>
    </row>
    <row r="7711" spans="1:1" hidden="1" x14ac:dyDescent="0.3">
      <c r="A7711" s="46"/>
    </row>
    <row r="7712" spans="1:1" hidden="1" x14ac:dyDescent="0.3">
      <c r="A7712" s="46"/>
    </row>
    <row r="7713" spans="1:1" hidden="1" x14ac:dyDescent="0.3">
      <c r="A7713" s="46"/>
    </row>
    <row r="7714" spans="1:1" hidden="1" x14ac:dyDescent="0.3">
      <c r="A7714" s="46"/>
    </row>
    <row r="7715" spans="1:1" hidden="1" x14ac:dyDescent="0.3">
      <c r="A7715" s="46"/>
    </row>
    <row r="7716" spans="1:1" hidden="1" x14ac:dyDescent="0.3">
      <c r="A7716" s="46"/>
    </row>
    <row r="7717" spans="1:1" hidden="1" x14ac:dyDescent="0.3">
      <c r="A7717" s="46"/>
    </row>
    <row r="7718" spans="1:1" hidden="1" x14ac:dyDescent="0.3">
      <c r="A7718" s="46"/>
    </row>
    <row r="7719" spans="1:1" hidden="1" x14ac:dyDescent="0.3">
      <c r="A7719" s="46"/>
    </row>
    <row r="7720" spans="1:1" hidden="1" x14ac:dyDescent="0.3">
      <c r="A7720" s="46"/>
    </row>
    <row r="7721" spans="1:1" hidden="1" x14ac:dyDescent="0.3">
      <c r="A7721" s="46"/>
    </row>
    <row r="7722" spans="1:1" hidden="1" x14ac:dyDescent="0.3">
      <c r="A7722" s="46"/>
    </row>
    <row r="7723" spans="1:1" hidden="1" x14ac:dyDescent="0.3">
      <c r="A7723" s="46"/>
    </row>
    <row r="7724" spans="1:1" hidden="1" x14ac:dyDescent="0.3">
      <c r="A7724" s="46"/>
    </row>
    <row r="7725" spans="1:1" hidden="1" x14ac:dyDescent="0.3">
      <c r="A7725" s="46"/>
    </row>
    <row r="7726" spans="1:1" hidden="1" x14ac:dyDescent="0.3">
      <c r="A7726" s="46"/>
    </row>
    <row r="7727" spans="1:1" hidden="1" x14ac:dyDescent="0.3">
      <c r="A7727" s="46"/>
    </row>
    <row r="7728" spans="1:1" hidden="1" x14ac:dyDescent="0.3">
      <c r="A7728" s="46"/>
    </row>
    <row r="7729" spans="1:1" hidden="1" x14ac:dyDescent="0.3">
      <c r="A7729" s="46"/>
    </row>
    <row r="7730" spans="1:1" hidden="1" x14ac:dyDescent="0.3">
      <c r="A7730" s="46"/>
    </row>
    <row r="7731" spans="1:1" hidden="1" x14ac:dyDescent="0.3">
      <c r="A7731" s="46"/>
    </row>
    <row r="7732" spans="1:1" hidden="1" x14ac:dyDescent="0.3">
      <c r="A7732" s="46"/>
    </row>
    <row r="7733" spans="1:1" hidden="1" x14ac:dyDescent="0.3">
      <c r="A7733" s="46"/>
    </row>
    <row r="7734" spans="1:1" hidden="1" x14ac:dyDescent="0.3">
      <c r="A7734" s="46"/>
    </row>
    <row r="7735" spans="1:1" hidden="1" x14ac:dyDescent="0.3">
      <c r="A7735" s="46"/>
    </row>
    <row r="7736" spans="1:1" hidden="1" x14ac:dyDescent="0.3">
      <c r="A7736" s="46"/>
    </row>
    <row r="7737" spans="1:1" hidden="1" x14ac:dyDescent="0.3">
      <c r="A7737" s="46"/>
    </row>
    <row r="7738" spans="1:1" hidden="1" x14ac:dyDescent="0.3">
      <c r="A7738" s="46"/>
    </row>
    <row r="7739" spans="1:1" hidden="1" x14ac:dyDescent="0.3">
      <c r="A7739" s="46"/>
    </row>
    <row r="7740" spans="1:1" hidden="1" x14ac:dyDescent="0.3">
      <c r="A7740" s="46"/>
    </row>
    <row r="7741" spans="1:1" hidden="1" x14ac:dyDescent="0.3">
      <c r="A7741" s="46"/>
    </row>
    <row r="7742" spans="1:1" hidden="1" x14ac:dyDescent="0.3">
      <c r="A7742" s="46"/>
    </row>
    <row r="7743" spans="1:1" hidden="1" x14ac:dyDescent="0.3">
      <c r="A7743" s="46"/>
    </row>
    <row r="7744" spans="1:1" hidden="1" x14ac:dyDescent="0.3">
      <c r="A7744" s="46"/>
    </row>
    <row r="7745" spans="1:1" hidden="1" x14ac:dyDescent="0.3">
      <c r="A7745" s="46"/>
    </row>
    <row r="7746" spans="1:1" hidden="1" x14ac:dyDescent="0.3">
      <c r="A7746" s="46"/>
    </row>
    <row r="7747" spans="1:1" hidden="1" x14ac:dyDescent="0.3">
      <c r="A7747" s="46"/>
    </row>
    <row r="7748" spans="1:1" hidden="1" x14ac:dyDescent="0.3">
      <c r="A7748" s="46"/>
    </row>
    <row r="7749" spans="1:1" hidden="1" x14ac:dyDescent="0.3">
      <c r="A7749" s="46"/>
    </row>
    <row r="7750" spans="1:1" hidden="1" x14ac:dyDescent="0.3">
      <c r="A7750" s="46"/>
    </row>
    <row r="7751" spans="1:1" hidden="1" x14ac:dyDescent="0.3">
      <c r="A7751" s="46"/>
    </row>
    <row r="7752" spans="1:1" hidden="1" x14ac:dyDescent="0.3">
      <c r="A7752" s="46"/>
    </row>
    <row r="7753" spans="1:1" hidden="1" x14ac:dyDescent="0.3">
      <c r="A7753" s="46"/>
    </row>
    <row r="7754" spans="1:1" hidden="1" x14ac:dyDescent="0.3">
      <c r="A7754" s="46"/>
    </row>
    <row r="7755" spans="1:1" hidden="1" x14ac:dyDescent="0.3">
      <c r="A7755" s="46"/>
    </row>
    <row r="7756" spans="1:1" hidden="1" x14ac:dyDescent="0.3">
      <c r="A7756" s="46"/>
    </row>
    <row r="7757" spans="1:1" hidden="1" x14ac:dyDescent="0.3">
      <c r="A7757" s="46"/>
    </row>
    <row r="7758" spans="1:1" hidden="1" x14ac:dyDescent="0.3">
      <c r="A7758" s="46"/>
    </row>
    <row r="7759" spans="1:1" hidden="1" x14ac:dyDescent="0.3">
      <c r="A7759" s="46"/>
    </row>
    <row r="7760" spans="1:1" hidden="1" x14ac:dyDescent="0.3">
      <c r="A7760" s="46"/>
    </row>
    <row r="7761" spans="1:1" hidden="1" x14ac:dyDescent="0.3">
      <c r="A7761" s="46"/>
    </row>
    <row r="7762" spans="1:1" hidden="1" x14ac:dyDescent="0.3">
      <c r="A7762" s="46"/>
    </row>
    <row r="7763" spans="1:1" hidden="1" x14ac:dyDescent="0.3">
      <c r="A7763" s="46"/>
    </row>
    <row r="7764" spans="1:1" hidden="1" x14ac:dyDescent="0.3">
      <c r="A7764" s="46"/>
    </row>
    <row r="7765" spans="1:1" hidden="1" x14ac:dyDescent="0.3">
      <c r="A7765" s="46"/>
    </row>
    <row r="7766" spans="1:1" hidden="1" x14ac:dyDescent="0.3">
      <c r="A7766" s="46"/>
    </row>
    <row r="7767" spans="1:1" hidden="1" x14ac:dyDescent="0.3">
      <c r="A7767" s="46"/>
    </row>
    <row r="7768" spans="1:1" hidden="1" x14ac:dyDescent="0.3">
      <c r="A7768" s="46"/>
    </row>
    <row r="7769" spans="1:1" hidden="1" x14ac:dyDescent="0.3">
      <c r="A7769" s="46"/>
    </row>
    <row r="7770" spans="1:1" hidden="1" x14ac:dyDescent="0.3">
      <c r="A7770" s="46"/>
    </row>
    <row r="7771" spans="1:1" hidden="1" x14ac:dyDescent="0.3">
      <c r="A7771" s="46"/>
    </row>
    <row r="7772" spans="1:1" hidden="1" x14ac:dyDescent="0.3">
      <c r="A7772" s="46"/>
    </row>
    <row r="7773" spans="1:1" hidden="1" x14ac:dyDescent="0.3">
      <c r="A7773" s="46"/>
    </row>
    <row r="7774" spans="1:1" hidden="1" x14ac:dyDescent="0.3">
      <c r="A7774" s="46"/>
    </row>
    <row r="7775" spans="1:1" hidden="1" x14ac:dyDescent="0.3">
      <c r="A7775" s="46"/>
    </row>
    <row r="7776" spans="1:1" hidden="1" x14ac:dyDescent="0.3">
      <c r="A7776" s="46"/>
    </row>
    <row r="7777" spans="1:1" hidden="1" x14ac:dyDescent="0.3">
      <c r="A7777" s="46"/>
    </row>
    <row r="7778" spans="1:1" hidden="1" x14ac:dyDescent="0.3">
      <c r="A7778" s="46"/>
    </row>
    <row r="7779" spans="1:1" hidden="1" x14ac:dyDescent="0.3">
      <c r="A7779" s="46"/>
    </row>
    <row r="7780" spans="1:1" hidden="1" x14ac:dyDescent="0.3">
      <c r="A7780" s="46"/>
    </row>
    <row r="7781" spans="1:1" hidden="1" x14ac:dyDescent="0.3">
      <c r="A7781" s="46"/>
    </row>
    <row r="7782" spans="1:1" hidden="1" x14ac:dyDescent="0.3">
      <c r="A7782" s="46"/>
    </row>
    <row r="7783" spans="1:1" hidden="1" x14ac:dyDescent="0.3">
      <c r="A7783" s="46"/>
    </row>
    <row r="7784" spans="1:1" hidden="1" x14ac:dyDescent="0.3">
      <c r="A7784" s="46"/>
    </row>
    <row r="7785" spans="1:1" hidden="1" x14ac:dyDescent="0.3">
      <c r="A7785" s="46"/>
    </row>
    <row r="7786" spans="1:1" hidden="1" x14ac:dyDescent="0.3">
      <c r="A7786" s="46"/>
    </row>
    <row r="7787" spans="1:1" hidden="1" x14ac:dyDescent="0.3">
      <c r="A7787" s="46"/>
    </row>
    <row r="7788" spans="1:1" hidden="1" x14ac:dyDescent="0.3">
      <c r="A7788" s="46"/>
    </row>
    <row r="7789" spans="1:1" hidden="1" x14ac:dyDescent="0.3">
      <c r="A7789" s="46"/>
    </row>
    <row r="7790" spans="1:1" hidden="1" x14ac:dyDescent="0.3">
      <c r="A7790" s="46"/>
    </row>
    <row r="7791" spans="1:1" hidden="1" x14ac:dyDescent="0.3">
      <c r="A7791" s="46"/>
    </row>
    <row r="7792" spans="1:1" hidden="1" x14ac:dyDescent="0.3">
      <c r="A7792" s="46"/>
    </row>
    <row r="7793" spans="1:1" hidden="1" x14ac:dyDescent="0.3">
      <c r="A7793" s="46"/>
    </row>
    <row r="7794" spans="1:1" hidden="1" x14ac:dyDescent="0.3">
      <c r="A7794" s="46"/>
    </row>
    <row r="7795" spans="1:1" hidden="1" x14ac:dyDescent="0.3">
      <c r="A7795" s="46"/>
    </row>
    <row r="7796" spans="1:1" hidden="1" x14ac:dyDescent="0.3">
      <c r="A7796" s="46"/>
    </row>
    <row r="7797" spans="1:1" hidden="1" x14ac:dyDescent="0.3">
      <c r="A7797" s="46"/>
    </row>
    <row r="7798" spans="1:1" hidden="1" x14ac:dyDescent="0.3">
      <c r="A7798" s="46"/>
    </row>
    <row r="7799" spans="1:1" hidden="1" x14ac:dyDescent="0.3">
      <c r="A7799" s="46"/>
    </row>
    <row r="7800" spans="1:1" hidden="1" x14ac:dyDescent="0.3">
      <c r="A7800" s="46"/>
    </row>
    <row r="7801" spans="1:1" hidden="1" x14ac:dyDescent="0.3">
      <c r="A7801" s="46"/>
    </row>
    <row r="7802" spans="1:1" hidden="1" x14ac:dyDescent="0.3">
      <c r="A7802" s="46"/>
    </row>
    <row r="7803" spans="1:1" hidden="1" x14ac:dyDescent="0.3">
      <c r="A7803" s="46"/>
    </row>
    <row r="7804" spans="1:1" hidden="1" x14ac:dyDescent="0.3">
      <c r="A7804" s="46"/>
    </row>
    <row r="7805" spans="1:1" hidden="1" x14ac:dyDescent="0.3">
      <c r="A7805" s="46"/>
    </row>
    <row r="7806" spans="1:1" hidden="1" x14ac:dyDescent="0.3">
      <c r="A7806" s="46"/>
    </row>
    <row r="7807" spans="1:1" hidden="1" x14ac:dyDescent="0.3">
      <c r="A7807" s="46"/>
    </row>
    <row r="7808" spans="1:1" hidden="1" x14ac:dyDescent="0.3">
      <c r="A7808" s="46"/>
    </row>
    <row r="7809" spans="1:1" hidden="1" x14ac:dyDescent="0.3">
      <c r="A7809" s="46"/>
    </row>
    <row r="7810" spans="1:1" hidden="1" x14ac:dyDescent="0.3">
      <c r="A7810" s="46"/>
    </row>
    <row r="7811" spans="1:1" hidden="1" x14ac:dyDescent="0.3">
      <c r="A7811" s="46"/>
    </row>
    <row r="7812" spans="1:1" hidden="1" x14ac:dyDescent="0.3">
      <c r="A7812" s="46"/>
    </row>
    <row r="7813" spans="1:1" hidden="1" x14ac:dyDescent="0.3">
      <c r="A7813" s="46"/>
    </row>
    <row r="7814" spans="1:1" hidden="1" x14ac:dyDescent="0.3">
      <c r="A7814" s="46"/>
    </row>
    <row r="7815" spans="1:1" hidden="1" x14ac:dyDescent="0.3">
      <c r="A7815" s="46"/>
    </row>
    <row r="7816" spans="1:1" hidden="1" x14ac:dyDescent="0.3">
      <c r="A7816" s="46"/>
    </row>
    <row r="7817" spans="1:1" hidden="1" x14ac:dyDescent="0.3">
      <c r="A7817" s="46"/>
    </row>
    <row r="7818" spans="1:1" hidden="1" x14ac:dyDescent="0.3">
      <c r="A7818" s="46"/>
    </row>
    <row r="7819" spans="1:1" hidden="1" x14ac:dyDescent="0.3">
      <c r="A7819" s="46"/>
    </row>
    <row r="7820" spans="1:1" hidden="1" x14ac:dyDescent="0.3">
      <c r="A7820" s="46"/>
    </row>
    <row r="7821" spans="1:1" hidden="1" x14ac:dyDescent="0.3">
      <c r="A7821" s="46"/>
    </row>
    <row r="7822" spans="1:1" hidden="1" x14ac:dyDescent="0.3">
      <c r="A7822" s="46"/>
    </row>
    <row r="7823" spans="1:1" hidden="1" x14ac:dyDescent="0.3">
      <c r="A7823" s="46"/>
    </row>
    <row r="7824" spans="1:1" hidden="1" x14ac:dyDescent="0.3">
      <c r="A7824" s="46"/>
    </row>
    <row r="7825" spans="1:1" hidden="1" x14ac:dyDescent="0.3">
      <c r="A7825" s="46"/>
    </row>
    <row r="7826" spans="1:1" hidden="1" x14ac:dyDescent="0.3">
      <c r="A7826" s="46"/>
    </row>
    <row r="7827" spans="1:1" hidden="1" x14ac:dyDescent="0.3">
      <c r="A7827" s="46"/>
    </row>
    <row r="7828" spans="1:1" hidden="1" x14ac:dyDescent="0.3">
      <c r="A7828" s="46"/>
    </row>
    <row r="7829" spans="1:1" hidden="1" x14ac:dyDescent="0.3">
      <c r="A7829" s="46"/>
    </row>
    <row r="7830" spans="1:1" hidden="1" x14ac:dyDescent="0.3">
      <c r="A7830" s="46"/>
    </row>
    <row r="7831" spans="1:1" hidden="1" x14ac:dyDescent="0.3">
      <c r="A7831" s="46"/>
    </row>
    <row r="7832" spans="1:1" hidden="1" x14ac:dyDescent="0.3">
      <c r="A7832" s="46"/>
    </row>
    <row r="7833" spans="1:1" hidden="1" x14ac:dyDescent="0.3">
      <c r="A7833" s="46"/>
    </row>
    <row r="7834" spans="1:1" hidden="1" x14ac:dyDescent="0.3">
      <c r="A7834" s="46"/>
    </row>
    <row r="7835" spans="1:1" hidden="1" x14ac:dyDescent="0.3">
      <c r="A7835" s="46"/>
    </row>
    <row r="7836" spans="1:1" hidden="1" x14ac:dyDescent="0.3">
      <c r="A7836" s="46"/>
    </row>
    <row r="7837" spans="1:1" hidden="1" x14ac:dyDescent="0.3">
      <c r="A7837" s="46"/>
    </row>
    <row r="7838" spans="1:1" hidden="1" x14ac:dyDescent="0.3">
      <c r="A7838" s="46"/>
    </row>
    <row r="7839" spans="1:1" hidden="1" x14ac:dyDescent="0.3">
      <c r="A7839" s="46"/>
    </row>
    <row r="7840" spans="1:1" hidden="1" x14ac:dyDescent="0.3">
      <c r="A7840" s="46"/>
    </row>
    <row r="7841" spans="1:1" hidden="1" x14ac:dyDescent="0.3">
      <c r="A7841" s="46"/>
    </row>
    <row r="7842" spans="1:1" hidden="1" x14ac:dyDescent="0.3">
      <c r="A7842" s="46"/>
    </row>
    <row r="7843" spans="1:1" hidden="1" x14ac:dyDescent="0.3">
      <c r="A7843" s="46"/>
    </row>
    <row r="7844" spans="1:1" hidden="1" x14ac:dyDescent="0.3">
      <c r="A7844" s="46"/>
    </row>
    <row r="7845" spans="1:1" hidden="1" x14ac:dyDescent="0.3">
      <c r="A7845" s="46"/>
    </row>
    <row r="7846" spans="1:1" hidden="1" x14ac:dyDescent="0.3">
      <c r="A7846" s="46"/>
    </row>
    <row r="7847" spans="1:1" hidden="1" x14ac:dyDescent="0.3">
      <c r="A7847" s="46"/>
    </row>
    <row r="7848" spans="1:1" hidden="1" x14ac:dyDescent="0.3">
      <c r="A7848" s="46"/>
    </row>
    <row r="7849" spans="1:1" hidden="1" x14ac:dyDescent="0.3">
      <c r="A7849" s="46"/>
    </row>
    <row r="7850" spans="1:1" hidden="1" x14ac:dyDescent="0.3">
      <c r="A7850" s="46"/>
    </row>
    <row r="7851" spans="1:1" hidden="1" x14ac:dyDescent="0.3">
      <c r="A7851" s="46"/>
    </row>
    <row r="7852" spans="1:1" hidden="1" x14ac:dyDescent="0.3">
      <c r="A7852" s="46"/>
    </row>
    <row r="7853" spans="1:1" hidden="1" x14ac:dyDescent="0.3">
      <c r="A7853" s="46"/>
    </row>
    <row r="7854" spans="1:1" hidden="1" x14ac:dyDescent="0.3">
      <c r="A7854" s="46"/>
    </row>
    <row r="7855" spans="1:1" hidden="1" x14ac:dyDescent="0.3">
      <c r="A7855" s="46"/>
    </row>
    <row r="7856" spans="1:1" hidden="1" x14ac:dyDescent="0.3">
      <c r="A7856" s="46"/>
    </row>
    <row r="7857" spans="1:1" hidden="1" x14ac:dyDescent="0.3">
      <c r="A7857" s="46"/>
    </row>
    <row r="7858" spans="1:1" hidden="1" x14ac:dyDescent="0.3">
      <c r="A7858" s="46"/>
    </row>
    <row r="7859" spans="1:1" hidden="1" x14ac:dyDescent="0.3">
      <c r="A7859" s="46"/>
    </row>
    <row r="7860" spans="1:1" hidden="1" x14ac:dyDescent="0.3">
      <c r="A7860" s="46"/>
    </row>
    <row r="7861" spans="1:1" hidden="1" x14ac:dyDescent="0.3">
      <c r="A7861" s="46"/>
    </row>
    <row r="7862" spans="1:1" hidden="1" x14ac:dyDescent="0.3">
      <c r="A7862" s="46"/>
    </row>
    <row r="7863" spans="1:1" hidden="1" x14ac:dyDescent="0.3">
      <c r="A7863" s="46"/>
    </row>
    <row r="7864" spans="1:1" hidden="1" x14ac:dyDescent="0.3">
      <c r="A7864" s="46"/>
    </row>
    <row r="7865" spans="1:1" hidden="1" x14ac:dyDescent="0.3">
      <c r="A7865" s="46"/>
    </row>
    <row r="7866" spans="1:1" hidden="1" x14ac:dyDescent="0.3">
      <c r="A7866" s="46"/>
    </row>
    <row r="7867" spans="1:1" hidden="1" x14ac:dyDescent="0.3">
      <c r="A7867" s="46"/>
    </row>
    <row r="7868" spans="1:1" hidden="1" x14ac:dyDescent="0.3">
      <c r="A7868" s="46"/>
    </row>
    <row r="7869" spans="1:1" hidden="1" x14ac:dyDescent="0.3">
      <c r="A7869" s="46"/>
    </row>
    <row r="7870" spans="1:1" hidden="1" x14ac:dyDescent="0.3">
      <c r="A7870" s="46"/>
    </row>
    <row r="7871" spans="1:1" hidden="1" x14ac:dyDescent="0.3">
      <c r="A7871" s="46"/>
    </row>
    <row r="7872" spans="1:1" hidden="1" x14ac:dyDescent="0.3">
      <c r="A7872" s="46"/>
    </row>
    <row r="7873" spans="1:1" hidden="1" x14ac:dyDescent="0.3">
      <c r="A7873" s="46"/>
    </row>
    <row r="7874" spans="1:1" hidden="1" x14ac:dyDescent="0.3">
      <c r="A7874" s="46"/>
    </row>
    <row r="7875" spans="1:1" hidden="1" x14ac:dyDescent="0.3">
      <c r="A7875" s="46"/>
    </row>
    <row r="7876" spans="1:1" hidden="1" x14ac:dyDescent="0.3">
      <c r="A7876" s="46"/>
    </row>
    <row r="7877" spans="1:1" hidden="1" x14ac:dyDescent="0.3">
      <c r="A7877" s="46"/>
    </row>
    <row r="7878" spans="1:1" hidden="1" x14ac:dyDescent="0.3">
      <c r="A7878" s="46"/>
    </row>
    <row r="7879" spans="1:1" hidden="1" x14ac:dyDescent="0.3">
      <c r="A7879" s="46"/>
    </row>
    <row r="7880" spans="1:1" hidden="1" x14ac:dyDescent="0.3">
      <c r="A7880" s="46"/>
    </row>
    <row r="7881" spans="1:1" hidden="1" x14ac:dyDescent="0.3">
      <c r="A7881" s="46"/>
    </row>
    <row r="7882" spans="1:1" hidden="1" x14ac:dyDescent="0.3">
      <c r="A7882" s="46"/>
    </row>
    <row r="7883" spans="1:1" hidden="1" x14ac:dyDescent="0.3">
      <c r="A7883" s="46"/>
    </row>
    <row r="7884" spans="1:1" hidden="1" x14ac:dyDescent="0.3">
      <c r="A7884" s="46"/>
    </row>
    <row r="7885" spans="1:1" hidden="1" x14ac:dyDescent="0.3">
      <c r="A7885" s="46"/>
    </row>
    <row r="7886" spans="1:1" hidden="1" x14ac:dyDescent="0.3">
      <c r="A7886" s="46"/>
    </row>
    <row r="7887" spans="1:1" hidden="1" x14ac:dyDescent="0.3">
      <c r="A7887" s="46"/>
    </row>
    <row r="7888" spans="1:1" hidden="1" x14ac:dyDescent="0.3">
      <c r="A7888" s="46"/>
    </row>
    <row r="7889" spans="1:1" hidden="1" x14ac:dyDescent="0.3">
      <c r="A7889" s="46"/>
    </row>
    <row r="7890" spans="1:1" hidden="1" x14ac:dyDescent="0.3">
      <c r="A7890" s="46"/>
    </row>
    <row r="7891" spans="1:1" hidden="1" x14ac:dyDescent="0.3">
      <c r="A7891" s="46"/>
    </row>
    <row r="7892" spans="1:1" hidden="1" x14ac:dyDescent="0.3">
      <c r="A7892" s="46"/>
    </row>
    <row r="7893" spans="1:1" hidden="1" x14ac:dyDescent="0.3">
      <c r="A7893" s="46"/>
    </row>
    <row r="7894" spans="1:1" hidden="1" x14ac:dyDescent="0.3">
      <c r="A7894" s="46"/>
    </row>
    <row r="7895" spans="1:1" hidden="1" x14ac:dyDescent="0.3">
      <c r="A7895" s="46"/>
    </row>
    <row r="7896" spans="1:1" hidden="1" x14ac:dyDescent="0.3">
      <c r="A7896" s="46"/>
    </row>
    <row r="7897" spans="1:1" hidden="1" x14ac:dyDescent="0.3">
      <c r="A7897" s="46"/>
    </row>
    <row r="7898" spans="1:1" hidden="1" x14ac:dyDescent="0.3">
      <c r="A7898" s="46"/>
    </row>
    <row r="7899" spans="1:1" hidden="1" x14ac:dyDescent="0.3">
      <c r="A7899" s="46"/>
    </row>
    <row r="7900" spans="1:1" hidden="1" x14ac:dyDescent="0.3">
      <c r="A7900" s="46"/>
    </row>
    <row r="7901" spans="1:1" hidden="1" x14ac:dyDescent="0.3">
      <c r="A7901" s="46"/>
    </row>
    <row r="7902" spans="1:1" hidden="1" x14ac:dyDescent="0.3">
      <c r="A7902" s="46"/>
    </row>
    <row r="7903" spans="1:1" hidden="1" x14ac:dyDescent="0.3">
      <c r="A7903" s="46"/>
    </row>
    <row r="7904" spans="1:1" hidden="1" x14ac:dyDescent="0.3">
      <c r="A7904" s="46"/>
    </row>
    <row r="7905" spans="1:1" hidden="1" x14ac:dyDescent="0.3">
      <c r="A7905" s="46"/>
    </row>
    <row r="7906" spans="1:1" hidden="1" x14ac:dyDescent="0.3">
      <c r="A7906" s="46"/>
    </row>
    <row r="7907" spans="1:1" hidden="1" x14ac:dyDescent="0.3">
      <c r="A7907" s="46"/>
    </row>
    <row r="7908" spans="1:1" hidden="1" x14ac:dyDescent="0.3">
      <c r="A7908" s="46"/>
    </row>
    <row r="7909" spans="1:1" hidden="1" x14ac:dyDescent="0.3">
      <c r="A7909" s="46"/>
    </row>
    <row r="7910" spans="1:1" hidden="1" x14ac:dyDescent="0.3">
      <c r="A7910" s="46"/>
    </row>
    <row r="7911" spans="1:1" hidden="1" x14ac:dyDescent="0.3">
      <c r="A7911" s="46"/>
    </row>
    <row r="7912" spans="1:1" hidden="1" x14ac:dyDescent="0.3">
      <c r="A7912" s="46"/>
    </row>
    <row r="7913" spans="1:1" hidden="1" x14ac:dyDescent="0.3">
      <c r="A7913" s="46"/>
    </row>
    <row r="7914" spans="1:1" hidden="1" x14ac:dyDescent="0.3">
      <c r="A7914" s="46"/>
    </row>
    <row r="7915" spans="1:1" hidden="1" x14ac:dyDescent="0.3">
      <c r="A7915" s="46"/>
    </row>
    <row r="7916" spans="1:1" hidden="1" x14ac:dyDescent="0.3">
      <c r="A7916" s="46"/>
    </row>
    <row r="7917" spans="1:1" hidden="1" x14ac:dyDescent="0.3">
      <c r="A7917" s="46"/>
    </row>
    <row r="7918" spans="1:1" hidden="1" x14ac:dyDescent="0.3">
      <c r="A7918" s="46"/>
    </row>
    <row r="7919" spans="1:1" hidden="1" x14ac:dyDescent="0.3">
      <c r="A7919" s="46"/>
    </row>
    <row r="7920" spans="1:1" hidden="1" x14ac:dyDescent="0.3">
      <c r="A7920" s="46"/>
    </row>
    <row r="7921" spans="1:1" hidden="1" x14ac:dyDescent="0.3">
      <c r="A7921" s="46"/>
    </row>
    <row r="7922" spans="1:1" hidden="1" x14ac:dyDescent="0.3">
      <c r="A7922" s="46"/>
    </row>
    <row r="7923" spans="1:1" hidden="1" x14ac:dyDescent="0.3">
      <c r="A7923" s="46"/>
    </row>
    <row r="7924" spans="1:1" hidden="1" x14ac:dyDescent="0.3">
      <c r="A7924" s="46"/>
    </row>
    <row r="7925" spans="1:1" hidden="1" x14ac:dyDescent="0.3">
      <c r="A7925" s="46"/>
    </row>
    <row r="7926" spans="1:1" hidden="1" x14ac:dyDescent="0.3">
      <c r="A7926" s="46"/>
    </row>
    <row r="7927" spans="1:1" hidden="1" x14ac:dyDescent="0.3">
      <c r="A7927" s="46"/>
    </row>
    <row r="7928" spans="1:1" hidden="1" x14ac:dyDescent="0.3">
      <c r="A7928" s="46"/>
    </row>
    <row r="7929" spans="1:1" hidden="1" x14ac:dyDescent="0.3">
      <c r="A7929" s="46"/>
    </row>
    <row r="7930" spans="1:1" hidden="1" x14ac:dyDescent="0.3">
      <c r="A7930" s="46"/>
    </row>
    <row r="7931" spans="1:1" hidden="1" x14ac:dyDescent="0.3">
      <c r="A7931" s="46"/>
    </row>
    <row r="7932" spans="1:1" hidden="1" x14ac:dyDescent="0.3">
      <c r="A7932" s="46"/>
    </row>
    <row r="7933" spans="1:1" hidden="1" x14ac:dyDescent="0.3">
      <c r="A7933" s="46"/>
    </row>
    <row r="7934" spans="1:1" hidden="1" x14ac:dyDescent="0.3">
      <c r="A7934" s="46"/>
    </row>
    <row r="7935" spans="1:1" hidden="1" x14ac:dyDescent="0.3">
      <c r="A7935" s="46"/>
    </row>
  </sheetData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결재요청</vt:lpstr>
      <vt:lpstr>경영정보</vt:lpstr>
      <vt:lpstr>ezchemtech_계좌</vt:lpstr>
      <vt:lpstr>ezchemtech_카드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2024-11-13T08:44:48Z</dcterms:modified>
</cp:coreProperties>
</file>