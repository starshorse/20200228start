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xls_node\E01\"/>
    </mc:Choice>
  </mc:AlternateContent>
  <xr:revisionPtr revIDLastSave="0" documentId="13_ncr:1_{C79E1285-F704-4E47-8C45-32F584B829A3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결재요청" sheetId="2" r:id="rId1"/>
    <sheet name="경영정보" sheetId="3" r:id="rId2"/>
    <sheet name="ezchemtech_계좌" sheetId="4" r:id="rId3"/>
    <sheet name="ezchemtech_카드" sheetId="5" r:id="rId4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4" l="1"/>
  <c r="E601" i="4"/>
  <c r="F601" i="4"/>
  <c r="E22" i="4"/>
  <c r="F22" i="4"/>
  <c r="H8" i="4"/>
  <c r="H5" i="4" l="1"/>
  <c r="H6" i="4"/>
  <c r="H7" i="4"/>
  <c r="H19" i="4"/>
  <c r="H17" i="4"/>
  <c r="H18" i="4"/>
  <c r="H16" i="4"/>
  <c r="H15" i="4"/>
  <c r="H14" i="4"/>
  <c r="H13" i="4"/>
  <c r="H12" i="4"/>
  <c r="H11" i="4"/>
  <c r="H10" i="4"/>
  <c r="H9" i="4"/>
  <c r="G22" i="4"/>
  <c r="G601" i="4"/>
</calcChain>
</file>

<file path=xl/sharedStrings.xml><?xml version="1.0" encoding="utf-8"?>
<sst xmlns="http://schemas.openxmlformats.org/spreadsheetml/2006/main" count="30985" uniqueCount="2400">
  <si>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</si>
  <si>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</si>
  <si>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</si>
  <si>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</si>
  <si>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</si>
  <si>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</si>
  <si>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</si>
  <si>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</si>
  <si>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</si>
  <si>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</si>
  <si>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</si>
  <si>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</si>
  <si>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</si>
  <si>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</si>
  <si>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</si>
  <si>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</si>
  <si>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</si>
  <si>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</si>
  <si>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</si>
  <si>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</si>
  <si>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</si>
  <si>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</si>
  <si>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</si>
  <si>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</si>
  <si>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</si>
  <si>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</si>
  <si>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</si>
  <si>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</si>
  <si>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</si>
  <si>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</si>
  <si>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</si>
  <si>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</si>
  <si>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</si>
  <si>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</si>
  <si>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</si>
  <si>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</si>
  <si>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</si>
  <si>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</si>
  <si>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</si>
  <si>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</si>
  <si>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반포중앙 (예금이자)</t>
  </si>
  <si>
    <t>수지 예금신규 입금</t>
  </si>
  <si>
    <t>해약</t>
  </si>
  <si>
    <t>만기출금</t>
  </si>
  <si>
    <t>분당시범 (예금이자)</t>
  </si>
  <si>
    <t>2022년결산(이자)</t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</si>
  <si>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</si>
  <si>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</si>
  <si>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</si>
  <si>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</si>
  <si>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</si>
  <si>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</si>
  <si>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</si>
  <si>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</si>
  <si>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</si>
  <si>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</si>
  <si>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</si>
  <si>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</si>
  <si>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</si>
  <si>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</si>
  <si>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</si>
  <si>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</si>
  <si>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</si>
  <si>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</si>
  <si>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</si>
  <si>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</si>
  <si>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</si>
  <si>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</si>
  <si>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</si>
  <si>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</si>
  <si>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</si>
  <si>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</si>
  <si>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</si>
  <si>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</si>
  <si>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</si>
  <si>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</si>
  <si>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</si>
  <si>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</si>
  <si>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</si>
  <si>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</si>
  <si>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</si>
  <si>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</si>
  <si>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</si>
  <si>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</si>
  <si>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</si>
  <si>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</si>
  <si>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</si>
  <si>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</si>
  <si>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</si>
  <si>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</si>
  <si>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고용보험2402//(펌이체)</t>
  </si>
  <si>
    <t>(주)우영사이언//신한은행 (전자금융)</t>
  </si>
  <si>
    <t>JW중외제약(주)//우리은행 (타행이체)</t>
  </si>
  <si>
    <t xml:space="preserve">계좌조회 </t>
    <phoneticPr fontId="1" type="noConversion"/>
  </si>
  <si>
    <t>seq</t>
    <phoneticPr fontId="1" type="noConversion"/>
  </si>
  <si>
    <t>거래일자</t>
    <phoneticPr fontId="1" type="noConversion"/>
  </si>
  <si>
    <t>거래구분</t>
    <phoneticPr fontId="1" type="noConversion"/>
  </si>
  <si>
    <t>입금액</t>
    <phoneticPr fontId="1" type="noConversion"/>
  </si>
  <si>
    <t>출금액</t>
    <phoneticPr fontId="1" type="noConversion"/>
  </si>
  <si>
    <t>고급검색 바로가기</t>
    <phoneticPr fontId="1" type="noConversion"/>
  </si>
  <si>
    <t>입금</t>
  </si>
  <si>
    <t>출금</t>
  </si>
  <si>
    <t>산재보험2402//(펌이체)</t>
  </si>
  <si>
    <t>국민연금2402//(펌이체)</t>
  </si>
  <si>
    <t>국민건강2402//(펌이체)</t>
  </si>
  <si>
    <t>외환딜링//(인터넷)</t>
  </si>
  <si>
    <t>내일채움공제//(펌이체)</t>
  </si>
  <si>
    <t>(주)씨앤드씨신약연//우리은행 (타행이체)</t>
  </si>
  <si>
    <t>학자금원천공제//우리은행 (인터넷)</t>
  </si>
  <si>
    <t>퇴직금예약이체//(대체)</t>
  </si>
  <si>
    <t>SK바이오텍(주)//신한은행 (타행이체)</t>
  </si>
  <si>
    <t>이지켐텍국민//국민은행 (인터넷)</t>
  </si>
  <si>
    <t>㈜서브원//(CC)</t>
  </si>
  <si>
    <t>이자-32-00124 다음납입예정일-20240328//(CC)</t>
  </si>
  <si>
    <t>이지켐텍국민//국민은행 (타행이체)</t>
  </si>
  <si>
    <t>KT0216119302//(펌이체)</t>
  </si>
  <si>
    <t>비씨카드출금//(BC)</t>
  </si>
  <si>
    <t>급여//(인터넷)</t>
  </si>
  <si>
    <t>공인인증수수료//(인터넷)</t>
  </si>
  <si>
    <t>（주）한국//(KFTC)</t>
  </si>
  <si>
    <t>KT통신요금02//(펌이체)</t>
  </si>
  <si>
    <t>2024년결산//(이자)</t>
  </si>
  <si>
    <t>이지켐텍외환//하나은행 (타행이체)</t>
  </si>
  <si>
    <t>고용보험2401//(펌이체)</t>
  </si>
  <si>
    <t>국민연금2401//(펌이체)</t>
  </si>
  <si>
    <t>산재보험2401//(펌이체)</t>
  </si>
  <si>
    <t>국민건강2401//(펌이체)</t>
  </si>
  <si>
    <t>에스에프씨(주)//하나은행 (타행이체)</t>
  </si>
  <si>
    <t>이지켐텍우리//우리은행 (타행이체)</t>
  </si>
  <si>
    <t>이지켐텍신한//신한은행 (타행이체)</t>
  </si>
  <si>
    <t>SK바이오팜(주)//신한은행 (타행이체)</t>
  </si>
  <si>
    <t>상여금//(인터넷)</t>
  </si>
  <si>
    <t>이자-32-00124 다음납입예정일-20240228//(CC)</t>
  </si>
  <si>
    <t>KT0216119301//(펌이체)</t>
  </si>
  <si>
    <t>(주)메디진//하나은행 (타행이체)</t>
  </si>
  <si>
    <t>KT통신요금01//(펌이체)</t>
  </si>
  <si>
    <t>에스에프씨㈜//하나은행 (타행이체)</t>
  </si>
  <si>
    <t>아이마켓코리아//(CC)</t>
  </si>
  <si>
    <t>산재보험2312//(펌이체)</t>
  </si>
  <si>
    <t>고용보험2312//(펌이체)</t>
  </si>
  <si>
    <t>국민건강2312//(펌이체)</t>
  </si>
  <si>
    <t>국민연금2312//(펌이체)</t>
  </si>
  <si>
    <t>원천공제상환금//우리은행 (인터넷)</t>
  </si>
  <si>
    <t>이자-32-00124 다음납입예정일-20240128//(CC)</t>
  </si>
  <si>
    <t>KT0216119312//(펌이체)</t>
  </si>
  <si>
    <t>KT통신요금12//(펌이체)</t>
  </si>
  <si>
    <t>2023년결산//(이자)</t>
  </si>
  <si>
    <t>비대면예금해지//기업은행 (인터넷)</t>
  </si>
  <si>
    <t>고용보험2311//(펌이체)</t>
  </si>
  <si>
    <t>산재보험2311//(펌이체)</t>
  </si>
  <si>
    <t>국민연금2311//(펌이체)</t>
  </si>
  <si>
    <t>국민건강2311//(펌이체)</t>
  </si>
  <si>
    <t>이자-32-00124 다음납입예정일-20231228//(CC)</t>
  </si>
  <si>
    <t>KT0216119311//(펌이체)</t>
  </si>
  <si>
    <t>KT통신요금11//(펌이체)</t>
  </si>
  <si>
    <t>비씨카드(주)//케이뱅크 (타행이체)</t>
  </si>
  <si>
    <t>고용보험2310//(펌이체)</t>
  </si>
  <si>
    <t>산재보험2310//(펌이체)</t>
  </si>
  <si>
    <t>국민연금2310//(펌이체)</t>
  </si>
  <si>
    <t>국민건강2310//(펌이체)</t>
  </si>
  <si>
    <t>조의금（이현정시조부//기업은행 (인터넷)</t>
  </si>
  <si>
    <t>에스에프씨주//하나은행 (타행이체)</t>
  </si>
  <si>
    <t>이자-32-00124 다음납입예정일-20231128//(CC)</t>
  </si>
  <si>
    <t>B2B팩토링대출//기업은행 (인터넷)</t>
  </si>
  <si>
    <t>KT0216119310//(펌이체)</t>
  </si>
  <si>
    <t>KT통신요금10//(펌이체)</t>
  </si>
  <si>
    <t>KT3440111210//(펌이체)</t>
  </si>
  <si>
    <t>퇴직연금수수료//(CC)</t>
  </si>
  <si>
    <t>고용보험2309//(펌이체)</t>
  </si>
  <si>
    <t>산재보험2309//(펌이체)</t>
  </si>
  <si>
    <t>국민연금2309//(펌이체)</t>
  </si>
  <si>
    <t>국민건강2309//(펌이체)</t>
  </si>
  <si>
    <t>이자-32-00124 다음납입예정일-20231028//(CC)</t>
  </si>
  <si>
    <t>조의금//기업은행 (인터넷)</t>
  </si>
  <si>
    <t>KT0216119309//(펌이체)</t>
  </si>
  <si>
    <t>근조화환//농협은행 (인터넷)</t>
  </si>
  <si>
    <t>KT통신요금09//(펌이체)</t>
  </si>
  <si>
    <t>KT3440111209//(펌이체)</t>
  </si>
  <si>
    <t>고용보험2308//(펌이체)</t>
  </si>
  <si>
    <t>산재보험2308//(펌이체)</t>
  </si>
  <si>
    <t>국민건강2308//(펌이체)</t>
  </si>
  <si>
    <t>국민연금2308//(펌이체)</t>
  </si>
  <si>
    <t>비대면예금신규//기업은행 (인터넷)</t>
  </si>
  <si>
    <t>부금만기//(대체)</t>
  </si>
  <si>
    <t>이자-32-00124//(CC)</t>
  </si>
  <si>
    <t>KT0216119308//(펌이체)</t>
  </si>
  <si>
    <t>KT통신요금08//(펌이체)</t>
  </si>
  <si>
    <t>KT3440111208//(펌이체)</t>
  </si>
  <si>
    <t>이현정＿결혼축하금//기업은행 (인터넷)</t>
  </si>
  <si>
    <t>고용보험2307//(펌이체)</t>
  </si>
  <si>
    <t>산재보험2307//(펌이체)</t>
  </si>
  <si>
    <t>국민건강2307//(펌이체)</t>
  </si>
  <si>
    <t>국민연금2307//(펌이체)</t>
  </si>
  <si>
    <t>이자-32-00124 다음납입예정일-20230827//(CC)</t>
  </si>
  <si>
    <t>KT0216119307//(펌이체)</t>
  </si>
  <si>
    <t>급여</t>
  </si>
  <si>
    <t>KT3440111207</t>
  </si>
  <si>
    <t>KT통신요금07</t>
  </si>
  <si>
    <t>(주)메디진</t>
  </si>
  <si>
    <t>이지켐텍국민</t>
  </si>
  <si>
    <t>B2B팩토링대출</t>
  </si>
  <si>
    <t>외환딜링</t>
  </si>
  <si>
    <t>이지켐텍외환</t>
  </si>
  <si>
    <t>부금15003(36)</t>
  </si>
  <si>
    <t>내일채움공제</t>
  </si>
  <si>
    <t>2023년결산</t>
  </si>
  <si>
    <t>(주)씨앤드씨신약연</t>
  </si>
  <si>
    <t>에스에프씨(주)</t>
  </si>
  <si>
    <t>화학연_구매계약</t>
  </si>
  <si>
    <t>SK바이오팜(주)</t>
  </si>
  <si>
    <t>퇴직금예약이체</t>
  </si>
  <si>
    <t>고용보험2306</t>
  </si>
  <si>
    <t>산재보험2306</t>
  </si>
  <si>
    <t>국민건강2306</t>
  </si>
  <si>
    <t>국민연금2306</t>
  </si>
  <si>
    <t>JW중외제약(주)</t>
  </si>
  <si>
    <t>이지켐텍신한</t>
  </si>
  <si>
    <t>에이치케이이노엔(주)</t>
  </si>
  <si>
    <t>행복나래//하나은행 (전자금융)</t>
  </si>
  <si>
    <t>조남형 | 웹사이트개발잔금40%//수지 (인터넷출금이체)</t>
  </si>
  <si>
    <t>대케미칼(주)//우리은행 (전자금융)</t>
  </si>
  <si>
    <t>씨그마알드리치코리아 | 국내제품구입//수지 (인터넷출금이체)</t>
  </si>
  <si>
    <t>메리츠통합002//임베디 (CMS 공동)</t>
  </si>
  <si>
    <t>파로스아이바이오//중소기업 (전자금융)</t>
  </si>
  <si>
    <t>(주)이효바이오싸//중소기업 (전자금융)</t>
  </si>
  <si>
    <t>주식회사 코레이즈홀 | UTM장비임대료_2월//수지 (인터넷출금이체)</t>
  </si>
  <si>
    <t>64971601453173//수지 (기일출금)</t>
  </si>
  <si>
    <t>주식회사 보다홀릭 | B조워크샵차량비용//수지 (인터넷출금이체)</t>
  </si>
  <si>
    <t>(주)와이디생명과학//우리은행 (전자금융)</t>
  </si>
  <si>
    <t>주식회사 센프로 (//신한은행 (전자금융)</t>
  </si>
  <si>
    <t>DGIST//대구은행 (전자금융)</t>
  </si>
  <si>
    <t>박천(대한과학상사)//신한은행 (전자금융)</t>
  </si>
  <si>
    <t>(주)랩스엠알오//우리은행 (전자금융)</t>
  </si>
  <si>
    <t>한국과학기술원//우리은행 (타행환)</t>
  </si>
  <si>
    <t>제뉴원사이언스//중소기업 (전자금융)</t>
  </si>
  <si>
    <t>포항공과대학교산학협//우리은행 (전자금융)</t>
  </si>
  <si>
    <t>한국생명공학연구//유성 (인터넷입금이체)</t>
  </si>
  <si>
    <t>종현식 | CJ택배_2월//수지 (인터넷출금이체)</t>
  </si>
  <si>
    <t>삼성화03032//임베디 (CMS 공동)</t>
  </si>
  <si>
    <t>현대캐피탈//임베디 (FBS출금)</t>
  </si>
  <si>
    <t>(주)스템디알(1)//전주 (인터넷입금이체)</t>
  </si>
  <si>
    <t>기업전용송금//수지 (대체출금)</t>
  </si>
  <si>
    <t>선물환결제출금//수지 (대체출금)</t>
  </si>
  <si>
    <t>바로환전202403040000000441//수지 (외화예금)</t>
  </si>
  <si>
    <t>바로환전202403040000000438//수지 (외화예금)</t>
  </si>
  <si>
    <t>엠에프씨주식회사//중소기업 (전자금융)</t>
  </si>
  <si>
    <t>에스티팜 주식//신한은행 (전자금융)</t>
  </si>
  <si>
    <t>에스티팜//하나은행 (전자금융)</t>
  </si>
  <si>
    <t>위아켐(주)//중소기업 (전자금융)</t>
  </si>
  <si>
    <t>코리아이플랫폼(주)//하나은행 (전자금융)</t>
  </si>
  <si>
    <t>디어젠 주식회사//하나은행 (전자금융)</t>
  </si>
  <si>
    <t>그레이머티리얼즈 주//하나은행 (전자금융)</t>
  </si>
  <si>
    <t>노보렉스주식회사//중소기업 (전자금융)</t>
  </si>
  <si>
    <t>건국대산단//신한은행 (전자금융)</t>
  </si>
  <si>
    <t>㈜오스코텍//하나은행 (전자금융)</t>
  </si>
  <si>
    <t>(주)에스텍파마//중소기업 (전자금융)</t>
  </si>
  <si>
    <t>(재)한국건설생활환//중소기업 (전자금융)</t>
  </si>
  <si>
    <t>(주)샤페론//신한은행 (전자금융)</t>
  </si>
  <si>
    <t>CT:000000000//수지 (인터넷출금이체)</t>
  </si>
  <si>
    <t>이지켐텍기업//중소기업 (전자금융)</t>
  </si>
  <si>
    <t>(주)에임블//중소기업 (전자금융)</t>
  </si>
  <si>
    <t>(주)에스이엠케이 | 국내제품구입//수지 (인터넷출금이체)</t>
  </si>
  <si>
    <t>수원시등록면//스타뱅 (공과금)</t>
  </si>
  <si>
    <t>(주)이뮤즈테라퓨틱//우리은행 (전자금융)</t>
  </si>
  <si>
    <t>주식회사사이러스테라퓨틱스//문정법 (인터넷입금이체)</t>
  </si>
  <si>
    <t>주식회사 보다홀릭 | 워크샵A_렌트카//수지 (인터넷출금이체)</t>
  </si>
  <si>
    <t>브릿지바이오테라퓨틱//우리은행 (전자금융)</t>
  </si>
  <si>
    <t>찬솔과학김형준//중소기업 (전자금융)</t>
  </si>
  <si>
    <t>조호준(이앤바이오)//신한은행 (전자금융)</t>
  </si>
  <si>
    <t>포스트젠//중소기업 (전자금융)</t>
  </si>
  <si>
    <t>(주)이지켐텍 | 이지켐텍기업//수지 (인터넷출금이체)</t>
  </si>
  <si>
    <t>세무법인넘버//임베디 (FBS출금)</t>
  </si>
  <si>
    <t>(주)이노보테라퓨틱//농협 (전자금융)</t>
  </si>
  <si>
    <t>전윤호//우리은행 (전자금융)</t>
  </si>
  <si>
    <t>올리패스주식회사(04//임베디 (FBS입금)</t>
  </si>
  <si>
    <t>올리패스주식회사//중소기업 (전자금융)</t>
  </si>
  <si>
    <t>고용_(주)이지켐텍 | 고용보험과태료//수지 (인터넷출금이체)</t>
  </si>
  <si>
    <t>조성도(참조은관리) | 주차비용현_2월//수지 (인터넷출금이체)</t>
  </si>
  <si>
    <t>(주)용현 | 용현월세_2월//수지 (인터넷출금이체)</t>
  </si>
  <si>
    <t>예일테크//성수역 (인터넷입금이체)</t>
  </si>
  <si>
    <t>주식회사세진씨아이 | 국내제품구입//수지 (인터넷출금이체)</t>
  </si>
  <si>
    <t>대일관리시스템 주식 | 용현관리비_2월//수지 (인터넷출금이체)</t>
  </si>
  <si>
    <t>김유례 | 청소용역비//수지 (인터넷출금이체)</t>
  </si>
  <si>
    <t>KIST 박상규//우리은행 (전자금융)</t>
  </si>
  <si>
    <t>국고환급:동수원세무서//수신상 (센타입금)</t>
  </si>
  <si>
    <t>KB2837//임베디 (FBS출금)</t>
  </si>
  <si>
    <t>베스핀글로벌//임베디 (FBS출금)</t>
  </si>
  <si>
    <t>롯손합0202//임베디 (CMS 공동)</t>
  </si>
  <si>
    <t>KB손02802//임베디 (CMS 공동)</t>
  </si>
  <si>
    <t>페더럴익스프레스코리//수지 (인터넷출금이체)</t>
  </si>
  <si>
    <t>주식회사 트랜스물류 | 퀵비용_3255//수지 (인터넷출금이체)</t>
  </si>
  <si>
    <t>64971601470587//수지 (기일출금)</t>
  </si>
  <si>
    <t>대한와이즈랩//신한은행 (전자금융)</t>
  </si>
  <si>
    <t>한국피셔과학(주) | 국내제품구입//수지 (인터넷출금이체)</t>
  </si>
  <si>
    <t>주식회사디에이치엘코//수지 (인터넷출금이체)</t>
  </si>
  <si>
    <t>한국경제 구독료 | 한국경제신문대금//수지 (인터넷출금이체)</t>
  </si>
  <si>
    <t>현대카드대금//임베디 (FBS출금)</t>
  </si>
  <si>
    <t>(주)제이비케이랩(//중소기업 (전자금융)</t>
  </si>
  <si>
    <t>KIST_오형석//우리은행 (전자금융)</t>
  </si>
  <si>
    <t>(주)태주//우리은행 (전자금융)</t>
  </si>
  <si>
    <t>하나카드//임베디 (FBS출금)</t>
  </si>
  <si>
    <t>SK쉴더스동수원월//수신상 (지로출금)</t>
  </si>
  <si>
    <t>이지메디컴//임베디 (CMS 공동)</t>
  </si>
  <si>
    <t>KB카드출금//수신상 (국민카드)</t>
  </si>
  <si>
    <t>서울대홍승윤//농협 (전자금융)</t>
  </si>
  <si>
    <t>주식회사 셀비온 (//신한은행 (전자금융)</t>
  </si>
  <si>
    <t>㈜스파크바이오파마//한티역 (인터넷입금이체)</t>
  </si>
  <si>
    <t>프레이저테라퓨틱스//우리은행 (전자금융)</t>
  </si>
  <si>
    <t>권혁하(하이바//신한은행 (전자금융)</t>
  </si>
  <si>
    <t>울산과기원//경남은행 (전자금융)</t>
  </si>
  <si>
    <t>아주대 산단//아주대 (인터넷입금이체)</t>
  </si>
  <si>
    <t>대케미칼(주)//중소기업 (전자금융)</t>
  </si>
  <si>
    <t>김주영(세진켐)//신한은행 (전자금융)</t>
  </si>
  <si>
    <t>주식회사이노큐어테라//우리은행 (전자금융)</t>
  </si>
  <si>
    <t>주식회사 이노큐어테//우리은행 (전자금융)</t>
  </si>
  <si>
    <t>SK케미칼//신한은행 (전자금융)</t>
  </si>
  <si>
    <t>씨지인바이츠//중소기업 (전자금융)</t>
  </si>
  <si>
    <t>주식회사 휴켐//임베디 (FBS입금)</t>
  </si>
  <si>
    <t>단대산학한영//농협 (전자금융)</t>
  </si>
  <si>
    <t>수원지방소//수지 (인터넷출금이체)</t>
  </si>
  <si>
    <t>근로소득세//수지 (인터넷출금이체)</t>
  </si>
  <si>
    <t>사업소득세//수지 (인터넷출금이체)</t>
  </si>
  <si>
    <t>경북대산학협력//대구은행 (전자금융)</t>
  </si>
  <si>
    <t>SIGMA-ALDR//BNPP (전자금융)</t>
  </si>
  <si>
    <t>인포마마켓한국(주) | CPHI부스50%//수지 (인터넷출금이체)</t>
  </si>
  <si>
    <t>주식회사 트랜스물류 | 퀵비용_1024//수지 (인터넷출금이체)</t>
  </si>
  <si>
    <t>1.24KIST홍성//우리은행 (전자금융)</t>
  </si>
  <si>
    <t>성대산학연구계산서//우리은행 (전자금융)</t>
  </si>
  <si>
    <t>삼성화02031//임베디 (CMS 공동)</t>
  </si>
  <si>
    <t>인하대산단//하나은행 (전자금융)</t>
  </si>
  <si>
    <t>종현식 | CJ택배_1월//수지 (인터넷출금이체)</t>
  </si>
  <si>
    <t>(주)와이엠에스코리//중소기업 (전자금융)</t>
  </si>
  <si>
    <t>서울대이현우//신한은행 (전자금융)</t>
  </si>
  <si>
    <t>바로환전202402020000001266//수지 (외화예금)</t>
  </si>
  <si>
    <t>가천대학교산학//하나은행 (전자금융)</t>
  </si>
  <si>
    <t>인제산단//신한은행 (전자금융)</t>
  </si>
  <si>
    <t>인제산단//경남은행 (전자금융)</t>
  </si>
  <si>
    <t>유나이티드파슬서비스 | 관부가세_38MW//수지 (인터넷출금이체)</t>
  </si>
  <si>
    <t>계명대학교산학협//대구은행 (전자금융)</t>
  </si>
  <si>
    <t>유나이티드파슬서비스 | 1ZX4549V045076//수지 (인터넷출금이체)</t>
  </si>
  <si>
    <t>주식회사나인씨엔에//중소기업 (전자금융)</t>
  </si>
  <si>
    <t>사)대한약학회 | 약학회부스비용//수지 (인터넷출금이체)</t>
  </si>
  <si>
    <t>박소윤(제이프로모션 | 판촉물_마그넷//수지 (인터넷출금이체)</t>
  </si>
  <si>
    <t>(주)개성상인 | 판촉물_VIP세트//수지 (인터넷출금이체)</t>
  </si>
  <si>
    <t>(주)넥셀//하나은행 (전자금융)</t>
  </si>
  <si>
    <t>(주)퍼스트바이오테//판교테 (인터넷입금이체)</t>
  </si>
  <si>
    <t>주식회사 코레이즈홀 | UTM장비임대료_1월//수지 (인터넷출금이체)</t>
  </si>
  <si>
    <t>풍기과학//경남은행 (전자금융)</t>
  </si>
  <si>
    <t>(주)씨에프씨테라메//중소기업 (전자금융)</t>
  </si>
  <si>
    <t>(주)씨에프씨테//중소기업 (전자금융)</t>
  </si>
  <si>
    <t>(주)용현 | 용현월세_1월//수지 (인터넷출금이체)</t>
  </si>
  <si>
    <t>(주)에스이엠케이//우리은행 (전자금융)</t>
  </si>
  <si>
    <t>유한회사 바이오드림//우리은행 (전자금융)</t>
  </si>
  <si>
    <t>조남형 | 웹사이트추가개발비//수지 (인터넷출금이체)</t>
  </si>
  <si>
    <t>동아대산협단//부산은행 (전자금융)</t>
  </si>
  <si>
    <t>김재영(다해드림냉난 | 에어컨청소비용//수지 (인터넷출금이체)</t>
  </si>
  <si>
    <t>부가가치세//수지 (인터넷출금이체)</t>
  </si>
  <si>
    <t>(주)스탠다임//우리은행 (전자금융)</t>
  </si>
  <si>
    <t>조성도(참조은관리) | 주차비용현_1월//수지 (인터넷출금이체)</t>
  </si>
  <si>
    <t>김태광 | 근조화환//수지 (인터넷출금이체)</t>
  </si>
  <si>
    <t>대일관리시스템 주식 | 용현관리비_1월//수지 (인터넷출금이체)</t>
  </si>
  <si>
    <t>롯손합0102//임베디 (CMS 공동)</t>
  </si>
  <si>
    <t>KB손02701//임베디 (CMS 공동)</t>
  </si>
  <si>
    <t>유노비아주식회사//농협 (전자금융)</t>
  </si>
  <si>
    <t>주식회사 트랜스물류 | 국내제품구입//수지 (인터넷출금이체)</t>
  </si>
  <si>
    <t>바이오드림(주)//농협 (전자금융)</t>
  </si>
  <si>
    <t>(주)한국제이알티 | 국내제품구입//수지 (인터넷출금이체)</t>
  </si>
  <si>
    <t>(주)원사이언스//중소기업 (전자금융)</t>
  </si>
  <si>
    <t>강철민 | 착불택배비//수지 (인터넷출금이체)</t>
  </si>
  <si>
    <t>바이오클론(주) | 국내제품구입//수지 (인터넷출금이체)</t>
  </si>
  <si>
    <t>(주)대웅제약//대2-5 (B2B입금)</t>
  </si>
  <si>
    <t>프레이저테라퓨//신한은행 (전자금융)</t>
  </si>
  <si>
    <t>주식회사대한와//신한은행 (전자금융)</t>
  </si>
  <si>
    <t>최광종//우리은행 (전자금융)</t>
  </si>
  <si>
    <t>(주)에이티지코리아//대덕테 (인터넷입금이체)</t>
  </si>
  <si>
    <t>연구관리팀//신한은행 (전자금융)</t>
  </si>
  <si>
    <t>대원제약(주)//신한은행 (전자금융)</t>
  </si>
  <si>
    <t>바로환전202401110000000337//수지 (외화예금)</t>
  </si>
  <si>
    <t>(주)신명과학//중소기업 (전자금융)</t>
  </si>
  <si>
    <t>(주)이지켐텍//신한은행 (전자금융)</t>
  </si>
  <si>
    <t>(사)대한화학회 | 대한화학회부스비용//수지 (인터넷출금이체)</t>
  </si>
  <si>
    <t>FX결제출금64972312270001//수지 (대체출금)</t>
  </si>
  <si>
    <t>(주)아이랩//문정법 (인터넷입금이체)</t>
  </si>
  <si>
    <t>쓰리브룩스테//농협 (전자금융)</t>
  </si>
  <si>
    <t>쓰리브룩스테라퓨틱스//농협 (전자금융)</t>
  </si>
  <si>
    <t>수원등록면//수지 (인터넷출금이체)</t>
  </si>
  <si>
    <t>비앤아이테크톤//중소기업 (전자금융)</t>
  </si>
  <si>
    <t>강덕원//전북은행 (전자금융)</t>
  </si>
  <si>
    <t>유창식(씨에스텍)//종로3 (인터넷입금이체)</t>
  </si>
  <si>
    <t>(주)와이엠에스코리//우리은행 (전자금융)</t>
  </si>
  <si>
    <t>주식회사 솔리//대구은행 (전자금융)</t>
  </si>
  <si>
    <t>주식회사 솔리텍(이//대구은행 (전자금융)</t>
  </si>
  <si>
    <t>주식회사 레드엔비아//우리은행 (전자금융)</t>
  </si>
  <si>
    <t>삼성화01030//임베디 (CMS 공동)</t>
  </si>
  <si>
    <t>전대산김수완신장//광주은행 (전자금융)</t>
  </si>
  <si>
    <t>경희대산협//하나은행 (전자금융)</t>
  </si>
  <si>
    <t>퓨쳐메디신(주)//중소기업 (전자금융)</t>
  </si>
  <si>
    <t>(주)솔바텍 | 입출고라벨구입//수지 (인터넷출금이체)</t>
  </si>
  <si>
    <t>제이맥켐//중소기업 (전자금융)</t>
  </si>
  <si>
    <t>노보렉스 주식회사 | 중복입금반환//수지 (인터넷출금이체)</t>
  </si>
  <si>
    <t>김연희 | 항공권구입비용//수지 (인터넷출금이체)</t>
  </si>
  <si>
    <t>(주)아이큐어비앤피//중소기업 (전자금융)</t>
  </si>
  <si>
    <t>(주)오상헬스케어//하나은행 (전자금융)</t>
  </si>
  <si>
    <t>한양-재료전산//신한은행 (전자금융)</t>
  </si>
  <si>
    <t>한국생산기술//중소기업 (전자금융)</t>
  </si>
  <si>
    <t>UNIST//경남은행 (전자금융)</t>
  </si>
  <si>
    <t>주식회사 사피엔스바//우리은행 (전자금융)</t>
  </si>
  <si>
    <t>주식회사 코레이즈홀 | UTM장비임대료_12월//수지 (인터넷출금이체)</t>
  </si>
  <si>
    <t>주식회사 카멜바이오//우리은행 (전자금융)</t>
  </si>
  <si>
    <t>휴켐바이오//동탄테 (인터넷입금이체)</t>
  </si>
  <si>
    <t>(주)케이메디켐//신한은행 (전자금융)</t>
  </si>
  <si>
    <t>(주)케이메디켐(k//중소기업 (전자금융)</t>
  </si>
  <si>
    <t>김희영(한텍)//대덕특 (스마트입금)</t>
  </si>
  <si>
    <t>세무법인넘버//기업2 (FBS출금)</t>
  </si>
  <si>
    <t>(주)제이디바이//우리은행 (전자금융)</t>
  </si>
  <si>
    <t>위즈랩//농협 (전자금융)</t>
  </si>
  <si>
    <t>(주)용현 | 용현월세_12월//수지 (인터넷출금이체)</t>
  </si>
  <si>
    <t>오스코텍(043733)_연//기업2 (FBS입금)</t>
  </si>
  <si>
    <t>인천공항세관//수신상 (국고이체)</t>
  </si>
  <si>
    <t>조성도(참조은관리) | 주차비용현_12월//수지 (인터넷출금이체)</t>
  </si>
  <si>
    <t>대일관리시스템 주식 | 용현관리비_12월//수지 (인터넷출금이체)</t>
  </si>
  <si>
    <t>주)천일씨아이//여수종 (인터넷입금이체)</t>
  </si>
  <si>
    <t>KB2837//기업2 (FBS출금)</t>
  </si>
  <si>
    <t>베스핀글로벌//기업2 (FBS출금)</t>
  </si>
  <si>
    <t>롯손합1202//기업2 (CMS 공동)</t>
  </si>
  <si>
    <t>KB손02612//기업2 (CMS 공동)</t>
  </si>
  <si>
    <t>크로다코리아//하나은행 (전자금융)</t>
  </si>
  <si>
    <t>울산과학기술//경남은행 (전자금융)</t>
  </si>
  <si>
    <t>주식회사에스투시바이//우리은행 (전자금융)</t>
  </si>
  <si>
    <t>올리패스(주)(04389//기업2 (FBS입금)</t>
  </si>
  <si>
    <t>주식회사 트랜스물류 | 퀵비용_5636//수지 (인터넷출금이체)</t>
  </si>
  <si>
    <t>(주)디피엘코퍼//신한은행 (전자금융)</t>
  </si>
  <si>
    <t>현대카드대금//기업2 (FBS출금)</t>
  </si>
  <si>
    <t>하나카드//기업2 (FBS출금)</t>
  </si>
  <si>
    <t>이지메디컴//기업2 (CMS 공동)</t>
  </si>
  <si>
    <t>현대캐피탈//기업2 (FBS출금)</t>
  </si>
  <si>
    <t>제이더블유신약(주)//중소기업 (전자금융)</t>
  </si>
  <si>
    <t>수원시(이지켐텍) | 자동차세_코나//수지 (인터넷출금이체)</t>
  </si>
  <si>
    <t>서울대정택동//농협 (전자금융)</t>
  </si>
  <si>
    <t>바로환전202312140000000414//수지 (외화예금)</t>
  </si>
  <si>
    <t>예금추가입금//수지 (대체출금)</t>
  </si>
  <si>
    <t>주식회사 트랜스물류 | 퀵비용_4592//수지 (인터넷출금이체)</t>
  </si>
  <si>
    <t>이지켐텍_레고//우리은행 (전자금융)</t>
  </si>
  <si>
    <t>메리츠통합002//기업2 (CMS 공동)</t>
  </si>
  <si>
    <t>조남형 | 웹사이트개발중도금40%//수지 (인터넷출금이체)</t>
  </si>
  <si>
    <t>(주)파츠플러스//우리은행 (타행환)</t>
  </si>
  <si>
    <t>이자세금:6,350원//수지 (결산이자)</t>
  </si>
  <si>
    <t>한국과학기술원//우리은행 (전자금융)</t>
  </si>
  <si>
    <t>KIST 권지언//우리은행 (전자금융)</t>
  </si>
  <si>
    <t>삼성화12029//기업2 (CMS 공동)</t>
  </si>
  <si>
    <t>매직불릿tx//우리은행 (전자금융)</t>
  </si>
  <si>
    <t>종현식 | CJ택배_11월//수지 (인터넷출금이체)</t>
  </si>
  <si>
    <t>유주형 | 홈페이지서버사용료//수지 (인터넷출금이체)</t>
  </si>
  <si>
    <t>(주)프레이저테//우리은행 (전자금융)</t>
  </si>
  <si>
    <t>김주용(애니켐)//신한은행 (전자금융)</t>
  </si>
  <si>
    <t>지놈앤컴퍼니//포일밸 (인터넷입금이체)</t>
  </si>
  <si>
    <t>(주)비즈마켓//신한은행 (전자금융)</t>
  </si>
  <si>
    <t>(주)용현 | 용현월세_11월//수지 (인터넷출금이체)</t>
  </si>
  <si>
    <t>주식회사 큐렉//신한은행 (전자금융)</t>
  </si>
  <si>
    <t>주식회사 코레이즈홀 | UTM장비임대료_11월//수지 (인터넷출금이체)</t>
  </si>
  <si>
    <t>권영미 | 월주차비//수지 (인터넷출금이체)</t>
  </si>
  <si>
    <t>메리츠화재해상보험//기업2 (FBS 출금)</t>
  </si>
  <si>
    <t>(재)한국파스퇴//신한은행 (전자금융)</t>
  </si>
  <si>
    <t>(주)팜젠사이언스 | 중복입금반환(매출)//수지 (인터넷출금이체)</t>
  </si>
  <si>
    <t>이병장(가나실크인쇄 | 판촉물_인쇄//수지 (인터넷출금이체)</t>
  </si>
  <si>
    <t>이새벽(키친팩토리) | 판촉물(실리콘컵)//수지 (인터넷출금이체)</t>
  </si>
  <si>
    <t>대일관리시스템 주식 | 용현관리비_11월//수지 (인터넷출금이체)</t>
  </si>
  <si>
    <t>(사)한국의약품//신한은행 (전자금융)</t>
  </si>
  <si>
    <t>(주)이지켐텍//수지 (인터넷입금이체)</t>
  </si>
  <si>
    <t>조성도(참조은관리) | 주차비용현_11월//수지 (인터넷출금이체)</t>
  </si>
  <si>
    <t>에바바이오 주//신한은행 (전자금융)</t>
  </si>
  <si>
    <t>주식회사 트랜스물류 | 퀵비용_0748//수지 (인터넷출금이체)</t>
  </si>
  <si>
    <t>(주)씨티케이 | 국내제품구입//수지 (인터넷출금이체)</t>
  </si>
  <si>
    <t>타이거닉스주//신한은행 (전자금융)</t>
  </si>
  <si>
    <t>지스트//우리은행 (타행환)</t>
  </si>
  <si>
    <t>채종석(와이즈엔텍)//신한은행 (전자금융)</t>
  </si>
  <si>
    <t>세진켐//신한은행 (전자금융)</t>
  </si>
  <si>
    <t>만기자동해지649715-18-70885(01)//수지 (자동해지)</t>
  </si>
  <si>
    <t>현대카드//신한은행 (전자금융)</t>
  </si>
  <si>
    <t>비씨카드(주)//케이뱅크 (전자금융)</t>
  </si>
  <si>
    <t>롯손합1102//기업2 (CMS 공동)</t>
  </si>
  <si>
    <t>KB손02511//기업2 (CMS 공동)</t>
  </si>
  <si>
    <t>바로환전202311200000000712//수지 (외화예금)</t>
  </si>
  <si>
    <t>(주)단군소프트 | 소프트웨어구입비//수지 (인터넷출금이체)</t>
  </si>
  <si>
    <t>(주)동인바이오텍//하나은행 (전자금융)</t>
  </si>
  <si>
    <t>KB카드포인트리//KB카드 (대체입금)</t>
  </si>
  <si>
    <t>하나법인캐쉬백//하나은행 (전자금융)</t>
  </si>
  <si>
    <t>서울대이지우//농협 (전자금융)</t>
  </si>
  <si>
    <t>서울대병원의생//신한은행 (전자금융)</t>
  </si>
  <si>
    <t>주식회사 셀비//신한은행 (전자금융)</t>
  </si>
  <si>
    <t>임종웅(제이애드) | 캘린더전체금액//수지 (인터넷출금이체)</t>
  </si>
  <si>
    <t>(주)단군소프트 | 백신라이센스갱신//수지 (인터넷출금이체)</t>
  </si>
  <si>
    <t>주식회사 아이엔테라//하나은행 (전자금융)</t>
  </si>
  <si>
    <t>바로환전202311150000000641//수지 (외화예금)</t>
  </si>
  <si>
    <t>주식회사 트랜스물류 | 퀵비용_0380//수지 (인터넷출금이체)</t>
  </si>
  <si>
    <t>용인시(현대캐피탈주 | 과태료//수지 (인터넷출금이체)</t>
  </si>
  <si>
    <t>메리츠110014//기업2 (CMS 공동)</t>
  </si>
  <si>
    <t>주식회사 트랜스물류 | 퀵비용_9825//수지 (인터넷출금이체)</t>
  </si>
  <si>
    <t>양해식다중촉//농협 (전자금융)</t>
  </si>
  <si>
    <t>(주)선일트레이딩//신용협동 (전자금융)</t>
  </si>
  <si>
    <t>서울대김진홍//농협 (전자금융)</t>
  </si>
  <si>
    <t>KIST수소연료전지//우리은행 (전자금융)</t>
  </si>
  <si>
    <t>(주)켐온싸이언스//우리은행 (전자금융)</t>
  </si>
  <si>
    <t>고대유승호//하나은행 (전자금융)</t>
  </si>
  <si>
    <t>송봉윤(예일테크)//성수역 (스마트입금)</t>
  </si>
  <si>
    <t>주식회사 트랜스물류 | 퀵비용_9104//수지 (인터넷출금이체)</t>
  </si>
  <si>
    <t>크리스탈지노믹스(주//하나은행 (전자금융)</t>
  </si>
  <si>
    <t>(주)펠레메드//우리은행 (전자금융)</t>
  </si>
  <si>
    <t>주식회사 펠레//신한은행 (전자금융)</t>
  </si>
  <si>
    <t>국립암센터//신한은행 (전자금융)</t>
  </si>
  <si>
    <t>삼성화11028//기업2 (CMS 공동)</t>
  </si>
  <si>
    <t>주식회사 트랜스물류 | 퀵비용_8656//수지 (인터넷출금이체)</t>
  </si>
  <si>
    <t>에바바이오 주식회사//우리은행 (전자금융)</t>
  </si>
  <si>
    <t>종현식 | CJ택배_10월//수지 (인터넷출금이체)</t>
  </si>
  <si>
    <t>KIST_오시형//우리은행 (전자금융)</t>
  </si>
  <si>
    <t>임종웅(제이애드) | 명함(4명)//수지 (인터넷출금이체)</t>
  </si>
  <si>
    <t>주식회사엘마이토테라퓨틱스//판교벤 (인터넷입금이체)</t>
  </si>
  <si>
    <t>(주)팜젠사이언스//하나은행 (전자금융)</t>
  </si>
  <si>
    <t>법인세//수지 (인터넷출금이체)</t>
  </si>
  <si>
    <t>주식회사 코레이즈홀 | UTM장비임대료_10월//수지 (인터넷출금이체)</t>
  </si>
  <si>
    <t>주식회사 엘마//기업2 (FBS입금)</t>
  </si>
  <si>
    <t>(주)용현 | 용현월세_10월//수지 (인터넷출금이체)</t>
  </si>
  <si>
    <t>주식회사 트랜스물류 | 퀵비용_7796//수지 (인터넷출금이체)</t>
  </si>
  <si>
    <t>경상국립대학교//신한은행 (전자금융)</t>
  </si>
  <si>
    <t>정용민(YMS(와이엠에스)//포항 (인터넷입금이체)</t>
  </si>
  <si>
    <t>최지영(웰서브)//천천동 (인터넷입금이체)</t>
  </si>
  <si>
    <t>(주)업테라//중소기업 (전자금융)</t>
  </si>
  <si>
    <t>가톨릭대(성심)//우리은행 (타행환)</t>
  </si>
  <si>
    <t>크리스탈지노믹스//중소기업 (전자금융)</t>
  </si>
  <si>
    <t>(주)다윈바이오 | 국내제품구입//수지 (인터넷출금이체)</t>
  </si>
  <si>
    <t>주식회사 트랜스물류 | 퀵비용_6826//수지 (인터넷출금이체)</t>
  </si>
  <si>
    <t>조성도(참조은관리) | 주차비용현_10월//수지 (인터넷출금이체)</t>
  </si>
  <si>
    <t>대일관리시스템 주식 | 용현관리비_10월//수지 (인터넷출금이체)</t>
  </si>
  <si>
    <t>이지켐텍외환//하나은행 (전자금융)</t>
  </si>
  <si>
    <t>이지켐텍신한//신한은행 (전자금융)</t>
  </si>
  <si>
    <t>롯손합1002//기업2 (CMS 공동)</t>
  </si>
  <si>
    <t>KB손02410//기업2 (CMS 공동)</t>
  </si>
  <si>
    <t>(주)팜젠사이언//농협 (전자금융)</t>
  </si>
  <si>
    <t>김주용(애니켐) | 제품하자환불//수지 (인터넷출금이체)</t>
  </si>
  <si>
    <t>주식회사에스티켐//농협 (전자금융)</t>
  </si>
  <si>
    <t>김경민 | 카드뉴스기획제작//수지 (인터넷출금이체)</t>
  </si>
  <si>
    <t>(주)매일경제신문사 | 매경이코노미구독료//수지 (인터넷출금이체)</t>
  </si>
  <si>
    <t>크리스탈지노믹스 | 크리스탈지노믹스//중소기업 (전자금융)</t>
  </si>
  <si>
    <t>제뉴원사이언스 | 제뉴원사이언스//중소기업 (전자금융)</t>
  </si>
  <si>
    <t>(주)펠레메드 | (주)펠레메드//우리은행 (전자금융)</t>
  </si>
  <si>
    <t>김연희 | 조의금(조태준)//수지 (인터넷출금이체)</t>
  </si>
  <si>
    <t>김태광 | 근조화환(조태준)//수지 (인터넷출금이체)</t>
  </si>
  <si>
    <t>(주)대일랩서비//신한은행 (전자금융)</t>
  </si>
  <si>
    <t>주식회사 트랜스물류 | 퀵비용_5679//수지 (인터넷출금이체)</t>
  </si>
  <si>
    <t>엔엠텍코리아주식회사 | 판촉물네임텍70%//수지 (인터넷출금이체)</t>
  </si>
  <si>
    <t>주식회사 카나프테라//우리은행 (전자금융)</t>
  </si>
  <si>
    <t>고대김현수//하나은행 (전자금융)</t>
  </si>
  <si>
    <t>메리츠100013//기업2 (CMS 공동)</t>
  </si>
  <si>
    <t>아주대산단//중소기업 (전자금융)</t>
  </si>
  <si>
    <t>조남형 | 웹사이트개발착수금20%//수지 (인터넷출금이체)</t>
  </si>
  <si>
    <t>임종웅(제이애드) | 구조식노트50%//수지 (인터넷출금이체)</t>
  </si>
  <si>
    <t>주식회사 셀투//신한은행 (전자금융)</t>
  </si>
  <si>
    <t>SK바이오사이언//신한은행 (전자금융)</t>
  </si>
  <si>
    <t>삼성화10027//기업2 (CMS 공동)</t>
  </si>
  <si>
    <t>종현식 | CJ택배_9월//수지 (인터넷출금이체)</t>
  </si>
  <si>
    <t>(주)비즈앤텍//하나은행 (전자금융)</t>
  </si>
  <si>
    <t>이종국(루크과학)//하나은행 (전자금융)</t>
  </si>
  <si>
    <t>대성산업//중소기업 (전자금융)</t>
  </si>
  <si>
    <t>에이셀//중소기업 (전자금융)</t>
  </si>
  <si>
    <t>일동제약㈜//우리은행 (전자금융)</t>
  </si>
  <si>
    <t>(주)다산제약//중소기업 (전자금융)</t>
  </si>
  <si>
    <t>주식회사 SM벡//신한은행 (전자금융)</t>
  </si>
  <si>
    <t>가천대학교산//하나은행 (전자금융)</t>
  </si>
  <si>
    <t>씨지인바이츠(주)//하나은행 (전자금융)</t>
  </si>
  <si>
    <t>바로환전202309270000000558//수지 (외화예금)</t>
  </si>
  <si>
    <t>(주)제이디바이//신한은행 (전자금융)</t>
  </si>
  <si>
    <t>(주)제이디바//신한은행 (전자금융)</t>
  </si>
  <si>
    <t>주식회사 트랜스물류 | 퀵비용_2566//수지 (인터넷출금이체)</t>
  </si>
  <si>
    <t>(주)현일LAB-M | 국내제품구입//수지 (인터넷출금이체)</t>
  </si>
  <si>
    <t>(주)용현 | 용현월세_9월//수지 (인터넷출금이체)</t>
  </si>
  <si>
    <t>주식회사 이뮤//신한은행 (전자금융)</t>
  </si>
  <si>
    <t>(주)이효바이오싸이//하나은행 (전자금융)</t>
  </si>
  <si>
    <t>주식회사 코레이즈홀 | UTM장비임대료_9월//수지 (인터넷출금이체)</t>
  </si>
  <si>
    <t>대일관리시스템 주식 | 용현관리비_9월//수지 (인터넷출금이체)</t>
  </si>
  <si>
    <t>조성도(참조은관리) | 주차비용현_9월//수지 (인터넷출금이체)</t>
  </si>
  <si>
    <t>국도화학주식//신한은행 (전자금융)</t>
  </si>
  <si>
    <t>서울대박성혁//농협 (전자금융)</t>
  </si>
  <si>
    <t>롯손합0902//기업2 (CMS 공동)</t>
  </si>
  <si>
    <t>KB손02309//기업2 (CMS 공동)</t>
  </si>
  <si>
    <t>김태광 | 근조화환추가금//수지 (인터넷출금이체)</t>
  </si>
  <si>
    <t>화수분컴퍼니//농협 (전자금융)</t>
  </si>
  <si>
    <t>박윤경//하나은행 (전자금융)</t>
  </si>
  <si>
    <t>박윤경 | 근조화환//수지 (인터넷출금이체)</t>
  </si>
  <si>
    <t>주식회사 트랜스물류 | 퀵비용_1559//수지 (인터넷출금이체)</t>
  </si>
  <si>
    <t>KIST//우리은행 (전자금융)</t>
  </si>
  <si>
    <t>고대이광원//하나은행 (전자금융)</t>
  </si>
  <si>
    <t>울산대학교//경남은행 (전자금융)</t>
  </si>
  <si>
    <t>엔엠텍코리아주식회사 | 판촉물네임텍30%//수지 (인터넷출금이체)</t>
  </si>
  <si>
    <t>(주)영인기프트 | 판촉물볼펜2000개//수지 (인터넷출금이체)</t>
  </si>
  <si>
    <t>양승재(인하//중소기업 (전자금융)</t>
  </si>
  <si>
    <t>주식회사 트랜스물류 | 퀵비용_1147//수지 (인터넷출금이체)</t>
  </si>
  <si>
    <t>주식회사 트랜스물류 | 퀵비용_0508//수지 (인터넷출금이체)</t>
  </si>
  <si>
    <t>메리츠090012//기업2 (CMS 공동)</t>
  </si>
  <si>
    <t>(주)조아진//가산디 (인터넷입금이체)</t>
  </si>
  <si>
    <t>(주)펠레메드//신한은행 (전자금융)</t>
  </si>
  <si>
    <t>임종웅(제이애드) | 명함//수지 (인터넷출금이체)</t>
  </si>
  <si>
    <t>메디치바이오//중소기업 (전자금융)</t>
  </si>
  <si>
    <t>고대구로병원//하나은행 (전자금융)</t>
  </si>
  <si>
    <t>삼성화09026//기업2 (CMS 공동)</t>
  </si>
  <si>
    <t>종현식 | CJ택배_8월//수지 (인터넷출금이체)</t>
  </si>
  <si>
    <t>랭귀지뱅크코리아 | 통역비//수지 (인터넷출금이체)</t>
  </si>
  <si>
    <t>고마앤텍//하나은행 (전자금융)</t>
  </si>
  <si>
    <t>일동제약(주)//우리은행 (전자금융)</t>
  </si>
  <si>
    <t>주식회사 티씨노바이//우리은행 (전자금융)</t>
  </si>
  <si>
    <t>CT:23322388M//수지 (인터넷출금이체)</t>
  </si>
  <si>
    <t>아벨로스테라퓨틱스//하나은행 (전자금융)</t>
  </si>
  <si>
    <t>정재원 | 강릉샌드//수지 (인터넷출금이체)</t>
  </si>
  <si>
    <t>주식회사 웰진 (0//대구은행 (전자금융)</t>
  </si>
  <si>
    <t>이한나(플러스//신한은행 (전자금융)</t>
  </si>
  <si>
    <t>주식회사 엘마이토 테//기업2 (FBS입금)</t>
  </si>
  <si>
    <t>바로환전202308310000000531//수지 (외화예금)</t>
  </si>
  <si>
    <t>주식회사 트랜스물류 | 퀵비용_4400//수지 (인터넷출금이체)</t>
  </si>
  <si>
    <t>주식회사 코레이즈홀 | UTM장비임대료_8월//수지 (인터넷출금이체)</t>
  </si>
  <si>
    <t>이녹스첨단소재//중소기업 (전자금융)</t>
  </si>
  <si>
    <t>(주)용현 | 용현월세_8월//수지 (인터넷출금이체)</t>
  </si>
  <si>
    <t>한국생산기술연구원//중소기업 (타행환)</t>
  </si>
  <si>
    <t>주식회사 트랜스물류 | 퀵비용_8390//수지 (인터넷출금이체)</t>
  </si>
  <si>
    <t>주식회사 온더바이오//우리은행 (전자금융)</t>
  </si>
  <si>
    <t>SSU계산서//우리은행 (전자금융)</t>
  </si>
  <si>
    <t>조성도(참조은관리) | 주차비용현_8월//수지 (인터넷출금이체)</t>
  </si>
  <si>
    <t>대일관리시스템 주식 | 용현관리비_8월//수지 (인터넷출금이체)</t>
  </si>
  <si>
    <t>임종웅(제이애드) | 판촉물_L홀더50%//수지 (인터넷출금이체)</t>
  </si>
  <si>
    <t>롯손합0802//기업2 (CMS 공동)</t>
  </si>
  <si>
    <t>KB손02208//기업2 (CMS 공동)</t>
  </si>
  <si>
    <t>주식회사 트랜스물류 | 퀵비용_6510482668//수지 (인터넷출금이체)</t>
  </si>
  <si>
    <t>KIST김민석/8.//우리은행 (전자금융)</t>
  </si>
  <si>
    <t>KIST 김대윤//우리은행 (전자금융)</t>
  </si>
  <si>
    <t>(주)라벡스 | 국내제품구입//수지 (인터넷출금이체)</t>
  </si>
  <si>
    <t>한국경제 구독료 | 한국경제구독료//수지 (인터넷출금이체)</t>
  </si>
  <si>
    <t>주식회사에이아이케//중소기업 (전자금융)</t>
  </si>
  <si>
    <t>메리츠080011//기업2 (CMS 공동)</t>
  </si>
  <si>
    <t>시178호1687 | 과태료//수지 (인터넷출금이체)</t>
  </si>
  <si>
    <t>경찰청_현대캐피 | 과태료//수지 (인터넷출금이체)</t>
  </si>
  <si>
    <t>제일약품(주)//신한은행 (전자금융)</t>
  </si>
  <si>
    <t>CT:23305661M//수지 (인터넷출금이체)</t>
  </si>
  <si>
    <t>삼성화08025//기업2 (CMS 공동)</t>
  </si>
  <si>
    <t>수원주민세//수지 (인터넷출금이체)</t>
  </si>
  <si>
    <t>주식회사쏠바이오텍//중소기업 (전자금융)</t>
  </si>
  <si>
    <t>종현식 | CJ택배_7월//수지 (인터넷출금이체)</t>
  </si>
  <si>
    <t>전북대-서영준//전북은행 (전자금융)</t>
  </si>
  <si>
    <t>현물환결제출금//수지 (대체출금)</t>
  </si>
  <si>
    <t>(주)켐바이오//대덕특 (인터넷입금이체)</t>
  </si>
  <si>
    <t>서울대김병수//농협 (전자금융)</t>
  </si>
  <si>
    <t>동국대산학//신한은행 (전자금융)</t>
  </si>
  <si>
    <t>신일과학기기(주)//우리은행 (전자금융)</t>
  </si>
  <si>
    <t>주식회사 코레이즈홀 | UTM장비_7월//수지 (인터넷출금이체)</t>
  </si>
  <si>
    <t>(주)나노바이오//대덕특 (인터넷입금이체)</t>
  </si>
  <si>
    <t>주식회사 에임//하나은행 (전자금융)</t>
  </si>
  <si>
    <t>(주)용현 | 용현월세_7월//수지 (인터넷출금이체)</t>
  </si>
  <si>
    <t>주식회사 펠레메드//우리은행 (전자금융)</t>
  </si>
  <si>
    <t>권지현(미리내디자인 | 전시회홍보물제작//수지 (인터넷출금이체)</t>
  </si>
  <si>
    <t>대일관리시스템 주식 | 용현관리비_7월//수지 (인터넷출금이체)</t>
  </si>
  <si>
    <t>조성도(참조은관리) | 주차비용현_7월//수지 (인터넷출금이체)</t>
  </si>
  <si>
    <t>주식회사에이아이케</t>
  </si>
  <si>
    <t>김주용(애니켐)</t>
  </si>
  <si>
    <t>성대산학연구계산서</t>
  </si>
  <si>
    <t>부가가치세</t>
  </si>
  <si>
    <t>KB2837</t>
  </si>
  <si>
    <t>베스핀글로벌</t>
  </si>
  <si>
    <t>롯손합0702</t>
  </si>
  <si>
    <t>KB손02107</t>
  </si>
  <si>
    <t>임종웅(제이애드) | 판촉물_L홀더50%</t>
  </si>
  <si>
    <t>주식회사디에이치엘코</t>
  </si>
  <si>
    <t>한국경제 구독료 | 한국경제신문대금</t>
  </si>
  <si>
    <t>올리패스주식회사</t>
  </si>
  <si>
    <t>크리스탈지노믹스</t>
  </si>
  <si>
    <t>한국생산기술연구원</t>
  </si>
  <si>
    <t>유창식(씨에스텍)</t>
  </si>
  <si>
    <t>전대산임영준</t>
  </si>
  <si>
    <t>엘바이오㈜</t>
  </si>
  <si>
    <t>페더럴익스프레스코리</t>
  </si>
  <si>
    <t>씨그마알드리치코리아 | 국내제품구입</t>
  </si>
  <si>
    <t>(주)판촉사랑 | 판촉물제작_카드USB</t>
  </si>
  <si>
    <t>CT:000000000</t>
  </si>
  <si>
    <t>이지켐텍기업</t>
  </si>
  <si>
    <t>한국피셔과학(주) | 국내제품구입</t>
  </si>
  <si>
    <t>대케미칼(주)</t>
  </si>
  <si>
    <t>(주)스파크바이오파</t>
  </si>
  <si>
    <t>하나카드</t>
  </si>
  <si>
    <t>현대카드대금</t>
  </si>
  <si>
    <t>SK쉴더스동수원월</t>
  </si>
  <si>
    <t>현대캐피탈</t>
  </si>
  <si>
    <t>KB카드출금</t>
  </si>
  <si>
    <t>노보렉스주식회사</t>
  </si>
  <si>
    <t>(주)이효바이오싸</t>
  </si>
  <si>
    <t>이지메디컴</t>
  </si>
  <si>
    <t>인하대산단</t>
  </si>
  <si>
    <t>(주)대웅제약</t>
  </si>
  <si>
    <t>(주)프레이저테</t>
  </si>
  <si>
    <t>KIST 박상규</t>
  </si>
  <si>
    <t>경희대산협</t>
  </si>
  <si>
    <t>전북대-서영준</t>
  </si>
  <si>
    <t>(주)이지켐텍(K | 전화요금</t>
  </si>
  <si>
    <t>아주대산단</t>
  </si>
  <si>
    <t>메리츠070010</t>
  </si>
  <si>
    <t>한국생산기술</t>
  </si>
  <si>
    <t>(주)이지켐텍 | 이지켐텍기업</t>
  </si>
  <si>
    <t>(주)에델리스코리아 | 판촉물샘플구입</t>
  </si>
  <si>
    <t>(주)아이랩</t>
  </si>
  <si>
    <t>수원지방소</t>
  </si>
  <si>
    <t>사업소득세</t>
  </si>
  <si>
    <t>근로소득세</t>
  </si>
  <si>
    <t>TOP-Link</t>
  </si>
  <si>
    <t xml:space="preserve">  </t>
    <phoneticPr fontId="1" type="noConversion"/>
  </si>
  <si>
    <t>33789004537804 은 대웅제약 전용계좌임</t>
    <phoneticPr fontId="1" type="noConversion"/>
  </si>
  <si>
    <t>연일석 | 폐기물처리비용//수지 (인터넷출금이체)</t>
  </si>
  <si>
    <t>카드번호</t>
    <phoneticPr fontId="1" type="noConversion"/>
  </si>
  <si>
    <t>승인일자</t>
    <phoneticPr fontId="1" type="noConversion"/>
  </si>
  <si>
    <t>실청구액</t>
    <phoneticPr fontId="1" type="noConversion"/>
  </si>
  <si>
    <t>가맹점명</t>
    <phoneticPr fontId="1" type="noConversion"/>
  </si>
  <si>
    <t>계좌출금일</t>
    <phoneticPr fontId="1" type="noConversion"/>
  </si>
  <si>
    <t>이용구분</t>
    <phoneticPr fontId="1" type="noConversion"/>
  </si>
  <si>
    <t>현지화폐</t>
    <phoneticPr fontId="1" type="noConversion"/>
  </si>
  <si>
    <t>현지금액</t>
    <phoneticPr fontId="1" type="noConversion"/>
  </si>
  <si>
    <t>분류코드</t>
    <phoneticPr fontId="1" type="noConversion"/>
  </si>
  <si>
    <t>기업3913</t>
  </si>
  <si>
    <t>국내</t>
  </si>
  <si>
    <t>국민0816</t>
  </si>
  <si>
    <t>대한항공</t>
  </si>
  <si>
    <t>기업9953</t>
  </si>
  <si>
    <t>(주)조선호텔앤리조트</t>
  </si>
  <si>
    <t>C1406</t>
  </si>
  <si>
    <t>국민3820</t>
  </si>
  <si>
    <t>AGODA_NICE-Agoda</t>
  </si>
  <si>
    <t>국민5699</t>
  </si>
  <si>
    <t>A2B_CHEM_LLC</t>
  </si>
  <si>
    <t>해외</t>
  </si>
  <si>
    <t>USD</t>
  </si>
  <si>
    <t>C0101</t>
  </si>
  <si>
    <t>국민4889</t>
  </si>
  <si>
    <t>네이버파이낸셜(주)</t>
  </si>
  <si>
    <t>C1801</t>
  </si>
  <si>
    <t>이니시스(빌링)-토스랩</t>
  </si>
  <si>
    <t>C0811</t>
  </si>
  <si>
    <t>정관장(안양동점)</t>
  </si>
  <si>
    <t>C9906</t>
  </si>
  <si>
    <t>삼성화재해상보험(주)</t>
  </si>
  <si>
    <t>C0902</t>
  </si>
  <si>
    <t>기업7957</t>
  </si>
  <si>
    <t>J &amp; W PHARMLAB LLC</t>
  </si>
  <si>
    <t>현대1308</t>
  </si>
  <si>
    <t>국민5819</t>
  </si>
  <si>
    <t>BROADPHARM</t>
  </si>
  <si>
    <t>국민9849</t>
  </si>
  <si>
    <t>(주)_성복점_현대자동차</t>
  </si>
  <si>
    <t>C1202</t>
  </si>
  <si>
    <t>CHEM-IMPEX_INTL_INC</t>
  </si>
  <si>
    <t>OAKWOOD_CHEMICAL</t>
  </si>
  <si>
    <t>AK SCIENTIFIC, INC.</t>
  </si>
  <si>
    <t>_Klook</t>
  </si>
  <si>
    <t>롤링핀광교법조타운점</t>
  </si>
  <si>
    <t>C1405</t>
  </si>
  <si>
    <t>기업8962</t>
  </si>
  <si>
    <t>SYNQUEST LABORATORIE</t>
  </si>
  <si>
    <t>SQ_*ALFA_CHEMISTRY_INC</t>
  </si>
  <si>
    <t>C1408</t>
  </si>
  <si>
    <t>기업5909</t>
  </si>
  <si>
    <t>C1802</t>
  </si>
  <si>
    <t>와이블랙_광교점</t>
  </si>
  <si>
    <t>MSFT+*_3cE0200PQKZ2_3e</t>
  </si>
  <si>
    <t>SSG.COM</t>
  </si>
  <si>
    <t>통신판매_NICEP-채널코퍼레이션</t>
  </si>
  <si>
    <t>국민0844</t>
  </si>
  <si>
    <t>STREM_CHEMICALS,_INC.</t>
  </si>
  <si>
    <t>A2B CHEM LLC</t>
  </si>
  <si>
    <t>방이옥 광교상현점</t>
  </si>
  <si>
    <t>쿠팡(주)-쿠팡</t>
  </si>
  <si>
    <t>기업8934</t>
  </si>
  <si>
    <t>클린디데이</t>
  </si>
  <si>
    <t>(주)이랜드이츠 애슐리퀸즈 광교아브뉴프랑</t>
  </si>
  <si>
    <t>현대9603</t>
  </si>
  <si>
    <t>쿠팡-쿠팡</t>
  </si>
  <si>
    <t>하나5823</t>
  </si>
  <si>
    <t>광교종합서비스기아오토큐(주)</t>
  </si>
  <si>
    <t>현대6003</t>
  </si>
  <si>
    <t>우정사업본부(우체국)</t>
  </si>
  <si>
    <t>C0408</t>
  </si>
  <si>
    <t>C1901</t>
  </si>
  <si>
    <t>이니시스(공공기관)-한국환경공단</t>
  </si>
  <si>
    <t>C5101</t>
  </si>
  <si>
    <t>원유로스페셜티광교법조타운점</t>
  </si>
  <si>
    <t>인터넷상거래-한국화학물질관리협회</t>
  </si>
  <si>
    <t>C5102</t>
  </si>
  <si>
    <t>하품스_베이크</t>
  </si>
  <si>
    <t>하품스 베이크</t>
  </si>
  <si>
    <t>KCP(결제대행)-(주)케이티알파</t>
  </si>
  <si>
    <t>광교벌교집</t>
  </si>
  <si>
    <t>포시즌키친 광교직영점</t>
  </si>
  <si>
    <t>상현점기아오토큐</t>
  </si>
  <si>
    <t>현대6605</t>
  </si>
  <si>
    <t>C9999</t>
  </si>
  <si>
    <t>명륜진사갈비(광교상현역점)</t>
  </si>
  <si>
    <t>CJ올리브네트웍스_PG(비인증)-CJ대한통운</t>
  </si>
  <si>
    <t>국민9822</t>
  </si>
  <si>
    <t>Amazon_AWS-Amazon_AWS</t>
  </si>
  <si>
    <t>준수렉카</t>
  </si>
  <si>
    <t>C2001</t>
  </si>
  <si>
    <t>진래</t>
  </si>
  <si>
    <t>현대1718</t>
  </si>
  <si>
    <t>길동월드마트</t>
  </si>
  <si>
    <t>경보의_부엌</t>
  </si>
  <si>
    <t>(주)감성타코_광교점</t>
  </si>
  <si>
    <t>주식회사성복점현대자동차</t>
  </si>
  <si>
    <t>모빌-통방판-씨그마알드리치코리아</t>
  </si>
  <si>
    <t>C0102</t>
  </si>
  <si>
    <t>골프존파크 광교법조타운점</t>
  </si>
  <si>
    <t>HIT2LEAD</t>
  </si>
  <si>
    <t>KCP(결제대행)-국립박물관문화재단</t>
  </si>
  <si>
    <t>광교바른내과</t>
  </si>
  <si>
    <t>C1407</t>
  </si>
  <si>
    <t>(주)지마켓-주식회사지마켓</t>
  </si>
  <si>
    <t>먹보한우광교지점</t>
  </si>
  <si>
    <t>경아두마리치킨청천점</t>
  </si>
  <si>
    <t>C1206</t>
  </si>
  <si>
    <t>위너스골프존</t>
  </si>
  <si>
    <t>스타벅스 코리아</t>
  </si>
  <si>
    <t>국민3674</t>
  </si>
  <si>
    <t>정관장광교신대역점</t>
  </si>
  <si>
    <t>샤브향</t>
  </si>
  <si>
    <t>아웃백스테이크_광교점</t>
  </si>
  <si>
    <t>GOOGLE_*Google_Storage</t>
  </si>
  <si>
    <t>C1702</t>
  </si>
  <si>
    <t>AVACHEM_SCIENTIFIC</t>
  </si>
  <si>
    <t>KCP(결제대행)-주식회사토빅스</t>
  </si>
  <si>
    <t>오리박사</t>
  </si>
  <si>
    <t>갤러리아광교점(식품)</t>
  </si>
  <si>
    <t>양미당_광주점</t>
  </si>
  <si>
    <t>피제리아보스코</t>
  </si>
  <si>
    <t>ATLASSIAN</t>
  </si>
  <si>
    <t>C1903</t>
  </si>
  <si>
    <t>홈앤쇼핑-(주)홈앤쇼핑</t>
  </si>
  <si>
    <t>주식회사바나나하우스광교점</t>
  </si>
  <si>
    <t>카카오 T 대리_카카오페이</t>
  </si>
  <si>
    <t>C1607</t>
  </si>
  <si>
    <t>담솥광교아브뉴프랑점</t>
  </si>
  <si>
    <t>이니시스(운행서비스)_2-하나로퀵물류</t>
  </si>
  <si>
    <t>C0406</t>
  </si>
  <si>
    <t>엘지전자(주)죽전서비스센터</t>
  </si>
  <si>
    <t>ECLEAN서비스</t>
  </si>
  <si>
    <t>(주)이마트죽전점</t>
  </si>
  <si>
    <t>푸른청목장</t>
  </si>
  <si>
    <t>칸지고고_광교엘포트점</t>
  </si>
  <si>
    <t>보림돼지갈비</t>
  </si>
  <si>
    <t>스피드메이트 이마트광교점</t>
  </si>
  <si>
    <t>풍덕천주유소</t>
  </si>
  <si>
    <t>정담갈비</t>
  </si>
  <si>
    <t>이니시스(운행서비스)_3-하나로퀵물류</t>
  </si>
  <si>
    <t>락핫팟</t>
  </si>
  <si>
    <t>헥토_대표(인증)-(주)케이넷</t>
  </si>
  <si>
    <t>C0807</t>
  </si>
  <si>
    <t>CJ올리브네트웍스_PG(상품권)-CJCGV(주)</t>
  </si>
  <si>
    <t>포시즌키친_광교직영점</t>
  </si>
  <si>
    <t>장수촌</t>
  </si>
  <si>
    <t>(주)_지아니스나폴리_아비뉴프랑</t>
  </si>
  <si>
    <t>롯데쇼핑(주) 롯데몰 수지점-차이들(수지몰</t>
  </si>
  <si>
    <t>농업회사법인_미트서플라이(주)</t>
  </si>
  <si>
    <t>훠궈야광교아브뉴프랑점</t>
  </si>
  <si>
    <t>두마리찜닭두찜용인상현점</t>
  </si>
  <si>
    <t>야키토리잔잔</t>
  </si>
  <si>
    <t>(주)신세계프라퍼티_코엑스몰</t>
  </si>
  <si>
    <t>갈비꽃 (광교호수공원점)</t>
  </si>
  <si>
    <t>훠궈야 광교아브뉴프랑점</t>
  </si>
  <si>
    <t>미케</t>
  </si>
  <si>
    <t>갤러리아광교점일반</t>
  </si>
  <si>
    <t>보배반점_광교법원점</t>
  </si>
  <si>
    <t>세일광교신도시주유소</t>
  </si>
  <si>
    <t>오창농협주유소</t>
  </si>
  <si>
    <t>꼰떼넨떼 더 광교</t>
  </si>
  <si>
    <t>마트킹구성</t>
  </si>
  <si>
    <t>오투닭갈비and부대찌개_광교법조타운점</t>
  </si>
  <si>
    <t>(주)대호에너지</t>
  </si>
  <si>
    <t>알론다</t>
  </si>
  <si>
    <t>인터파크티켓-주식회사인터파크트리플</t>
  </si>
  <si>
    <t>오투닭갈비&amp;부대찌개 광교법조타운점</t>
  </si>
  <si>
    <t>자민</t>
  </si>
  <si>
    <t>멜롯</t>
  </si>
  <si>
    <t>신세계프라퍼티코엑스몰</t>
  </si>
  <si>
    <t>보배반점 광교법원점</t>
  </si>
  <si>
    <t>서일석유(주)기흥서일주유소</t>
  </si>
  <si>
    <t>한화갤러리아광교점식품</t>
  </si>
  <si>
    <t>정희광교아브뉴프랑점</t>
  </si>
  <si>
    <t>정담해물아구찜</t>
  </si>
  <si>
    <t>#SKT_07월-**10-4336</t>
  </si>
  <si>
    <t>한화갤러리아(주) 광교점(식품)</t>
  </si>
  <si>
    <t>주식회사_오라컴퍼니</t>
  </si>
  <si>
    <t>주식회사_미가훠궈</t>
  </si>
  <si>
    <t>후라토식당_아브뉴프랑_광교점</t>
  </si>
  <si>
    <t>주식회사_더유로피언</t>
  </si>
  <si>
    <t>리틀꼬마김밥_하동점</t>
  </si>
  <si>
    <t>청천농협주유소</t>
  </si>
  <si>
    <t>제주오름</t>
  </si>
  <si>
    <t>코다리명가</t>
  </si>
  <si>
    <t>SK에너지기쁨주유소</t>
  </si>
  <si>
    <t>오한수우육면가</t>
  </si>
  <si>
    <t>C0803</t>
  </si>
  <si>
    <t>정관장광교중앙역점</t>
  </si>
  <si>
    <t>비비큐용인상하점</t>
  </si>
  <si>
    <t>청파식당횟집</t>
  </si>
  <si>
    <t>주식회사_세일광교신도시_주유소</t>
  </si>
  <si>
    <t>조가네갑오징어</t>
  </si>
  <si>
    <t>모리노야</t>
  </si>
  <si>
    <t>에이치디현대오일뱅크직영기흥현대셀프주유</t>
  </si>
  <si>
    <t>파이어벨</t>
  </si>
  <si>
    <t>로페라</t>
  </si>
  <si>
    <t>소모보정셀프주유소</t>
  </si>
  <si>
    <t>갤럭시아머니트리(주)_-_(주)코페이</t>
  </si>
  <si>
    <t>벤탄빌라 광교점</t>
  </si>
  <si>
    <t>지에스칼텍스이마트구성점</t>
  </si>
  <si>
    <t>광교서일주유소</t>
  </si>
  <si>
    <t>신무궁화주유소</t>
  </si>
  <si>
    <t>대명에너지(광교)셀프직영점</t>
  </si>
  <si>
    <t>카페희다_광교상현점</t>
  </si>
  <si>
    <t>명동칼국수샤브냉면</t>
  </si>
  <si>
    <t>딴딴_지에메이_광교점</t>
  </si>
  <si>
    <t>롯데몰_수지점-차이들(수지몰)</t>
  </si>
  <si>
    <t>오션네트웍스주식회사 (용인지점)</t>
  </si>
  <si>
    <t>오봉집 광교중앙역점</t>
  </si>
  <si>
    <t>335키친광교아브뉴프랑점</t>
  </si>
  <si>
    <t>(주)정정당당상현점/화로구이</t>
  </si>
  <si>
    <t>까몬_광교앨리웨이점</t>
  </si>
  <si>
    <t>착한낙지</t>
  </si>
  <si>
    <t>탄탄면공방광교법조타운점</t>
  </si>
  <si>
    <t>신전떡볶이</t>
  </si>
  <si>
    <t>시골찌개마을</t>
  </si>
  <si>
    <t>세비야식당_법조타운점</t>
  </si>
  <si>
    <t>승도리네_광교상현점</t>
  </si>
  <si>
    <t>수안주유소</t>
  </si>
  <si>
    <t>돈가네 옛날김치돼지찌개 광교법조타운점</t>
  </si>
  <si>
    <t>명품만두김밥</t>
  </si>
  <si>
    <t>오초</t>
  </si>
  <si>
    <t>하남만남주유소</t>
  </si>
  <si>
    <t>설빙</t>
  </si>
  <si>
    <t>파파존스피자_광교점</t>
  </si>
  <si>
    <t>감탄계_숯불치킨_광교_법조타운점</t>
  </si>
  <si>
    <t>광교명가부대찌개</t>
  </si>
  <si>
    <t>원조할머니손두부</t>
  </si>
  <si>
    <t>인터넷상거래-비닐닷컴</t>
  </si>
  <si>
    <t>SK에너지 (주) 아이파크주유소</t>
  </si>
  <si>
    <t>오션네트웍스_주식회사(동백지점)</t>
  </si>
  <si>
    <t>서창산업(주)용인(인천방향)주유소</t>
  </si>
  <si>
    <t>맥queens</t>
  </si>
  <si>
    <t>배부장찌개_광교법조단지</t>
  </si>
  <si>
    <t>하품스베이크</t>
  </si>
  <si>
    <t>(주)덕평주유소</t>
  </si>
  <si>
    <t>더차이</t>
  </si>
  <si>
    <t>(주)소모 동화주유소</t>
  </si>
  <si>
    <t>(주)삼표에너지보정동지점</t>
  </si>
  <si>
    <t>청담동샤브광교아브뉴프랑점</t>
  </si>
  <si>
    <t>칸스 광교점</t>
  </si>
  <si>
    <t>태성추어탕</t>
  </si>
  <si>
    <t>엠오티플러스</t>
  </si>
  <si>
    <t>자연에너지신갈주유소</t>
  </si>
  <si>
    <t>오스테리아헤오</t>
  </si>
  <si>
    <t>미키주유소</t>
  </si>
  <si>
    <t>매취랑야탑점</t>
  </si>
  <si>
    <t>진천축산농업협동조합벽암지점</t>
  </si>
  <si>
    <t>지리산석유_주식회사(분당점)</t>
  </si>
  <si>
    <t>#SKT_09월-**10-4336</t>
  </si>
  <si>
    <t>#SKT_10월-**10-4336</t>
  </si>
  <si>
    <t>#SKT_11월-**10-4336</t>
  </si>
  <si>
    <t>#SKT_01월-**10-4336</t>
  </si>
  <si>
    <t>#SKT_12월-**10-4336</t>
  </si>
  <si>
    <t>지에스칼텍스가든파이브주유소</t>
  </si>
  <si>
    <t>소백관</t>
  </si>
  <si>
    <t>가마솥순대국밥 광교법조타운점</t>
  </si>
  <si>
    <t>트레이더스_수원점</t>
  </si>
  <si>
    <t>1PLUSCHEM,_LLC</t>
  </si>
  <si>
    <t>에스케이공단주유소</t>
  </si>
  <si>
    <t>통돼지김치찌개</t>
  </si>
  <si>
    <t>강릉장칼_광교법조타운점</t>
  </si>
  <si>
    <t>티켓링크-NHN링크</t>
  </si>
  <si>
    <t>SK에너지_(주)_아이파크주유소</t>
  </si>
  <si>
    <t>봉평메밀촌</t>
  </si>
  <si>
    <t>포메인</t>
  </si>
  <si>
    <t>미스터오징어용인보정점</t>
  </si>
  <si>
    <t>예니샌드</t>
  </si>
  <si>
    <t>꾸아광교점</t>
  </si>
  <si>
    <t>정씨함박_광교점</t>
  </si>
  <si>
    <t>소담촌야탑점</t>
  </si>
  <si>
    <t>로쏘주식회사</t>
  </si>
  <si>
    <t>소국시</t>
  </si>
  <si>
    <t>남해생선구이</t>
  </si>
  <si>
    <t>불닭발동대문엽기떡볶이_광교상현역점</t>
  </si>
  <si>
    <t>재벌집_광교상현점</t>
  </si>
  <si>
    <t>배부장찌개 광교법조단지</t>
  </si>
  <si>
    <t>백청우칼국수_광교점</t>
  </si>
  <si>
    <t>스타벅스코리아</t>
  </si>
  <si>
    <t>오션네트웍스주식회사_(용인지점)</t>
  </si>
  <si>
    <t>엠에이치(MH)백년갈비광교법조타운점</t>
  </si>
  <si>
    <t>이화수전통육개장_법조타운광교점</t>
  </si>
  <si>
    <t>쿠팡(주)-쿠팡(주)</t>
  </si>
  <si>
    <t>반올림피자샵_광교상현점</t>
  </si>
  <si>
    <t>르페르베이커리</t>
  </si>
  <si>
    <t>포아이니_광교호수점</t>
  </si>
  <si>
    <t>하루엔소쿠</t>
  </si>
  <si>
    <t>삼청동샤브_광교엘포트몰점</t>
  </si>
  <si>
    <t>뉴코아야탑점_엘칸토</t>
  </si>
  <si>
    <t>고반식당</t>
  </si>
  <si>
    <t>굴비한두름</t>
  </si>
  <si>
    <t>고로치_통닭</t>
  </si>
  <si>
    <t>짜글이_반란</t>
  </si>
  <si>
    <t>보정꽃길주유소</t>
  </si>
  <si>
    <t>더몰트하우스광교</t>
  </si>
  <si>
    <t>효자동설렁탕_광교법조타운점</t>
  </si>
  <si>
    <t>델리패스트</t>
  </si>
  <si>
    <t>포아이니 광교호수점</t>
  </si>
  <si>
    <t>만만D</t>
  </si>
  <si>
    <t>고스락 손수제비 본점</t>
  </si>
  <si>
    <t>환이네뭉티기</t>
  </si>
  <si>
    <t>르페르 베이커리</t>
  </si>
  <si>
    <t>최미자소머리국밥</t>
  </si>
  <si>
    <t>경자국밥_광교직영점</t>
  </si>
  <si>
    <t>포메인상현역점</t>
  </si>
  <si>
    <t>본우리반상_킨텍스점</t>
  </si>
  <si>
    <t>딤딤섬_파르나스몰점</t>
  </si>
  <si>
    <t>하나미스시광교점</t>
  </si>
  <si>
    <t>더부엌2호점</t>
  </si>
  <si>
    <t>교보문고(인터넷)_KICC_문화비-교보문고_웹</t>
  </si>
  <si>
    <t>남도복국웨스턴돔점</t>
  </si>
  <si>
    <t>인터넷상거래-주식회사코리아서버</t>
  </si>
  <si>
    <t>서일석유(주)용인서일주유소</t>
  </si>
  <si>
    <t>대청주유소</t>
  </si>
  <si>
    <t>HD현대오일뱅크㈜직영_영통제일셀프주유</t>
  </si>
  <si>
    <t>다우데이타(대표)-다우기술</t>
  </si>
  <si>
    <t>한울에너지(주)서일산주유소</t>
  </si>
  <si>
    <t>모우만</t>
  </si>
  <si>
    <t>롤링핀광교법조타운</t>
  </si>
  <si>
    <t>또래오래 수락산역점</t>
  </si>
  <si>
    <t>60판왕뚜껑삼겹살</t>
  </si>
  <si>
    <t>대호에너지</t>
  </si>
  <si>
    <t>_뉴코아야탑점</t>
  </si>
  <si>
    <t>탕화쿵푸마라탕</t>
  </si>
  <si>
    <t>수원시영통-등록면허세(등록</t>
  </si>
  <si>
    <t>친츠(chintz)</t>
  </si>
  <si>
    <t>본죽앤비빔밥카페_광교법조타운점</t>
  </si>
  <si>
    <t>경양식_이화</t>
  </si>
  <si>
    <t>유즈카츠</t>
  </si>
  <si>
    <t>속초_코다리냉면</t>
  </si>
  <si>
    <t>교동면옥 용인상현점</t>
  </si>
  <si>
    <t>컬투치킨앤포차호평점</t>
  </si>
  <si>
    <t>다산왕식자재마트</t>
  </si>
  <si>
    <t>써브웨이_광교엘포트점</t>
  </si>
  <si>
    <t>포케올데이_광교점</t>
  </si>
  <si>
    <t>버거_엔조이</t>
  </si>
  <si>
    <t>커피플라잉스콘_아브뉴프랑광교점</t>
  </si>
  <si>
    <t>프랭크버거_광교에듀타운점</t>
  </si>
  <si>
    <t>서울감자탕</t>
  </si>
  <si>
    <t>버거킹_딜리버리_전용</t>
  </si>
  <si>
    <t>타임투비</t>
  </si>
  <si>
    <t>고스락_손수제비_본점</t>
  </si>
  <si>
    <t>법원약국</t>
  </si>
  <si>
    <t>어부네코다리괴산점</t>
  </si>
  <si>
    <t>(주)보나비</t>
  </si>
  <si>
    <t>르 디투어</t>
  </si>
  <si>
    <t>성화옻닭</t>
  </si>
  <si>
    <t>현대세차장</t>
  </si>
  <si>
    <t>샤오바오우육면광교점</t>
  </si>
  <si>
    <t>죽이야기(광교법조타운점)</t>
  </si>
  <si>
    <t>세븐일레븐_광교법원점</t>
  </si>
  <si>
    <t>씨지브이_광교</t>
  </si>
  <si>
    <t>주식회사_카카오_카카오_T_대리_카카오페이</t>
  </si>
  <si>
    <t>돈가네옛날김치돼지찌개광교법조타운점</t>
  </si>
  <si>
    <t>코레일유통광주송정역</t>
  </si>
  <si>
    <t>배스킨라빈스광교호수마을</t>
  </si>
  <si>
    <t>삼청동샤브 광교엘포트몰점</t>
  </si>
  <si>
    <t>김복남맥주광교점</t>
  </si>
  <si>
    <t>시장불고기</t>
  </si>
  <si>
    <t>고메구스토</t>
  </si>
  <si>
    <t>미태리행신점</t>
  </si>
  <si>
    <t>교보문고_인터넷(문화비)-교보문고</t>
  </si>
  <si>
    <t>보배반점광교법원점</t>
  </si>
  <si>
    <t>(주)조조칼국수_광교점</t>
  </si>
  <si>
    <t>KCP</t>
  </si>
  <si>
    <t>이니시스(일반)-에이스코리아</t>
  </si>
  <si>
    <t>롯데컬처웍스(주)_온라인</t>
  </si>
  <si>
    <t>블랑제리에비타숑</t>
  </si>
  <si>
    <t>최고당돈가스_광교법조점</t>
  </si>
  <si>
    <t>재벌집 광교상현점</t>
  </si>
  <si>
    <t>듀쿠플(Du_Couple)</t>
  </si>
  <si>
    <t>KCP(상품권)-11번가(주)</t>
  </si>
  <si>
    <t>청해수산</t>
  </si>
  <si>
    <t>스시 1300</t>
  </si>
  <si>
    <t>두껍삼</t>
  </si>
  <si>
    <t>리틀꼬마김밥하동점</t>
  </si>
  <si>
    <t>필아웃_광교점</t>
  </si>
  <si>
    <t>개수리막국수광교상현점</t>
  </si>
  <si>
    <t>스트릭스알루코</t>
  </si>
  <si>
    <t>듀쿠플(Du Couple)</t>
  </si>
  <si>
    <t>청춘종합어시장남한산성점</t>
  </si>
  <si>
    <t>경자국밥광교직영점</t>
  </si>
  <si>
    <t>할매순대</t>
  </si>
  <si>
    <t>이니시스(운행서비스)_C-하나로</t>
  </si>
  <si>
    <t>행궁다올</t>
  </si>
  <si>
    <t>리틀꼬마김밥 하동점</t>
  </si>
  <si>
    <t>낙지촌</t>
  </si>
  <si>
    <t>피켈</t>
  </si>
  <si>
    <t>알파문구(광교점)</t>
  </si>
  <si>
    <t>토텐케이크</t>
  </si>
  <si>
    <t>주식회사 본누벨</t>
  </si>
  <si>
    <t>구글플레이-구글페이먼트코리아</t>
  </si>
  <si>
    <t>투썸플레이스</t>
  </si>
  <si>
    <t>오!스시</t>
  </si>
  <si>
    <t>구성점현대자동차</t>
  </si>
  <si>
    <t>털보고된이 광교점</t>
  </si>
  <si>
    <t>경양식 이화</t>
  </si>
  <si>
    <t>짜글이 반란</t>
  </si>
  <si>
    <t>영동설렁탕</t>
  </si>
  <si>
    <t>진수성찬</t>
  </si>
  <si>
    <t>기븐조잇</t>
  </si>
  <si>
    <t>제복이네 광교점</t>
  </si>
  <si>
    <t>반식당 광교점</t>
  </si>
  <si>
    <t>미분당_광교점</t>
  </si>
  <si>
    <t>백청우칼국수 광교점</t>
  </si>
  <si>
    <t>꿀꿀진순대_광교법조타운점</t>
  </si>
  <si>
    <t>감탄계 숯불치킨 광교 법조타운점</t>
  </si>
  <si>
    <t>광교집</t>
  </si>
  <si>
    <t>미소꼬마김밥</t>
  </si>
  <si>
    <t>제이디푸드</t>
  </si>
  <si>
    <t>고향엄마손생바지락칼국수 수원광교직영점</t>
  </si>
  <si>
    <t>고향엄마손생바지락칼국수_수원광교직영</t>
  </si>
  <si>
    <t>마라집_광교법조타운점</t>
  </si>
  <si>
    <t>진부엉이_꼬마김밥_광교법조타운점</t>
  </si>
  <si>
    <t>써브웨이_광교상현역점</t>
  </si>
  <si>
    <t>버거 엔조이</t>
  </si>
  <si>
    <t>삼첩분식</t>
  </si>
  <si>
    <t>유기농(ORGANIC)쏘새우 김밥&amp;</t>
  </si>
  <si>
    <t>하나미스시(광교점)</t>
  </si>
  <si>
    <t>정씨함박 광교점</t>
  </si>
  <si>
    <t>탑승동Ｅ손수김밥</t>
  </si>
  <si>
    <t>카페사나바</t>
  </si>
  <si>
    <t>이모네김치삼겹살</t>
  </si>
  <si>
    <t>디저트39 수원상현법원점</t>
  </si>
  <si>
    <t>경자국밥 광교직영점</t>
  </si>
  <si>
    <t>태성추어탕 수원광교점</t>
  </si>
  <si>
    <t>효자동설렁탕 광교법조타운점</t>
  </si>
  <si>
    <t>(주)_커피빈코리아_광교아브뉴프랑점</t>
  </si>
  <si>
    <t>불닭발땡초동대문엽기떡볶이_용인흥덕점</t>
  </si>
  <si>
    <t>써브웨이_용인흥덕점</t>
  </si>
  <si>
    <t>떡볶이르블랑and디저트르라바</t>
  </si>
  <si>
    <t>오늘의_식탁</t>
  </si>
  <si>
    <t>최고당돈가스 광교법조점</t>
  </si>
  <si>
    <t>솔솥정자점</t>
  </si>
  <si>
    <t>최고돈</t>
  </si>
  <si>
    <t>C1203</t>
  </si>
  <si>
    <t>뺑오르방</t>
  </si>
  <si>
    <t>오드문</t>
  </si>
  <si>
    <t>금별맥주길동점</t>
  </si>
  <si>
    <t>(주)도레도레</t>
  </si>
  <si>
    <t>털보고된이_광교점</t>
  </si>
  <si>
    <t>샐러데이즈_광교법조타운</t>
  </si>
  <si>
    <t>짜글이반란</t>
  </si>
  <si>
    <t>나따오비까_광교아브뉴프랑점</t>
  </si>
  <si>
    <t>유탑부티크호텔</t>
  </si>
  <si>
    <t>시루향기광교점</t>
  </si>
  <si>
    <t>아정</t>
  </si>
  <si>
    <t>기업9912</t>
  </si>
  <si>
    <t>후불하이패스5건</t>
  </si>
  <si>
    <t>C1204</t>
  </si>
  <si>
    <t>주식회사_아이엠아이</t>
  </si>
  <si>
    <t>공회당</t>
  </si>
  <si>
    <t>커피바이브(KOFFEE_VIBE)</t>
  </si>
  <si>
    <t>교보문고(인터넷)_KICC_문화비전용-교보</t>
  </si>
  <si>
    <t>폴바셋_광교엘포트몰점</t>
  </si>
  <si>
    <t>(주)신세계프라퍼티 코엑스몰</t>
  </si>
  <si>
    <t>기업0996</t>
  </si>
  <si>
    <t>후불하이패스4건</t>
  </si>
  <si>
    <t>수제비주는 제육이와짜글이</t>
  </si>
  <si>
    <t>딴딴 지에메이 광교점</t>
  </si>
  <si>
    <t>아우어베이커리_광교앨리웨이점</t>
  </si>
  <si>
    <t>(주)에스씨케이_컴퍼니</t>
  </si>
  <si>
    <t>젤나</t>
  </si>
  <si>
    <t>시월</t>
  </si>
  <si>
    <t>플레어비_광교</t>
  </si>
  <si>
    <t>광교종합서비스기아오토큐</t>
  </si>
  <si>
    <t>위커파크_앨리웨이_광교점</t>
  </si>
  <si>
    <t>커피바이브(KOFFEE VIBE)</t>
  </si>
  <si>
    <t>후불하이패스8건</t>
  </si>
  <si>
    <t>이차돌장안구청점</t>
  </si>
  <si>
    <t>이니시스(일반)-(주)미리디</t>
  </si>
  <si>
    <t>팔각도용인죽전점</t>
  </si>
  <si>
    <t>몽슈슈카페광교점</t>
  </si>
  <si>
    <t>망고식스킨텍스제2전시장</t>
  </si>
  <si>
    <t>고로치통닭</t>
  </si>
  <si>
    <t>궁</t>
  </si>
  <si>
    <t>배부장찌개광교법조단지</t>
  </si>
  <si>
    <t>알파문구광교점</t>
  </si>
  <si>
    <t>티몬-(주)티몬</t>
  </si>
  <si>
    <t>토닥토닥약국</t>
  </si>
  <si>
    <t>삼성화재해상보험(주)다이렉트사업부</t>
  </si>
  <si>
    <t>로열 로스터리(Royal Roastery)</t>
  </si>
  <si>
    <t>백미당_아브뉴프랑_광교점</t>
  </si>
  <si>
    <t>비비큐광교호수공원점</t>
  </si>
  <si>
    <t>크크도넛</t>
  </si>
  <si>
    <t>와이엠엠디(YMMD)</t>
  </si>
  <si>
    <t>SK브로드밴드(주)</t>
  </si>
  <si>
    <t>C1701</t>
  </si>
  <si>
    <t>풍경있는밥상</t>
  </si>
  <si>
    <t>롯데몰_수지점-도레도레(자)</t>
  </si>
  <si>
    <t>본아이에프_2-본죽&amp;비빔밥광교중흥점</t>
  </si>
  <si>
    <t>완선생</t>
  </si>
  <si>
    <t>11번가</t>
  </si>
  <si>
    <t>양산도광교점</t>
  </si>
  <si>
    <t>한국정보통신_-_한국공항공사청주공항</t>
  </si>
  <si>
    <t>경성빵공장남한산성</t>
  </si>
  <si>
    <t>토끼네과일</t>
  </si>
  <si>
    <t>델리하우스</t>
  </si>
  <si>
    <t>카타르시스</t>
  </si>
  <si>
    <t>노브랜드버거 코엑스점/(주)신세계푸드</t>
  </si>
  <si>
    <t>GOOGLE *Google Stora</t>
  </si>
  <si>
    <t>백미당 아브뉴프랑 광교점</t>
  </si>
  <si>
    <t>이화수전통육개장 법조타운광교점</t>
  </si>
  <si>
    <t>충무할매김밥</t>
  </si>
  <si>
    <t>수진옥</t>
  </si>
  <si>
    <t>더컵</t>
  </si>
  <si>
    <t>롯데쇼핑(주) 롯데몰 수지점-베질루르(자)</t>
  </si>
  <si>
    <t>카카오 T 주차</t>
  </si>
  <si>
    <t>본죽 앤 비빔밥 카페 광교법조타운점</t>
  </si>
  <si>
    <t>차차커피코_광교아브뉴프랑점</t>
  </si>
  <si>
    <t>샐러리아(광교점)</t>
  </si>
  <si>
    <t>마라집광교법조타운점</t>
  </si>
  <si>
    <t>하삼동커피_광교법조타운점</t>
  </si>
  <si>
    <t>이니시스(일반)-주식회사개성상인</t>
  </si>
  <si>
    <t>반식당_광교점</t>
  </si>
  <si>
    <t>가마솥순대국밥_광교법조타운점</t>
  </si>
  <si>
    <t>후불하이패스3건</t>
  </si>
  <si>
    <t>세븐일레븐광교법원점</t>
  </si>
  <si>
    <t>(주)이마트에브리데이_광교하동점</t>
  </si>
  <si>
    <t>카페이음</t>
  </si>
  <si>
    <t>HWAAAK</t>
  </si>
  <si>
    <t>문화비결제-리디 주식회사</t>
  </si>
  <si>
    <t>남문떡볶이_(광교법조타운점)</t>
  </si>
  <si>
    <t>세븐일레븐_수원컨벤션센터점</t>
  </si>
  <si>
    <t>커스텀커피_상현점</t>
  </si>
  <si>
    <t>기업8913</t>
  </si>
  <si>
    <t>후불하이패스9건</t>
  </si>
  <si>
    <t>꿀꿀진순대 광교법조타운점</t>
  </si>
  <si>
    <t>코어리</t>
  </si>
  <si>
    <t>디저트39 광교호수공원점</t>
  </si>
  <si>
    <t>의정부부대찌게</t>
  </si>
  <si>
    <t>장어의꿈</t>
  </si>
  <si>
    <t>크레메리</t>
  </si>
  <si>
    <t>폴바셋 광교엘포트몰점</t>
  </si>
  <si>
    <t>홍종흔베이커리</t>
  </si>
  <si>
    <t>2피스(2piece)</t>
  </si>
  <si>
    <t>김밥_여기요</t>
  </si>
  <si>
    <t>황도바지락칼국수</t>
  </si>
  <si>
    <t>커스텀커피 광교호수점</t>
  </si>
  <si>
    <t>주식회사_성부로지스틱스</t>
  </si>
  <si>
    <t>금광주유소</t>
  </si>
  <si>
    <t>한우만</t>
  </si>
  <si>
    <t>본가옛장터</t>
  </si>
  <si>
    <t>나이스_-_(_주_)_모두의주차장</t>
  </si>
  <si>
    <t>주식회사_카카오모빌리티_코엑스_주차장</t>
  </si>
  <si>
    <t>밥쟁이_전통_닭개장</t>
  </si>
  <si>
    <t>선물하기_카카오페이_선물하기_카카오페이</t>
  </si>
  <si>
    <t>KCP(결제대행)-(주)판촉사랑</t>
  </si>
  <si>
    <t>건강밥상심마니</t>
  </si>
  <si>
    <t>롯데시네마_용인수지_엔제리너스</t>
  </si>
  <si>
    <t>블랙컵스</t>
  </si>
  <si>
    <t>아이디어스-(주)백패커</t>
  </si>
  <si>
    <t>위드</t>
  </si>
  <si>
    <t>브루다양주</t>
  </si>
  <si>
    <t>TEACNIC</t>
  </si>
  <si>
    <t>커피앳웍스여의도점</t>
  </si>
  <si>
    <t>기업5957</t>
  </si>
  <si>
    <t>후불하이패스12건</t>
  </si>
  <si>
    <t>LGUPLUS통신요금자동이체(40**12)</t>
  </si>
  <si>
    <t>비알코리아(주)던킨도너츠_킨텍스1전시장</t>
  </si>
  <si>
    <t>함지박죽전문</t>
  </si>
  <si>
    <t>후불하이패스10건</t>
  </si>
  <si>
    <t>디저트39_수원상현법원점</t>
  </si>
  <si>
    <t>무인양품수지점</t>
  </si>
  <si>
    <t>관광호텔_태영</t>
  </si>
  <si>
    <t>인터넷상거래-주식회사아크릴몰</t>
  </si>
  <si>
    <t>(주)한남_여산휴게소</t>
  </si>
  <si>
    <t>롯데쇼핑㈜_제주제면소</t>
  </si>
  <si>
    <t>기업8945</t>
  </si>
  <si>
    <t>(산성점)현대자동차</t>
  </si>
  <si>
    <t>인터넷상거래-조아기프트(주)</t>
  </si>
  <si>
    <t>백소정광교점</t>
  </si>
  <si>
    <t>카카오개인택시_0</t>
  </si>
  <si>
    <t>후불하이패스2건</t>
  </si>
  <si>
    <t>KCP(결제대행)-(주)유디아이디</t>
  </si>
  <si>
    <t>NICE결제대행-유디아이디</t>
  </si>
  <si>
    <t>텐퍼센트_광교법조타운점</t>
  </si>
  <si>
    <t>피양콩할머니</t>
  </si>
  <si>
    <t>선비손칼국수</t>
  </si>
  <si>
    <t>CGV_광교_문화비</t>
  </si>
  <si>
    <t>텐퍼센트커피광교우미뉴브점</t>
  </si>
  <si>
    <t>순대실록광교엘포트점</t>
  </si>
  <si>
    <t>코오롱스포츠_솟솟618점</t>
  </si>
  <si>
    <t>텐퍼센트광교법조타운점</t>
  </si>
  <si>
    <t>카페산</t>
  </si>
  <si>
    <t>가비에프앤비</t>
  </si>
  <si>
    <t>티엔바오</t>
  </si>
  <si>
    <t>롯데쇼핑㈜_대가연</t>
  </si>
  <si>
    <t>멘지광교엘포트몰점</t>
  </si>
  <si>
    <t>C1703</t>
  </si>
  <si>
    <t>더브라운베이커리 광교교보엘포트점</t>
  </si>
  <si>
    <t>보름기정떡_광교상현점</t>
  </si>
  <si>
    <t>칸지고고광교엘포트점</t>
  </si>
  <si>
    <t>하태우노란황태</t>
  </si>
  <si>
    <t>짬뽕지존광교점</t>
  </si>
  <si>
    <t>더브라운베이커리광교교보엘포트점</t>
  </si>
  <si>
    <t>보울레시피_광교상현점</t>
  </si>
  <si>
    <t>삼청동샤브광교엘포트몰점</t>
  </si>
  <si>
    <t>라미르</t>
  </si>
  <si>
    <t>KCP(통신판매)-네슬레코리아유한책임회사</t>
  </si>
  <si>
    <t>감성커피광교호수공원점</t>
  </si>
  <si>
    <t>전자문서용_전자수입인지</t>
  </si>
  <si>
    <t>후불하이패스7건</t>
  </si>
  <si>
    <t>파스쿠찌진주모다점</t>
  </si>
  <si>
    <t>컴포즈커피_장안구청점</t>
  </si>
  <si>
    <t>(주)리오통상</t>
  </si>
  <si>
    <t>던킨도너츠죽전보정점</t>
  </si>
  <si>
    <t>커스텀커피광교호수점</t>
  </si>
  <si>
    <t>배스킨라빈스 광교호수마을</t>
  </si>
  <si>
    <t>기업8922</t>
  </si>
  <si>
    <t>명</t>
  </si>
  <si>
    <t>강릉장칼광교법조타운점</t>
  </si>
  <si>
    <t>달콤커피분당정자점</t>
  </si>
  <si>
    <t>(주)파리크라상파리바게뜨제주공항탑승점</t>
  </si>
  <si>
    <t>킹스꼬마김밥상현점</t>
  </si>
  <si>
    <t>롯데물산</t>
  </si>
  <si>
    <t>농민백암(주)</t>
  </si>
  <si>
    <t>우리집만두</t>
  </si>
  <si>
    <t>기업8970</t>
  </si>
  <si>
    <t>연회비</t>
  </si>
  <si>
    <t>KCP_자동과금-모두의주차장_정기과금</t>
  </si>
  <si>
    <t>두부는과학이다</t>
  </si>
  <si>
    <t>달콤왕가탕후루_광교상현역점</t>
  </si>
  <si>
    <t>스낵얌_광교상현역점</t>
  </si>
  <si>
    <t>동서식당</t>
  </si>
  <si>
    <t>기업6906</t>
  </si>
  <si>
    <t>샐러디 상현역점</t>
  </si>
  <si>
    <t>아이엠커피컴퍼니</t>
  </si>
  <si>
    <t>커피크루(Coffee_Crew)</t>
  </si>
  <si>
    <t>후불하이패스6건</t>
  </si>
  <si>
    <t>배스킨라빈스_광교호수마을</t>
  </si>
  <si>
    <t>이디야커피이현동점</t>
  </si>
  <si>
    <t>빈스빈스커피</t>
  </si>
  <si>
    <t>에스피씨삼립강릉용인휴게소</t>
  </si>
  <si>
    <t>농업회사법인(주)애플트리애락</t>
  </si>
  <si>
    <t>문경양평휴게소</t>
  </si>
  <si>
    <t>씨유(CU)광교법원점</t>
  </si>
  <si>
    <t>베스킨라빈스광교경기도청점</t>
  </si>
  <si>
    <t>에이그레이트도심공항터미널점</t>
  </si>
  <si>
    <t>디저트39용인보정점</t>
  </si>
  <si>
    <t>우리동네국수집광교도청점</t>
  </si>
  <si>
    <t>대명카워시</t>
  </si>
  <si>
    <t>던킨도너츠수원컨벤션센터점</t>
  </si>
  <si>
    <t>와이컴퍼니</t>
  </si>
  <si>
    <t>(주)제주항공</t>
  </si>
  <si>
    <t>법원행정처-대법원등기부열람</t>
  </si>
  <si>
    <t>롯데시네마_수지_티켓_외</t>
  </si>
  <si>
    <t>홈플러스_익스프레스수원이의점</t>
  </si>
  <si>
    <t>KCP(통신판매)-파킹클라우드(주)</t>
  </si>
  <si>
    <t>CGV광교</t>
  </si>
  <si>
    <t>후불하이패스1건</t>
  </si>
  <si>
    <t>씨유광교엘포트1호점</t>
  </si>
  <si>
    <t>세븐일레븐광교신대역점</t>
  </si>
  <si>
    <t>파리크라상인천공항교통센터T2</t>
  </si>
  <si>
    <t>기본연회비</t>
  </si>
  <si>
    <t>갤러리아광교점(일반)</t>
  </si>
  <si>
    <t>하삼동커피 광교법조타운점</t>
  </si>
  <si>
    <t>레인메이커</t>
  </si>
  <si>
    <t>파킹클라우드(주)_엔에이치엔케이씨피_주식회사</t>
  </si>
  <si>
    <t>(주)노벨과개미 광교지점</t>
  </si>
  <si>
    <t>법원행정처</t>
  </si>
  <si>
    <t>매머드커피익스프레스광교우미뉴브점</t>
  </si>
  <si>
    <t>C9902</t>
  </si>
  <si>
    <t>웰빙_다시마_김밥</t>
  </si>
  <si>
    <t>아마노코리아(주)경기대학교수원캠퍼스</t>
  </si>
  <si>
    <t>(주)씨앤에스자산관리_경희대학교서울캠</t>
  </si>
  <si>
    <t>주식회사 아성다이소</t>
  </si>
  <si>
    <t>이마트24_광교법원점</t>
  </si>
  <si>
    <t>세외수입_KICC-수원도시공사</t>
  </si>
  <si>
    <t>홈플러스북수원</t>
  </si>
  <si>
    <t>나이스_-_엠피(MP)주차관제시스템</t>
  </si>
  <si>
    <t>단양관광공사</t>
  </si>
  <si>
    <t>sk쉴더스주차료</t>
  </si>
  <si>
    <t>이니시스(일반)-한국무역통계진흥원</t>
  </si>
  <si>
    <t>세외수입(비)_스마트로(C)-수원시청</t>
  </si>
  <si>
    <t>(주)노벨과개미_광교지점</t>
  </si>
  <si>
    <t>인천국제공항공사</t>
  </si>
  <si>
    <t>코레일네트웍스(주)</t>
  </si>
  <si>
    <t>지에스25 광교센타점</t>
  </si>
  <si>
    <t>바나프레소_선릉위워크점</t>
  </si>
  <si>
    <t>광교우미뉴브_지식산업센터_관리위원회</t>
  </si>
  <si>
    <t>기업8932</t>
  </si>
  <si>
    <t>(주)비티컴퍼스_동탄골든아이타워</t>
  </si>
  <si>
    <t>ＧＳ２５죽전도담마을점</t>
  </si>
  <si>
    <t>경진관리광교힐스테이트</t>
  </si>
  <si>
    <t>한국신용카드결제(주)_-_주식회사_프리드라</t>
  </si>
  <si>
    <t>하이파킹_KICC-하이파킹_판</t>
  </si>
  <si>
    <t>키오스크_비인증_A</t>
  </si>
  <si>
    <t>판교우림W-CITY</t>
  </si>
  <si>
    <t>수원도시공사 주차사업장</t>
  </si>
  <si>
    <t>KCP_-_파킹클라우드(주)</t>
  </si>
  <si>
    <t>수원도시공사주차사업장</t>
  </si>
  <si>
    <t>비인증가맹점_스마트로-에스앤아이코퍼레</t>
  </si>
  <si>
    <t>롯데시네마_수지_온라인_티켓</t>
  </si>
  <si>
    <t>광교우미뉴브지식산업센터관리위원회</t>
  </si>
  <si>
    <t>김대중컨벤션센터</t>
  </si>
  <si>
    <t>동우공영(주)</t>
  </si>
  <si>
    <t>아이파킹-A아이파킹(주차장)</t>
  </si>
  <si>
    <t>C0805</t>
  </si>
  <si>
    <t>휴대폰메시지(승인안내)-04월분</t>
  </si>
  <si>
    <t>휴대폰메시지(승인안내)-10월분</t>
  </si>
  <si>
    <t>SMS이용요금_09월분</t>
  </si>
  <si>
    <t>SMS이용요금_10월분</t>
  </si>
  <si>
    <t>휴대폰메시지(승인안내)-11월분</t>
  </si>
  <si>
    <t>SMS이용요금_11월분</t>
  </si>
  <si>
    <t>SMS이용요금_12월분</t>
  </si>
  <si>
    <t>휴대폰메시지(승인안내)-12월분</t>
  </si>
  <si>
    <t>SMS이용요금_01월분</t>
  </si>
  <si>
    <t>휴대폰메시지(승인안내)-07월분</t>
  </si>
  <si>
    <t>휴대폰메시지(승인안내)-08월분</t>
  </si>
  <si>
    <t>SMS이용요금_08월분</t>
  </si>
  <si>
    <t>휴대폰메시지(승인안내)-09월분</t>
  </si>
  <si>
    <t>휴대폰메시지(승인안내)-01월분</t>
  </si>
  <si>
    <t>사용일자</t>
    <phoneticPr fontId="1" type="noConversion"/>
  </si>
  <si>
    <t>취소구분</t>
    <phoneticPr fontId="1" type="noConversion"/>
  </si>
  <si>
    <t>사용처</t>
    <phoneticPr fontId="1" type="noConversion"/>
  </si>
  <si>
    <t>환구분</t>
    <phoneticPr fontId="1" type="noConversion"/>
  </si>
  <si>
    <t>사용금액</t>
    <phoneticPr fontId="1" type="noConversion"/>
  </si>
  <si>
    <t>사용자성명</t>
    <phoneticPr fontId="1" type="noConversion"/>
  </si>
  <si>
    <t>항목_대분류</t>
    <phoneticPr fontId="1" type="noConversion"/>
  </si>
  <si>
    <t>항목_소분류</t>
    <phoneticPr fontId="1" type="noConversion"/>
  </si>
  <si>
    <t>식사인원</t>
    <phoneticPr fontId="1" type="noConversion"/>
  </si>
  <si>
    <t>구매물품명</t>
    <phoneticPr fontId="1" type="noConversion"/>
  </si>
  <si>
    <t>원화</t>
  </si>
  <si>
    <t>YH</t>
  </si>
  <si>
    <t>복리후생비</t>
  </si>
  <si>
    <t>식대</t>
  </si>
  <si>
    <t>네이버파이낸</t>
  </si>
  <si>
    <t>KJ</t>
  </si>
  <si>
    <t>비품소모품</t>
  </si>
  <si>
    <t>비품구입비</t>
  </si>
  <si>
    <t>기타</t>
  </si>
  <si>
    <t>보험료</t>
  </si>
  <si>
    <t>자동차보험</t>
  </si>
  <si>
    <t>교육훈련비</t>
  </si>
  <si>
    <t>수수료비용</t>
  </si>
  <si>
    <t>소프트웨어</t>
  </si>
  <si>
    <t>(주) 성복점</t>
  </si>
  <si>
    <t>JH</t>
  </si>
  <si>
    <t>차량유지비</t>
  </si>
  <si>
    <t>정비료</t>
  </si>
  <si>
    <t>직원물품지원</t>
  </si>
  <si>
    <t>워크샵_기타비용</t>
  </si>
  <si>
    <t>동호회경비</t>
  </si>
  <si>
    <t>SC</t>
  </si>
  <si>
    <t>소모품구입비</t>
  </si>
  <si>
    <t>와이블랙 광</t>
  </si>
  <si>
    <t>JY</t>
  </si>
  <si>
    <t>쿠팡</t>
  </si>
  <si>
    <t>SY</t>
  </si>
  <si>
    <t>AR</t>
  </si>
  <si>
    <t>HK</t>
  </si>
  <si>
    <t>커피결제</t>
  </si>
  <si>
    <t>HJ</t>
  </si>
  <si>
    <t>우정사업본부</t>
  </si>
  <si>
    <t>운송비</t>
  </si>
  <si>
    <t>광고선전비</t>
  </si>
  <si>
    <t>판촉물구입</t>
  </si>
  <si>
    <t>DH</t>
  </si>
  <si>
    <t>원유로스페셜</t>
  </si>
  <si>
    <t>원유로 충전</t>
  </si>
  <si>
    <t>한국환경공단</t>
  </si>
  <si>
    <t>수입신고비용</t>
  </si>
  <si>
    <t>등록면제비용</t>
  </si>
  <si>
    <t>한국화학물질</t>
  </si>
  <si>
    <t>화학확인비용</t>
  </si>
  <si>
    <t>MA</t>
  </si>
  <si>
    <t>HS</t>
  </si>
  <si>
    <t>하품스 베이</t>
  </si>
  <si>
    <t>상현점기아오</t>
  </si>
  <si>
    <t>JM</t>
  </si>
  <si>
    <t>여비교통비</t>
  </si>
  <si>
    <t>숙박비</t>
  </si>
  <si>
    <t>CJ대한통운(</t>
  </si>
  <si>
    <t>퀵이용료</t>
  </si>
  <si>
    <t>도서인쇄비</t>
  </si>
  <si>
    <t>도서구입</t>
  </si>
  <si>
    <t>(주)케이티알</t>
  </si>
  <si>
    <t>(주)감성타코</t>
  </si>
  <si>
    <t>매입</t>
  </si>
  <si>
    <t>의료비</t>
  </si>
  <si>
    <t>주유비</t>
  </si>
  <si>
    <t>대명에너지(</t>
  </si>
  <si>
    <t>주식회사 세</t>
  </si>
  <si>
    <t>활기력</t>
  </si>
  <si>
    <t>Amazon_AWS</t>
  </si>
  <si>
    <t>통신비</t>
  </si>
  <si>
    <t>서버이용료</t>
  </si>
  <si>
    <t>주식회사 토</t>
  </si>
  <si>
    <t>갤러리아광교</t>
  </si>
  <si>
    <t>기프티콘구입</t>
  </si>
  <si>
    <t>주식회사바나</t>
  </si>
  <si>
    <t>카카오</t>
  </si>
  <si>
    <t>택시비</t>
  </si>
  <si>
    <t>담솥광교아브</t>
  </si>
  <si>
    <t>하나로퀵물류</t>
  </si>
  <si>
    <t>SH</t>
  </si>
  <si>
    <t>에어캡봉투 4종</t>
  </si>
  <si>
    <t>커피캡슐</t>
  </si>
  <si>
    <t>CJ CGV(주)</t>
  </si>
  <si>
    <t>SK에너지 (주</t>
  </si>
  <si>
    <t>SK에너지 (주 취소</t>
  </si>
  <si>
    <t>보배반점 광</t>
  </si>
  <si>
    <t>핫팩</t>
  </si>
  <si>
    <t>주식회사 미</t>
  </si>
  <si>
    <t>리틀꼬마김밥</t>
  </si>
  <si>
    <t>증명서발급수수료</t>
  </si>
  <si>
    <t>피제리아보스</t>
  </si>
  <si>
    <t>2837셀토스</t>
  </si>
  <si>
    <t>상온박스 및 지퍼백</t>
  </si>
  <si>
    <t>딴딴 지에메</t>
  </si>
  <si>
    <t>정희광교아브</t>
  </si>
  <si>
    <t>견적6명</t>
  </si>
  <si>
    <t>까몬 광교앨</t>
  </si>
  <si>
    <t>탄탄면공방광</t>
  </si>
  <si>
    <t>서울보증보험</t>
  </si>
  <si>
    <t>세비야식당</t>
  </si>
  <si>
    <t>돈가네 옛날김치돼지찌개 광교법조타운*</t>
  </si>
  <si>
    <t>파파존스피자</t>
  </si>
  <si>
    <t>2837 셀토스</t>
  </si>
  <si>
    <t>아반떼5149</t>
  </si>
  <si>
    <t>지리산석유</t>
  </si>
  <si>
    <t>아반떼 5149</t>
  </si>
  <si>
    <t>청담동샤브광</t>
  </si>
  <si>
    <t>등산동호회비</t>
  </si>
  <si>
    <t>강릉장칼 광</t>
  </si>
  <si>
    <t>카카오톡기프티콘</t>
  </si>
  <si>
    <t>정씨함박 광</t>
  </si>
  <si>
    <t>감탄계 숯불</t>
  </si>
  <si>
    <t>광교명가부대</t>
  </si>
  <si>
    <t>코나 주유비</t>
  </si>
  <si>
    <t>스타벅스코리</t>
  </si>
  <si>
    <t>재벌집 광교</t>
  </si>
  <si>
    <t>배부장찌개</t>
  </si>
  <si>
    <t>생일자 제과</t>
  </si>
  <si>
    <t>포아이니 광</t>
  </si>
  <si>
    <t>고로치 통닭</t>
  </si>
  <si>
    <t>HD현대오일뱅</t>
  </si>
  <si>
    <t>다우기술</t>
  </si>
  <si>
    <t>롤링핀광교법</t>
  </si>
  <si>
    <t>경자국밥 광</t>
  </si>
  <si>
    <t>본죽앤비빔밥</t>
  </si>
  <si>
    <t>써브웨이 광</t>
  </si>
  <si>
    <t>포케올데이</t>
  </si>
  <si>
    <t>취소</t>
  </si>
  <si>
    <t>고스락 손수</t>
  </si>
  <si>
    <t>돈가네옛날김</t>
  </si>
  <si>
    <t>정담해물아구</t>
  </si>
  <si>
    <t>교보문고</t>
  </si>
  <si>
    <t>유선배 SQL개발자 과외노트</t>
  </si>
  <si>
    <t>일러스트사용료</t>
  </si>
  <si>
    <t>듀쿠플(Du Co</t>
  </si>
  <si>
    <t>최고당돈가스</t>
  </si>
  <si>
    <t>꿀꿀진순대</t>
  </si>
  <si>
    <t>생일자 케익</t>
  </si>
  <si>
    <t>알파문구(광</t>
  </si>
  <si>
    <t>구글페이먼트코리아 유한회사</t>
  </si>
  <si>
    <t>미분당 광교</t>
  </si>
  <si>
    <t>고향엄마손생</t>
  </si>
  <si>
    <t>마라집 광교</t>
  </si>
  <si>
    <t>(주) 커피빈</t>
  </si>
  <si>
    <t>오늘의 식탁</t>
  </si>
  <si>
    <t>주차비</t>
  </si>
  <si>
    <t>털보고된이</t>
  </si>
  <si>
    <t>샐러데이즈</t>
  </si>
  <si>
    <t>폴바셋 광교</t>
  </si>
  <si>
    <t>아우어베이커</t>
  </si>
  <si>
    <t>플레어비 광</t>
  </si>
  <si>
    <t>(주)티몬</t>
  </si>
  <si>
    <t xml:space="preserve">폼텍 용지 구매 </t>
  </si>
  <si>
    <t>상비약</t>
  </si>
  <si>
    <t>백미당 아브</t>
  </si>
  <si>
    <t>키친타올</t>
  </si>
  <si>
    <t>쿠팡 취소</t>
  </si>
  <si>
    <t>전화,인터넷</t>
  </si>
  <si>
    <t>재택직원간식</t>
  </si>
  <si>
    <t>효자동설렁탕</t>
  </si>
  <si>
    <t>하삼동커피</t>
  </si>
  <si>
    <t>남문떡볶이 (</t>
  </si>
  <si>
    <t>탕화쿵푸마라</t>
  </si>
  <si>
    <t>시루향기광교</t>
  </si>
  <si>
    <t>신규설문</t>
  </si>
  <si>
    <t>주식회사 아</t>
  </si>
  <si>
    <t>(주)백패커</t>
  </si>
  <si>
    <t>LGUPLUS 통신요금</t>
  </si>
  <si>
    <t>법인폰 사용료</t>
  </si>
  <si>
    <t>우편비</t>
  </si>
  <si>
    <t>보울레시피</t>
  </si>
  <si>
    <t>전자문서용</t>
  </si>
  <si>
    <t>킹스꼬마김밥</t>
  </si>
  <si>
    <t>커피</t>
  </si>
  <si>
    <t>(주)토스랩</t>
  </si>
  <si>
    <t>대법원등기부</t>
  </si>
  <si>
    <t>(주)이마트에</t>
  </si>
  <si>
    <t>커피값</t>
  </si>
  <si>
    <t>파킹클라우드</t>
  </si>
  <si>
    <t>이마트24 광</t>
  </si>
  <si>
    <t>한국무역통계</t>
  </si>
  <si>
    <t>(주)비티컴퍼</t>
  </si>
  <si>
    <t>미국   A2B CHEM 승인</t>
  </si>
  <si>
    <t>해외제품구입</t>
  </si>
  <si>
    <t>하이파킹</t>
  </si>
  <si>
    <t>d89093,d89122,d89132,d89147</t>
  </si>
  <si>
    <t>Agoda</t>
  </si>
  <si>
    <t>워크샵_숙박비</t>
  </si>
  <si>
    <t>Agoda 취소</t>
  </si>
  <si>
    <t>아고다페이먼츠코리아</t>
  </si>
  <si>
    <t>에스앤아이코퍼레이션</t>
  </si>
  <si>
    <t>J &amp; W P</t>
  </si>
  <si>
    <t>미국   Chem-Imp 승인</t>
  </si>
  <si>
    <t>AK SCIE</t>
  </si>
  <si>
    <t>SYNQUES</t>
  </si>
  <si>
    <t>미국   Strem Ch 승인</t>
  </si>
  <si>
    <t>d89286</t>
  </si>
  <si>
    <t>미국   ATLASSIA 승인</t>
  </si>
  <si>
    <t>JWM 사용료</t>
  </si>
  <si>
    <t>가천대길병원//중소기업 (전자금융)</t>
  </si>
  <si>
    <t>#삼성화재해상보험_07월-보험료</t>
  </si>
  <si>
    <t>IRIS_HOTEL</t>
  </si>
  <si>
    <t>VND</t>
  </si>
  <si>
    <t>신라갈비</t>
  </si>
  <si>
    <t>대한수산회</t>
  </si>
  <si>
    <t>#KT통_02월-**32-5725</t>
  </si>
  <si>
    <t>남건이앤에스</t>
  </si>
  <si>
    <t>방이옥광교상현점</t>
  </si>
  <si>
    <t>바른세상병원</t>
  </si>
  <si>
    <t>#KT통_12월-**32-5725</t>
  </si>
  <si>
    <t>#KT통_01월-**32-5725</t>
  </si>
  <si>
    <t>이케아코리아기흥지점</t>
  </si>
  <si>
    <t>신화아이푸드</t>
  </si>
  <si>
    <t>#KT통_11월-**32-5725</t>
  </si>
  <si>
    <t>제이제이펍</t>
  </si>
  <si>
    <t>한강에너지</t>
  </si>
  <si>
    <t>밥심</t>
  </si>
  <si>
    <t>#SKT_08월-**10-4336</t>
  </si>
  <si>
    <t>#SKT_04월-**10-4336</t>
  </si>
  <si>
    <t>#SKT_05월-**10-4336</t>
  </si>
  <si>
    <t>한우만정육직판장</t>
  </si>
  <si>
    <t>한가네숯불닭갈비</t>
  </si>
  <si>
    <t>영금정바우네칼국수</t>
  </si>
  <si>
    <t>보틀러</t>
  </si>
  <si>
    <t>#SKT_02월-**10-4336</t>
  </si>
  <si>
    <t>Evernote</t>
  </si>
  <si>
    <t>KRW</t>
  </si>
  <si>
    <t>엘지전자(주)</t>
  </si>
  <si>
    <t>2024 워크샵 B팀</t>
  </si>
  <si>
    <t>A팀 숙박비</t>
  </si>
  <si>
    <t>잔디 연간결제</t>
  </si>
  <si>
    <t>2024년A팀 공연예약비</t>
  </si>
  <si>
    <t>B팀 워크샵 공연티켓 구매 (10명)</t>
  </si>
  <si>
    <t>탕비실 간식(과자)</t>
  </si>
  <si>
    <t>A팀 쿠킹클래스</t>
  </si>
  <si>
    <t>작업실 송풍기 구입 및 설치비용</t>
  </si>
  <si>
    <t>거래처 명절선물</t>
  </si>
  <si>
    <t>업무제안시상</t>
  </si>
  <si>
    <t>A팀 랜드마크81 전망대티켓</t>
  </si>
  <si>
    <t>B팀 랜드마크81 전망대티켓</t>
  </si>
  <si>
    <t>주식회사생어</t>
  </si>
  <si>
    <t>업무제안시상자 점심</t>
  </si>
  <si>
    <t>골프동회</t>
  </si>
  <si>
    <t>직원명절선물</t>
  </si>
  <si>
    <t>3만원기프트카드 5매, 업무제안시상</t>
  </si>
  <si>
    <t>CPU(Ryzen 5600G) 1EA</t>
  </si>
  <si>
    <t>엔지오일 및 에어컨 필터 교환</t>
  </si>
  <si>
    <t>청담피자 광</t>
  </si>
  <si>
    <t>택배기사님등 명절선물세트</t>
  </si>
  <si>
    <t>무선청소기 배터리 교체</t>
  </si>
  <si>
    <t>7285 스포티지 엔진오일 등 교환</t>
  </si>
  <si>
    <t>아이스박스(20eax3, 32X1ea)구매</t>
  </si>
  <si>
    <t>상온 박스 및 지퍼백 구매</t>
  </si>
  <si>
    <t>CGV IMAX 영화관람권</t>
  </si>
  <si>
    <t>심대리 개발용PC 램증설(DDR4 16GX2EA)</t>
  </si>
  <si>
    <t>소독용물티슈</t>
  </si>
  <si>
    <t>삼백돈돈가츠</t>
  </si>
  <si>
    <t>야구동호회비</t>
  </si>
  <si>
    <t>아이스박스(20eax4)</t>
  </si>
  <si>
    <t xml:space="preserve"> A4용지 4박스</t>
  </si>
  <si>
    <t>아이스박스(20eax4)구매</t>
  </si>
  <si>
    <t>차량용 랜턴5개</t>
  </si>
  <si>
    <t>금커피 별빙</t>
  </si>
  <si>
    <t>영화동호회 식사</t>
  </si>
  <si>
    <t>승도리네 광</t>
  </si>
  <si>
    <t xml:space="preserve">셀토스2837 </t>
  </si>
  <si>
    <t>수원고속주유</t>
  </si>
  <si>
    <t>셀토스2837</t>
  </si>
  <si>
    <t>유가네닭갈비</t>
  </si>
  <si>
    <t>아이스팩 미니4박스</t>
  </si>
  <si>
    <t>아이스팩-미니4박스</t>
  </si>
  <si>
    <t>코나 3772</t>
  </si>
  <si>
    <t>금융수수료</t>
  </si>
  <si>
    <t>KG모빌리언스관련</t>
  </si>
  <si>
    <t>엠에이치(MH)</t>
  </si>
  <si>
    <t>이화수전통육</t>
  </si>
  <si>
    <t>11주년 케이크 및 빵 구매</t>
  </si>
  <si>
    <t>폼포미2개 구매</t>
  </si>
  <si>
    <t>포장완충재 2개</t>
  </si>
  <si>
    <t>b113294 부전전자 다마스 출고</t>
  </si>
  <si>
    <t>크라프트 종이박스테이프</t>
  </si>
  <si>
    <t>차량용 경광봉</t>
  </si>
  <si>
    <t>탕비실간식(계란,두유,방토)</t>
  </si>
  <si>
    <t>탕비실간식(계란,두유)</t>
  </si>
  <si>
    <t>프랭크버거</t>
  </si>
  <si>
    <t xml:space="preserve">생일파티 케이크 </t>
  </si>
  <si>
    <t>에어캡봉투/100X200x3ea</t>
  </si>
  <si>
    <t>CGV 광교</t>
  </si>
  <si>
    <t>영화동호회 매점 팝콘 음료 구매</t>
  </si>
  <si>
    <t>생일자케이크</t>
  </si>
  <si>
    <t>이현아생일케이크</t>
  </si>
  <si>
    <t>골프동호회 식사</t>
  </si>
  <si>
    <t>떡볶이르블랑</t>
  </si>
  <si>
    <t>밀폐용기</t>
  </si>
  <si>
    <t>멘코라멘</t>
  </si>
  <si>
    <t>스파크바이오파마(D88805,D88777) 고액택배 퀵발송</t>
  </si>
  <si>
    <t>니트릴 장갑 100매x5ea</t>
  </si>
  <si>
    <t>은박보냉팩 200매</t>
  </si>
  <si>
    <t>은박보냉팩 200장</t>
  </si>
  <si>
    <t>명절선물(FedEx 설선물)</t>
  </si>
  <si>
    <t>바나프레소 광교법조타운점</t>
  </si>
  <si>
    <t>수제비주는</t>
  </si>
  <si>
    <t>생일파티 간식</t>
  </si>
  <si>
    <t>취급주의 스티커 2000매</t>
  </si>
  <si>
    <t>비비큐광교호</t>
  </si>
  <si>
    <t>탕비실간식(두유)</t>
  </si>
  <si>
    <t>CGV 일반 영화 관람권</t>
  </si>
  <si>
    <t>종이컵1000개, USB5개</t>
  </si>
  <si>
    <t>이화수전통육개장 법조타운광*</t>
  </si>
  <si>
    <t>마라집광교법</t>
  </si>
  <si>
    <t>주식회사개성</t>
  </si>
  <si>
    <t>판촉물 샘플 구매_여행용 폴딩백4개</t>
  </si>
  <si>
    <t>워셔액</t>
  </si>
  <si>
    <t>회사 상비약 구매</t>
  </si>
  <si>
    <t>75L종량제봉투</t>
  </si>
  <si>
    <t>코나 3772 전조등(운전석) 교체</t>
  </si>
  <si>
    <t>대봉투 100매</t>
  </si>
  <si>
    <t>코나 3772 네비게이션 업데이트</t>
  </si>
  <si>
    <t>식사</t>
  </si>
  <si>
    <t>생일기프티콘(HK)</t>
  </si>
  <si>
    <t>생일기프티콘(SY)</t>
  </si>
  <si>
    <t>베트남 워크샵B조 상비 의약품</t>
  </si>
  <si>
    <t>탄산수, 탕비실간식</t>
  </si>
  <si>
    <t>탕비실간식(구운란)</t>
  </si>
  <si>
    <t>b111459 (금천구-&gt;강남구)</t>
  </si>
  <si>
    <t>계란60구, 탕비실간식</t>
  </si>
  <si>
    <t>유전원USB케이블</t>
  </si>
  <si>
    <t>조아기프트（</t>
  </si>
  <si>
    <t>판촉물 샘플 구매_여행용 폴딩백3개</t>
  </si>
  <si>
    <t>코나 운전자 누구나로 변경 추가비용</t>
  </si>
  <si>
    <t>건전지 22개입</t>
  </si>
  <si>
    <t>광교앨리웨이</t>
  </si>
  <si>
    <t>네슬레코리아</t>
  </si>
  <si>
    <t>커피캡슐기계 홀더, 물통</t>
  </si>
  <si>
    <t>화관법민원24/제한물질신고비용</t>
  </si>
  <si>
    <t>화관법민원24/제한물질신고비용/e27932</t>
  </si>
  <si>
    <t>오유미당 광교상현역점</t>
  </si>
  <si>
    <t>판촉물샘플구입(여행용보스턴백)</t>
  </si>
  <si>
    <t>씨유(CU) 인천공항T21호점</t>
  </si>
  <si>
    <t>아반떼5149 뒷바퀴펑크(지렁이2개)</t>
  </si>
  <si>
    <t>(주)가비에프</t>
  </si>
  <si>
    <t>여행용티슈</t>
  </si>
  <si>
    <t>(주)파리크라</t>
  </si>
  <si>
    <t>강력접착제</t>
  </si>
  <si>
    <t>디저트</t>
  </si>
  <si>
    <t>판촉물 샘플</t>
  </si>
  <si>
    <t>바나프레소광</t>
  </si>
  <si>
    <t xml:space="preserve">셀토스2837(세차비) </t>
  </si>
  <si>
    <t>하부세차포함</t>
  </si>
  <si>
    <t>AA건전지20개</t>
  </si>
  <si>
    <t>판촉물 샘플 볼펜</t>
  </si>
  <si>
    <t>주방세제</t>
  </si>
  <si>
    <t>아마노코리아</t>
  </si>
  <si>
    <t>환풍기 안전망</t>
  </si>
  <si>
    <t>휴켐바이오</t>
  </si>
  <si>
    <t>우정바이오</t>
  </si>
  <si>
    <t>한화갤러리아(주) 광교점(일반)</t>
  </si>
  <si>
    <t>주차 추가 비용</t>
  </si>
  <si>
    <t>씨유 광교엘</t>
  </si>
  <si>
    <t>숙소예약</t>
  </si>
  <si>
    <t>b112447</t>
  </si>
  <si>
    <t>d90744,d90745</t>
  </si>
  <si>
    <t>d92140</t>
  </si>
  <si>
    <t>d93128</t>
  </si>
  <si>
    <t>c117116</t>
  </si>
  <si>
    <t>e27377</t>
  </si>
  <si>
    <t>e27202</t>
  </si>
  <si>
    <t>d91983</t>
  </si>
  <si>
    <t>d91559</t>
  </si>
  <si>
    <t>d91044</t>
  </si>
  <si>
    <t>CJ CGV㈜</t>
  </si>
  <si>
    <t>직원명절선물 취소</t>
  </si>
  <si>
    <t>이화수전통육 취소</t>
  </si>
  <si>
    <t>듀쿠플(Du Co 취소</t>
  </si>
  <si>
    <t>생일파티 케이크 (취소)</t>
  </si>
  <si>
    <t>탕비실간식(계란,두유,방토) 취소</t>
  </si>
  <si>
    <t>어음 합산</t>
    <phoneticPr fontId="1" type="noConversion"/>
  </si>
  <si>
    <t>월</t>
    <phoneticPr fontId="1" type="noConversion"/>
  </si>
  <si>
    <t>월어음합산</t>
    <phoneticPr fontId="1" type="noConversion"/>
  </si>
  <si>
    <t>전체합산</t>
    <phoneticPr fontId="1" type="noConversion"/>
  </si>
  <si>
    <t>2024년 호치민 A조 공항픽업샌딩예약</t>
  </si>
  <si>
    <t>검정잉크 2EA</t>
  </si>
  <si>
    <t>하나카츠</t>
  </si>
  <si>
    <t>e29940,e29945</t>
  </si>
  <si>
    <t>d92821</t>
  </si>
  <si>
    <t>b115590</t>
  </si>
  <si>
    <t>e29807</t>
  </si>
  <si>
    <t>여행용 폴딩백</t>
  </si>
  <si>
    <t>항공료</t>
  </si>
  <si>
    <t>바이오재팬2024</t>
  </si>
  <si>
    <t>한국철도공사</t>
  </si>
  <si>
    <t>출장비</t>
  </si>
  <si>
    <t>2024대한약학회 KTX 편도3매</t>
  </si>
  <si>
    <t xml:space="preserve">베트남 워크샵B조 </t>
  </si>
  <si>
    <t>롯손합0302//임베디 (CMS 공동)</t>
  </si>
  <si>
    <t>KB손02903//임베디 (CMS 공동)</t>
  </si>
  <si>
    <t>DB손해보험(주)</t>
  </si>
  <si>
    <t>코나</t>
  </si>
  <si>
    <t>미국   Oakwood 승인</t>
  </si>
  <si>
    <t>복리맞춤채권(원단위)</t>
  </si>
  <si>
    <t>(주)한국이엔아이인 | 약학회비품신청비//수지 (인터넷출금이체)</t>
  </si>
  <si>
    <t>KT통신요금03//(펌이체)</t>
  </si>
  <si>
    <t>양산도 광교</t>
  </si>
  <si>
    <t>옴레스토랑광</t>
  </si>
  <si>
    <t>르페르베이커</t>
  </si>
  <si>
    <t>이보아르</t>
  </si>
  <si>
    <t>진부엉이 꼬</t>
  </si>
  <si>
    <t>d92765</t>
  </si>
  <si>
    <t>d93457,d93493</t>
  </si>
  <si>
    <t>c119079</t>
  </si>
  <si>
    <t>KG모빌카드//(하나) (타행IB)</t>
  </si>
  <si>
    <t>이정민//카카오뱅크 (타행이체)</t>
  </si>
  <si>
    <t>대일관리시스템 주식 | 용현관리비_3월//수지 (인터넷출금이체)</t>
  </si>
  <si>
    <t>조성도(참조은관리) | 주차비용현_3월//수지 (인터넷출금이체)</t>
  </si>
  <si>
    <t>와이블랙 커피 결제</t>
  </si>
  <si>
    <t>생일 케이크 구매</t>
  </si>
  <si>
    <t>생일 간식 구매</t>
  </si>
  <si>
    <t>주식회사 코레이즈홀 | UTM장비임대료_3월//수지 (인터넷출금이체)</t>
  </si>
  <si>
    <t>권인수 | 폴딩백운송비//수지 (인터넷출금이체)</t>
  </si>
  <si>
    <t>KT0216119303//(펌이체)</t>
  </si>
  <si>
    <t>오스코텍(043733)_연//임베디 (FBS입금)</t>
  </si>
  <si>
    <t>(주)용현 | 용현월세_3월//수지 (인터넷출금이체)</t>
  </si>
  <si>
    <t>㈜원사이언스//수협중앙 (전자금융)</t>
  </si>
  <si>
    <t>전남대약학대학//광주은행 (전자금융)</t>
  </si>
  <si>
    <t>주식회사 트랜스물류 | 퀵비용_9724//수지 (인터넷출금이체)</t>
  </si>
  <si>
    <t>버거킹 딜리</t>
  </si>
  <si>
    <t>(주)하나자동</t>
  </si>
  <si>
    <t>3772 코나 자동차종합검사</t>
  </si>
  <si>
    <t>탕비실,구운계란</t>
  </si>
  <si>
    <t>아일   Dropbox* 승인</t>
  </si>
  <si>
    <t>법인세조정료//국민은행 (인터넷)</t>
  </si>
  <si>
    <t>주식회사 넥스제너//하나은행 (전자금융)</t>
  </si>
  <si>
    <t>주식회사 펠레메드//신한은행 (전자금융)</t>
  </si>
  <si>
    <t>이자-32-00124 다음납입예정일-20240428//(CC)</t>
  </si>
  <si>
    <t>(주)이랜드이츠 애슐리퀸즈 광교아브뉴</t>
  </si>
  <si>
    <t>(주)이랜드이</t>
  </si>
  <si>
    <t>수담(죽전본점)</t>
  </si>
  <si>
    <t>11번가(주)</t>
  </si>
  <si>
    <t>형제네한식뷔</t>
  </si>
  <si>
    <t>프루츠 빌리</t>
  </si>
  <si>
    <t>d94341</t>
  </si>
  <si>
    <t>경대산단물품//대구은행 (전자금융)</t>
  </si>
  <si>
    <t>광교신도시지점 예금결산이자(예금결산)</t>
  </si>
  <si>
    <t>주식회사 트랜스물류 | 퀵비용_8159//수지 (인터넷출금이체)</t>
  </si>
  <si>
    <t>GIST//우리은행 (타행환)</t>
  </si>
  <si>
    <t>kist//우리은행 (전자금융)</t>
  </si>
  <si>
    <t>주식회사 셀비온_연//신한은행 (전자금융)</t>
  </si>
  <si>
    <t>나래과학(주)//중소기업 (전자금융)</t>
  </si>
  <si>
    <t>엔투비 공급사//우리은행 (전자금융)</t>
  </si>
  <si>
    <t>KIST구매//우리은행 (전자금융)</t>
  </si>
  <si>
    <t>경찰청_이지켐텍 | 과태료//수지 (인터넷출금이체)</t>
  </si>
  <si>
    <t>성진사이언스배헌우//우리은행 (전자금융)</t>
  </si>
  <si>
    <t>임종웅(제이애드) | 명함구입비용//수지 (인터넷출금이체)</t>
  </si>
  <si>
    <t>삼성화05034//임베디 (CMS 공동)</t>
  </si>
  <si>
    <t>(주)아이엠월드 | 대한화학회장비대여비//수지 (인터넷출금이체)</t>
  </si>
  <si>
    <t>(주)제이디바이오사//우리은행 (전자금융)</t>
  </si>
  <si>
    <t>종현식 | CJ택배_4월//수지 (인터넷출금이체)</t>
  </si>
  <si>
    <t>박재균(JK사이언스//하나은행 (전자금융)</t>
  </si>
  <si>
    <t>모빌리언스//임베디 (금결원PG출금)</t>
  </si>
  <si>
    <t>대구경북과학//중소기업 (전자금융)</t>
  </si>
  <si>
    <t>(사)대한화학회 | 유기화학분과 부스비용//수지 (인터넷출금이체)</t>
  </si>
  <si>
    <t>대한약학회 약품화학 | 약품화학분과 부스비용//수지 (인터넷출금이체)</t>
  </si>
  <si>
    <t>케이에스광학//광주은행 (전자금융)</t>
  </si>
  <si>
    <t>폴라리스AI파마//중소기업 (전자금융)</t>
  </si>
  <si>
    <t>주식회사 코레이즈홀 | UTM장비임대료_4월//수지 (인터넷출금이체)</t>
  </si>
  <si>
    <t>바로환전202404300000000289//수지 (외화예금)</t>
  </si>
  <si>
    <t>(주)용현 | 용현월세_4월//수지 (인터넷출금이체)</t>
  </si>
  <si>
    <t>성대산학//우리은행 (전자금융)</t>
  </si>
  <si>
    <t>(주)대한과학//중소기업 (전자금융)</t>
  </si>
  <si>
    <t>주식회사어벤션//송림동 (인터넷입금이체)</t>
  </si>
  <si>
    <t>국제바이오사이언스(//대구은행 (전자금융)</t>
  </si>
  <si>
    <t>전국용달화물(주) | 화물운송_잔금//수지 (인터넷출금이체)</t>
  </si>
  <si>
    <t>대일관리시스템 주식 | 용현관리비_4월//수지 (인터넷출금이체)</t>
  </si>
  <si>
    <t>조성도(참조은관리) | 주차비용현_4월//수지 (인터넷출금이체)</t>
  </si>
  <si>
    <t>주식회사 트랜스물류 | 퀵비용_4613//수지 (인터넷출금이체)</t>
  </si>
  <si>
    <t>(주)천일씨아이//신한은행 (전자금융)</t>
  </si>
  <si>
    <t>특허법인메이저 | 상표등록출원비//수지 (인터넷출금이체)</t>
  </si>
  <si>
    <t>(주)에스이엠케이//우리은행 (타행환)</t>
  </si>
  <si>
    <t>주식회사 트랜스물류 | 퀵비용_3889//수지 (인터넷출금이체)</t>
  </si>
  <si>
    <t>(재)대구경북첨//대구은행 (전자금융)</t>
  </si>
  <si>
    <t>롯손합0402//임베디 (CMS 공동)</t>
  </si>
  <si>
    <t>KB손03004//임베디 (CMS 공동)</t>
  </si>
  <si>
    <t>전국용달화물(주) | 화물운송_선금//수지 (인터넷출금이체)</t>
  </si>
  <si>
    <t>찐더 주식회사 | 물류(켐신판촉물)//수지 (인터넷출금이체)</t>
  </si>
  <si>
    <t>주식회사쓰리빌리언//중소기업 (전자금융)</t>
  </si>
  <si>
    <t>중앙대학교산학협력단//우리은행 (전자금융)</t>
  </si>
  <si>
    <t>4.8 KIST김태//우리은행 (전자금융)</t>
  </si>
  <si>
    <t>태영사이언스//우리은행 (전자금융)</t>
  </si>
  <si>
    <t>기프트인포(주) | 쇼핑백50%//수지 (인터넷출금이체)</t>
  </si>
  <si>
    <t>(주)드림셀//신한은행 (전자금융)</t>
  </si>
  <si>
    <t>(주)대성섬유로고앤 | 행사용테이블보//수지 (인터넷출금이체)</t>
  </si>
  <si>
    <t>DB손보//경남은행 (전자금융)</t>
  </si>
  <si>
    <t>주식회사 트랜스물류 | 1280_퀵비용//수지 (인터넷출금이체)</t>
  </si>
  <si>
    <t>우덕선 | 택배운송비//수지 (인터넷출금이체)</t>
  </si>
  <si>
    <t>찐더 주식회사 | 켐신판촉물물류비//수지 (인터넷출금이체)</t>
  </si>
  <si>
    <t>삼성화04033//임베디 (CMS 공동)</t>
  </si>
  <si>
    <t>현대약품㈜//신한은행 (전자금융)</t>
  </si>
  <si>
    <t>한양RCMS//신한은행 (전자금융)</t>
  </si>
  <si>
    <t>종현식 | CJ택배_3월//수지 (인터넷출금이체)</t>
  </si>
  <si>
    <t>(주)이크레더블 | 신용평가비용//수지 (인터넷출금이체)</t>
  </si>
  <si>
    <t>케이에스광학주식회사//중소기업 (전자금융)</t>
  </si>
  <si>
    <t>바로환전202404010000000314//수지 (외화예금)</t>
  </si>
  <si>
    <t>(주)셀렉캠코리아 | 국내제품구입//수지 (인터넷출금이체)</t>
  </si>
  <si>
    <t>㈜씨앤드씨신약연구소//우리은행 (타행이체)</t>
  </si>
  <si>
    <t>산재보험2404//(펌이체)</t>
  </si>
  <si>
    <t>고용보험2404//(펌이체)</t>
  </si>
  <si>
    <t>국민건강2404//(펌이체)</t>
  </si>
  <si>
    <t>국민연금2404//(펌이체)</t>
  </si>
  <si>
    <t>메리츠001건//(펌이체)</t>
  </si>
  <si>
    <t>KTX요금（부산출장）//기업은행 (인터넷)</t>
  </si>
  <si>
    <t>이자-32-00124 다음납입예정일-20240528//(CC)</t>
  </si>
  <si>
    <t>KT0216119304//(펌이체)</t>
  </si>
  <si>
    <t>메리츠화재해상//기업은행 (펌뱅킹)</t>
  </si>
  <si>
    <t>KT통신요금04//(펌이체)</t>
  </si>
  <si>
    <t>코오롱인더스트리//우리은행 (타행이체)</t>
  </si>
  <si>
    <t>고용보험2403//(펌이체)</t>
  </si>
  <si>
    <t>산재보험2403//(펌이체)</t>
  </si>
  <si>
    <t>국민연금2403//(펌이체)</t>
  </si>
  <si>
    <t>국민건강2403//(펌이체)</t>
  </si>
  <si>
    <t>이자-32-00124 다음납입예정일-20240728//(CC)</t>
  </si>
  <si>
    <t>김교호//농협 (전자금융)</t>
  </si>
  <si>
    <t>(주)케이메디켐//중소기업 (전자금융)</t>
  </si>
  <si>
    <t>(주)폴라리스에이아//중소기업 (전자금융)</t>
  </si>
  <si>
    <t>리후헬스케어(주)//중소기업 (타행환)</t>
  </si>
  <si>
    <t>(주)용현 | 용현월세_6월//수지 (인터넷출금이체)</t>
  </si>
  <si>
    <t>(주)바이오니아//중소기업 (전자금융)</t>
  </si>
  <si>
    <t>바로환전202406270000000267//수지 (외화예금)</t>
  </si>
  <si>
    <t>박진균다환방//농협 (전자금융)</t>
  </si>
  <si>
    <t>대일관리시스템 주식 | 용현관리비_6월//수지 (인터넷출금이체)</t>
  </si>
  <si>
    <t>오스코텍_연구재료비//임베디 (FBS입금)</t>
  </si>
  <si>
    <t>바로환전202406260000000242//수지 (외화예금)</t>
  </si>
  <si>
    <t>주식회사 코레이즈홀 | UTM장비임대료_6월//수지 (인터넷출금이체)</t>
  </si>
  <si>
    <t>김민정(스마트주차장 | 월주차비//수지 (인터넷출금이체)</t>
  </si>
  <si>
    <t>조성도(참조은관리) | 주차비용현_6월//수지 (인터넷출금이체)</t>
  </si>
  <si>
    <t>바로환전202406250000000321//수지 (외화예금)</t>
  </si>
  <si>
    <t>바로환전202406250000000234//수지 (외화예금)</t>
  </si>
  <si>
    <t>(사)대한화학회 | 대학화학회 후원금//수지 (인터넷출금이체)</t>
  </si>
  <si>
    <t>주식회사 이지켐 | 자동차세//수지 (인터넷출금이체)</t>
  </si>
  <si>
    <t>롯손합0602//임베디 (CMS 공동)</t>
  </si>
  <si>
    <t>KB손03206//임베디 (CMS 공동)</t>
  </si>
  <si>
    <t>셀비온//하나은행 (전자금융)</t>
  </si>
  <si>
    <t>기프트인포(주) | 쇼핑백50%잔금//수지 (인터넷출금이체)</t>
  </si>
  <si>
    <t>(주)큐어버스//하나은행 (전자금융)</t>
  </si>
  <si>
    <t>서라벌과학//신한은행 (전자금융)</t>
  </si>
  <si>
    <t>베스핀글로벌(주) | AWS_6월//수지 (인터넷출금이체)</t>
  </si>
  <si>
    <t>베스핀글로벌(주) | AWS_5월//수지 (인터넷출금이체)</t>
  </si>
  <si>
    <t>베스핀글로벌(주) | AWS_4월//수지 (인터넷출금이체)</t>
  </si>
  <si>
    <t>베스핀글로벌(주) | AWS_3월//수지 (인터넷출금이체)</t>
  </si>
  <si>
    <t>경대산단물품//아이엠뱅 (전자금융)</t>
  </si>
  <si>
    <t>이자세금:6,610원//수지 (결산이자)</t>
  </si>
  <si>
    <t>이종국항암 천연//신한은행 (전자금융)</t>
  </si>
  <si>
    <t>일릭사파마텍//신한은행 (전자금융)</t>
  </si>
  <si>
    <t>조남형 | 웹사이트추가개발//수지 (인터넷출금이체)</t>
  </si>
  <si>
    <t>(주)켐온싸이언스//대덕테 (인터넷입금이체)</t>
  </si>
  <si>
    <t>삼성화06035//임베디 (CMS 공동)</t>
  </si>
  <si>
    <t>종현식 | CJ택배_5월//수지 (인터넷출금이체)</t>
  </si>
  <si>
    <t>(주)웰진 | 국내제품구입//수지 (인터넷출금이체)</t>
  </si>
  <si>
    <t>중부작물부//수신상 (국고이체)</t>
  </si>
  <si>
    <t>옥형수(에이치비에스)//위례 (스마트입금)</t>
  </si>
  <si>
    <t>티씨노바이오사이언스//우리은행 (전자금융)</t>
  </si>
  <si>
    <t>(주)프레이저테라퓨//우리은행 (전자금융)</t>
  </si>
  <si>
    <t>BLD송금수수료//수지 (대체출금)</t>
  </si>
  <si>
    <t>주식회 펠레메드//신한은행 (전자금융)</t>
  </si>
  <si>
    <t>FX결제출금64972405030001//수지 (대체출금)</t>
  </si>
  <si>
    <t>(주)용현 | 용현월세_5월//수지 (인터넷출금이체)</t>
  </si>
  <si>
    <t>주식회사 코레이즈홀 | UTM장비임대료_5월//수지 (인터넷출금이체)</t>
  </si>
  <si>
    <t>포랩 전관하//우리은행 (전자금융)</t>
  </si>
  <si>
    <t>조성도(참조은관리) | 주차비용현_5월//수지 (인터넷출금이체)</t>
  </si>
  <si>
    <t>FISHER SCI//한국씨티 (전자금융)</t>
  </si>
  <si>
    <t>주식회사 한국이러닝 | 법정의무교육(면세)//수지 (인터넷출금이체)</t>
  </si>
  <si>
    <t>대일관리시스템 주식 | 용현관리비_5월//수지 (인터넷출금이체)</t>
  </si>
  <si>
    <t>고대임상혁//하나은행 (전자금융)</t>
  </si>
  <si>
    <t>롯손합0502//임베디 (CMS 공동)</t>
  </si>
  <si>
    <t>KB손03105//임베디 (CMS 공동)</t>
  </si>
  <si>
    <t>KT0216119306//(펌이체)</t>
  </si>
  <si>
    <t>KT통신요금06//(펌이체)</t>
  </si>
  <si>
    <t>배당금//카카오뱅크 (인터넷)</t>
  </si>
  <si>
    <t>배당금//국민은행 (인터넷)</t>
  </si>
  <si>
    <t>배당금//우리은행 (인터넷)</t>
  </si>
  <si>
    <t>고용보험2405//(펌이체)</t>
  </si>
  <si>
    <t>산재보험2405//(펌이체)</t>
  </si>
  <si>
    <t>국민연금2405//(펌이체)</t>
  </si>
  <si>
    <t>국민건강2405//(펌이체)</t>
  </si>
  <si>
    <t>중진공_내일채움//우리은행 (타행이체)</t>
  </si>
  <si>
    <t>직원경조사（김지연조//기업은행 (인터넷)</t>
  </si>
  <si>
    <t>이자-32-00124 다음납입예정일-20240628//(CC)</t>
  </si>
  <si>
    <t>KT0216119305//(펌이체)</t>
  </si>
  <si>
    <t>KT통신요금05//(펌이체)</t>
  </si>
  <si>
    <t>C1502</t>
  </si>
  <si>
    <t>Agoda_NICE</t>
  </si>
  <si>
    <t>C1503</t>
  </si>
  <si>
    <t>제주항공-(주)제주항공</t>
  </si>
  <si>
    <t>RIEKE_METALS</t>
  </si>
  <si>
    <t>DB손해보험(주)-028001962024</t>
  </si>
  <si>
    <t>C0903</t>
  </si>
  <si>
    <t>C1504</t>
  </si>
  <si>
    <t>아스티호텔_주식회사</t>
  </si>
  <si>
    <t>C1605</t>
  </si>
  <si>
    <t>(주)이춘복참치 광교점</t>
  </si>
  <si>
    <t>송가네막국수</t>
  </si>
  <si>
    <t>에이치카페&amp;디저트</t>
  </si>
  <si>
    <t>DROPBOX*6M8XCYMGPZK7</t>
  </si>
  <si>
    <t>더몰트하우스 광교</t>
  </si>
  <si>
    <t>이니시스(일반)-(주)잡코리아</t>
  </si>
  <si>
    <t>C0812</t>
  </si>
  <si>
    <t>(주)교보문고</t>
  </si>
  <si>
    <t>주식회사생어거스틴아브뉴프랑광교</t>
  </si>
  <si>
    <t>#KT통_04월-**32-5725</t>
  </si>
  <si>
    <t>#KT통_03월-**32-5725</t>
  </si>
  <si>
    <t>#KT통_05월-**32-5725</t>
  </si>
  <si>
    <t>#SKT_03월-**10-4336</t>
  </si>
  <si>
    <t>옥된장(상현점)</t>
  </si>
  <si>
    <t>청담피자_광교점</t>
  </si>
  <si>
    <t>우당한우</t>
  </si>
  <si>
    <t>수복삼계탕_광교점</t>
  </si>
  <si>
    <t>기요항_부산역점</t>
  </si>
  <si>
    <t>베데스다(Bethesda)</t>
  </si>
  <si>
    <t>심가네 참숯 민물장어</t>
  </si>
  <si>
    <t>한일축산</t>
  </si>
  <si>
    <t>(유)임호유통</t>
  </si>
  <si>
    <t>갈매기샌드</t>
  </si>
  <si>
    <t>성안주유소</t>
  </si>
  <si>
    <t>서울만남의광장주유소</t>
  </si>
  <si>
    <t>안성부산주유소</t>
  </si>
  <si>
    <t>삼백돈돈가츠(광교점)</t>
  </si>
  <si>
    <t>양산도_광교점</t>
  </si>
  <si>
    <t>삼백식당</t>
  </si>
  <si>
    <t>기흥서일주유소</t>
  </si>
  <si>
    <t>옴레스토랑광교점</t>
  </si>
  <si>
    <t>호정한정식</t>
  </si>
  <si>
    <t>금커피_별빙수_광교점</t>
  </si>
  <si>
    <t>정관장신현점</t>
  </si>
  <si>
    <t>둔전셀프주유소</t>
  </si>
  <si>
    <t>수원고속주유소</t>
  </si>
  <si>
    <t>서창산업(주)용인(강릉방향)주유소</t>
  </si>
  <si>
    <t>유가네닭갈비_광교점</t>
  </si>
  <si>
    <t>스피드메이트오창IC점</t>
  </si>
  <si>
    <t>한마음정육식당</t>
  </si>
  <si>
    <t>나서방샤브샤브칼국수</t>
  </si>
  <si>
    <t>역북집광교점</t>
  </si>
  <si>
    <t>서울보증보험(주)_마포지점_온라인</t>
  </si>
  <si>
    <t>C0904</t>
  </si>
  <si>
    <t>(주)하나자동차공업사</t>
  </si>
  <si>
    <t>금커피별빙수광교점</t>
  </si>
  <si>
    <t>오창IC만남주유소</t>
  </si>
  <si>
    <t>로코코플라워</t>
  </si>
  <si>
    <t>법무법인다산</t>
  </si>
  <si>
    <t>(주)이랜드이츠_애슐리퀸즈_광교아브뉴프</t>
  </si>
  <si>
    <t>케이티알파-(주)케이티알파</t>
  </si>
  <si>
    <t>주식회사 에이치엘와이</t>
  </si>
  <si>
    <t>형제네한식뷔페</t>
  </si>
  <si>
    <t>(사)금융결제원/전자수입인지</t>
  </si>
  <si>
    <t>주심유황참숯가마</t>
  </si>
  <si>
    <t>카츠강</t>
  </si>
  <si>
    <t>조선부뚜막_광교법조타운점</t>
  </si>
  <si>
    <t>조선부뚜막 광교법조타운점</t>
  </si>
  <si>
    <t>더 돈까스</t>
  </si>
  <si>
    <t>포아이니 광교점</t>
  </si>
  <si>
    <t>수복삼계탕 광교점</t>
  </si>
  <si>
    <t>삼청동샤브_앨리웨이광교점</t>
  </si>
  <si>
    <t>짬뽕지존길동점</t>
  </si>
  <si>
    <t>명품설렁탕</t>
  </si>
  <si>
    <t>마포고기촌 광교본점</t>
  </si>
  <si>
    <t>오창손세차장</t>
  </si>
  <si>
    <t>(주)인앤아웃_충주(창원)휴게소</t>
  </si>
  <si>
    <t>혜화어묵당_광교법조타운점</t>
  </si>
  <si>
    <t>수유리우동집_광교법조타운점</t>
  </si>
  <si>
    <t>수유리우동집 광교법조타운점</t>
  </si>
  <si>
    <t>금커피 별빙수 광교점</t>
  </si>
  <si>
    <t>투썸플레이스인천공항2터미널서편</t>
  </si>
  <si>
    <t>옐로우팜_광교직영점</t>
  </si>
  <si>
    <t>방태막국수 광교법조타운점</t>
  </si>
  <si>
    <t>떡볶이르블랑&amp;디저트르라바</t>
  </si>
  <si>
    <t>던킨도너츠_수원컨벤션센터점</t>
  </si>
  <si>
    <t>노브랜드버거_상현역점</t>
  </si>
  <si>
    <t>재벌집광교상현점</t>
  </si>
  <si>
    <t>광교앨리웨이밀도</t>
  </si>
  <si>
    <t>스타벅스코리아_상품권</t>
  </si>
  <si>
    <t>큰맘할매순대부흥점</t>
  </si>
  <si>
    <t>요아정_상현점</t>
  </si>
  <si>
    <t>수제비주는_제육이와짜글이</t>
  </si>
  <si>
    <t>옐로우팜 광교직영점</t>
  </si>
  <si>
    <t>카페게이트 광교법조타운점</t>
  </si>
  <si>
    <t>포아이니_광교점</t>
  </si>
  <si>
    <t>한국맥도날드(유)_부산초량DT점</t>
  </si>
  <si>
    <t>샐러데이즈 광교법조타운</t>
  </si>
  <si>
    <t>(주)이마트에브리데이 광교하동점</t>
  </si>
  <si>
    <t>유기농(ORGANIC)쏘새우_김밥&amp;</t>
  </si>
  <si>
    <t>인터넷상거래-아성다이소</t>
  </si>
  <si>
    <t>후불하이패스11건</t>
  </si>
  <si>
    <t>카페드롭탑국제여객터미널</t>
  </si>
  <si>
    <t>바나프레소광교법조타운점</t>
  </si>
  <si>
    <t>파리바게뜨광교법조타운점</t>
  </si>
  <si>
    <t>도피오커피인킨텍스점</t>
  </si>
  <si>
    <t>아이엠아이</t>
  </si>
  <si>
    <t>(주) 커피빈코리아 광교아브뉴프랑점</t>
  </si>
  <si>
    <t>서울보증보험(주)_용인지점_온라인</t>
  </si>
  <si>
    <t>수복삼계탕광교점</t>
  </si>
  <si>
    <t>이동의즐거움_택시_5</t>
  </si>
  <si>
    <t>서울아산병원장</t>
  </si>
  <si>
    <t>인더비엣광교엘포트점</t>
  </si>
  <si>
    <t>위메프-(주)위메프</t>
  </si>
  <si>
    <t>샐러디_상현역점</t>
  </si>
  <si>
    <t>(주)가비에프앤비</t>
  </si>
  <si>
    <t>포아이니광교호수점</t>
  </si>
  <si>
    <t>이화수전통육개장법조타운광교점</t>
  </si>
  <si>
    <t>스피드메이트대호점</t>
  </si>
  <si>
    <t>던킨도너츠 수원컨벤션센터점</t>
  </si>
  <si>
    <t>프루츠_빌리지</t>
  </si>
  <si>
    <t>파리바게뜨인천공항가든점</t>
  </si>
  <si>
    <t>역전우동0410광교중앙역점</t>
  </si>
  <si>
    <t>속리산청주휴게소</t>
  </si>
  <si>
    <t>카카오모빌리티코엑스주차장</t>
  </si>
  <si>
    <t>사단법인_부산항시설관리센터</t>
  </si>
  <si>
    <t>시흥하늘휴게소</t>
  </si>
  <si>
    <t>세븐일레븐_부산국제여객터미널1호점</t>
  </si>
  <si>
    <t>씨유_광교엘포트1호점</t>
  </si>
  <si>
    <t>한화갤러리아(주)</t>
  </si>
  <si>
    <t>판교우림WCITY</t>
  </si>
  <si>
    <t>휴대폰메시지(승인안내)-03월분</t>
  </si>
  <si>
    <t>SMS이용요금_03월분</t>
  </si>
  <si>
    <t>SMS이용요금_02월분</t>
  </si>
  <si>
    <t>휴대폰메시지(승인안내)-02월분</t>
  </si>
  <si>
    <t>기업_차량연료_할인</t>
  </si>
  <si>
    <t>어린이날 판촉물(수제카라멜)</t>
  </si>
  <si>
    <t>아스티호텔</t>
  </si>
  <si>
    <t>부산약학회_숙박비(방3개,2박)</t>
  </si>
  <si>
    <t>탕비실 간식구매</t>
  </si>
  <si>
    <t>김수연 입사회식</t>
  </si>
  <si>
    <t>(주)호반호텔</t>
  </si>
  <si>
    <t>약품화학분과 숙박</t>
  </si>
  <si>
    <t>와이블랙 결제</t>
  </si>
  <si>
    <t>에이치카페&amp;</t>
  </si>
  <si>
    <t>26건</t>
  </si>
  <si>
    <t>유주임 퇴사송별점심</t>
  </si>
  <si>
    <t>기타운송비</t>
  </si>
  <si>
    <t>더운반 대한약학회 판촉물</t>
  </si>
  <si>
    <t>이정민송별점심</t>
  </si>
  <si>
    <t>（주）잡코리</t>
  </si>
  <si>
    <t>구인공고</t>
  </si>
  <si>
    <t>접대비</t>
  </si>
  <si>
    <t>Chemscene 선물 구입</t>
  </si>
  <si>
    <t>주식회사 지</t>
  </si>
  <si>
    <t>대형프린터 잉크 4색세트 1EA</t>
  </si>
  <si>
    <t>켐신 전윤호대표 저녁</t>
  </si>
  <si>
    <t>덕산갈비푸줏</t>
  </si>
  <si>
    <t>약품화학분과 저녁</t>
  </si>
  <si>
    <t>먹보한우광교</t>
  </si>
  <si>
    <t>대한화학회_회식</t>
  </si>
  <si>
    <t>옥된장(상현</t>
  </si>
  <si>
    <t>결제취소</t>
  </si>
  <si>
    <t>전시회 물품_카달로그 거치대</t>
  </si>
  <si>
    <t>기요항 부산</t>
  </si>
  <si>
    <t>부산약학회_저녁</t>
  </si>
  <si>
    <t>수복삼계탕</t>
  </si>
  <si>
    <t>목요일점심</t>
  </si>
  <si>
    <t>베데스다(Bet</t>
  </si>
  <si>
    <t>(주)케이넷</t>
  </si>
  <si>
    <t>기타금융비용</t>
  </si>
  <si>
    <t>바로빌충전</t>
  </si>
  <si>
    <t>아이스박스</t>
  </si>
  <si>
    <t>부산약학회_직원간식</t>
  </si>
  <si>
    <t>전시회 물품_캐리어</t>
  </si>
  <si>
    <t>A4용지</t>
  </si>
  <si>
    <t>비닐 등 포장재</t>
  </si>
  <si>
    <t>우루루</t>
  </si>
  <si>
    <t>상온박스,지퍼백3종</t>
  </si>
  <si>
    <t>탕비실간식(탄산수, 구운계란, 두유)</t>
  </si>
  <si>
    <t>소독티슈</t>
  </si>
  <si>
    <t>에어캡봉투 2종</t>
  </si>
  <si>
    <t>목요점심</t>
  </si>
  <si>
    <t>에어캡봉투 3종</t>
  </si>
  <si>
    <t>둔전셀프주유</t>
  </si>
  <si>
    <t>SK</t>
  </si>
  <si>
    <t>셀토스 주유</t>
  </si>
  <si>
    <t>동문A주유소</t>
  </si>
  <si>
    <t>셀토스 2837</t>
  </si>
  <si>
    <t>서창산업(주)</t>
  </si>
  <si>
    <t xml:space="preserve">2837 셀토스 </t>
  </si>
  <si>
    <t>오션네트웍스</t>
  </si>
  <si>
    <t>아이스박스 하절기용</t>
  </si>
  <si>
    <t>백청우칼국수</t>
  </si>
  <si>
    <t>견적 기프티콘</t>
  </si>
  <si>
    <t>레인보우브릿</t>
  </si>
  <si>
    <t>(주)미리디</t>
  </si>
  <si>
    <t>홍보 전단지 제작</t>
  </si>
  <si>
    <t>아이스팩-소2박스+대1박스</t>
  </si>
  <si>
    <t>생일자 케잌 &amp; 제과</t>
  </si>
  <si>
    <t>중임등기 관련 공증2건 비용</t>
  </si>
  <si>
    <t>Chemscene 미팅 꽃 구입</t>
  </si>
  <si>
    <t>HK이노엔 미팅선물 구입</t>
  </si>
  <si>
    <t>버거비앤비(B</t>
  </si>
  <si>
    <t>정초밥</t>
  </si>
  <si>
    <t>부산약학회_음료,선물(chemscene)</t>
  </si>
  <si>
    <t>낙원떡집</t>
  </si>
  <si>
    <t>약품화학분과 직원 간식 구매</t>
  </si>
  <si>
    <t>방태막국수</t>
  </si>
  <si>
    <t>경보의 부엌</t>
  </si>
  <si>
    <t>전자수입인지 행정수수료</t>
  </si>
  <si>
    <t>조선부뚜막</t>
  </si>
  <si>
    <t>수유리우동집</t>
  </si>
  <si>
    <t>탕비실,계란,두유</t>
  </si>
  <si>
    <t>75L 종량제 봉투 20매</t>
  </si>
  <si>
    <t>삼청동샤브</t>
  </si>
  <si>
    <t>(주)인앤아웃</t>
  </si>
  <si>
    <t>부산약학회_점심</t>
  </si>
  <si>
    <t>혜화어묵당</t>
  </si>
  <si>
    <t>니트릴장갑</t>
  </si>
  <si>
    <t>종이테이프 40m,25개</t>
  </si>
  <si>
    <t>버거비앤비(BURGERBNB)</t>
  </si>
  <si>
    <t>옐로우팜 광</t>
  </si>
  <si>
    <t>불닭발동대문</t>
  </si>
  <si>
    <t>어린이날 판촉물 샘플</t>
  </si>
  <si>
    <t>중복입력 건</t>
  </si>
  <si>
    <t>던킨도너츠</t>
  </si>
  <si>
    <t>대한화학회_간식</t>
  </si>
  <si>
    <t>커터칼외 비품</t>
  </si>
  <si>
    <t>탕비실간식(탄산수)</t>
  </si>
  <si>
    <t>노브랜드버거</t>
  </si>
  <si>
    <t xml:space="preserve">은박 보냉팩 200장 </t>
  </si>
  <si>
    <t>은박보냉팩(200장)</t>
  </si>
  <si>
    <t>탕비실간식(두유,둥굴레차)</t>
  </si>
  <si>
    <t>탕비실간식(두유,둥굴레차) 문자중복입력</t>
  </si>
  <si>
    <t>택배기사님용 생수구입비</t>
  </si>
  <si>
    <t>usb랜젠더</t>
  </si>
  <si>
    <t>탕비실,탄산수</t>
  </si>
  <si>
    <t>4인식대 분할 결제</t>
  </si>
  <si>
    <t>부산약학회_음료</t>
  </si>
  <si>
    <t>서일석유(주)</t>
  </si>
  <si>
    <t>배너 보관용 화구통</t>
  </si>
  <si>
    <t>요아정 상현</t>
  </si>
  <si>
    <t xml:space="preserve">크라프트 종이박스테이프(50mx20) </t>
  </si>
  <si>
    <t xml:space="preserve">일러스트 사용료 </t>
  </si>
  <si>
    <t>이직연구원기프티콘</t>
  </si>
  <si>
    <t>탕비실간식,두유</t>
  </si>
  <si>
    <t>생일기프티콘(3월 김연희)</t>
  </si>
  <si>
    <t>생일기프티콘(4월 최아련)</t>
  </si>
  <si>
    <t>종량제봉투 75L, 음식물종량제봉투2L</t>
  </si>
  <si>
    <t>병가지원 기프티콘(주소영)</t>
  </si>
  <si>
    <t>한국맥도날드</t>
  </si>
  <si>
    <t>부산약학회_아침</t>
  </si>
  <si>
    <t>쓰레기봉투75L</t>
  </si>
  <si>
    <t>탕비실(탄산수)</t>
  </si>
  <si>
    <t>애플양과점</t>
  </si>
  <si>
    <t>유기농(ORGAN</t>
  </si>
  <si>
    <t>생일기프티콘(3월 이현아)</t>
  </si>
  <si>
    <t>아성다이소</t>
  </si>
  <si>
    <t>전시회 물품_문구</t>
  </si>
  <si>
    <t>필아웃 광교</t>
  </si>
  <si>
    <t>카페드롭탑국</t>
  </si>
  <si>
    <t>간식기프티콘(김신영대래)</t>
  </si>
  <si>
    <t>하이엠솔루텍</t>
  </si>
  <si>
    <t>에어컨정비비용</t>
  </si>
  <si>
    <t>로열 로스터리(Royal Roaste</t>
  </si>
  <si>
    <t>목요일카페</t>
  </si>
  <si>
    <t>탕비실간식(구운계란)</t>
  </si>
  <si>
    <t>탕비실, 구운계란</t>
  </si>
  <si>
    <t>사무용품(포스트잇, 호치키스심등)</t>
  </si>
  <si>
    <t>라벨지</t>
  </si>
  <si>
    <t>파인그로브</t>
  </si>
  <si>
    <t>약품화학분과 커피</t>
  </si>
  <si>
    <t>Chemscene 미팅 다과 구입</t>
  </si>
  <si>
    <t>진1937(GIN1937)</t>
  </si>
  <si>
    <t>보증료</t>
  </si>
  <si>
    <t>대웅입찰 보증보험</t>
  </si>
  <si>
    <t>이동의즐거움</t>
  </si>
  <si>
    <t>대한화학회</t>
  </si>
  <si>
    <t>어린이날 판촉물 샘플구매(북마크,장바구니)</t>
  </si>
  <si>
    <t>AA건전지</t>
  </si>
  <si>
    <t>(주)위메프</t>
  </si>
  <si>
    <t>전시회 물품_A4 꽃이</t>
  </si>
  <si>
    <t>샐러디 상현</t>
  </si>
  <si>
    <t>핸드워시,주방세제</t>
  </si>
  <si>
    <t>제한물질수입신고수수료(d95508)</t>
  </si>
  <si>
    <t>제한물질 신고 수수료</t>
  </si>
  <si>
    <t>티슈</t>
  </si>
  <si>
    <t>스피드메이트</t>
  </si>
  <si>
    <t>전조등 하향(R) 교체</t>
  </si>
  <si>
    <t>어린이날 판촉물 샘플구매(모기퇴치팔찌)</t>
  </si>
  <si>
    <t>전시회 물품_테이블보 보관함</t>
  </si>
  <si>
    <t>티슈(키친타올)</t>
  </si>
  <si>
    <t>배스킨라빈스</t>
  </si>
  <si>
    <t>알엠엠엠(RMM</t>
  </si>
  <si>
    <t>선봉국수</t>
  </si>
  <si>
    <t>약품화학분과 점심</t>
  </si>
  <si>
    <t>판촉물샘플구입</t>
  </si>
  <si>
    <t>전시회 물품_이벤트 도구</t>
  </si>
  <si>
    <t>연돈볼카츠</t>
  </si>
  <si>
    <t>2837 셀토스 세차비</t>
  </si>
  <si>
    <t>세븐일레븐</t>
  </si>
  <si>
    <t>인쇄용 두꺼운A4</t>
  </si>
  <si>
    <t>사단법인 부</t>
  </si>
  <si>
    <t>주차권구입비용</t>
  </si>
  <si>
    <t>부산약학회_전시회주차비</t>
  </si>
  <si>
    <t>약품화학분과 미팅 커피</t>
  </si>
  <si>
    <t>대한화학회_점심</t>
  </si>
  <si>
    <t>불판빌려주는</t>
  </si>
  <si>
    <t>해님빈대떡</t>
  </si>
  <si>
    <t>수은건전지</t>
  </si>
  <si>
    <t>채널코퍼레이</t>
  </si>
  <si>
    <t>코리아바이오파크 관리단</t>
  </si>
  <si>
    <t>A2B CHE</t>
  </si>
  <si>
    <t>e36844,e36845,e36846,e36847</t>
  </si>
  <si>
    <t>판교우림WCIT</t>
  </si>
  <si>
    <t>아이랩 주차료</t>
  </si>
  <si>
    <t>（사）금융결</t>
  </si>
  <si>
    <t>인감증명서</t>
  </si>
  <si>
    <t>c120968</t>
  </si>
  <si>
    <t>d97837</t>
  </si>
  <si>
    <t>미국   RIEKE ME 승인</t>
  </si>
  <si>
    <t>c120527</t>
  </si>
  <si>
    <t>d98679</t>
  </si>
  <si>
    <t>d95118</t>
  </si>
  <si>
    <t>c120553</t>
  </si>
  <si>
    <t>d99070</t>
  </si>
  <si>
    <t>d98167</t>
  </si>
  <si>
    <t>미국   BROADPHA 승인</t>
  </si>
  <si>
    <t>e35371</t>
  </si>
  <si>
    <t>e34621</t>
  </si>
  <si>
    <t>e31576</t>
  </si>
  <si>
    <t>d94685</t>
  </si>
  <si>
    <t>e33725</t>
  </si>
  <si>
    <t>추가결제</t>
  </si>
  <si>
    <t>b119894, d96940</t>
  </si>
  <si>
    <t>d94652</t>
  </si>
  <si>
    <t>b118843</t>
  </si>
  <si>
    <t>d99000</t>
  </si>
  <si>
    <t>b122401</t>
  </si>
  <si>
    <t>d95922</t>
  </si>
  <si>
    <t>주식회사 아 취소</t>
  </si>
  <si>
    <t>명품설렁탕 취소</t>
  </si>
  <si>
    <t>롤링핀광교법 취소</t>
  </si>
  <si>
    <t>피제리아보스 취소</t>
  </si>
  <si>
    <t>종현식 | CJ택배_6월//수지 (인터넷출금이체)</t>
  </si>
  <si>
    <t>식권구매(11장)</t>
  </si>
  <si>
    <t>치비</t>
  </si>
  <si>
    <t>부산대산학협력단 | 시약환불e36390//수지 (인터넷출금이체)</t>
  </si>
  <si>
    <t>고대홍광대//하나은행 (전자금융)</t>
  </si>
  <si>
    <t>06월문자수수료//자금결제부 (문자통지)</t>
  </si>
  <si>
    <t>삼성화07036//임베디 (CMS 공동)</t>
  </si>
  <si>
    <t>배당소득세//수지 (인터넷출금이체)</t>
  </si>
  <si>
    <t>주식회사 트랜스물류 | 퀵비용_6032//수지 (인터넷출금이체)</t>
  </si>
  <si>
    <t>주식회사 트랜스물류 | 퀵비용_4842//수지 (인터넷출금이체)</t>
  </si>
  <si>
    <t>주식회사 트랜스물류 | 퀵비용_5367//수지 (인터넷출금이체)</t>
  </si>
  <si>
    <t>주식회사 트랜스물류 | 퀵비용_2758//수지 (인터넷출금이체)</t>
  </si>
  <si>
    <t>주식회사 트랜스물류 | 퀵비용_0619//수지 (인터넷출금이체)</t>
  </si>
  <si>
    <t>주식회사 트랜스물류 | 퀵비용_0295//수지 (인터넷출금이체)</t>
  </si>
  <si>
    <t>5149바퀴교체</t>
  </si>
  <si>
    <t>오투닭갈비an</t>
  </si>
  <si>
    <t>에이티지코리아(e36086.1,e36087)다마스출고(대전 신월동) /고액주문건</t>
  </si>
  <si>
    <t>아이스박스-하절기용(3kg박스:24개)/(5kg박스:32개)</t>
  </si>
  <si>
    <t>한국생명공학(충북 청주)(d93118,d93460,d93469,d93472)</t>
  </si>
  <si>
    <t>오테이블 광교앨리웨이점</t>
  </si>
  <si>
    <t>상온박스,지퍼백5종</t>
  </si>
  <si>
    <t>놉스 광교아브뉴프랑</t>
  </si>
  <si>
    <t>아이스박스 하절기용 24x3ea</t>
  </si>
  <si>
    <t>아이스팩 소3박스+대1박스</t>
  </si>
  <si>
    <t>한국생산기술연구원(천안) 다마스배송(d97474)</t>
  </si>
  <si>
    <t>이녹스첨단소재(충남아산)(d95369)</t>
  </si>
  <si>
    <t>탕비실간식(탄산수, 두유)</t>
  </si>
  <si>
    <t>고액택배 오토바이 퀵(중앙대 남택준 연구원)(e36844외17종)</t>
  </si>
  <si>
    <t>보냉팩 200장</t>
  </si>
  <si>
    <t>크라프트 종이박스 테이프 20개</t>
  </si>
  <si>
    <t>고액택배 오토바이 퀵(세종대/송재광)(e36668)</t>
  </si>
  <si>
    <t>포장완충재 1개</t>
  </si>
  <si>
    <t>진1937(GIN19</t>
  </si>
  <si>
    <t>고액택배 오토바이 퀵(성균관대/홍다은)(e30250)</t>
  </si>
  <si>
    <t>제한물질신고수수료(c123023)</t>
  </si>
  <si>
    <t>제한물질신고수수료(b124849)</t>
  </si>
  <si>
    <t>이슈 기프티콘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</si>
</sst>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9]yy&quot;-&quot;m&quot;-&quot;d\ h:mm\ AM/PM;@"/>
    <numFmt numFmtId="177" formatCode="0##\-##\-##\-######"/>
    <numFmt numFmtId="178" formatCode="0_ "/>
    <numFmt numFmtId="179" formatCode="#,##0_);[Red]\(#,##0\)"/>
    <numFmt numFmtId="180" formatCode="m/d/yyyy"/>
    <numFmt numFmtId="181" formatCode="0_);[Red]\(0\)"/>
    <numFmt numFmtId="182" formatCode="#,##0_ "/>
    <numFmt numFmtId="183" formatCode="yyyy/mm/dd;@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</fills>
  <borders count="1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8" fontId="0" fillId="0" borderId="0" xfId="0" applyNumberFormat="1">
      <alignment vertical="center"/>
    </xf>
    <xf numFmtId="178" fontId="3" fillId="6" borderId="0" xfId="1" applyNumberFormat="1">
      <alignment vertical="center"/>
    </xf>
    <xf numFmtId="176" fontId="8" fillId="9" borderId="0" xfId="2" applyNumberFormat="1" applyAlignment="1">
      <alignment horizontal="center" vertical="center"/>
    </xf>
    <xf numFmtId="47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9" borderId="0" xfId="2" applyNumberFormat="1" applyAlignment="1">
      <alignment horizontal="center"/>
    </xf>
    <xf numFmtId="179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4" fillId="7" borderId="10" xfId="0" applyNumberFormat="1" applyFont="1" applyFill="1" applyBorder="1">
      <alignment vertical="center"/>
    </xf>
    <xf numFmtId="3" fontId="4" fillId="7" borderId="11" xfId="0" applyNumberFormat="1" applyFont="1" applyFill="1" applyBorder="1">
      <alignment vertical="center"/>
    </xf>
    <xf numFmtId="176" fontId="4" fillId="7" borderId="11" xfId="0" applyNumberFormat="1" applyFont="1" applyFill="1" applyBorder="1">
      <alignment vertical="center"/>
    </xf>
    <xf numFmtId="0" fontId="4" fillId="7" borderId="11" xfId="0" applyFont="1" applyFill="1" applyBorder="1">
      <alignment vertical="center"/>
    </xf>
    <xf numFmtId="179" fontId="10" fillId="7" borderId="11" xfId="0" applyNumberFormat="1" applyFont="1" applyFill="1" applyBorder="1">
      <alignment vertical="center"/>
    </xf>
    <xf numFmtId="0" fontId="4" fillId="7" borderId="12" xfId="0" applyFont="1" applyFill="1" applyBorder="1">
      <alignment vertical="center"/>
    </xf>
    <xf numFmtId="178" fontId="3" fillId="6" borderId="0" xfId="1" applyNumberFormat="1" applyAlignment="1">
      <alignment horizontal="center" vertical="center"/>
    </xf>
    <xf numFmtId="181" fontId="3" fillId="6" borderId="0" xfId="1" applyNumberFormat="1">
      <alignment vertical="center"/>
    </xf>
    <xf numFmtId="176" fontId="11" fillId="11" borderId="0" xfId="4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79" fontId="3" fillId="6" borderId="0" xfId="1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right"/>
    </xf>
    <xf numFmtId="0" fontId="8" fillId="9" borderId="0" xfId="2" applyAlignment="1">
      <alignment horizontal="center" vertical="center"/>
    </xf>
    <xf numFmtId="3" fontId="12" fillId="6" borderId="13" xfId="5" applyNumberFormat="1" applyFill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</cellXfs>
  <cellStyles count="6">
    <cellStyle name="강조색6" xfId="4" builtinId="49"/>
    <cellStyle name="메모" xfId="3" builtinId="10"/>
    <cellStyle name="보통" xfId="1" builtinId="28"/>
    <cellStyle name="좋음" xfId="2" builtinId="26"/>
    <cellStyle name="표준" xfId="0" builtinId="0"/>
    <cellStyle name="하이퍼링크" xfId="5" builtinId="8"/>
  </cellStyles>
  <dxfs count="85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79" formatCode="#,##0_);[Red]\(#,##0\)"/>
      <alignment horizontal="right" vertical="bottom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9" formatCode="#,##0_);[Red]\(#,##0\)"/>
      <fill>
        <patternFill patternType="solid">
          <fgColor theme="4"/>
          <bgColor theme="4"/>
        </patternFill>
      </fill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190500</xdr:rowOff>
    </xdr:from>
    <xdr:to>
      <xdr:col>1</xdr:col>
      <xdr:colOff>333375</xdr:colOff>
      <xdr:row>2</xdr:row>
      <xdr:rowOff>152400</xdr:rowOff>
    </xdr:to>
    <xdr:sp macro="[0]!extractData_ezchemtech_card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DA722D6-716F-483C-9D95-751A18BD3C8F}"/>
            </a:ext>
          </a:extLst>
        </xdr:cNvPr>
        <xdr:cNvSpPr/>
      </xdr:nvSpPr>
      <xdr:spPr>
        <a:xfrm>
          <a:off x="276225" y="1905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C10:Q37" totalsRowShown="0" headerRowDxfId="0" dataDxfId="19" headerRowBorderDxfId="17" tableBorderDxfId="18" totalsRowBorderDxfId="16">
  <autoFilter ref="C10:Q37" xr:uid="{00000000-0009-0000-0100-000001000000}"/>
  <tableColumns count="15">
    <tableColumn id="1" xr3:uid="{00000000-0010-0000-0000-000001000000}" name="요청ID" dataDxfId="15"/>
    <tableColumn id="2" xr3:uid="{00000000-0010-0000-0000-000002000000}" name="결재요청자" dataDxfId="14"/>
    <tableColumn id="3" xr3:uid="{00000000-0010-0000-0000-000003000000}" name="긴급여부" dataDxfId="13"/>
    <tableColumn id="4" xr3:uid="{00000000-0010-0000-0000-000004000000}" name="결재요청구분" dataDxfId="12"/>
    <tableColumn id="5" xr3:uid="{00000000-0010-0000-0000-000005000000}" name="결재요청제목" dataDxfId="11"/>
    <tableColumn id="6" xr3:uid="{00000000-0010-0000-0000-000006000000}" name="결재요청세부내용" dataDxfId="10"/>
    <tableColumn id="7" xr3:uid="{00000000-0010-0000-0000-000007000000}" name="결재라인" dataDxfId="9"/>
    <tableColumn id="8" xr3:uid="{00000000-0010-0000-0000-000008000000}" name="결재 1차" dataDxfId="8"/>
    <tableColumn id="9" xr3:uid="{00000000-0010-0000-0000-000009000000}" name="결재 2차" dataDxfId="7"/>
    <tableColumn id="10" xr3:uid="{00000000-0010-0000-0000-00000A000000}" name="결재 3차" dataDxfId="6"/>
    <tableColumn id="11" xr3:uid="{00000000-0010-0000-0000-00000B000000}" name="제출상태" dataDxfId="5"/>
    <tableColumn id="12" xr3:uid="{00000000-0010-0000-0000-00000C000000}" name="결재요청일" dataDxfId="4"/>
    <tableColumn id="13" xr3:uid="{00000000-0010-0000-0000-00000D000000}" name="진행상황" dataDxfId="3"/>
    <tableColumn id="14" xr3:uid="{00000000-0010-0000-0000-00000E000000}" name="결재결과" dataDxfId="2"/>
    <tableColumn id="15" xr3:uid="{00000000-0010-0000-0000-00000F000000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표3" displayName="표3" ref="A4:M16" totalsRowShown="0">
  <autoFilter ref="A4:M16" xr:uid="{00000000-0009-0000-0100-000003000000}"/>
  <tableColumns count="13">
    <tableColumn id="1" xr3:uid="{00000000-0010-0000-0100-000001000000}" name="년도"/>
    <tableColumn id="2" xr3:uid="{00000000-0010-0000-0100-000002000000}" name="1월"/>
    <tableColumn id="3" xr3:uid="{00000000-0010-0000-0100-000003000000}" name="2월"/>
    <tableColumn id="4" xr3:uid="{00000000-0010-0000-0100-000004000000}" name="3월"/>
    <tableColumn id="5" xr3:uid="{00000000-0010-0000-0100-000005000000}" name="4월"/>
    <tableColumn id="6" xr3:uid="{00000000-0010-0000-0100-000006000000}" name="5월"/>
    <tableColumn id="7" xr3:uid="{00000000-0010-0000-0100-000007000000}" name="6월"/>
    <tableColumn id="8" xr3:uid="{00000000-0010-0000-0100-000008000000}" name="7월"/>
    <tableColumn id="9" xr3:uid="{00000000-0010-0000-0100-000009000000}" name="8월"/>
    <tableColumn id="10" xr3:uid="{00000000-0010-0000-0100-00000A000000}" name="9월"/>
    <tableColumn id="11" xr3:uid="{00000000-0010-0000-0100-00000B000000}" name="10월"/>
    <tableColumn id="12" xr3:uid="{00000000-0010-0000-0100-00000C000000}" name="11월"/>
    <tableColumn id="13" xr3:uid="{00000000-0010-0000-0100-00000D00000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표2" displayName="표2" ref="O4:AA14" totalsRowShown="0" headerRowDxfId="84" headerRowBorderDxfId="83" tableBorderDxfId="82">
  <autoFilter ref="O4:AA14" xr:uid="{00000000-0009-0000-0100-000002000000}"/>
  <tableColumns count="13">
    <tableColumn id="1" xr3:uid="{00000000-0010-0000-0200-000001000000}" name="년도"/>
    <tableColumn id="2" xr3:uid="{00000000-0010-0000-0200-000002000000}" name="1월" dataDxfId="81"/>
    <tableColumn id="3" xr3:uid="{00000000-0010-0000-0200-000003000000}" name="2월" dataDxfId="80"/>
    <tableColumn id="4" xr3:uid="{00000000-0010-0000-0200-000004000000}" name="3월" dataDxfId="79"/>
    <tableColumn id="5" xr3:uid="{00000000-0010-0000-0200-000005000000}" name="4월" dataDxfId="78"/>
    <tableColumn id="6" xr3:uid="{00000000-0010-0000-0200-000006000000}" name="5월" dataDxfId="77"/>
    <tableColumn id="7" xr3:uid="{00000000-0010-0000-0200-000007000000}" name="6월" dataDxfId="76"/>
    <tableColumn id="8" xr3:uid="{00000000-0010-0000-0200-000008000000}" name="7월" dataDxfId="75"/>
    <tableColumn id="9" xr3:uid="{00000000-0010-0000-0200-000009000000}" name="8월" dataDxfId="74"/>
    <tableColumn id="10" xr3:uid="{00000000-0010-0000-0200-00000A000000}" name="9월" dataDxfId="73"/>
    <tableColumn id="11" xr3:uid="{00000000-0010-0000-0200-00000B000000}" name="10월" dataDxfId="72"/>
    <tableColumn id="12" xr3:uid="{00000000-0010-0000-0200-00000C000000}" name="11월" dataDxfId="71"/>
    <tableColumn id="13" xr3:uid="{00000000-0010-0000-0200-00000D000000}" name="12월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표4" displayName="표4" ref="O23:AA31" totalsRowShown="0" headerRowDxfId="69" dataDxfId="67" headerRowBorderDxfId="68" tableBorderDxfId="66" totalsRowBorderDxfId="65">
  <autoFilter ref="O23:AA31" xr:uid="{00000000-0009-0000-0100-000004000000}"/>
  <tableColumns count="13">
    <tableColumn id="1" xr3:uid="{00000000-0010-0000-0300-000001000000}" name="년도" dataDxfId="64"/>
    <tableColumn id="2" xr3:uid="{00000000-0010-0000-0300-000002000000}" name="1월" dataDxfId="63"/>
    <tableColumn id="3" xr3:uid="{00000000-0010-0000-0300-000003000000}" name="2월" dataDxfId="62"/>
    <tableColumn id="4" xr3:uid="{00000000-0010-0000-0300-000004000000}" name="3월" dataDxfId="61"/>
    <tableColumn id="5" xr3:uid="{00000000-0010-0000-0300-000005000000}" name="4월" dataDxfId="60"/>
    <tableColumn id="6" xr3:uid="{00000000-0010-0000-0300-000006000000}" name="5월" dataDxfId="59"/>
    <tableColumn id="7" xr3:uid="{00000000-0010-0000-0300-000007000000}" name="6월" dataDxfId="58"/>
    <tableColumn id="8" xr3:uid="{00000000-0010-0000-0300-000008000000}" name="7월" dataDxfId="57"/>
    <tableColumn id="9" xr3:uid="{00000000-0010-0000-0300-000009000000}" name="8월" dataDxfId="56"/>
    <tableColumn id="10" xr3:uid="{00000000-0010-0000-0300-00000A000000}" name="9월" dataDxfId="55"/>
    <tableColumn id="11" xr3:uid="{00000000-0010-0000-0300-00000B000000}" name="10월" dataDxfId="54"/>
    <tableColumn id="12" xr3:uid="{00000000-0010-0000-0300-00000C000000}" name="11월" dataDxfId="53"/>
    <tableColumn id="13" xr3:uid="{00000000-0010-0000-0300-00000D000000}" name="12월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표5" displayName="표5" ref="A4:D21" totalsRowShown="0" headerRowDxfId="51">
  <autoFilter ref="A4:D21" xr:uid="{00000000-0009-0000-0100-000005000000}"/>
  <tableColumns count="4">
    <tableColumn id="1" xr3:uid="{00000000-0010-0000-0400-000001000000}" name="계좌번호" dataDxfId="50"/>
    <tableColumn id="2" xr3:uid="{00000000-0010-0000-0400-000002000000}" name="잔액" dataDxfId="49"/>
    <tableColumn id="3" xr3:uid="{00000000-0010-0000-0400-000003000000}" name="거래일시" dataDxfId="48"/>
    <tableColumn id="4" xr3:uid="{00000000-0010-0000-0400-000004000000}" name="적요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표6" displayName="표6" ref="A23:H600" totalsRowShown="0">
  <autoFilter ref="A23:H600" xr:uid="{00000000-0009-0000-0100-000006000000}">
    <filterColumn colId="2">
      <filters>
        <dateGroupItem year="2024" month="3" dateTimeGrouping="month"/>
      </filters>
    </filterColumn>
  </autoFilter>
  <sortState xmlns:xlrd2="http://schemas.microsoft.com/office/spreadsheetml/2017/richdata2" ref="A24:H39">
    <sortCondition descending="1" ref="C23:C600"/>
  </sortState>
  <tableColumns count="8">
    <tableColumn id="1" xr3:uid="{00000000-0010-0000-0500-000001000000}" name="seq" dataDxfId="47"/>
    <tableColumn id="2" xr3:uid="{00000000-0010-0000-0500-000002000000}" name="거래일시" dataDxfId="46"/>
    <tableColumn id="3" xr3:uid="{00000000-0010-0000-0500-000003000000}" name="거래일자" dataDxfId="45"/>
    <tableColumn id="4" xr3:uid="{00000000-0010-0000-0500-000004000000}" name="거래구분"/>
    <tableColumn id="5" xr3:uid="{00000000-0010-0000-0500-000005000000}" name="입금액" dataDxfId="44"/>
    <tableColumn id="6" xr3:uid="{00000000-0010-0000-0500-000006000000}" name="출금액" dataDxfId="43"/>
    <tableColumn id="7" xr3:uid="{00000000-0010-0000-0500-000007000000}" name="잔액" dataDxfId="42"/>
    <tableColumn id="8" xr3:uid="{00000000-0010-0000-0500-000008000000}" name="적요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표8" displayName="표8" ref="A602:H2673" totalsRowShown="0" headerRowDxfId="41" headerRowBorderDxfId="40" tableBorderDxfId="39">
  <autoFilter ref="A602:H2673" xr:uid="{00000000-0009-0000-0100-000008000000}">
    <filterColumn colId="2">
      <filters>
        <dateGroupItem year="2024" month="3" dateTimeGrouping="month"/>
      </filters>
    </filterColumn>
  </autoFilter>
  <sortState xmlns:xlrd2="http://schemas.microsoft.com/office/spreadsheetml/2017/richdata2" ref="A603:H640">
    <sortCondition descending="1" ref="F602:F2660"/>
  </sortState>
  <tableColumns count="8">
    <tableColumn id="1" xr3:uid="{00000000-0010-0000-0600-000001000000}" name="seq" dataDxfId="38"/>
    <tableColumn id="2" xr3:uid="{00000000-0010-0000-0600-000002000000}" name="거래일시" dataDxfId="37"/>
    <tableColumn id="3" xr3:uid="{00000000-0010-0000-0600-000003000000}" name="거래일자" dataDxfId="36"/>
    <tableColumn id="4" xr3:uid="{00000000-0010-0000-0600-000004000000}" name="거래구분"/>
    <tableColumn id="5" xr3:uid="{00000000-0010-0000-0600-000005000000}" name="입금액" dataDxfId="35"/>
    <tableColumn id="6" xr3:uid="{00000000-0010-0000-0600-000006000000}" name="출금액" dataDxfId="34"/>
    <tableColumn id="7" xr3:uid="{00000000-0010-0000-0600-000007000000}" name="잔액" dataDxfId="33"/>
    <tableColumn id="8" xr3:uid="{00000000-0010-0000-0600-000008000000}" name="적요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F4:G7" totalsRowShown="0" headerRowDxfId="32" dataDxfId="31">
  <autoFilter ref="F4:G7" xr:uid="{00000000-0009-0000-0100-00000A000000}"/>
  <tableColumns count="2">
    <tableColumn id="1" xr3:uid="{00000000-0010-0000-0700-000001000000}" name="월" dataDxfId="30"/>
    <tableColumn id="2" xr3:uid="{00000000-0010-0000-0700-000002000000}" name="월어음합산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표7" displayName="표7" ref="A23:I4999" totalsRowShown="0">
  <autoFilter ref="A23:I4999" xr:uid="{00000000-0009-0000-0100-000007000000}">
    <filterColumn colId="0">
      <filters>
        <filter val="국민5699"/>
        <filter val="현대1308"/>
        <filter val="현대6003"/>
        <filter val="현대6605"/>
        <filter val="현대9603"/>
      </filters>
    </filterColumn>
    <filterColumn colId="1">
      <filters>
        <dateGroupItem year="2024" dateTimeGrouping="year"/>
      </filters>
    </filterColumn>
    <filterColumn colId="2">
      <customFilters>
        <customFilter operator="greaterThanOrEqual" val="100000"/>
      </customFilters>
    </filterColumn>
  </autoFilter>
  <sortState xmlns:xlrd2="http://schemas.microsoft.com/office/spreadsheetml/2017/richdata2" ref="A32:I584">
    <sortCondition descending="1" ref="B23:B4999"/>
  </sortState>
  <tableColumns count="9">
    <tableColumn id="1" xr3:uid="{00000000-0010-0000-0800-000001000000}" name="카드번호"/>
    <tableColumn id="2" xr3:uid="{00000000-0010-0000-0800-000002000000}" name="승인일자" dataDxfId="28"/>
    <tableColumn id="3" xr3:uid="{00000000-0010-0000-0800-000003000000}" name="실청구액" dataDxfId="27"/>
    <tableColumn id="4" xr3:uid="{00000000-0010-0000-0800-000004000000}" name="가맹점명"/>
    <tableColumn id="5" xr3:uid="{00000000-0010-0000-0800-000005000000}" name="계좌출금일" dataDxfId="26"/>
    <tableColumn id="6" xr3:uid="{00000000-0010-0000-0800-000006000000}" name="이용구분" dataDxfId="25"/>
    <tableColumn id="7" xr3:uid="{00000000-0010-0000-0800-000007000000}" name="현지화폐"/>
    <tableColumn id="8" xr3:uid="{00000000-0010-0000-0800-000008000000}" name="현지금액"/>
    <tableColumn id="9" xr3:uid="{00000000-0010-0000-0800-000009000000}" name="분류코드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표9" displayName="표9" ref="A5001:K7935" totalsRowShown="0">
  <autoFilter ref="A5001:K7935" xr:uid="{00000000-0009-0000-0100-000009000000}">
    <filterColumn colId="0">
      <filters>
        <dateGroupItem year="2024" month="3" dateTimeGrouping="month"/>
      </filters>
    </filterColumn>
    <filterColumn colId="5">
      <customFilters>
        <customFilter operator="greaterThanOrEqual" val="100000"/>
      </customFilters>
    </filterColumn>
  </autoFilter>
  <sortState xmlns:xlrd2="http://schemas.microsoft.com/office/spreadsheetml/2017/richdata2" ref="A5003:K5099">
    <sortCondition descending="1" ref="A5001:A7935"/>
  </sortState>
  <tableColumns count="11">
    <tableColumn id="1" xr3:uid="{00000000-0010-0000-0900-000001000000}" name="사용일자" dataDxfId="24"/>
    <tableColumn id="2" xr3:uid="{00000000-0010-0000-0900-000002000000}" name="카드번호" dataDxfId="23"/>
    <tableColumn id="3" xr3:uid="{00000000-0010-0000-0900-000003000000}" name="취소구분" dataDxfId="22"/>
    <tableColumn id="4" xr3:uid="{00000000-0010-0000-0900-000004000000}" name="사용처"/>
    <tableColumn id="5" xr3:uid="{00000000-0010-0000-0900-000005000000}" name="환구분" dataDxfId="21"/>
    <tableColumn id="6" xr3:uid="{00000000-0010-0000-0900-000006000000}" name="사용금액" dataDxfId="20"/>
    <tableColumn id="7" xr3:uid="{00000000-0010-0000-0900-000007000000}" name="사용자성명"/>
    <tableColumn id="8" xr3:uid="{00000000-0010-0000-0900-000008000000}" name="항목_대분류"/>
    <tableColumn id="9" xr3:uid="{00000000-0010-0000-0900-000009000000}" name="항목_소분류"/>
    <tableColumn id="10" xr3:uid="{00000000-0010-0000-0900-00000A000000}" name="식사인원"/>
    <tableColumn id="11" xr3:uid="{00000000-0010-0000-0900-00000B000000}" name="구매물품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pproval_item"/>
  <dimension ref="C10:Q37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54">
        <v>1</v>
      </c>
      <c r="D11" s="55" t="s">
        <v>46</v>
      </c>
      <c r="E11" s="55" t="s">
        <v>47</v>
      </c>
      <c r="F11" s="55" t="s">
        <v>48</v>
      </c>
      <c r="G11" s="55" t="s">
        <v>48</v>
      </c>
      <c r="H11" s="55" t="s">
        <v>49</v>
      </c>
      <c r="I11" s="56" t="s">
        <v>50</v>
      </c>
      <c r="J11" s="55"/>
      <c r="K11" s="55"/>
      <c r="L11" s="55"/>
      <c r="M11" s="55" t="s">
        <v>51</v>
      </c>
      <c r="N11" s="57">
        <v>44812.465541006946</v>
      </c>
      <c r="O11" s="56" t="s">
        <v>52</v>
      </c>
      <c r="P11" s="56" t="s">
        <v>53</v>
      </c>
      <c r="Q11" s="58"/>
    </row>
    <row r="12" spans="3:17" x14ac:dyDescent="0.3">
      <c r="C12" s="54">
        <v>2</v>
      </c>
      <c r="D12" s="55" t="s">
        <v>50</v>
      </c>
      <c r="E12" s="55" t="s">
        <v>47</v>
      </c>
      <c r="F12" s="55" t="s">
        <v>54</v>
      </c>
      <c r="G12" s="55" t="s">
        <v>55</v>
      </c>
      <c r="H12" s="55" t="s">
        <v>56</v>
      </c>
      <c r="I12" s="56" t="s">
        <v>57</v>
      </c>
      <c r="J12" s="55"/>
      <c r="K12" s="55"/>
      <c r="L12" s="55"/>
      <c r="M12" s="55" t="s">
        <v>51</v>
      </c>
      <c r="N12" s="57">
        <v>44812.466991122688</v>
      </c>
      <c r="O12" s="56" t="s">
        <v>52</v>
      </c>
      <c r="P12" s="56" t="s">
        <v>53</v>
      </c>
      <c r="Q12" s="58"/>
    </row>
    <row r="13" spans="3:17" ht="33" x14ac:dyDescent="0.3">
      <c r="C13" s="54">
        <v>3</v>
      </c>
      <c r="D13" s="55" t="s">
        <v>58</v>
      </c>
      <c r="E13" s="55" t="s">
        <v>47</v>
      </c>
      <c r="F13" s="55" t="s">
        <v>59</v>
      </c>
      <c r="G13" s="55" t="s">
        <v>60</v>
      </c>
      <c r="H13" s="55" t="s">
        <v>61</v>
      </c>
      <c r="I13" s="56" t="s">
        <v>62</v>
      </c>
      <c r="J13" s="55"/>
      <c r="K13" s="55"/>
      <c r="L13" s="55"/>
      <c r="M13" s="55" t="s">
        <v>51</v>
      </c>
      <c r="N13" s="57">
        <v>44819.476358020831</v>
      </c>
      <c r="O13" s="56" t="s">
        <v>52</v>
      </c>
      <c r="P13" s="56" t="s">
        <v>53</v>
      </c>
      <c r="Q13" s="59" t="s">
        <v>63</v>
      </c>
    </row>
    <row r="14" spans="3:17" ht="24.75" customHeight="1" x14ac:dyDescent="0.3">
      <c r="C14" s="54">
        <v>4</v>
      </c>
      <c r="D14" s="55" t="s">
        <v>50</v>
      </c>
      <c r="E14" s="55" t="s">
        <v>47</v>
      </c>
      <c r="F14" s="55" t="s">
        <v>59</v>
      </c>
      <c r="G14" s="55" t="s">
        <v>64</v>
      </c>
      <c r="H14" s="55" t="s">
        <v>65</v>
      </c>
      <c r="I14" s="56" t="s">
        <v>57</v>
      </c>
      <c r="J14" s="55"/>
      <c r="K14" s="55"/>
      <c r="L14" s="55"/>
      <c r="M14" s="55" t="s">
        <v>51</v>
      </c>
      <c r="N14" s="57">
        <v>44823.477082638892</v>
      </c>
      <c r="O14" s="56" t="s">
        <v>52</v>
      </c>
      <c r="P14" s="56" t="s">
        <v>53</v>
      </c>
      <c r="Q14" s="60" t="s">
        <v>66</v>
      </c>
    </row>
    <row r="15" spans="3:17" x14ac:dyDescent="0.3">
      <c r="C15" s="54">
        <v>5</v>
      </c>
      <c r="D15" s="55" t="s">
        <v>50</v>
      </c>
      <c r="E15" s="55" t="s">
        <v>47</v>
      </c>
      <c r="F15" s="55" t="s">
        <v>59</v>
      </c>
      <c r="G15" s="55" t="s">
        <v>67</v>
      </c>
      <c r="H15" s="55" t="s">
        <v>68</v>
      </c>
      <c r="I15" s="56" t="s">
        <v>57</v>
      </c>
      <c r="J15" s="55"/>
      <c r="K15" s="55"/>
      <c r="L15" s="55"/>
      <c r="M15" s="55" t="s">
        <v>51</v>
      </c>
      <c r="N15" s="57">
        <v>44826.423970104166</v>
      </c>
      <c r="O15" s="56" t="s">
        <v>52</v>
      </c>
      <c r="P15" s="56" t="s">
        <v>53</v>
      </c>
      <c r="Q15" s="58" t="s">
        <v>69</v>
      </c>
    </row>
    <row r="16" spans="3:17" x14ac:dyDescent="0.3">
      <c r="C16" s="54">
        <v>6</v>
      </c>
      <c r="D16" s="55" t="s">
        <v>70</v>
      </c>
      <c r="E16" s="55" t="s">
        <v>47</v>
      </c>
      <c r="F16" s="55" t="s">
        <v>59</v>
      </c>
      <c r="G16" s="55" t="s">
        <v>60</v>
      </c>
      <c r="H16" s="55" t="s">
        <v>71</v>
      </c>
      <c r="I16" s="56" t="s">
        <v>62</v>
      </c>
      <c r="J16" s="55"/>
      <c r="K16" s="55"/>
      <c r="L16" s="55"/>
      <c r="M16" s="55" t="s">
        <v>72</v>
      </c>
      <c r="N16" s="57">
        <v>44841.694317013891</v>
      </c>
      <c r="O16" s="56" t="s">
        <v>73</v>
      </c>
      <c r="P16" s="56" t="s">
        <v>74</v>
      </c>
      <c r="Q16" s="58" t="s">
        <v>75</v>
      </c>
    </row>
    <row r="17" spans="3:17" x14ac:dyDescent="0.3">
      <c r="C17" s="54">
        <v>7</v>
      </c>
      <c r="D17" s="55" t="s">
        <v>58</v>
      </c>
      <c r="E17" s="55" t="s">
        <v>47</v>
      </c>
      <c r="F17" s="55" t="s">
        <v>59</v>
      </c>
      <c r="G17" s="55" t="s">
        <v>60</v>
      </c>
      <c r="H17" s="55" t="s">
        <v>76</v>
      </c>
      <c r="I17" s="56" t="s">
        <v>62</v>
      </c>
      <c r="J17" s="55"/>
      <c r="K17" s="55"/>
      <c r="L17" s="55"/>
      <c r="M17" s="55" t="s">
        <v>72</v>
      </c>
      <c r="N17" s="57">
        <v>44845.662641817129</v>
      </c>
      <c r="O17" s="56" t="s">
        <v>73</v>
      </c>
      <c r="P17" s="56" t="s">
        <v>74</v>
      </c>
      <c r="Q17" s="58" t="s">
        <v>75</v>
      </c>
    </row>
    <row r="18" spans="3:17" ht="33" x14ac:dyDescent="0.3">
      <c r="C18" s="54">
        <v>8</v>
      </c>
      <c r="D18" s="55" t="s">
        <v>58</v>
      </c>
      <c r="E18" s="55" t="s">
        <v>47</v>
      </c>
      <c r="F18" s="55" t="s">
        <v>59</v>
      </c>
      <c r="G18" s="55" t="s">
        <v>60</v>
      </c>
      <c r="H18" s="61" t="s">
        <v>77</v>
      </c>
      <c r="I18" s="56" t="s">
        <v>62</v>
      </c>
      <c r="J18" s="55"/>
      <c r="K18" s="55"/>
      <c r="L18" s="55"/>
      <c r="M18" s="55" t="s">
        <v>51</v>
      </c>
      <c r="N18" s="57">
        <v>44848.662412847225</v>
      </c>
      <c r="O18" s="56" t="s">
        <v>52</v>
      </c>
      <c r="P18" s="56" t="s">
        <v>53</v>
      </c>
      <c r="Q18" s="58"/>
    </row>
    <row r="19" spans="3:17" x14ac:dyDescent="0.3">
      <c r="C19" s="54">
        <v>9</v>
      </c>
      <c r="D19" s="55" t="s">
        <v>70</v>
      </c>
      <c r="E19" s="55" t="s">
        <v>47</v>
      </c>
      <c r="F19" s="55" t="s">
        <v>59</v>
      </c>
      <c r="G19" s="55" t="s">
        <v>60</v>
      </c>
      <c r="H19" s="55" t="s">
        <v>78</v>
      </c>
      <c r="I19" s="56" t="s">
        <v>79</v>
      </c>
      <c r="J19" s="55"/>
      <c r="K19" s="55"/>
      <c r="L19" s="55"/>
      <c r="M19" s="55" t="s">
        <v>72</v>
      </c>
      <c r="N19" s="57">
        <v>44848.664164548609</v>
      </c>
      <c r="O19" s="56" t="s">
        <v>73</v>
      </c>
      <c r="P19" s="56" t="s">
        <v>74</v>
      </c>
      <c r="Q19" s="58" t="s">
        <v>80</v>
      </c>
    </row>
    <row r="20" spans="3:17" x14ac:dyDescent="0.3">
      <c r="C20" s="54">
        <v>10</v>
      </c>
      <c r="D20" s="55" t="s">
        <v>70</v>
      </c>
      <c r="E20" s="55" t="s">
        <v>47</v>
      </c>
      <c r="F20" s="55" t="s">
        <v>59</v>
      </c>
      <c r="G20" s="55" t="s">
        <v>60</v>
      </c>
      <c r="H20" s="55" t="s">
        <v>81</v>
      </c>
      <c r="I20" s="56" t="s">
        <v>62</v>
      </c>
      <c r="J20" s="55"/>
      <c r="K20" s="55"/>
      <c r="L20" s="55"/>
      <c r="M20" s="55" t="s">
        <v>51</v>
      </c>
      <c r="N20" s="57">
        <v>44851.473677199072</v>
      </c>
      <c r="O20" s="56" t="s">
        <v>52</v>
      </c>
      <c r="P20" s="56" t="s">
        <v>53</v>
      </c>
      <c r="Q20" s="58"/>
    </row>
    <row r="21" spans="3:17" x14ac:dyDescent="0.3">
      <c r="C21" s="54">
        <v>14</v>
      </c>
      <c r="D21" s="55" t="s">
        <v>50</v>
      </c>
      <c r="E21" s="55" t="s">
        <v>47</v>
      </c>
      <c r="F21" s="55" t="s">
        <v>59</v>
      </c>
      <c r="G21" s="55" t="s">
        <v>60</v>
      </c>
      <c r="H21" s="55" t="s">
        <v>82</v>
      </c>
      <c r="I21" s="56" t="s">
        <v>57</v>
      </c>
      <c r="J21" s="55"/>
      <c r="K21" s="55"/>
      <c r="L21" s="55"/>
      <c r="M21" s="55" t="s">
        <v>51</v>
      </c>
      <c r="N21" s="57">
        <v>44858.57252577546</v>
      </c>
      <c r="O21" s="56" t="s">
        <v>52</v>
      </c>
      <c r="P21" s="56" t="s">
        <v>53</v>
      </c>
      <c r="Q21" s="58" t="s">
        <v>83</v>
      </c>
    </row>
    <row r="22" spans="3:17" x14ac:dyDescent="0.3">
      <c r="C22" s="54">
        <v>15</v>
      </c>
      <c r="D22" s="55" t="s">
        <v>50</v>
      </c>
      <c r="E22" s="55" t="s">
        <v>47</v>
      </c>
      <c r="F22" s="55" t="s">
        <v>59</v>
      </c>
      <c r="G22" s="55" t="s">
        <v>60</v>
      </c>
      <c r="H22" s="55" t="s">
        <v>84</v>
      </c>
      <c r="I22" s="56" t="s">
        <v>57</v>
      </c>
      <c r="J22" s="55"/>
      <c r="K22" s="55"/>
      <c r="L22" s="55"/>
      <c r="M22" s="55" t="s">
        <v>51</v>
      </c>
      <c r="N22" s="57">
        <v>44858.574889849537</v>
      </c>
      <c r="O22" s="56" t="s">
        <v>52</v>
      </c>
      <c r="P22" s="56" t="s">
        <v>53</v>
      </c>
      <c r="Q22" s="58"/>
    </row>
    <row r="23" spans="3:17" x14ac:dyDescent="0.3">
      <c r="C23" s="54">
        <v>17</v>
      </c>
      <c r="D23" s="55" t="s">
        <v>50</v>
      </c>
      <c r="E23" s="55" t="s">
        <v>47</v>
      </c>
      <c r="F23" s="55" t="s">
        <v>59</v>
      </c>
      <c r="G23" s="55" t="s">
        <v>60</v>
      </c>
      <c r="H23" s="55" t="s">
        <v>85</v>
      </c>
      <c r="I23" s="56" t="s">
        <v>57</v>
      </c>
      <c r="J23" s="55"/>
      <c r="K23" s="55"/>
      <c r="L23" s="55"/>
      <c r="M23" s="55" t="s">
        <v>51</v>
      </c>
      <c r="N23" s="57">
        <v>44860.386775312501</v>
      </c>
      <c r="O23" s="56" t="s">
        <v>52</v>
      </c>
      <c r="P23" s="56" t="s">
        <v>53</v>
      </c>
      <c r="Q23" s="58"/>
    </row>
    <row r="24" spans="3:17" x14ac:dyDescent="0.3">
      <c r="C24" s="54">
        <v>18</v>
      </c>
      <c r="D24" s="55" t="s">
        <v>50</v>
      </c>
      <c r="E24" s="55" t="s">
        <v>47</v>
      </c>
      <c r="F24" s="55" t="s">
        <v>59</v>
      </c>
      <c r="G24" s="55" t="s">
        <v>60</v>
      </c>
      <c r="H24" s="55" t="s">
        <v>86</v>
      </c>
      <c r="I24" s="56" t="s">
        <v>57</v>
      </c>
      <c r="J24" s="55"/>
      <c r="K24" s="55"/>
      <c r="L24" s="55"/>
      <c r="M24" s="55" t="s">
        <v>51</v>
      </c>
      <c r="N24" s="57">
        <v>44865.589230902777</v>
      </c>
      <c r="O24" s="56" t="s">
        <v>52</v>
      </c>
      <c r="P24" s="56" t="s">
        <v>53</v>
      </c>
      <c r="Q24" s="58"/>
    </row>
    <row r="25" spans="3:17" x14ac:dyDescent="0.3">
      <c r="C25" s="54">
        <v>19</v>
      </c>
      <c r="D25" s="55" t="s">
        <v>70</v>
      </c>
      <c r="E25" s="55" t="s">
        <v>47</v>
      </c>
      <c r="F25" s="55" t="s">
        <v>59</v>
      </c>
      <c r="G25" s="55" t="s">
        <v>60</v>
      </c>
      <c r="H25" s="55" t="s">
        <v>87</v>
      </c>
      <c r="I25" s="56" t="s">
        <v>62</v>
      </c>
      <c r="J25" s="55"/>
      <c r="K25" s="55"/>
      <c r="L25" s="55"/>
      <c r="M25" s="55" t="s">
        <v>51</v>
      </c>
      <c r="N25" s="57">
        <v>44880.446590821761</v>
      </c>
      <c r="O25" s="56" t="s">
        <v>52</v>
      </c>
      <c r="P25" s="56" t="s">
        <v>53</v>
      </c>
      <c r="Q25" s="58"/>
    </row>
    <row r="26" spans="3:17" x14ac:dyDescent="0.3">
      <c r="C26" s="54">
        <v>20</v>
      </c>
      <c r="D26" s="55" t="s">
        <v>70</v>
      </c>
      <c r="E26" s="55" t="s">
        <v>47</v>
      </c>
      <c r="F26" s="55" t="s">
        <v>59</v>
      </c>
      <c r="G26" s="55" t="s">
        <v>60</v>
      </c>
      <c r="H26" s="55" t="s">
        <v>88</v>
      </c>
      <c r="I26" s="56" t="s">
        <v>62</v>
      </c>
      <c r="J26" s="55"/>
      <c r="K26" s="55"/>
      <c r="L26" s="55"/>
      <c r="M26" s="55" t="s">
        <v>51</v>
      </c>
      <c r="N26" s="57">
        <v>44964.481629895832</v>
      </c>
      <c r="O26" s="56" t="s">
        <v>52</v>
      </c>
      <c r="P26" s="56" t="s">
        <v>53</v>
      </c>
      <c r="Q26" s="58"/>
    </row>
    <row r="27" spans="3:17" x14ac:dyDescent="0.3">
      <c r="C27" s="54">
        <v>21</v>
      </c>
      <c r="D27" s="55" t="s">
        <v>58</v>
      </c>
      <c r="E27" s="55" t="s">
        <v>47</v>
      </c>
      <c r="F27" s="55" t="s">
        <v>59</v>
      </c>
      <c r="G27" s="55" t="s">
        <v>60</v>
      </c>
      <c r="H27" s="55" t="s">
        <v>89</v>
      </c>
      <c r="I27" s="56" t="s">
        <v>62</v>
      </c>
      <c r="J27" s="55"/>
      <c r="K27" s="55"/>
      <c r="L27" s="55"/>
      <c r="M27" s="55" t="s">
        <v>51</v>
      </c>
      <c r="N27" s="57">
        <v>44970.603333252315</v>
      </c>
      <c r="O27" s="56" t="s">
        <v>52</v>
      </c>
      <c r="P27" s="56" t="s">
        <v>53</v>
      </c>
      <c r="Q27" s="58"/>
    </row>
    <row r="28" spans="3:17" x14ac:dyDescent="0.3">
      <c r="C28" s="54"/>
      <c r="D28" s="55"/>
      <c r="E28" s="55"/>
      <c r="F28" s="55"/>
      <c r="G28" s="55"/>
      <c r="H28" s="55"/>
      <c r="I28" s="56"/>
      <c r="J28" s="55"/>
      <c r="K28" s="55"/>
      <c r="L28" s="55"/>
      <c r="M28" s="55"/>
      <c r="N28" s="56"/>
      <c r="O28" s="56"/>
      <c r="P28" s="56"/>
      <c r="Q28" s="58"/>
    </row>
    <row r="29" spans="3:17" x14ac:dyDescent="0.3">
      <c r="C29" s="54"/>
      <c r="D29" s="55"/>
      <c r="E29" s="55"/>
      <c r="F29" s="55"/>
      <c r="G29" s="55"/>
      <c r="H29" s="55"/>
      <c r="I29" s="56"/>
      <c r="J29" s="55"/>
      <c r="K29" s="55"/>
      <c r="L29" s="55"/>
      <c r="M29" s="55"/>
      <c r="N29" s="56"/>
      <c r="O29" s="56"/>
      <c r="P29" s="56"/>
      <c r="Q29" s="58"/>
    </row>
    <row r="30" spans="3:17" x14ac:dyDescent="0.3">
      <c r="C30" s="54"/>
      <c r="D30" s="55"/>
      <c r="E30" s="55"/>
      <c r="F30" s="55"/>
      <c r="G30" s="55"/>
      <c r="H30" s="55"/>
      <c r="I30" s="56"/>
      <c r="J30" s="55"/>
      <c r="K30" s="55"/>
      <c r="L30" s="55"/>
      <c r="M30" s="55"/>
      <c r="N30" s="56"/>
      <c r="O30" s="56"/>
      <c r="P30" s="56"/>
      <c r="Q30" s="58"/>
    </row>
    <row r="31" spans="3:17" x14ac:dyDescent="0.3">
      <c r="C31" s="54"/>
      <c r="D31" s="55"/>
      <c r="E31" s="55"/>
      <c r="F31" s="55"/>
      <c r="G31" s="55"/>
      <c r="H31" s="55"/>
      <c r="I31" s="56"/>
      <c r="J31" s="55"/>
      <c r="K31" s="55"/>
      <c r="L31" s="55"/>
      <c r="M31" s="55"/>
      <c r="N31" s="56"/>
      <c r="O31" s="56"/>
      <c r="P31" s="56"/>
      <c r="Q31" s="58"/>
    </row>
    <row r="32" spans="3:17" x14ac:dyDescent="0.3">
      <c r="C32" s="54"/>
      <c r="D32" s="55"/>
      <c r="E32" s="55"/>
      <c r="F32" s="55"/>
      <c r="G32" s="55"/>
      <c r="H32" s="55"/>
      <c r="I32" s="56"/>
      <c r="J32" s="55"/>
      <c r="K32" s="55"/>
      <c r="L32" s="55"/>
      <c r="M32" s="55"/>
      <c r="N32" s="56"/>
      <c r="O32" s="56"/>
      <c r="P32" s="56"/>
      <c r="Q32" s="58"/>
    </row>
    <row r="33" spans="3:17" x14ac:dyDescent="0.3">
      <c r="C33" s="54"/>
      <c r="D33" s="55"/>
      <c r="E33" s="55"/>
      <c r="F33" s="55"/>
      <c r="G33" s="55"/>
      <c r="H33" s="55"/>
      <c r="I33" s="56"/>
      <c r="J33" s="55"/>
      <c r="K33" s="55"/>
      <c r="L33" s="55"/>
      <c r="M33" s="55"/>
      <c r="N33" s="56"/>
      <c r="O33" s="56"/>
      <c r="P33" s="56"/>
      <c r="Q33" s="58"/>
    </row>
    <row r="34" spans="3:17" x14ac:dyDescent="0.3">
      <c r="C34" s="54"/>
      <c r="D34" s="55"/>
      <c r="E34" s="55"/>
      <c r="F34" s="55"/>
      <c r="G34" s="55"/>
      <c r="H34" s="55"/>
      <c r="I34" s="56"/>
      <c r="J34" s="55"/>
      <c r="K34" s="55"/>
      <c r="L34" s="55"/>
      <c r="M34" s="55"/>
      <c r="N34" s="56"/>
      <c r="O34" s="56"/>
      <c r="P34" s="56"/>
      <c r="Q34" s="58"/>
    </row>
    <row r="35" spans="3:17" x14ac:dyDescent="0.3">
      <c r="C35" s="54"/>
      <c r="D35" s="55"/>
      <c r="E35" s="55"/>
      <c r="F35" s="55"/>
      <c r="G35" s="55"/>
      <c r="H35" s="55"/>
      <c r="I35" s="56"/>
      <c r="J35" s="55"/>
      <c r="K35" s="55"/>
      <c r="L35" s="55"/>
      <c r="M35" s="55"/>
      <c r="N35" s="56"/>
      <c r="O35" s="56"/>
      <c r="P35" s="56"/>
      <c r="Q35" s="58"/>
    </row>
    <row r="36" spans="3:17" x14ac:dyDescent="0.3">
      <c r="C36" s="54"/>
      <c r="D36" s="55"/>
      <c r="E36" s="55"/>
      <c r="F36" s="55"/>
      <c r="G36" s="55"/>
      <c r="H36" s="55"/>
      <c r="I36" s="56"/>
      <c r="J36" s="55"/>
      <c r="K36" s="55"/>
      <c r="L36" s="55"/>
      <c r="M36" s="55"/>
      <c r="N36" s="56"/>
      <c r="O36" s="56"/>
      <c r="P36" s="56"/>
      <c r="Q36" s="58"/>
    </row>
    <row r="37" spans="3:17" x14ac:dyDescent="0.3">
      <c r="C37" s="62"/>
      <c r="D37" s="63"/>
      <c r="E37" s="63"/>
      <c r="F37" s="63"/>
      <c r="G37" s="63"/>
      <c r="H37" s="63"/>
      <c r="I37" s="64"/>
      <c r="J37" s="63"/>
      <c r="K37" s="63"/>
      <c r="L37" s="63"/>
      <c r="M37" s="63"/>
      <c r="N37" s="64"/>
      <c r="O37" s="64"/>
      <c r="P37" s="64"/>
      <c r="Q37" s="65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zchemtech"/>
  <dimension ref="A2:AA31"/>
  <sheetViews>
    <sheetView topLeftCell="B1" workbookViewId="0">
      <selection activeCell="P20" sqref="P20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2" width="12.875" bestFit="1" customWidth="1"/>
    <col min="23" max="23" width="11.375" bestFit="1" customWidth="1"/>
    <col min="24" max="24" width="12.875" bestFit="1" customWidth="1"/>
    <col min="25" max="26" width="11.375" bestFit="1" customWidth="1"/>
    <col min="27" max="27" width="12.875" bestFit="1" customWidth="1"/>
  </cols>
  <sheetData>
    <row r="2" spans="1:27" ht="20.25" x14ac:dyDescent="0.3">
      <c r="A2" s="52" t="s">
        <v>15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</row>
    <row r="3" spans="1:27" x14ac:dyDescent="0.3">
      <c r="A3" s="9" t="s">
        <v>16</v>
      </c>
      <c r="O3" s="8" t="s">
        <v>30</v>
      </c>
    </row>
    <row r="4" spans="1:27" x14ac:dyDescent="0.3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2016</v>
      </c>
      <c r="P5" s="7">
        <v>116253646</v>
      </c>
      <c r="Q5" s="7">
        <v>98907123</v>
      </c>
      <c r="R5" s="7">
        <v>209399418</v>
      </c>
      <c r="S5" s="7">
        <v>176681545</v>
      </c>
      <c r="T5" s="7">
        <v>233242620</v>
      </c>
      <c r="U5" s="7">
        <v>312517260</v>
      </c>
      <c r="V5" s="7"/>
      <c r="W5" s="7">
        <v>268068870</v>
      </c>
      <c r="X5" s="7"/>
      <c r="Y5" s="7">
        <v>147922391</v>
      </c>
      <c r="Z5" s="7">
        <v>310478637</v>
      </c>
      <c r="AA5" s="7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2017</v>
      </c>
      <c r="P6" s="7">
        <v>440131410</v>
      </c>
      <c r="Q6" s="7">
        <v>302405711</v>
      </c>
      <c r="R6" s="7">
        <v>730146702</v>
      </c>
      <c r="S6" s="7">
        <v>237578190</v>
      </c>
      <c r="T6" s="7">
        <v>177395775</v>
      </c>
      <c r="U6" s="7">
        <v>251228057</v>
      </c>
      <c r="V6" s="7">
        <v>446075729</v>
      </c>
      <c r="W6" s="7">
        <v>275607046</v>
      </c>
      <c r="X6" s="7">
        <v>318648613</v>
      </c>
      <c r="Y6" s="7">
        <v>235130473</v>
      </c>
      <c r="Z6" s="7">
        <v>420412209</v>
      </c>
      <c r="AA6" s="7">
        <v>888712970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2018</v>
      </c>
      <c r="P7" s="7">
        <v>303810173</v>
      </c>
      <c r="Q7" s="7">
        <v>282033176</v>
      </c>
      <c r="R7" s="7">
        <v>467558079</v>
      </c>
      <c r="S7" s="7">
        <v>291935930</v>
      </c>
      <c r="T7" s="7">
        <v>257078128</v>
      </c>
      <c r="U7" s="7">
        <v>1112068480</v>
      </c>
      <c r="V7" s="7">
        <v>362365521</v>
      </c>
      <c r="W7" s="7">
        <v>407775733</v>
      </c>
      <c r="X7" s="7">
        <v>236884304</v>
      </c>
      <c r="Y7" s="7">
        <v>446265330</v>
      </c>
      <c r="Z7" s="7">
        <v>400732733</v>
      </c>
      <c r="AA7" s="7">
        <v>207370927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2019</v>
      </c>
      <c r="P8" s="7">
        <v>443044817</v>
      </c>
      <c r="Q8" s="7">
        <v>186288417</v>
      </c>
      <c r="R8" s="7">
        <v>356002857</v>
      </c>
      <c r="S8" s="7">
        <v>633741000</v>
      </c>
      <c r="T8" s="7">
        <v>387761871</v>
      </c>
      <c r="U8" s="7">
        <v>350216996</v>
      </c>
      <c r="V8" s="7">
        <v>544263750</v>
      </c>
      <c r="W8" s="7">
        <v>715737630</v>
      </c>
      <c r="X8" s="7">
        <v>1231880684</v>
      </c>
      <c r="Y8" s="7">
        <v>441080447</v>
      </c>
      <c r="Z8" s="7">
        <v>428505116</v>
      </c>
      <c r="AA8" s="7">
        <v>611521183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2020</v>
      </c>
      <c r="P9" s="7">
        <v>579996191</v>
      </c>
      <c r="Q9" s="7">
        <v>528495930</v>
      </c>
      <c r="R9" s="7">
        <v>620104046</v>
      </c>
      <c r="S9" s="7">
        <v>997191958</v>
      </c>
      <c r="T9" s="7">
        <v>538657922</v>
      </c>
      <c r="U9" s="7">
        <v>703729141</v>
      </c>
      <c r="V9" s="7">
        <v>823035257</v>
      </c>
      <c r="W9" s="7">
        <v>364947416</v>
      </c>
      <c r="X9" s="7">
        <v>793730154</v>
      </c>
      <c r="Y9" s="7">
        <v>504605674</v>
      </c>
      <c r="Z9" s="7">
        <v>471476969</v>
      </c>
      <c r="AA9" s="7">
        <v>408611490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2021</v>
      </c>
      <c r="P10" s="7">
        <v>1059165232</v>
      </c>
      <c r="Q10" s="7">
        <v>421924378</v>
      </c>
      <c r="R10" s="7">
        <v>612478886</v>
      </c>
      <c r="S10" s="7">
        <v>706833656</v>
      </c>
      <c r="T10" s="7">
        <v>394626235</v>
      </c>
      <c r="U10" s="7">
        <v>510571519</v>
      </c>
      <c r="V10" s="7">
        <v>642101988</v>
      </c>
      <c r="W10" s="7">
        <v>428441825</v>
      </c>
      <c r="X10" s="7">
        <v>407296119</v>
      </c>
      <c r="Y10" s="7">
        <v>470779825</v>
      </c>
      <c r="Z10" s="7">
        <v>811485822</v>
      </c>
      <c r="AA10" s="7">
        <v>566389342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2022</v>
      </c>
      <c r="P11" s="7">
        <v>481043739</v>
      </c>
      <c r="Q11" s="7">
        <v>535155379</v>
      </c>
      <c r="R11" s="7">
        <v>467062832</v>
      </c>
      <c r="S11" s="7">
        <v>567036959</v>
      </c>
      <c r="T11" s="7">
        <v>721431630</v>
      </c>
      <c r="U11" s="7">
        <v>533081106</v>
      </c>
      <c r="V11" s="7">
        <v>507519560</v>
      </c>
      <c r="W11" s="7">
        <v>543770381</v>
      </c>
      <c r="X11" s="7">
        <v>556713645</v>
      </c>
      <c r="Y11" s="7">
        <v>518447582</v>
      </c>
      <c r="Z11" s="7">
        <v>594529653</v>
      </c>
      <c r="AA11" s="7">
        <v>433856051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2023</v>
      </c>
      <c r="P12" s="7">
        <v>885811589</v>
      </c>
      <c r="Q12" s="7">
        <v>536121120</v>
      </c>
      <c r="R12" s="7">
        <v>487034972</v>
      </c>
      <c r="S12" s="7">
        <v>478651614</v>
      </c>
      <c r="T12" s="7">
        <v>396705312</v>
      </c>
      <c r="U12" s="7">
        <v>427114018</v>
      </c>
      <c r="V12" s="7">
        <v>492924371</v>
      </c>
      <c r="W12" s="7">
        <v>530109588</v>
      </c>
      <c r="X12" s="7">
        <v>483805581</v>
      </c>
      <c r="Y12" s="7">
        <v>410432262</v>
      </c>
      <c r="Z12" s="7">
        <v>469240484</v>
      </c>
      <c r="AA12" s="7">
        <v>361985809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2024</v>
      </c>
      <c r="P13" s="7">
        <v>415241125</v>
      </c>
      <c r="Q13" s="7">
        <v>457048215</v>
      </c>
      <c r="R13" s="7">
        <v>556530689</v>
      </c>
      <c r="S13" s="7">
        <v>386143025</v>
      </c>
      <c r="T13" s="7">
        <v>326022280</v>
      </c>
      <c r="U13" s="7">
        <v>364341531</v>
      </c>
      <c r="V13" s="7">
        <v>171490870</v>
      </c>
      <c r="W13" s="7"/>
      <c r="X13" s="7"/>
      <c r="Y13" s="7"/>
      <c r="Z13" s="7"/>
      <c r="AA13" s="7"/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998</v>
      </c>
      <c r="E16">
        <v>901</v>
      </c>
      <c r="F16">
        <v>712</v>
      </c>
      <c r="G16">
        <v>728</v>
      </c>
      <c r="H16">
        <v>346</v>
      </c>
    </row>
    <row r="22" spans="15:27" x14ac:dyDescent="0.3">
      <c r="O22" s="8" t="s">
        <v>31</v>
      </c>
    </row>
    <row r="23" spans="15:27" x14ac:dyDescent="0.3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5:27" x14ac:dyDescent="0.3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5:27" x14ac:dyDescent="0.3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5:27" x14ac:dyDescent="0.3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5:27" x14ac:dyDescent="0.3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5:27" x14ac:dyDescent="0.3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5:27" ht="17.25" customHeight="1" x14ac:dyDescent="0.3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5:27" x14ac:dyDescent="0.3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5:27" x14ac:dyDescent="0.3">
      <c r="O31" s="12">
        <v>2024</v>
      </c>
      <c r="P31" s="13">
        <v>219537205</v>
      </c>
      <c r="Q31" s="13">
        <v>249230563</v>
      </c>
      <c r="R31" s="13">
        <v>251740593</v>
      </c>
      <c r="S31" s="13">
        <v>410679771</v>
      </c>
      <c r="T31" s="13">
        <v>288012713</v>
      </c>
      <c r="U31" s="13">
        <v>192461519</v>
      </c>
      <c r="V31" s="13">
        <v>1228819</v>
      </c>
      <c r="W31" s="13"/>
      <c r="X31" s="13"/>
      <c r="Y31" s="13"/>
      <c r="Z31" s="13"/>
      <c r="AA31" s="13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zchemtech_account"/>
  <dimension ref="A3:H2673"/>
  <sheetViews>
    <sheetView topLeftCell="B1" workbookViewId="0">
      <selection activeCell="E27" sqref="E27"/>
    </sheetView>
  </sheetViews>
  <sheetFormatPr defaultRowHeight="16.5" x14ac:dyDescent="0.3"/>
  <cols>
    <col min="1" max="1" width="29" style="22" customWidth="1"/>
    <col min="2" max="2" width="26.875" style="7" customWidth="1"/>
    <col min="3" max="3" width="25.25" style="18" customWidth="1"/>
    <col min="4" max="4" width="44" customWidth="1"/>
    <col min="5" max="5" width="28.125" style="32" customWidth="1"/>
    <col min="6" max="6" width="21.625" style="32" customWidth="1"/>
    <col min="7" max="7" width="28.875" style="32" customWidth="1"/>
    <col min="8" max="8" width="51.875" customWidth="1"/>
  </cols>
  <sheetData>
    <row r="3" spans="1:8" x14ac:dyDescent="0.3">
      <c r="A3" s="27" t="s">
        <v>32</v>
      </c>
      <c r="D3" s="28" t="s">
        <v>708</v>
      </c>
      <c r="F3" s="47" t="s">
        <v>1806</v>
      </c>
    </row>
    <row r="4" spans="1:8" x14ac:dyDescent="0.3">
      <c r="A4" s="21" t="s">
        <v>33</v>
      </c>
      <c r="B4" s="20" t="s">
        <v>34</v>
      </c>
      <c r="C4" s="19" t="s">
        <v>35</v>
      </c>
      <c r="D4" s="17" t="s">
        <v>36</v>
      </c>
      <c r="E4" s="33" t="s">
        <v>37</v>
      </c>
      <c r="F4" s="48" t="s">
        <v>1807</v>
      </c>
      <c r="G4" s="48" t="s">
        <v>1808</v>
      </c>
      <c r="H4" s="50" t="s">
        <v>1809</v>
      </c>
    </row>
    <row r="5" spans="1:8" x14ac:dyDescent="0.3">
      <c r="A5" s="22">
        <v>93300246921001</v>
      </c>
      <c r="B5" s="7">
        <v>100000000</v>
      </c>
      <c r="C5" s="18">
        <v>45166.472916666666</v>
      </c>
      <c r="D5" t="s">
        <v>1829</v>
      </c>
      <c r="E5" s="34">
        <f>SUM(표5[잔액])</f>
        <v>599218998</v>
      </c>
      <c r="F5" s="48">
        <v>7</v>
      </c>
      <c r="G5" s="49">
        <v>259099500</v>
      </c>
      <c r="H5" s="32">
        <f>SUM($E$5,표10[[#This Row],[월어음합산]])</f>
        <v>858318498</v>
      </c>
    </row>
    <row r="6" spans="1:8" x14ac:dyDescent="0.3">
      <c r="A6" s="23">
        <v>6497151870867</v>
      </c>
      <c r="B6" s="24">
        <v>0</v>
      </c>
      <c r="C6" s="25">
        <v>45068.359027777777</v>
      </c>
      <c r="D6" s="26" t="s">
        <v>43</v>
      </c>
      <c r="F6" s="48">
        <v>8</v>
      </c>
      <c r="G6" s="49">
        <v>247800300</v>
      </c>
      <c r="H6" s="32">
        <f>SUM($E$5,G5:G6)</f>
        <v>1106118798</v>
      </c>
    </row>
    <row r="7" spans="1:8" x14ac:dyDescent="0.3">
      <c r="A7" s="22">
        <v>63230104134613</v>
      </c>
      <c r="B7" s="7">
        <v>183517860</v>
      </c>
      <c r="C7" s="18">
        <v>45482.694444444445</v>
      </c>
      <c r="D7" t="s">
        <v>221</v>
      </c>
      <c r="F7" s="48"/>
      <c r="G7" s="49"/>
      <c r="H7" s="32">
        <f>SUM($E$5,$G$5:G7)</f>
        <v>1106118798</v>
      </c>
    </row>
    <row r="8" spans="1:8" x14ac:dyDescent="0.3">
      <c r="A8" s="23">
        <v>3010186198661</v>
      </c>
      <c r="B8" s="24">
        <v>492848</v>
      </c>
      <c r="C8" s="25">
        <v>45284.576111111113</v>
      </c>
      <c r="D8" s="26" t="s">
        <v>39</v>
      </c>
      <c r="E8" s="32" t="s">
        <v>709</v>
      </c>
      <c r="H8" s="32">
        <f>SUM($E$5,$G$5:G8)</f>
        <v>1106118798</v>
      </c>
    </row>
    <row r="9" spans="1:8" x14ac:dyDescent="0.3">
      <c r="A9" s="22">
        <v>33789004537804</v>
      </c>
      <c r="B9" s="7">
        <v>19740179</v>
      </c>
      <c r="C9" s="18">
        <v>45478.55</v>
      </c>
      <c r="D9" t="s">
        <v>2368</v>
      </c>
      <c r="H9" s="32">
        <f>SUM($E$5,$G$5:G9)</f>
        <v>1106118798</v>
      </c>
    </row>
    <row r="10" spans="1:8" x14ac:dyDescent="0.3">
      <c r="A10" s="22">
        <v>100028877450</v>
      </c>
      <c r="B10" s="7">
        <v>25252091</v>
      </c>
      <c r="C10" s="18">
        <v>45478.472916666666</v>
      </c>
      <c r="D10" t="s">
        <v>1840</v>
      </c>
      <c r="H10" s="32">
        <f>SUM($E$5,$G$5:G10)</f>
        <v>1106118798</v>
      </c>
    </row>
    <row r="11" spans="1:8" x14ac:dyDescent="0.3">
      <c r="A11" s="22">
        <v>18191000790504</v>
      </c>
      <c r="B11" s="7">
        <v>129782</v>
      </c>
      <c r="C11" s="18">
        <v>45367.075243055559</v>
      </c>
      <c r="D11" t="s">
        <v>40</v>
      </c>
      <c r="H11" s="32">
        <f>SUM($E$5,$G$5:G11)</f>
        <v>1106118798</v>
      </c>
    </row>
    <row r="12" spans="1:8" x14ac:dyDescent="0.3">
      <c r="A12" s="23">
        <v>93300246913005</v>
      </c>
      <c r="B12" s="24">
        <v>0</v>
      </c>
      <c r="C12" s="25">
        <v>45274.358865740738</v>
      </c>
      <c r="D12" s="26" t="s">
        <v>38</v>
      </c>
      <c r="H12" s="32">
        <f>SUM($E$5,$G$5:G12)</f>
        <v>1106118798</v>
      </c>
    </row>
    <row r="13" spans="1:8" x14ac:dyDescent="0.3">
      <c r="A13" s="22">
        <v>93300246901019</v>
      </c>
      <c r="B13" s="7">
        <v>70082666</v>
      </c>
      <c r="C13" s="18">
        <v>45478.754861111112</v>
      </c>
      <c r="D13" t="s">
        <v>106</v>
      </c>
      <c r="H13" s="32">
        <f>SUM($E$5,$G$5:G13)</f>
        <v>1106118798</v>
      </c>
    </row>
    <row r="14" spans="1:8" x14ac:dyDescent="0.3">
      <c r="A14" s="22">
        <v>6497151870885</v>
      </c>
      <c r="B14" s="7">
        <v>100000000</v>
      </c>
      <c r="C14" s="18">
        <v>45273.473611111112</v>
      </c>
      <c r="D14" t="s">
        <v>41</v>
      </c>
      <c r="H14" s="32">
        <f>SUM($E$5,$G$5:G14)</f>
        <v>1106118798</v>
      </c>
    </row>
    <row r="15" spans="1:8" x14ac:dyDescent="0.3">
      <c r="A15" s="22">
        <v>69300100058844</v>
      </c>
      <c r="B15" s="7">
        <v>0</v>
      </c>
      <c r="C15" s="18">
        <v>44964.583333333336</v>
      </c>
      <c r="D15" t="s">
        <v>42</v>
      </c>
      <c r="H15" s="32">
        <f>SUM($E$5,$G$5:G15)</f>
        <v>1106118798</v>
      </c>
    </row>
    <row r="16" spans="1:8" x14ac:dyDescent="0.3">
      <c r="A16" s="22">
        <v>93300246913004</v>
      </c>
      <c r="B16" s="7">
        <v>0</v>
      </c>
      <c r="C16" s="18">
        <v>45259.37872685185</v>
      </c>
      <c r="D16" t="s">
        <v>38</v>
      </c>
      <c r="H16" s="32">
        <f>SUM($E$5,$G$5:G16)</f>
        <v>1106118798</v>
      </c>
    </row>
    <row r="17" spans="1:8" x14ac:dyDescent="0.3">
      <c r="A17" s="22">
        <v>6497151888073</v>
      </c>
      <c r="B17" s="7">
        <v>100000000</v>
      </c>
      <c r="C17" s="18">
        <v>45273.477083333331</v>
      </c>
      <c r="D17" t="s">
        <v>41</v>
      </c>
      <c r="H17" s="32">
        <f>SUM($E$5,$G$5:G17)</f>
        <v>1106118798</v>
      </c>
    </row>
    <row r="18" spans="1:8" x14ac:dyDescent="0.3">
      <c r="A18" s="22">
        <v>42791000554604</v>
      </c>
      <c r="B18" s="7">
        <v>2494</v>
      </c>
      <c r="C18" s="18">
        <v>44184.224224537036</v>
      </c>
      <c r="D18" t="s">
        <v>44</v>
      </c>
      <c r="H18" s="32">
        <f>SUM($E$5,$G$5:G18)</f>
        <v>1106118798</v>
      </c>
    </row>
    <row r="19" spans="1:8" x14ac:dyDescent="0.3">
      <c r="A19" s="22">
        <v>1005503989853</v>
      </c>
      <c r="B19" s="7">
        <v>1058</v>
      </c>
      <c r="C19" s="18">
        <v>45367.342546296299</v>
      </c>
      <c r="D19" t="s">
        <v>1872</v>
      </c>
      <c r="H19" s="32">
        <f>SUM($E$5,$G$5:G19)</f>
        <v>1106118798</v>
      </c>
    </row>
    <row r="20" spans="1:8" x14ac:dyDescent="0.3">
      <c r="A20" s="22">
        <v>93300246901026</v>
      </c>
      <c r="B20" s="7">
        <v>20</v>
      </c>
      <c r="C20" s="18">
        <v>44906.53806712963</v>
      </c>
      <c r="D20" t="s">
        <v>45</v>
      </c>
      <c r="H20" s="32"/>
    </row>
    <row r="21" spans="1:8" x14ac:dyDescent="0.3">
      <c r="B21" s="51"/>
      <c r="H21" s="32"/>
    </row>
    <row r="22" spans="1:8" x14ac:dyDescent="0.3">
      <c r="A22" s="27" t="s">
        <v>93</v>
      </c>
      <c r="B22" s="29">
        <v>63230104134613</v>
      </c>
      <c r="C22" s="30" t="s">
        <v>99</v>
      </c>
      <c r="E22" s="32">
        <f>SUBTOTAL(9,표6[입금액])</f>
        <v>101113700</v>
      </c>
      <c r="F22" s="32">
        <f>SUBTOTAL(9,표6[출금액])</f>
        <v>81504729</v>
      </c>
      <c r="G22" s="32">
        <f>E22-F22</f>
        <v>19608971</v>
      </c>
    </row>
    <row r="23" spans="1:8" x14ac:dyDescent="0.3">
      <c r="A23" s="22" t="s">
        <v>94</v>
      </c>
      <c r="B23" s="7" t="s">
        <v>35</v>
      </c>
      <c r="C23" s="18" t="s">
        <v>95</v>
      </c>
      <c r="D23" t="s">
        <v>96</v>
      </c>
      <c r="E23" s="32" t="s">
        <v>97</v>
      </c>
      <c r="F23" s="32" t="s">
        <v>98</v>
      </c>
      <c r="G23" s="32" t="s">
        <v>34</v>
      </c>
      <c r="H23" t="s">
        <v>36</v>
      </c>
    </row>
    <row r="24" spans="1:8" x14ac:dyDescent="0.3">
      <c r="A24" s="28">
        <v>17138</v>
      </c>
      <c r="B24" s="31">
        <v>45478.754861111112</v>
      </c>
      <c r="C24" s="18">
        <v>45478</v>
      </c>
      <c r="D24" t="s">
        <v>101</v>
      </c>
      <c r="E24" s="32">
        <v>0</v>
      </c>
      <c r="F24" s="32">
        <v>240000</v>
      </c>
      <c r="G24" s="32">
        <v>70082666</v>
      </c>
      <c r="H24" t="s">
        <v>106</v>
      </c>
    </row>
    <row r="25" spans="1:8" x14ac:dyDescent="0.3">
      <c r="A25" s="28">
        <v>17137</v>
      </c>
      <c r="B25" s="31">
        <v>45478.75277777778</v>
      </c>
      <c r="C25" s="18">
        <v>45478</v>
      </c>
      <c r="D25" t="s">
        <v>101</v>
      </c>
      <c r="E25" s="32">
        <v>0</v>
      </c>
      <c r="F25" s="32">
        <v>31000</v>
      </c>
      <c r="G25" s="32">
        <v>70322666</v>
      </c>
      <c r="H25" t="s">
        <v>1938</v>
      </c>
    </row>
    <row r="26" spans="1:8" x14ac:dyDescent="0.3">
      <c r="A26" s="28">
        <v>17128</v>
      </c>
      <c r="B26" s="31">
        <v>45478.385416666664</v>
      </c>
      <c r="C26" s="18">
        <v>45478</v>
      </c>
      <c r="D26" t="s">
        <v>101</v>
      </c>
      <c r="E26" s="32">
        <v>0</v>
      </c>
      <c r="F26" s="32">
        <v>105210</v>
      </c>
      <c r="G26" s="32">
        <v>70353666</v>
      </c>
      <c r="H26" t="s">
        <v>108</v>
      </c>
    </row>
    <row r="27" spans="1:8" x14ac:dyDescent="0.3">
      <c r="A27" s="28">
        <v>17064</v>
      </c>
      <c r="B27" s="31">
        <v>45471.304861111108</v>
      </c>
      <c r="C27" s="18">
        <v>45471</v>
      </c>
      <c r="D27" t="s">
        <v>101</v>
      </c>
      <c r="E27" s="32">
        <v>0</v>
      </c>
      <c r="F27" s="32">
        <v>355737</v>
      </c>
      <c r="G27" s="32">
        <v>70458876</v>
      </c>
      <c r="H27" t="s">
        <v>1949</v>
      </c>
    </row>
    <row r="28" spans="1:8" x14ac:dyDescent="0.3">
      <c r="A28" s="28">
        <v>17063</v>
      </c>
      <c r="B28" s="31">
        <v>45470.76458333333</v>
      </c>
      <c r="C28" s="18">
        <v>45470</v>
      </c>
      <c r="D28" t="s">
        <v>101</v>
      </c>
      <c r="E28" s="32">
        <v>0</v>
      </c>
      <c r="F28" s="32">
        <v>9305130</v>
      </c>
      <c r="G28" s="32">
        <v>70814613</v>
      </c>
      <c r="H28" t="s">
        <v>117</v>
      </c>
    </row>
    <row r="29" spans="1:8" x14ac:dyDescent="0.3">
      <c r="A29" s="28">
        <v>17057</v>
      </c>
      <c r="B29" s="31">
        <v>45470.597916666666</v>
      </c>
      <c r="C29" s="18">
        <v>45470</v>
      </c>
      <c r="D29" t="s">
        <v>100</v>
      </c>
      <c r="E29" s="32">
        <v>49038000</v>
      </c>
      <c r="F29" s="32">
        <v>0</v>
      </c>
      <c r="G29" s="32">
        <v>80119743</v>
      </c>
      <c r="H29" t="s">
        <v>112</v>
      </c>
    </row>
    <row r="30" spans="1:8" x14ac:dyDescent="0.3">
      <c r="A30" s="28">
        <v>17039</v>
      </c>
      <c r="B30" s="31">
        <v>45469.29583333333</v>
      </c>
      <c r="C30" s="18">
        <v>45469</v>
      </c>
      <c r="D30" t="s">
        <v>101</v>
      </c>
      <c r="E30" s="32">
        <v>0</v>
      </c>
      <c r="F30" s="32">
        <v>241790</v>
      </c>
      <c r="G30" s="32">
        <v>31081743</v>
      </c>
      <c r="H30" t="s">
        <v>116</v>
      </c>
    </row>
    <row r="31" spans="1:8" x14ac:dyDescent="0.3">
      <c r="A31" s="28">
        <v>17038</v>
      </c>
      <c r="B31" s="31">
        <v>45469.29583333333</v>
      </c>
      <c r="C31" s="18">
        <v>45469</v>
      </c>
      <c r="D31" t="s">
        <v>101</v>
      </c>
      <c r="E31" s="32">
        <v>0</v>
      </c>
      <c r="F31" s="32">
        <v>3519732</v>
      </c>
      <c r="G31" s="32">
        <v>31323533</v>
      </c>
      <c r="H31" t="s">
        <v>116</v>
      </c>
    </row>
    <row r="32" spans="1:8" x14ac:dyDescent="0.3">
      <c r="A32" s="28">
        <v>17036</v>
      </c>
      <c r="B32" s="31">
        <v>45468.783333333333</v>
      </c>
      <c r="C32" s="18">
        <v>45468</v>
      </c>
      <c r="D32" t="s">
        <v>101</v>
      </c>
      <c r="E32" s="32">
        <v>0</v>
      </c>
      <c r="F32" s="32">
        <v>720000</v>
      </c>
      <c r="G32" s="32">
        <v>34843265</v>
      </c>
      <c r="H32" t="s">
        <v>106</v>
      </c>
    </row>
    <row r="33" spans="1:8" x14ac:dyDescent="0.3">
      <c r="A33" s="28">
        <v>17035</v>
      </c>
      <c r="B33" s="31">
        <v>45468.771527777775</v>
      </c>
      <c r="C33" s="18">
        <v>45468</v>
      </c>
      <c r="D33" t="s">
        <v>101</v>
      </c>
      <c r="E33" s="32">
        <v>0</v>
      </c>
      <c r="F33" s="32">
        <v>6560</v>
      </c>
      <c r="G33" s="32">
        <v>35563265</v>
      </c>
      <c r="H33" t="s">
        <v>2004</v>
      </c>
    </row>
    <row r="34" spans="1:8" x14ac:dyDescent="0.3">
      <c r="A34" s="28">
        <v>17025</v>
      </c>
      <c r="B34" s="31">
        <v>45468.384027777778</v>
      </c>
      <c r="C34" s="18">
        <v>45468</v>
      </c>
      <c r="D34" t="s">
        <v>101</v>
      </c>
      <c r="E34" s="32">
        <v>0</v>
      </c>
      <c r="F34" s="32">
        <v>13864900</v>
      </c>
      <c r="G34" s="32">
        <v>35569825</v>
      </c>
      <c r="H34" t="s">
        <v>105</v>
      </c>
    </row>
    <row r="35" spans="1:8" x14ac:dyDescent="0.3">
      <c r="A35" s="28">
        <v>17017</v>
      </c>
      <c r="B35" s="31">
        <v>45467.382638888892</v>
      </c>
      <c r="C35" s="18">
        <v>45467</v>
      </c>
      <c r="D35" t="s">
        <v>101</v>
      </c>
      <c r="E35" s="32">
        <v>0</v>
      </c>
      <c r="F35" s="32">
        <v>2785580</v>
      </c>
      <c r="G35" s="32">
        <v>49434725</v>
      </c>
      <c r="H35" t="s">
        <v>105</v>
      </c>
    </row>
    <row r="36" spans="1:8" x14ac:dyDescent="0.3">
      <c r="A36" s="28">
        <v>17016</v>
      </c>
      <c r="B36" s="31">
        <v>45467.336111111108</v>
      </c>
      <c r="C36" s="18">
        <v>45467</v>
      </c>
      <c r="D36" t="s">
        <v>101</v>
      </c>
      <c r="E36" s="32">
        <v>0</v>
      </c>
      <c r="F36" s="32">
        <v>50068340</v>
      </c>
      <c r="G36" s="32">
        <v>52220305</v>
      </c>
      <c r="H36" t="s">
        <v>117</v>
      </c>
    </row>
    <row r="37" spans="1:8" x14ac:dyDescent="0.3">
      <c r="A37" s="28">
        <v>17014</v>
      </c>
      <c r="B37" s="31">
        <v>45464.757638888892</v>
      </c>
      <c r="C37" s="18">
        <v>45464</v>
      </c>
      <c r="D37" t="s">
        <v>101</v>
      </c>
      <c r="E37" s="32">
        <v>0</v>
      </c>
      <c r="F37" s="32">
        <v>260750</v>
      </c>
      <c r="G37" s="32">
        <v>102288645</v>
      </c>
      <c r="H37" t="s">
        <v>2005</v>
      </c>
    </row>
    <row r="38" spans="1:8" x14ac:dyDescent="0.3">
      <c r="A38" s="28">
        <v>17002</v>
      </c>
      <c r="B38" s="31">
        <v>45464.572222222225</v>
      </c>
      <c r="C38" s="18">
        <v>45464</v>
      </c>
      <c r="D38" t="s">
        <v>100</v>
      </c>
      <c r="E38" s="32">
        <v>2075700</v>
      </c>
      <c r="F38" s="32">
        <v>0</v>
      </c>
      <c r="G38" s="32">
        <v>102549395</v>
      </c>
      <c r="H38" t="s">
        <v>134</v>
      </c>
    </row>
    <row r="39" spans="1:8" x14ac:dyDescent="0.3">
      <c r="A39" s="28">
        <v>17000</v>
      </c>
      <c r="B39" s="31">
        <v>45464.382638888892</v>
      </c>
      <c r="C39" s="18">
        <v>45464</v>
      </c>
      <c r="D39" t="s">
        <v>100</v>
      </c>
      <c r="E39" s="32">
        <v>50000000</v>
      </c>
      <c r="F39" s="32">
        <v>0</v>
      </c>
      <c r="G39" s="32">
        <v>100473695</v>
      </c>
      <c r="H39" t="s">
        <v>114</v>
      </c>
    </row>
    <row r="40" spans="1:8" hidden="1" x14ac:dyDescent="0.3">
      <c r="A40" s="28">
        <v>16998</v>
      </c>
      <c r="B40" s="31">
        <v>45464.377083333333</v>
      </c>
      <c r="C40" s="18">
        <v>45464</v>
      </c>
      <c r="D40" t="s">
        <v>101</v>
      </c>
      <c r="E40" s="32">
        <v>0</v>
      </c>
      <c r="F40" s="32">
        <v>4179870</v>
      </c>
      <c r="G40" s="32">
        <v>50473695</v>
      </c>
      <c r="H40" t="s">
        <v>105</v>
      </c>
    </row>
    <row r="41" spans="1:8" hidden="1" x14ac:dyDescent="0.3">
      <c r="A41" s="28">
        <v>16987</v>
      </c>
      <c r="B41" s="31">
        <v>45463.388888888891</v>
      </c>
      <c r="C41" s="18">
        <v>45463</v>
      </c>
      <c r="D41" t="s">
        <v>101</v>
      </c>
      <c r="E41" s="32">
        <v>0</v>
      </c>
      <c r="F41" s="32">
        <v>37389060</v>
      </c>
      <c r="G41" s="32">
        <v>54653565</v>
      </c>
      <c r="H41" t="s">
        <v>105</v>
      </c>
    </row>
    <row r="42" spans="1:8" hidden="1" x14ac:dyDescent="0.3">
      <c r="A42" s="28">
        <v>16981</v>
      </c>
      <c r="B42" s="31">
        <v>45462.436805555553</v>
      </c>
      <c r="C42" s="18">
        <v>45462</v>
      </c>
      <c r="D42" t="s">
        <v>100</v>
      </c>
      <c r="E42" s="32">
        <v>57600000</v>
      </c>
      <c r="F42" s="32">
        <v>0</v>
      </c>
      <c r="G42" s="32">
        <v>92042625</v>
      </c>
      <c r="H42" t="s">
        <v>129</v>
      </c>
    </row>
    <row r="43" spans="1:8" hidden="1" x14ac:dyDescent="0.3">
      <c r="A43" s="28">
        <v>16980</v>
      </c>
      <c r="B43" s="31">
        <v>45462.427083333336</v>
      </c>
      <c r="C43" s="18">
        <v>45462</v>
      </c>
      <c r="D43" t="s">
        <v>101</v>
      </c>
      <c r="E43" s="32">
        <v>0</v>
      </c>
      <c r="F43" s="32">
        <v>777</v>
      </c>
      <c r="G43" s="32">
        <v>34442625</v>
      </c>
      <c r="H43" t="s">
        <v>2006</v>
      </c>
    </row>
    <row r="44" spans="1:8" hidden="1" x14ac:dyDescent="0.3">
      <c r="A44" s="28">
        <v>16979</v>
      </c>
      <c r="B44" s="31">
        <v>45462.425694444442</v>
      </c>
      <c r="C44" s="18">
        <v>45462</v>
      </c>
      <c r="D44" t="s">
        <v>101</v>
      </c>
      <c r="E44" s="32">
        <v>0</v>
      </c>
      <c r="F44" s="32">
        <v>21150000</v>
      </c>
      <c r="G44" s="32">
        <v>34443402</v>
      </c>
      <c r="H44" t="s">
        <v>2007</v>
      </c>
    </row>
    <row r="45" spans="1:8" hidden="1" x14ac:dyDescent="0.3">
      <c r="A45" s="28">
        <v>16978</v>
      </c>
      <c r="B45" s="31">
        <v>45462.425000000003</v>
      </c>
      <c r="C45" s="18">
        <v>45462</v>
      </c>
      <c r="D45" t="s">
        <v>101</v>
      </c>
      <c r="E45" s="32">
        <v>0</v>
      </c>
      <c r="F45" s="32">
        <v>19878406</v>
      </c>
      <c r="G45" s="32">
        <v>55593402</v>
      </c>
      <c r="H45" t="s">
        <v>2008</v>
      </c>
    </row>
    <row r="46" spans="1:8" hidden="1" x14ac:dyDescent="0.3">
      <c r="A46" s="28">
        <v>16977</v>
      </c>
      <c r="B46" s="31">
        <v>45462.423611111109</v>
      </c>
      <c r="C46" s="18">
        <v>45462</v>
      </c>
      <c r="D46" t="s">
        <v>101</v>
      </c>
      <c r="E46" s="32">
        <v>0</v>
      </c>
      <c r="F46" s="32">
        <v>1270847</v>
      </c>
      <c r="G46" s="32">
        <v>75471808</v>
      </c>
      <c r="H46" t="s">
        <v>2007</v>
      </c>
    </row>
    <row r="47" spans="1:8" hidden="1" x14ac:dyDescent="0.3">
      <c r="A47" s="28">
        <v>16972</v>
      </c>
      <c r="B47" s="31">
        <v>45461.417361111111</v>
      </c>
      <c r="C47" s="18">
        <v>45461</v>
      </c>
      <c r="D47" t="s">
        <v>101</v>
      </c>
      <c r="E47" s="32">
        <v>0</v>
      </c>
      <c r="F47" s="32">
        <v>4400</v>
      </c>
      <c r="G47" s="32">
        <v>76742655</v>
      </c>
      <c r="H47" t="s">
        <v>118</v>
      </c>
    </row>
    <row r="48" spans="1:8" hidden="1" x14ac:dyDescent="0.3">
      <c r="A48" s="28">
        <v>16964</v>
      </c>
      <c r="B48" s="31">
        <v>45460.779861111114</v>
      </c>
      <c r="C48" s="18">
        <v>45460</v>
      </c>
      <c r="D48" t="s">
        <v>101</v>
      </c>
      <c r="E48" s="32">
        <v>0</v>
      </c>
      <c r="F48" s="32">
        <v>1440000</v>
      </c>
      <c r="G48" s="32">
        <v>76747055</v>
      </c>
      <c r="H48" t="s">
        <v>106</v>
      </c>
    </row>
    <row r="49" spans="1:8" hidden="1" x14ac:dyDescent="0.3">
      <c r="A49" s="28">
        <v>16958</v>
      </c>
      <c r="B49" s="31">
        <v>45460.455555555556</v>
      </c>
      <c r="C49" s="18">
        <v>45460</v>
      </c>
      <c r="D49" t="s">
        <v>100</v>
      </c>
      <c r="E49" s="32">
        <v>4616700</v>
      </c>
      <c r="F49" s="32">
        <v>0</v>
      </c>
      <c r="G49" s="32">
        <v>78187055</v>
      </c>
      <c r="H49" t="s">
        <v>107</v>
      </c>
    </row>
    <row r="50" spans="1:8" hidden="1" x14ac:dyDescent="0.3">
      <c r="A50" s="28">
        <v>16956</v>
      </c>
      <c r="B50" s="31">
        <v>45460.320833333331</v>
      </c>
      <c r="C50" s="18">
        <v>45460</v>
      </c>
      <c r="D50" t="s">
        <v>100</v>
      </c>
      <c r="E50" s="32">
        <v>12784</v>
      </c>
      <c r="F50" s="32">
        <v>0</v>
      </c>
      <c r="G50" s="32">
        <v>73570355</v>
      </c>
      <c r="H50" t="s">
        <v>121</v>
      </c>
    </row>
    <row r="51" spans="1:8" hidden="1" x14ac:dyDescent="0.3">
      <c r="A51" s="28">
        <v>16938</v>
      </c>
      <c r="B51" s="31">
        <v>45456.588194444441</v>
      </c>
      <c r="C51" s="18">
        <v>45456</v>
      </c>
      <c r="D51" t="s">
        <v>100</v>
      </c>
      <c r="E51" s="32">
        <v>1246300</v>
      </c>
      <c r="F51" s="32">
        <v>0</v>
      </c>
      <c r="G51" s="32">
        <v>73557571</v>
      </c>
      <c r="H51" t="s">
        <v>127</v>
      </c>
    </row>
    <row r="52" spans="1:8" hidden="1" x14ac:dyDescent="0.3">
      <c r="A52" s="28">
        <v>16934</v>
      </c>
      <c r="B52" s="31">
        <v>45456.46597222222</v>
      </c>
      <c r="C52" s="18">
        <v>45456</v>
      </c>
      <c r="D52" t="s">
        <v>100</v>
      </c>
      <c r="E52" s="32">
        <v>2822600</v>
      </c>
      <c r="F52" s="32">
        <v>0</v>
      </c>
      <c r="G52" s="32">
        <v>72311271</v>
      </c>
      <c r="H52" t="s">
        <v>110</v>
      </c>
    </row>
    <row r="53" spans="1:8" hidden="1" x14ac:dyDescent="0.3">
      <c r="A53" s="28">
        <v>16930</v>
      </c>
      <c r="B53" s="31">
        <v>45455.586805555555</v>
      </c>
      <c r="C53" s="18">
        <v>45455</v>
      </c>
      <c r="D53" t="s">
        <v>101</v>
      </c>
      <c r="E53" s="32">
        <v>0</v>
      </c>
      <c r="F53" s="32">
        <v>3517280</v>
      </c>
      <c r="G53" s="32">
        <v>69488671</v>
      </c>
      <c r="H53" t="s">
        <v>105</v>
      </c>
    </row>
    <row r="54" spans="1:8" hidden="1" x14ac:dyDescent="0.3">
      <c r="A54" s="28">
        <v>16921</v>
      </c>
      <c r="B54" s="31">
        <v>45453.762499999997</v>
      </c>
      <c r="C54" s="18">
        <v>45453</v>
      </c>
      <c r="D54" t="s">
        <v>101</v>
      </c>
      <c r="E54" s="32">
        <v>0</v>
      </c>
      <c r="F54" s="32">
        <v>733330</v>
      </c>
      <c r="G54" s="32">
        <v>73005951</v>
      </c>
      <c r="H54" t="s">
        <v>2009</v>
      </c>
    </row>
    <row r="55" spans="1:8" hidden="1" x14ac:dyDescent="0.3">
      <c r="A55" s="28">
        <v>16920</v>
      </c>
      <c r="B55" s="31">
        <v>45453.761805555558</v>
      </c>
      <c r="C55" s="18">
        <v>45453</v>
      </c>
      <c r="D55" t="s">
        <v>101</v>
      </c>
      <c r="E55" s="32">
        <v>0</v>
      </c>
      <c r="F55" s="32">
        <v>336260</v>
      </c>
      <c r="G55" s="32">
        <v>73739281</v>
      </c>
      <c r="H55" t="s">
        <v>2010</v>
      </c>
    </row>
    <row r="56" spans="1:8" hidden="1" x14ac:dyDescent="0.3">
      <c r="A56" s="28">
        <v>16919</v>
      </c>
      <c r="B56" s="31">
        <v>45453.758333333331</v>
      </c>
      <c r="C56" s="18">
        <v>45453</v>
      </c>
      <c r="D56" t="s">
        <v>101</v>
      </c>
      <c r="E56" s="32">
        <v>0</v>
      </c>
      <c r="F56" s="32">
        <v>4080120</v>
      </c>
      <c r="G56" s="32">
        <v>74075541</v>
      </c>
      <c r="H56" t="s">
        <v>2011</v>
      </c>
    </row>
    <row r="57" spans="1:8" hidden="1" x14ac:dyDescent="0.3">
      <c r="A57" s="28">
        <v>16918</v>
      </c>
      <c r="B57" s="31">
        <v>45453.755555555559</v>
      </c>
      <c r="C57" s="18">
        <v>45453</v>
      </c>
      <c r="D57" t="s">
        <v>101</v>
      </c>
      <c r="E57" s="32">
        <v>0</v>
      </c>
      <c r="F57" s="32">
        <v>4902000</v>
      </c>
      <c r="G57" s="32">
        <v>78155661</v>
      </c>
      <c r="H57" t="s">
        <v>2012</v>
      </c>
    </row>
    <row r="58" spans="1:8" hidden="1" x14ac:dyDescent="0.3">
      <c r="A58" s="28">
        <v>16917</v>
      </c>
      <c r="B58" s="31">
        <v>45453.688888888886</v>
      </c>
      <c r="C58" s="18">
        <v>45453</v>
      </c>
      <c r="D58" t="s">
        <v>100</v>
      </c>
      <c r="E58" s="32">
        <v>249700</v>
      </c>
      <c r="F58" s="32">
        <v>0</v>
      </c>
      <c r="G58" s="32">
        <v>83057661</v>
      </c>
      <c r="H58" t="s">
        <v>92</v>
      </c>
    </row>
    <row r="59" spans="1:8" hidden="1" x14ac:dyDescent="0.3">
      <c r="A59" s="28">
        <v>16915</v>
      </c>
      <c r="B59" s="31">
        <v>45453.59375</v>
      </c>
      <c r="C59" s="18">
        <v>45453</v>
      </c>
      <c r="D59" t="s">
        <v>100</v>
      </c>
      <c r="E59" s="32">
        <v>16293</v>
      </c>
      <c r="F59" s="32">
        <v>0</v>
      </c>
      <c r="G59" s="32">
        <v>82807961</v>
      </c>
      <c r="H59" t="s">
        <v>2013</v>
      </c>
    </row>
    <row r="60" spans="1:8" hidden="1" x14ac:dyDescent="0.3">
      <c r="A60" s="28">
        <v>16914</v>
      </c>
      <c r="B60" s="31">
        <v>45453.59375</v>
      </c>
      <c r="C60" s="18">
        <v>45453</v>
      </c>
      <c r="D60" t="s">
        <v>100</v>
      </c>
      <c r="E60" s="32">
        <v>6000000</v>
      </c>
      <c r="F60" s="32">
        <v>0</v>
      </c>
      <c r="G60" s="32">
        <v>82791668</v>
      </c>
      <c r="H60" t="s">
        <v>2013</v>
      </c>
    </row>
    <row r="61" spans="1:8" hidden="1" x14ac:dyDescent="0.3">
      <c r="A61" s="28">
        <v>16906</v>
      </c>
      <c r="B61" s="31">
        <v>45453.438888888886</v>
      </c>
      <c r="C61" s="18">
        <v>45453</v>
      </c>
      <c r="D61" t="s">
        <v>101</v>
      </c>
      <c r="E61" s="32">
        <v>0</v>
      </c>
      <c r="F61" s="32">
        <v>3651150</v>
      </c>
      <c r="G61" s="32">
        <v>76791668</v>
      </c>
      <c r="H61" t="s">
        <v>109</v>
      </c>
    </row>
    <row r="62" spans="1:8" hidden="1" x14ac:dyDescent="0.3">
      <c r="A62" s="28">
        <v>16896</v>
      </c>
      <c r="B62" s="31">
        <v>45450.379861111112</v>
      </c>
      <c r="C62" s="18">
        <v>45450</v>
      </c>
      <c r="D62" t="s">
        <v>101</v>
      </c>
      <c r="E62" s="32">
        <v>0</v>
      </c>
      <c r="F62" s="32">
        <v>40548000</v>
      </c>
      <c r="G62" s="32">
        <v>80442818</v>
      </c>
      <c r="H62" t="s">
        <v>105</v>
      </c>
    </row>
    <row r="63" spans="1:8" hidden="1" x14ac:dyDescent="0.3">
      <c r="A63" s="28">
        <v>16893</v>
      </c>
      <c r="B63" s="31">
        <v>45448.759027777778</v>
      </c>
      <c r="C63" s="18">
        <v>45448</v>
      </c>
      <c r="D63" t="s">
        <v>101</v>
      </c>
      <c r="E63" s="32">
        <v>0</v>
      </c>
      <c r="F63" s="32">
        <v>240000</v>
      </c>
      <c r="G63" s="32">
        <v>120990818</v>
      </c>
      <c r="H63" t="s">
        <v>106</v>
      </c>
    </row>
    <row r="64" spans="1:8" hidden="1" x14ac:dyDescent="0.3">
      <c r="A64" s="28">
        <v>16892</v>
      </c>
      <c r="B64" s="31">
        <v>45448.752083333333</v>
      </c>
      <c r="C64" s="18">
        <v>45448</v>
      </c>
      <c r="D64" t="s">
        <v>101</v>
      </c>
      <c r="E64" s="32">
        <v>0</v>
      </c>
      <c r="F64" s="32">
        <v>31000</v>
      </c>
      <c r="G64" s="32">
        <v>121230818</v>
      </c>
      <c r="H64" t="s">
        <v>1938</v>
      </c>
    </row>
    <row r="65" spans="1:8" hidden="1" x14ac:dyDescent="0.3">
      <c r="A65" s="28">
        <v>16891</v>
      </c>
      <c r="B65" s="31">
        <v>45448.701388888891</v>
      </c>
      <c r="C65" s="18">
        <v>45448</v>
      </c>
      <c r="D65" t="s">
        <v>100</v>
      </c>
      <c r="E65" s="32">
        <v>12818300</v>
      </c>
      <c r="F65" s="32">
        <v>0</v>
      </c>
      <c r="G65" s="32">
        <v>121261818</v>
      </c>
      <c r="H65" t="s">
        <v>130</v>
      </c>
    </row>
    <row r="66" spans="1:8" hidden="1" x14ac:dyDescent="0.3">
      <c r="A66" s="28">
        <v>16887</v>
      </c>
      <c r="B66" s="31">
        <v>45448.491666666669</v>
      </c>
      <c r="C66" s="18">
        <v>45448</v>
      </c>
      <c r="D66" t="s">
        <v>101</v>
      </c>
      <c r="E66" s="32">
        <v>0</v>
      </c>
      <c r="F66" s="32">
        <v>223650</v>
      </c>
      <c r="G66" s="32">
        <v>108443518</v>
      </c>
      <c r="H66" t="s">
        <v>117</v>
      </c>
    </row>
    <row r="67" spans="1:8" hidden="1" x14ac:dyDescent="0.3">
      <c r="A67" s="28">
        <v>16881</v>
      </c>
      <c r="B67" s="31">
        <v>45447.450694444444</v>
      </c>
      <c r="C67" s="18">
        <v>45447</v>
      </c>
      <c r="D67" t="s">
        <v>100</v>
      </c>
      <c r="E67" s="32">
        <v>3011800</v>
      </c>
      <c r="F67" s="32">
        <v>0</v>
      </c>
      <c r="G67" s="32">
        <v>108667168</v>
      </c>
      <c r="H67" t="s">
        <v>110</v>
      </c>
    </row>
    <row r="68" spans="1:8" hidden="1" x14ac:dyDescent="0.3">
      <c r="A68" s="28">
        <v>16879</v>
      </c>
      <c r="B68" s="31">
        <v>45447.413194444445</v>
      </c>
      <c r="C68" s="18">
        <v>45447</v>
      </c>
      <c r="D68" t="s">
        <v>101</v>
      </c>
      <c r="E68" s="32">
        <v>0</v>
      </c>
      <c r="F68" s="32">
        <v>105210</v>
      </c>
      <c r="G68" s="32">
        <v>105655368</v>
      </c>
      <c r="H68" t="s">
        <v>108</v>
      </c>
    </row>
    <row r="69" spans="1:8" hidden="1" x14ac:dyDescent="0.3">
      <c r="A69" s="28">
        <v>16831</v>
      </c>
      <c r="B69" s="31">
        <v>45441.598611111112</v>
      </c>
      <c r="C69" s="18">
        <v>45441</v>
      </c>
      <c r="D69" t="s">
        <v>100</v>
      </c>
      <c r="E69" s="32">
        <v>62136800</v>
      </c>
      <c r="F69" s="32">
        <v>0</v>
      </c>
      <c r="G69" s="32">
        <v>105760578</v>
      </c>
      <c r="H69" t="s">
        <v>112</v>
      </c>
    </row>
    <row r="70" spans="1:8" hidden="1" x14ac:dyDescent="0.3">
      <c r="A70" s="28">
        <v>16827</v>
      </c>
      <c r="B70" s="31">
        <v>45441.474305555559</v>
      </c>
      <c r="C70" s="18">
        <v>45441</v>
      </c>
      <c r="D70" t="s">
        <v>101</v>
      </c>
      <c r="E70" s="32">
        <v>0</v>
      </c>
      <c r="F70" s="32">
        <v>40000000</v>
      </c>
      <c r="G70" s="32">
        <v>43623778</v>
      </c>
      <c r="H70" t="s">
        <v>111</v>
      </c>
    </row>
    <row r="71" spans="1:8" hidden="1" x14ac:dyDescent="0.3">
      <c r="A71" s="28">
        <v>16812</v>
      </c>
      <c r="B71" s="31">
        <v>45440.379166666666</v>
      </c>
      <c r="C71" s="18">
        <v>45440</v>
      </c>
      <c r="D71" t="s">
        <v>101</v>
      </c>
      <c r="E71" s="32">
        <v>0</v>
      </c>
      <c r="F71" s="32">
        <v>40858800</v>
      </c>
      <c r="G71" s="32">
        <v>83623778</v>
      </c>
      <c r="H71" t="s">
        <v>105</v>
      </c>
    </row>
    <row r="72" spans="1:8" hidden="1" x14ac:dyDescent="0.3">
      <c r="A72" s="28">
        <v>16810</v>
      </c>
      <c r="B72" s="31">
        <v>45440.352777777778</v>
      </c>
      <c r="C72" s="18">
        <v>45440</v>
      </c>
      <c r="D72" t="s">
        <v>101</v>
      </c>
      <c r="E72" s="32">
        <v>0</v>
      </c>
      <c r="F72" s="32">
        <v>500000</v>
      </c>
      <c r="G72" s="32">
        <v>124482578</v>
      </c>
      <c r="H72" t="s">
        <v>2014</v>
      </c>
    </row>
    <row r="73" spans="1:8" hidden="1" x14ac:dyDescent="0.3">
      <c r="A73" s="28">
        <v>16809</v>
      </c>
      <c r="B73" s="31">
        <v>45440.304861111108</v>
      </c>
      <c r="C73" s="18">
        <v>45440</v>
      </c>
      <c r="D73" t="s">
        <v>101</v>
      </c>
      <c r="E73" s="32">
        <v>0</v>
      </c>
      <c r="F73" s="32">
        <v>344262</v>
      </c>
      <c r="G73" s="32">
        <v>124982578</v>
      </c>
      <c r="H73" t="s">
        <v>2015</v>
      </c>
    </row>
    <row r="74" spans="1:8" hidden="1" x14ac:dyDescent="0.3">
      <c r="A74" s="28">
        <v>16807</v>
      </c>
      <c r="B74" s="31">
        <v>45439.777777777781</v>
      </c>
      <c r="C74" s="18">
        <v>45439</v>
      </c>
      <c r="D74" t="s">
        <v>101</v>
      </c>
      <c r="E74" s="32">
        <v>0</v>
      </c>
      <c r="F74" s="32">
        <v>5980</v>
      </c>
      <c r="G74" s="32">
        <v>125326840</v>
      </c>
      <c r="H74" t="s">
        <v>2016</v>
      </c>
    </row>
    <row r="75" spans="1:8" hidden="1" x14ac:dyDescent="0.3">
      <c r="A75" s="28">
        <v>16806</v>
      </c>
      <c r="B75" s="31">
        <v>45439.777777777781</v>
      </c>
      <c r="C75" s="18">
        <v>45439</v>
      </c>
      <c r="D75" t="s">
        <v>101</v>
      </c>
      <c r="E75" s="32">
        <v>0</v>
      </c>
      <c r="F75" s="32">
        <v>720000</v>
      </c>
      <c r="G75" s="32">
        <v>125332820</v>
      </c>
      <c r="H75" t="s">
        <v>106</v>
      </c>
    </row>
    <row r="76" spans="1:8" hidden="1" x14ac:dyDescent="0.3">
      <c r="A76" s="28">
        <v>16800</v>
      </c>
      <c r="B76" s="31">
        <v>45439.304861111108</v>
      </c>
      <c r="C76" s="18">
        <v>45439</v>
      </c>
      <c r="D76" t="s">
        <v>101</v>
      </c>
      <c r="E76" s="32">
        <v>0</v>
      </c>
      <c r="F76" s="32">
        <v>336060</v>
      </c>
      <c r="G76" s="32">
        <v>126052820</v>
      </c>
      <c r="H76" t="s">
        <v>116</v>
      </c>
    </row>
    <row r="77" spans="1:8" hidden="1" x14ac:dyDescent="0.3">
      <c r="A77" s="28">
        <v>16799</v>
      </c>
      <c r="B77" s="31">
        <v>45439.304861111108</v>
      </c>
      <c r="C77" s="18">
        <v>45439</v>
      </c>
      <c r="D77" t="s">
        <v>101</v>
      </c>
      <c r="E77" s="32">
        <v>0</v>
      </c>
      <c r="F77" s="32">
        <v>5227255</v>
      </c>
      <c r="G77" s="32">
        <v>126388880</v>
      </c>
      <c r="H77" t="s">
        <v>116</v>
      </c>
    </row>
    <row r="78" spans="1:8" hidden="1" x14ac:dyDescent="0.3">
      <c r="A78" s="28">
        <v>16793</v>
      </c>
      <c r="B78" s="31">
        <v>45436.624305555553</v>
      </c>
      <c r="C78" s="18">
        <v>45436</v>
      </c>
      <c r="D78" t="s">
        <v>100</v>
      </c>
      <c r="E78" s="32">
        <v>100000000</v>
      </c>
      <c r="F78" s="32">
        <v>0</v>
      </c>
      <c r="G78" s="32">
        <v>131616135</v>
      </c>
      <c r="H78" t="s">
        <v>122</v>
      </c>
    </row>
    <row r="79" spans="1:8" hidden="1" x14ac:dyDescent="0.3">
      <c r="A79" s="28">
        <v>16786</v>
      </c>
      <c r="B79" s="31">
        <v>45436.334027777775</v>
      </c>
      <c r="C79" s="18">
        <v>45436</v>
      </c>
      <c r="D79" t="s">
        <v>101</v>
      </c>
      <c r="E79" s="32">
        <v>0</v>
      </c>
      <c r="F79" s="32">
        <v>49695814</v>
      </c>
      <c r="G79" s="32">
        <v>31616135</v>
      </c>
      <c r="H79" t="s">
        <v>117</v>
      </c>
    </row>
    <row r="80" spans="1:8" hidden="1" x14ac:dyDescent="0.3">
      <c r="A80" s="28">
        <v>16784</v>
      </c>
      <c r="B80" s="31">
        <v>45435.623611111114</v>
      </c>
      <c r="C80" s="18">
        <v>45435</v>
      </c>
      <c r="D80" t="s">
        <v>100</v>
      </c>
      <c r="E80" s="32">
        <v>2450800</v>
      </c>
      <c r="F80" s="32">
        <v>0</v>
      </c>
      <c r="G80" s="32">
        <v>81311949</v>
      </c>
      <c r="H80" t="s">
        <v>110</v>
      </c>
    </row>
    <row r="81" spans="1:8" hidden="1" x14ac:dyDescent="0.3">
      <c r="A81" s="28">
        <v>16782</v>
      </c>
      <c r="B81" s="31">
        <v>45435.5625</v>
      </c>
      <c r="C81" s="18">
        <v>45435</v>
      </c>
      <c r="D81" t="s">
        <v>100</v>
      </c>
      <c r="E81" s="32">
        <v>465300</v>
      </c>
      <c r="F81" s="32">
        <v>0</v>
      </c>
      <c r="G81" s="32">
        <v>78861149</v>
      </c>
      <c r="H81" t="s">
        <v>134</v>
      </c>
    </row>
    <row r="82" spans="1:8" hidden="1" x14ac:dyDescent="0.3">
      <c r="A82" s="28">
        <v>16771</v>
      </c>
      <c r="B82" s="31">
        <v>45434.438888888886</v>
      </c>
      <c r="C82" s="18">
        <v>45434</v>
      </c>
      <c r="D82" t="s">
        <v>101</v>
      </c>
      <c r="E82" s="32">
        <v>0</v>
      </c>
      <c r="F82" s="32">
        <v>880837</v>
      </c>
      <c r="G82" s="32">
        <v>78395849</v>
      </c>
      <c r="H82" t="s">
        <v>109</v>
      </c>
    </row>
    <row r="83" spans="1:8" hidden="1" x14ac:dyDescent="0.3">
      <c r="A83" s="28">
        <v>16768</v>
      </c>
      <c r="B83" s="31">
        <v>45434.379861111112</v>
      </c>
      <c r="C83" s="18">
        <v>45434</v>
      </c>
      <c r="D83" t="s">
        <v>101</v>
      </c>
      <c r="E83" s="32">
        <v>0</v>
      </c>
      <c r="F83" s="32">
        <v>27287200</v>
      </c>
      <c r="G83" s="32">
        <v>79276686</v>
      </c>
      <c r="H83" t="s">
        <v>105</v>
      </c>
    </row>
    <row r="84" spans="1:8" hidden="1" x14ac:dyDescent="0.3">
      <c r="A84" s="28">
        <v>16766</v>
      </c>
      <c r="B84" s="31">
        <v>45433.755555555559</v>
      </c>
      <c r="C84" s="18">
        <v>45433</v>
      </c>
      <c r="D84" t="s">
        <v>101</v>
      </c>
      <c r="E84" s="32">
        <v>0</v>
      </c>
      <c r="F84" s="32">
        <v>255130</v>
      </c>
      <c r="G84" s="32">
        <v>106563886</v>
      </c>
      <c r="H84" t="s">
        <v>2017</v>
      </c>
    </row>
    <row r="85" spans="1:8" hidden="1" x14ac:dyDescent="0.3">
      <c r="A85" s="28">
        <v>16756</v>
      </c>
      <c r="B85" s="31">
        <v>45432.316666666666</v>
      </c>
      <c r="C85" s="18">
        <v>45432</v>
      </c>
      <c r="D85" t="s">
        <v>100</v>
      </c>
      <c r="E85" s="32">
        <v>15847</v>
      </c>
      <c r="F85" s="32">
        <v>0</v>
      </c>
      <c r="G85" s="32">
        <v>106819016</v>
      </c>
      <c r="H85" t="s">
        <v>121</v>
      </c>
    </row>
    <row r="86" spans="1:8" hidden="1" x14ac:dyDescent="0.3">
      <c r="A86" s="28">
        <v>16738</v>
      </c>
      <c r="B86" s="31">
        <v>45428.779166666667</v>
      </c>
      <c r="C86" s="18">
        <v>45428</v>
      </c>
      <c r="D86" t="s">
        <v>101</v>
      </c>
      <c r="E86" s="32">
        <v>0</v>
      </c>
      <c r="F86" s="32">
        <v>1680000</v>
      </c>
      <c r="G86" s="32">
        <v>106803169</v>
      </c>
      <c r="H86" t="s">
        <v>106</v>
      </c>
    </row>
    <row r="87" spans="1:8" hidden="1" x14ac:dyDescent="0.3">
      <c r="A87" s="28">
        <v>16724</v>
      </c>
      <c r="B87" s="31">
        <v>45428.479861111111</v>
      </c>
      <c r="C87" s="18">
        <v>45428</v>
      </c>
      <c r="D87" t="s">
        <v>100</v>
      </c>
      <c r="E87" s="32">
        <v>4659600</v>
      </c>
      <c r="F87" s="32">
        <v>0</v>
      </c>
      <c r="G87" s="32">
        <v>108483169</v>
      </c>
      <c r="H87" t="s">
        <v>1933</v>
      </c>
    </row>
    <row r="88" spans="1:8" hidden="1" x14ac:dyDescent="0.3">
      <c r="A88" s="28">
        <v>16723</v>
      </c>
      <c r="B88" s="31">
        <v>45428.384722222225</v>
      </c>
      <c r="C88" s="18">
        <v>45428</v>
      </c>
      <c r="D88" t="s">
        <v>101</v>
      </c>
      <c r="E88" s="32">
        <v>0</v>
      </c>
      <c r="F88" s="32">
        <v>1475380</v>
      </c>
      <c r="G88" s="32">
        <v>103823569</v>
      </c>
      <c r="H88" t="s">
        <v>105</v>
      </c>
    </row>
    <row r="89" spans="1:8" hidden="1" x14ac:dyDescent="0.3">
      <c r="A89" s="28">
        <v>16722</v>
      </c>
      <c r="B89" s="31">
        <v>45428.384722222225</v>
      </c>
      <c r="C89" s="18">
        <v>45428</v>
      </c>
      <c r="D89" t="s">
        <v>101</v>
      </c>
      <c r="E89" s="32">
        <v>0</v>
      </c>
      <c r="F89" s="32">
        <v>27089000</v>
      </c>
      <c r="G89" s="32">
        <v>105298949</v>
      </c>
      <c r="H89" t="s">
        <v>105</v>
      </c>
    </row>
    <row r="90" spans="1:8" hidden="1" x14ac:dyDescent="0.3">
      <c r="A90" s="28">
        <v>16717</v>
      </c>
      <c r="B90" s="31">
        <v>45426.694444444445</v>
      </c>
      <c r="C90" s="18">
        <v>45426</v>
      </c>
      <c r="D90" t="s">
        <v>100</v>
      </c>
      <c r="E90" s="32">
        <v>3648700</v>
      </c>
      <c r="F90" s="32">
        <v>0</v>
      </c>
      <c r="G90" s="32">
        <v>132387949</v>
      </c>
      <c r="H90" t="s">
        <v>130</v>
      </c>
    </row>
    <row r="91" spans="1:8" hidden="1" x14ac:dyDescent="0.3">
      <c r="A91" s="28">
        <v>16706</v>
      </c>
      <c r="B91" s="31">
        <v>45426.376388888886</v>
      </c>
      <c r="C91" s="18">
        <v>45426</v>
      </c>
      <c r="D91" t="s">
        <v>101</v>
      </c>
      <c r="E91" s="32">
        <v>0</v>
      </c>
      <c r="F91" s="32">
        <v>27393400</v>
      </c>
      <c r="G91" s="32">
        <v>128739249</v>
      </c>
      <c r="H91" t="s">
        <v>105</v>
      </c>
    </row>
    <row r="92" spans="1:8" hidden="1" x14ac:dyDescent="0.3">
      <c r="A92" s="28">
        <v>16702</v>
      </c>
      <c r="B92" s="31">
        <v>45425.658333333333</v>
      </c>
      <c r="C92" s="18">
        <v>45425</v>
      </c>
      <c r="D92" t="s">
        <v>100</v>
      </c>
      <c r="E92" s="32">
        <v>6146800</v>
      </c>
      <c r="F92" s="32">
        <v>0</v>
      </c>
      <c r="G92" s="32">
        <v>156132649</v>
      </c>
      <c r="H92" t="s">
        <v>127</v>
      </c>
    </row>
    <row r="93" spans="1:8" hidden="1" x14ac:dyDescent="0.3">
      <c r="A93" s="28">
        <v>16692</v>
      </c>
      <c r="B93" s="31">
        <v>45422.760416666664</v>
      </c>
      <c r="C93" s="18">
        <v>45422</v>
      </c>
      <c r="D93" t="s">
        <v>101</v>
      </c>
      <c r="E93" s="32">
        <v>0</v>
      </c>
      <c r="F93" s="32">
        <v>576750</v>
      </c>
      <c r="G93" s="32">
        <v>149985849</v>
      </c>
      <c r="H93" t="s">
        <v>1934</v>
      </c>
    </row>
    <row r="94" spans="1:8" hidden="1" x14ac:dyDescent="0.3">
      <c r="A94" s="28">
        <v>16691</v>
      </c>
      <c r="B94" s="31">
        <v>45422.760416666664</v>
      </c>
      <c r="C94" s="18">
        <v>45422</v>
      </c>
      <c r="D94" t="s">
        <v>101</v>
      </c>
      <c r="E94" s="32">
        <v>0</v>
      </c>
      <c r="F94" s="32">
        <v>1263280</v>
      </c>
      <c r="G94" s="32">
        <v>150562599</v>
      </c>
      <c r="H94" t="s">
        <v>1935</v>
      </c>
    </row>
    <row r="95" spans="1:8" hidden="1" x14ac:dyDescent="0.3">
      <c r="A95" s="28">
        <v>16690</v>
      </c>
      <c r="B95" s="31">
        <v>45422.758333333331</v>
      </c>
      <c r="C95" s="18">
        <v>45422</v>
      </c>
      <c r="D95" t="s">
        <v>101</v>
      </c>
      <c r="E95" s="32">
        <v>0</v>
      </c>
      <c r="F95" s="32">
        <v>4257180</v>
      </c>
      <c r="G95" s="32">
        <v>151825879</v>
      </c>
      <c r="H95" t="s">
        <v>1936</v>
      </c>
    </row>
    <row r="96" spans="1:8" hidden="1" x14ac:dyDescent="0.3">
      <c r="A96" s="28">
        <v>16689</v>
      </c>
      <c r="B96" s="31">
        <v>45422.75277777778</v>
      </c>
      <c r="C96" s="18">
        <v>45422</v>
      </c>
      <c r="D96" t="s">
        <v>101</v>
      </c>
      <c r="E96" s="32">
        <v>0</v>
      </c>
      <c r="F96" s="32">
        <v>4186940</v>
      </c>
      <c r="G96" s="32">
        <v>156083059</v>
      </c>
      <c r="H96" t="s">
        <v>1937</v>
      </c>
    </row>
    <row r="97" spans="1:8" hidden="1" x14ac:dyDescent="0.3">
      <c r="A97" s="28">
        <v>16681</v>
      </c>
      <c r="B97" s="31">
        <v>45422.439583333333</v>
      </c>
      <c r="C97" s="18">
        <v>45422</v>
      </c>
      <c r="D97" t="s">
        <v>101</v>
      </c>
      <c r="E97" s="32">
        <v>0</v>
      </c>
      <c r="F97" s="32">
        <v>3855250</v>
      </c>
      <c r="G97" s="32">
        <v>160269999</v>
      </c>
      <c r="H97" t="s">
        <v>109</v>
      </c>
    </row>
    <row r="98" spans="1:8" hidden="1" x14ac:dyDescent="0.3">
      <c r="A98" s="28">
        <v>16680</v>
      </c>
      <c r="B98" s="31">
        <v>45422.420138888891</v>
      </c>
      <c r="C98" s="18">
        <v>45422</v>
      </c>
      <c r="D98" t="s">
        <v>101</v>
      </c>
      <c r="E98" s="32">
        <v>0</v>
      </c>
      <c r="F98" s="32">
        <v>20536050</v>
      </c>
      <c r="G98" s="32">
        <v>164125249</v>
      </c>
      <c r="H98" t="s">
        <v>105</v>
      </c>
    </row>
    <row r="99" spans="1:8" hidden="1" x14ac:dyDescent="0.3">
      <c r="A99" s="28">
        <v>16674</v>
      </c>
      <c r="B99" s="31">
        <v>45421.446527777778</v>
      </c>
      <c r="C99" s="18">
        <v>45421</v>
      </c>
      <c r="D99" t="s">
        <v>100</v>
      </c>
      <c r="E99" s="32">
        <v>1824900</v>
      </c>
      <c r="F99" s="32">
        <v>0</v>
      </c>
      <c r="G99" s="32">
        <v>184661299</v>
      </c>
      <c r="H99" t="s">
        <v>110</v>
      </c>
    </row>
    <row r="100" spans="1:8" hidden="1" x14ac:dyDescent="0.3">
      <c r="A100" s="28">
        <v>16664</v>
      </c>
      <c r="B100" s="31">
        <v>45419.754166666666</v>
      </c>
      <c r="C100" s="18">
        <v>45419</v>
      </c>
      <c r="D100" t="s">
        <v>101</v>
      </c>
      <c r="E100" s="32">
        <v>0</v>
      </c>
      <c r="F100" s="32">
        <v>240000</v>
      </c>
      <c r="G100" s="32">
        <v>182836399</v>
      </c>
      <c r="H100" t="s">
        <v>106</v>
      </c>
    </row>
    <row r="101" spans="1:8" hidden="1" x14ac:dyDescent="0.3">
      <c r="A101" s="28">
        <v>16663</v>
      </c>
      <c r="B101" s="31">
        <v>45419.750694444447</v>
      </c>
      <c r="C101" s="18">
        <v>45419</v>
      </c>
      <c r="D101" t="s">
        <v>101</v>
      </c>
      <c r="E101" s="32">
        <v>0</v>
      </c>
      <c r="F101" s="32">
        <v>31000</v>
      </c>
      <c r="G101" s="32">
        <v>183076399</v>
      </c>
      <c r="H101" t="s">
        <v>1938</v>
      </c>
    </row>
    <row r="102" spans="1:8" hidden="1" x14ac:dyDescent="0.3">
      <c r="A102" s="28">
        <v>16648</v>
      </c>
      <c r="B102" s="31">
        <v>45419.380555555559</v>
      </c>
      <c r="C102" s="18">
        <v>45419</v>
      </c>
      <c r="D102" t="s">
        <v>101</v>
      </c>
      <c r="E102" s="32">
        <v>0</v>
      </c>
      <c r="F102" s="32">
        <v>6825560</v>
      </c>
      <c r="G102" s="32">
        <v>183107399</v>
      </c>
      <c r="H102" t="s">
        <v>105</v>
      </c>
    </row>
    <row r="103" spans="1:8" hidden="1" x14ac:dyDescent="0.3">
      <c r="A103" s="28">
        <v>16642</v>
      </c>
      <c r="B103" s="31">
        <v>45415.410416666666</v>
      </c>
      <c r="C103" s="18">
        <v>45415</v>
      </c>
      <c r="D103" t="s">
        <v>101</v>
      </c>
      <c r="E103" s="32">
        <v>0</v>
      </c>
      <c r="F103" s="32">
        <v>27397400</v>
      </c>
      <c r="G103" s="32">
        <v>189932959</v>
      </c>
      <c r="H103" t="s">
        <v>105</v>
      </c>
    </row>
    <row r="104" spans="1:8" hidden="1" x14ac:dyDescent="0.3">
      <c r="A104" s="28">
        <v>16641</v>
      </c>
      <c r="B104" s="31">
        <v>45415.375694444447</v>
      </c>
      <c r="C104" s="18">
        <v>45415</v>
      </c>
      <c r="D104" t="s">
        <v>101</v>
      </c>
      <c r="E104" s="32">
        <v>0</v>
      </c>
      <c r="F104" s="32">
        <v>41105100</v>
      </c>
      <c r="G104" s="32">
        <v>217330359</v>
      </c>
      <c r="H104" t="s">
        <v>105</v>
      </c>
    </row>
    <row r="105" spans="1:8" hidden="1" x14ac:dyDescent="0.3">
      <c r="A105" s="28">
        <v>16640</v>
      </c>
      <c r="B105" s="31">
        <v>45414.699305555558</v>
      </c>
      <c r="C105" s="18">
        <v>45414</v>
      </c>
      <c r="D105" t="s">
        <v>101</v>
      </c>
      <c r="E105" s="32">
        <v>0</v>
      </c>
      <c r="F105" s="32">
        <v>105210</v>
      </c>
      <c r="G105" s="32">
        <v>258435459</v>
      </c>
      <c r="H105" t="s">
        <v>108</v>
      </c>
    </row>
    <row r="106" spans="1:8" hidden="1" x14ac:dyDescent="0.3">
      <c r="A106" s="28">
        <v>16633</v>
      </c>
      <c r="B106" s="31">
        <v>45414.375694444447</v>
      </c>
      <c r="C106" s="18">
        <v>45414</v>
      </c>
      <c r="D106" t="s">
        <v>101</v>
      </c>
      <c r="E106" s="32">
        <v>0</v>
      </c>
      <c r="F106" s="32">
        <v>6898900</v>
      </c>
      <c r="G106" s="32">
        <v>258540669</v>
      </c>
      <c r="H106" t="s">
        <v>105</v>
      </c>
    </row>
    <row r="107" spans="1:8" hidden="1" x14ac:dyDescent="0.3">
      <c r="A107" s="28">
        <v>16599</v>
      </c>
      <c r="B107" s="31">
        <v>45411.70208333333</v>
      </c>
      <c r="C107" s="18">
        <v>45411</v>
      </c>
      <c r="D107" t="s">
        <v>101</v>
      </c>
      <c r="E107" s="32">
        <v>0</v>
      </c>
      <c r="F107" s="32">
        <v>46300</v>
      </c>
      <c r="G107" s="32">
        <v>265439569</v>
      </c>
      <c r="H107" t="s">
        <v>1939</v>
      </c>
    </row>
    <row r="108" spans="1:8" hidden="1" x14ac:dyDescent="0.3">
      <c r="A108" s="28">
        <v>16598</v>
      </c>
      <c r="B108" s="31">
        <v>45411.701388888891</v>
      </c>
      <c r="C108" s="18">
        <v>45411</v>
      </c>
      <c r="D108" t="s">
        <v>101</v>
      </c>
      <c r="E108" s="32">
        <v>0</v>
      </c>
      <c r="F108" s="32">
        <v>44000</v>
      </c>
      <c r="G108" s="32">
        <v>265485869</v>
      </c>
      <c r="H108" t="s">
        <v>1939</v>
      </c>
    </row>
    <row r="109" spans="1:8" hidden="1" x14ac:dyDescent="0.3">
      <c r="A109" s="28">
        <v>16597</v>
      </c>
      <c r="B109" s="31">
        <v>45411.699305555558</v>
      </c>
      <c r="C109" s="18">
        <v>45411</v>
      </c>
      <c r="D109" t="s">
        <v>101</v>
      </c>
      <c r="E109" s="32">
        <v>0</v>
      </c>
      <c r="F109" s="32">
        <v>46300</v>
      </c>
      <c r="G109" s="32">
        <v>265529869</v>
      </c>
      <c r="H109" t="s">
        <v>1939</v>
      </c>
    </row>
    <row r="110" spans="1:8" hidden="1" x14ac:dyDescent="0.3">
      <c r="A110" s="28">
        <v>16596</v>
      </c>
      <c r="B110" s="31">
        <v>45411.599305555559</v>
      </c>
      <c r="C110" s="18">
        <v>45411</v>
      </c>
      <c r="D110" t="s">
        <v>100</v>
      </c>
      <c r="E110" s="32">
        <v>75288400</v>
      </c>
      <c r="F110" s="32">
        <v>0</v>
      </c>
      <c r="G110" s="32">
        <v>265576169</v>
      </c>
      <c r="H110" t="s">
        <v>112</v>
      </c>
    </row>
    <row r="111" spans="1:8" hidden="1" x14ac:dyDescent="0.3">
      <c r="A111" s="28">
        <v>16595</v>
      </c>
      <c r="B111" s="31">
        <v>45411.599305555559</v>
      </c>
      <c r="C111" s="18">
        <v>45411</v>
      </c>
      <c r="D111" t="s">
        <v>100</v>
      </c>
      <c r="E111" s="32">
        <v>131209100</v>
      </c>
      <c r="F111" s="32">
        <v>0</v>
      </c>
      <c r="G111" s="32">
        <v>190287769</v>
      </c>
      <c r="H111" t="s">
        <v>112</v>
      </c>
    </row>
    <row r="112" spans="1:8" hidden="1" x14ac:dyDescent="0.3">
      <c r="A112" s="28">
        <v>16590</v>
      </c>
      <c r="B112" s="31">
        <v>45411.322222222225</v>
      </c>
      <c r="C112" s="18">
        <v>45411</v>
      </c>
      <c r="D112" t="s">
        <v>101</v>
      </c>
      <c r="E112" s="32">
        <v>0</v>
      </c>
      <c r="F112" s="32">
        <v>355737</v>
      </c>
      <c r="G112" s="32">
        <v>59078669</v>
      </c>
      <c r="H112" t="s">
        <v>1940</v>
      </c>
    </row>
    <row r="113" spans="1:8" hidden="1" x14ac:dyDescent="0.3">
      <c r="A113" s="28">
        <v>16582</v>
      </c>
      <c r="B113" s="31">
        <v>45408.29583333333</v>
      </c>
      <c r="C113" s="18">
        <v>45408</v>
      </c>
      <c r="D113" t="s">
        <v>101</v>
      </c>
      <c r="E113" s="32">
        <v>0</v>
      </c>
      <c r="F113" s="32">
        <v>393360</v>
      </c>
      <c r="G113" s="32">
        <v>59434406</v>
      </c>
      <c r="H113" t="s">
        <v>116</v>
      </c>
    </row>
    <row r="114" spans="1:8" hidden="1" x14ac:dyDescent="0.3">
      <c r="A114" s="28">
        <v>16581</v>
      </c>
      <c r="B114" s="31">
        <v>45408.29583333333</v>
      </c>
      <c r="C114" s="18">
        <v>45408</v>
      </c>
      <c r="D114" t="s">
        <v>101</v>
      </c>
      <c r="E114" s="32">
        <v>0</v>
      </c>
      <c r="F114" s="32">
        <v>5916314</v>
      </c>
      <c r="G114" s="32">
        <v>59827766</v>
      </c>
      <c r="H114" t="s">
        <v>116</v>
      </c>
    </row>
    <row r="115" spans="1:8" hidden="1" x14ac:dyDescent="0.3">
      <c r="A115" s="28">
        <v>16579</v>
      </c>
      <c r="B115" s="31">
        <v>45407.793055555558</v>
      </c>
      <c r="C115" s="18">
        <v>45407</v>
      </c>
      <c r="D115" t="s">
        <v>101</v>
      </c>
      <c r="E115" s="32">
        <v>0</v>
      </c>
      <c r="F115" s="32">
        <v>720000</v>
      </c>
      <c r="G115" s="32">
        <v>65744080</v>
      </c>
      <c r="H115" t="s">
        <v>106</v>
      </c>
    </row>
    <row r="116" spans="1:8" hidden="1" x14ac:dyDescent="0.3">
      <c r="A116" s="28">
        <v>16578</v>
      </c>
      <c r="B116" s="31">
        <v>45407.774305555555</v>
      </c>
      <c r="C116" s="18">
        <v>45407</v>
      </c>
      <c r="D116" t="s">
        <v>101</v>
      </c>
      <c r="E116" s="32">
        <v>0</v>
      </c>
      <c r="F116" s="32">
        <v>5980</v>
      </c>
      <c r="G116" s="32">
        <v>66464080</v>
      </c>
      <c r="H116" t="s">
        <v>1941</v>
      </c>
    </row>
    <row r="117" spans="1:8" hidden="1" x14ac:dyDescent="0.3">
      <c r="A117" s="28">
        <v>16573</v>
      </c>
      <c r="B117" s="31">
        <v>45407.633333333331</v>
      </c>
      <c r="C117" s="18">
        <v>45407</v>
      </c>
      <c r="D117" t="s">
        <v>101</v>
      </c>
      <c r="E117" s="32">
        <v>0</v>
      </c>
      <c r="F117" s="32">
        <v>211950</v>
      </c>
      <c r="G117" s="32">
        <v>66470060</v>
      </c>
      <c r="H117" t="s">
        <v>117</v>
      </c>
    </row>
    <row r="118" spans="1:8" hidden="1" x14ac:dyDescent="0.3">
      <c r="A118" s="28">
        <v>16569</v>
      </c>
      <c r="B118" s="31">
        <v>45407.553472222222</v>
      </c>
      <c r="C118" s="18">
        <v>45407</v>
      </c>
      <c r="D118" t="s">
        <v>100</v>
      </c>
      <c r="E118" s="32">
        <v>1700600</v>
      </c>
      <c r="F118" s="32">
        <v>0</v>
      </c>
      <c r="G118" s="32">
        <v>66682010</v>
      </c>
      <c r="H118" t="s">
        <v>110</v>
      </c>
    </row>
    <row r="119" spans="1:8" hidden="1" x14ac:dyDescent="0.3">
      <c r="A119" s="28">
        <v>16565</v>
      </c>
      <c r="B119" s="31">
        <v>45407.445833333331</v>
      </c>
      <c r="C119" s="18">
        <v>45407</v>
      </c>
      <c r="D119" t="s">
        <v>101</v>
      </c>
      <c r="E119" s="32">
        <v>0</v>
      </c>
      <c r="F119" s="32">
        <v>50000000</v>
      </c>
      <c r="G119" s="32">
        <v>64981410</v>
      </c>
      <c r="H119" t="s">
        <v>111</v>
      </c>
    </row>
    <row r="120" spans="1:8" hidden="1" x14ac:dyDescent="0.3">
      <c r="A120" s="28">
        <v>16564</v>
      </c>
      <c r="B120" s="31">
        <v>45407.442361111112</v>
      </c>
      <c r="C120" s="18">
        <v>45407</v>
      </c>
      <c r="D120" t="s">
        <v>100</v>
      </c>
      <c r="E120" s="32">
        <v>100000000</v>
      </c>
      <c r="F120" s="32">
        <v>0</v>
      </c>
      <c r="G120" s="32">
        <v>114981410</v>
      </c>
      <c r="H120" t="s">
        <v>122</v>
      </c>
    </row>
    <row r="121" spans="1:8" hidden="1" x14ac:dyDescent="0.3">
      <c r="A121" s="28">
        <v>16558</v>
      </c>
      <c r="B121" s="31">
        <v>45406.698611111111</v>
      </c>
      <c r="C121" s="18">
        <v>45406</v>
      </c>
      <c r="D121" t="s">
        <v>101</v>
      </c>
      <c r="E121" s="32">
        <v>0</v>
      </c>
      <c r="F121" s="32">
        <v>31000</v>
      </c>
      <c r="G121" s="32">
        <v>14981410</v>
      </c>
      <c r="H121" t="s">
        <v>1942</v>
      </c>
    </row>
    <row r="122" spans="1:8" hidden="1" x14ac:dyDescent="0.3">
      <c r="A122" s="28">
        <v>16549</v>
      </c>
      <c r="B122" s="31">
        <v>45406.378472222219</v>
      </c>
      <c r="C122" s="18">
        <v>45406</v>
      </c>
      <c r="D122" t="s">
        <v>101</v>
      </c>
      <c r="E122" s="32">
        <v>0</v>
      </c>
      <c r="F122" s="32">
        <v>27461400</v>
      </c>
      <c r="G122" s="32">
        <v>15012410</v>
      </c>
      <c r="H122" t="s">
        <v>105</v>
      </c>
    </row>
    <row r="123" spans="1:8" hidden="1" x14ac:dyDescent="0.3">
      <c r="A123" s="28">
        <v>16548</v>
      </c>
      <c r="B123" s="31">
        <v>45406.333333333336</v>
      </c>
      <c r="C123" s="18">
        <v>45406</v>
      </c>
      <c r="D123" t="s">
        <v>101</v>
      </c>
      <c r="E123" s="32">
        <v>0</v>
      </c>
      <c r="F123" s="32">
        <v>50494665</v>
      </c>
      <c r="G123" s="32">
        <v>42473810</v>
      </c>
      <c r="H123" t="s">
        <v>117</v>
      </c>
    </row>
    <row r="124" spans="1:8" hidden="1" x14ac:dyDescent="0.3">
      <c r="A124" s="28">
        <v>16546</v>
      </c>
      <c r="B124" s="31">
        <v>45405.595138888886</v>
      </c>
      <c r="C124" s="18">
        <v>45405</v>
      </c>
      <c r="D124" t="s">
        <v>100</v>
      </c>
      <c r="E124" s="32">
        <v>104500</v>
      </c>
      <c r="F124" s="32">
        <v>0</v>
      </c>
      <c r="G124" s="32">
        <v>92968475</v>
      </c>
      <c r="H124" t="s">
        <v>134</v>
      </c>
    </row>
    <row r="125" spans="1:8" hidden="1" x14ac:dyDescent="0.3">
      <c r="A125" s="28">
        <v>16540</v>
      </c>
      <c r="B125" s="31">
        <v>45405.453472222223</v>
      </c>
      <c r="C125" s="18">
        <v>45405</v>
      </c>
      <c r="D125" t="s">
        <v>100</v>
      </c>
      <c r="E125" s="32">
        <v>50000000</v>
      </c>
      <c r="F125" s="32">
        <v>0</v>
      </c>
      <c r="G125" s="32">
        <v>92863975</v>
      </c>
      <c r="H125" t="s">
        <v>114</v>
      </c>
    </row>
    <row r="126" spans="1:8" hidden="1" x14ac:dyDescent="0.3">
      <c r="A126" s="28">
        <v>16538</v>
      </c>
      <c r="B126" s="31">
        <v>45405.379861111112</v>
      </c>
      <c r="C126" s="18">
        <v>45405</v>
      </c>
      <c r="D126" t="s">
        <v>101</v>
      </c>
      <c r="E126" s="32">
        <v>0</v>
      </c>
      <c r="F126" s="32">
        <v>27577600</v>
      </c>
      <c r="G126" s="32">
        <v>42863975</v>
      </c>
      <c r="H126" t="s">
        <v>105</v>
      </c>
    </row>
    <row r="127" spans="1:8" hidden="1" x14ac:dyDescent="0.3">
      <c r="A127" s="28">
        <v>16535</v>
      </c>
      <c r="B127" s="31">
        <v>45405.35833333333</v>
      </c>
      <c r="C127" s="18">
        <v>45405</v>
      </c>
      <c r="D127" t="s">
        <v>100</v>
      </c>
      <c r="E127" s="32">
        <v>49800000</v>
      </c>
      <c r="F127" s="32">
        <v>0</v>
      </c>
      <c r="G127" s="32">
        <v>70441575</v>
      </c>
      <c r="H127" t="s">
        <v>129</v>
      </c>
    </row>
    <row r="128" spans="1:8" hidden="1" x14ac:dyDescent="0.3">
      <c r="A128" s="28">
        <v>16528</v>
      </c>
      <c r="B128" s="31">
        <v>45404.765972222223</v>
      </c>
      <c r="C128" s="18">
        <v>45404</v>
      </c>
      <c r="D128" t="s">
        <v>101</v>
      </c>
      <c r="E128" s="32">
        <v>0</v>
      </c>
      <c r="F128" s="32">
        <v>262810</v>
      </c>
      <c r="G128" s="32">
        <v>20641575</v>
      </c>
      <c r="H128" t="s">
        <v>1943</v>
      </c>
    </row>
    <row r="129" spans="1:8" hidden="1" x14ac:dyDescent="0.3">
      <c r="A129" s="28">
        <v>16525</v>
      </c>
      <c r="B129" s="31">
        <v>45404.59097222222</v>
      </c>
      <c r="C129" s="18">
        <v>45404</v>
      </c>
      <c r="D129" t="s">
        <v>100</v>
      </c>
      <c r="E129" s="32">
        <v>693000</v>
      </c>
      <c r="F129" s="32">
        <v>0</v>
      </c>
      <c r="G129" s="32">
        <v>20904385</v>
      </c>
      <c r="H129" t="s">
        <v>1944</v>
      </c>
    </row>
    <row r="130" spans="1:8" hidden="1" x14ac:dyDescent="0.3">
      <c r="A130" s="28">
        <v>16518</v>
      </c>
      <c r="B130" s="31">
        <v>45404.382638888892</v>
      </c>
      <c r="C130" s="18">
        <v>45404</v>
      </c>
      <c r="D130" t="s">
        <v>101</v>
      </c>
      <c r="E130" s="32">
        <v>0</v>
      </c>
      <c r="F130" s="32">
        <v>27589600</v>
      </c>
      <c r="G130" s="32">
        <v>20211385</v>
      </c>
      <c r="H130" t="s">
        <v>105</v>
      </c>
    </row>
    <row r="131" spans="1:8" hidden="1" x14ac:dyDescent="0.3">
      <c r="A131" s="28">
        <v>16517</v>
      </c>
      <c r="B131" s="31">
        <v>45404.32708333333</v>
      </c>
      <c r="C131" s="18">
        <v>45404</v>
      </c>
      <c r="D131" t="s">
        <v>100</v>
      </c>
      <c r="E131" s="32">
        <v>16685</v>
      </c>
      <c r="F131" s="32">
        <v>0</v>
      </c>
      <c r="G131" s="32">
        <v>47800985</v>
      </c>
      <c r="H131" t="s">
        <v>121</v>
      </c>
    </row>
    <row r="132" spans="1:8" hidden="1" x14ac:dyDescent="0.3">
      <c r="A132" s="28">
        <v>16490</v>
      </c>
      <c r="B132" s="31">
        <v>45398.616666666669</v>
      </c>
      <c r="C132" s="18">
        <v>45398</v>
      </c>
      <c r="D132" t="s">
        <v>101</v>
      </c>
      <c r="E132" s="32">
        <v>0</v>
      </c>
      <c r="F132" s="32">
        <v>13970000</v>
      </c>
      <c r="G132" s="32">
        <v>47784300</v>
      </c>
      <c r="H132" t="s">
        <v>105</v>
      </c>
    </row>
    <row r="133" spans="1:8" hidden="1" x14ac:dyDescent="0.3">
      <c r="A133" s="28">
        <v>16488</v>
      </c>
      <c r="B133" s="31">
        <v>45398.609027777777</v>
      </c>
      <c r="C133" s="18">
        <v>45398</v>
      </c>
      <c r="D133" t="s">
        <v>101</v>
      </c>
      <c r="E133" s="32">
        <v>0</v>
      </c>
      <c r="F133" s="32">
        <v>27940000</v>
      </c>
      <c r="G133" s="32">
        <v>61754300</v>
      </c>
      <c r="H133" t="s">
        <v>105</v>
      </c>
    </row>
    <row r="134" spans="1:8" hidden="1" x14ac:dyDescent="0.3">
      <c r="A134" s="28">
        <v>16479</v>
      </c>
      <c r="B134" s="31">
        <v>45397.788888888892</v>
      </c>
      <c r="C134" s="18">
        <v>45397</v>
      </c>
      <c r="D134" t="s">
        <v>101</v>
      </c>
      <c r="E134" s="32">
        <v>0</v>
      </c>
      <c r="F134" s="32">
        <v>1680000</v>
      </c>
      <c r="G134" s="32">
        <v>89694300</v>
      </c>
      <c r="H134" t="s">
        <v>106</v>
      </c>
    </row>
    <row r="135" spans="1:8" hidden="1" x14ac:dyDescent="0.3">
      <c r="A135" s="28">
        <v>16468</v>
      </c>
      <c r="B135" s="31">
        <v>45397.49722222222</v>
      </c>
      <c r="C135" s="18">
        <v>45397</v>
      </c>
      <c r="D135" t="s">
        <v>100</v>
      </c>
      <c r="E135" s="32">
        <v>4457750</v>
      </c>
      <c r="F135" s="32">
        <v>0</v>
      </c>
      <c r="G135" s="32">
        <v>91374300</v>
      </c>
      <c r="H135" t="s">
        <v>107</v>
      </c>
    </row>
    <row r="136" spans="1:8" hidden="1" x14ac:dyDescent="0.3">
      <c r="A136" s="28">
        <v>16464</v>
      </c>
      <c r="B136" s="31">
        <v>45397.438888888886</v>
      </c>
      <c r="C136" s="18">
        <v>45397</v>
      </c>
      <c r="D136" t="s">
        <v>101</v>
      </c>
      <c r="E136" s="32">
        <v>0</v>
      </c>
      <c r="F136" s="32">
        <v>640000</v>
      </c>
      <c r="G136" s="32">
        <v>86916550</v>
      </c>
      <c r="H136" t="s">
        <v>109</v>
      </c>
    </row>
    <row r="137" spans="1:8" hidden="1" x14ac:dyDescent="0.3">
      <c r="A137" s="28">
        <v>16463</v>
      </c>
      <c r="B137" s="31">
        <v>45397.436111111114</v>
      </c>
      <c r="C137" s="18">
        <v>45397</v>
      </c>
      <c r="D137" t="s">
        <v>100</v>
      </c>
      <c r="E137" s="32">
        <v>8577800</v>
      </c>
      <c r="F137" s="32">
        <v>0</v>
      </c>
      <c r="G137" s="32">
        <v>87556550</v>
      </c>
      <c r="H137" t="s">
        <v>127</v>
      </c>
    </row>
    <row r="138" spans="1:8" hidden="1" x14ac:dyDescent="0.3">
      <c r="A138" s="28">
        <v>16452</v>
      </c>
      <c r="B138" s="31">
        <v>45393.763194444444</v>
      </c>
      <c r="C138" s="18">
        <v>45393</v>
      </c>
      <c r="D138" t="s">
        <v>101</v>
      </c>
      <c r="E138" s="32">
        <v>0</v>
      </c>
      <c r="F138" s="32">
        <v>724230</v>
      </c>
      <c r="G138" s="32">
        <v>78978750</v>
      </c>
      <c r="H138" t="s">
        <v>1945</v>
      </c>
    </row>
    <row r="139" spans="1:8" hidden="1" x14ac:dyDescent="0.3">
      <c r="A139" s="28">
        <v>16451</v>
      </c>
      <c r="B139" s="31">
        <v>45393.763194444444</v>
      </c>
      <c r="C139" s="18">
        <v>45393</v>
      </c>
      <c r="D139" t="s">
        <v>101</v>
      </c>
      <c r="E139" s="32">
        <v>0</v>
      </c>
      <c r="F139" s="32">
        <v>332170</v>
      </c>
      <c r="G139" s="32">
        <v>79702980</v>
      </c>
      <c r="H139" t="s">
        <v>1946</v>
      </c>
    </row>
    <row r="140" spans="1:8" hidden="1" x14ac:dyDescent="0.3">
      <c r="A140" s="28">
        <v>16450</v>
      </c>
      <c r="B140" s="31">
        <v>45393.759722222225</v>
      </c>
      <c r="C140" s="18">
        <v>45393</v>
      </c>
      <c r="D140" t="s">
        <v>101</v>
      </c>
      <c r="E140" s="32">
        <v>0</v>
      </c>
      <c r="F140" s="32">
        <v>4186940</v>
      </c>
      <c r="G140" s="32">
        <v>80035150</v>
      </c>
      <c r="H140" t="s">
        <v>1947</v>
      </c>
    </row>
    <row r="141" spans="1:8" hidden="1" x14ac:dyDescent="0.3">
      <c r="A141" s="28">
        <v>16449</v>
      </c>
      <c r="B141" s="31">
        <v>45393.755555555559</v>
      </c>
      <c r="C141" s="18">
        <v>45393</v>
      </c>
      <c r="D141" t="s">
        <v>101</v>
      </c>
      <c r="E141" s="32">
        <v>0</v>
      </c>
      <c r="F141" s="32">
        <v>4449880</v>
      </c>
      <c r="G141" s="32">
        <v>84222090</v>
      </c>
      <c r="H141" t="s">
        <v>1948</v>
      </c>
    </row>
    <row r="142" spans="1:8" hidden="1" x14ac:dyDescent="0.3">
      <c r="A142" s="28">
        <v>16444</v>
      </c>
      <c r="B142" s="31">
        <v>45393.64166666667</v>
      </c>
      <c r="C142" s="18">
        <v>45393</v>
      </c>
      <c r="D142" t="s">
        <v>100</v>
      </c>
      <c r="E142" s="32">
        <v>1870000</v>
      </c>
      <c r="F142" s="32">
        <v>0</v>
      </c>
      <c r="G142" s="32">
        <v>88671970</v>
      </c>
      <c r="H142" t="s">
        <v>130</v>
      </c>
    </row>
    <row r="143" spans="1:8" hidden="1" x14ac:dyDescent="0.3">
      <c r="A143" s="28">
        <v>16433</v>
      </c>
      <c r="B143" s="31">
        <v>45391.438888888886</v>
      </c>
      <c r="C143" s="18">
        <v>45391</v>
      </c>
      <c r="D143" t="s">
        <v>101</v>
      </c>
      <c r="E143" s="32">
        <v>0</v>
      </c>
      <c r="F143" s="32">
        <v>4065650</v>
      </c>
      <c r="G143" s="32">
        <v>86801970</v>
      </c>
      <c r="H143" t="s">
        <v>109</v>
      </c>
    </row>
    <row r="144" spans="1:8" hidden="1" x14ac:dyDescent="0.3">
      <c r="A144" s="28">
        <v>16432</v>
      </c>
      <c r="B144" s="31">
        <v>45391.381944444445</v>
      </c>
      <c r="C144" s="18">
        <v>45391</v>
      </c>
      <c r="D144" t="s">
        <v>101</v>
      </c>
      <c r="E144" s="32">
        <v>0</v>
      </c>
      <c r="F144" s="32">
        <v>2710500</v>
      </c>
      <c r="G144" s="32">
        <v>90867620</v>
      </c>
      <c r="H144" t="s">
        <v>105</v>
      </c>
    </row>
    <row r="145" spans="1:8" hidden="1" x14ac:dyDescent="0.3">
      <c r="A145" s="28">
        <v>16424</v>
      </c>
      <c r="B145" s="31">
        <v>45387.753472222219</v>
      </c>
      <c r="C145" s="18">
        <v>45387</v>
      </c>
      <c r="D145" t="s">
        <v>101</v>
      </c>
      <c r="E145" s="32">
        <v>0</v>
      </c>
      <c r="F145" s="32">
        <v>240000</v>
      </c>
      <c r="G145" s="32">
        <v>93578120</v>
      </c>
      <c r="H145" t="s">
        <v>106</v>
      </c>
    </row>
    <row r="146" spans="1:8" hidden="1" x14ac:dyDescent="0.3">
      <c r="A146" s="28">
        <v>16407</v>
      </c>
      <c r="B146" s="31">
        <v>45386.422222222223</v>
      </c>
      <c r="C146" s="18">
        <v>45386</v>
      </c>
      <c r="D146" t="s">
        <v>101</v>
      </c>
      <c r="E146" s="32">
        <v>0</v>
      </c>
      <c r="F146" s="32">
        <v>26937000</v>
      </c>
      <c r="G146" s="32">
        <v>93818120</v>
      </c>
      <c r="H146" t="s">
        <v>105</v>
      </c>
    </row>
    <row r="147" spans="1:8" hidden="1" x14ac:dyDescent="0.3">
      <c r="A147" s="28">
        <v>16406</v>
      </c>
      <c r="B147" s="31">
        <v>45386.39166666667</v>
      </c>
      <c r="C147" s="18">
        <v>45386</v>
      </c>
      <c r="D147" t="s">
        <v>101</v>
      </c>
      <c r="E147" s="32">
        <v>0</v>
      </c>
      <c r="F147" s="32">
        <v>105210</v>
      </c>
      <c r="G147" s="32">
        <v>120755120</v>
      </c>
      <c r="H147" t="s">
        <v>108</v>
      </c>
    </row>
    <row r="148" spans="1:8" hidden="1" x14ac:dyDescent="0.3">
      <c r="A148" s="28">
        <v>16404</v>
      </c>
      <c r="B148" s="31">
        <v>45385.609722222223</v>
      </c>
      <c r="C148" s="18">
        <v>45385</v>
      </c>
      <c r="D148" t="s">
        <v>101</v>
      </c>
      <c r="E148" s="32">
        <v>0</v>
      </c>
      <c r="F148" s="32">
        <v>13497500</v>
      </c>
      <c r="G148" s="32">
        <v>120860330</v>
      </c>
      <c r="H148" t="s">
        <v>105</v>
      </c>
    </row>
    <row r="149" spans="1:8" hidden="1" x14ac:dyDescent="0.3">
      <c r="A149" s="28">
        <v>16403</v>
      </c>
      <c r="B149" s="31">
        <v>45385.486111111109</v>
      </c>
      <c r="C149" s="18">
        <v>45385</v>
      </c>
      <c r="D149" t="s">
        <v>100</v>
      </c>
      <c r="E149" s="32">
        <v>172700</v>
      </c>
      <c r="F149" s="32">
        <v>0</v>
      </c>
      <c r="G149" s="32">
        <v>134357830</v>
      </c>
      <c r="H149" t="s">
        <v>107</v>
      </c>
    </row>
    <row r="150" spans="1:8" hidden="1" x14ac:dyDescent="0.3">
      <c r="A150" s="28">
        <v>16398</v>
      </c>
      <c r="B150" s="31">
        <v>45385.378472222219</v>
      </c>
      <c r="C150" s="18">
        <v>45385</v>
      </c>
      <c r="D150" t="s">
        <v>101</v>
      </c>
      <c r="E150" s="32">
        <v>0</v>
      </c>
      <c r="F150" s="32">
        <v>13498500</v>
      </c>
      <c r="G150" s="32">
        <v>134185130</v>
      </c>
      <c r="H150" t="s">
        <v>105</v>
      </c>
    </row>
    <row r="151" spans="1:8" hidden="1" x14ac:dyDescent="0.3">
      <c r="A151" s="28">
        <v>16382</v>
      </c>
      <c r="B151" s="31">
        <v>45383.400694444441</v>
      </c>
      <c r="C151" s="18">
        <v>45383</v>
      </c>
      <c r="D151" t="s">
        <v>101</v>
      </c>
      <c r="E151" s="32">
        <v>0</v>
      </c>
      <c r="F151" s="32">
        <v>100000000</v>
      </c>
      <c r="G151" s="32">
        <v>147683630</v>
      </c>
      <c r="H151" t="s">
        <v>111</v>
      </c>
    </row>
    <row r="152" spans="1:8" hidden="1" x14ac:dyDescent="0.3">
      <c r="A152" s="28">
        <v>16380</v>
      </c>
      <c r="B152" s="31">
        <v>45383.375</v>
      </c>
      <c r="C152" s="18">
        <v>45383</v>
      </c>
      <c r="D152" t="s">
        <v>101</v>
      </c>
      <c r="E152" s="32">
        <v>0</v>
      </c>
      <c r="F152" s="32">
        <v>26912800</v>
      </c>
      <c r="G152" s="32">
        <v>247683630</v>
      </c>
      <c r="H152" t="s">
        <v>105</v>
      </c>
    </row>
    <row r="153" spans="1:8" hidden="1" x14ac:dyDescent="0.3">
      <c r="A153" s="28">
        <v>16349</v>
      </c>
      <c r="B153" s="31">
        <v>45379.623611111114</v>
      </c>
      <c r="C153" s="18">
        <v>45379</v>
      </c>
      <c r="D153" t="s">
        <v>101</v>
      </c>
      <c r="E153" s="32">
        <v>0</v>
      </c>
      <c r="F153" s="32">
        <v>6600000</v>
      </c>
      <c r="G153" s="32">
        <v>274596430</v>
      </c>
      <c r="H153" t="s">
        <v>1860</v>
      </c>
    </row>
    <row r="154" spans="1:8" hidden="1" x14ac:dyDescent="0.3">
      <c r="A154" s="28">
        <v>16348</v>
      </c>
      <c r="B154" s="31">
        <v>45379.598611111112</v>
      </c>
      <c r="C154" s="18">
        <v>45379</v>
      </c>
      <c r="D154" t="s">
        <v>100</v>
      </c>
      <c r="E154" s="32">
        <v>261940800</v>
      </c>
      <c r="F154" s="32">
        <v>0</v>
      </c>
      <c r="G154" s="32">
        <v>281196430</v>
      </c>
      <c r="H154" t="s">
        <v>112</v>
      </c>
    </row>
    <row r="155" spans="1:8" hidden="1" x14ac:dyDescent="0.3">
      <c r="A155" s="28">
        <v>16340</v>
      </c>
      <c r="B155" s="31">
        <v>45379.378472222219</v>
      </c>
      <c r="C155" s="18">
        <v>45379</v>
      </c>
      <c r="D155" t="s">
        <v>101</v>
      </c>
      <c r="E155" s="32">
        <v>0</v>
      </c>
      <c r="F155" s="32">
        <v>4056750</v>
      </c>
      <c r="G155" s="32">
        <v>19255630</v>
      </c>
      <c r="H155" t="s">
        <v>105</v>
      </c>
    </row>
    <row r="156" spans="1:8" hidden="1" x14ac:dyDescent="0.3">
      <c r="A156" s="28">
        <v>16339</v>
      </c>
      <c r="B156" s="31">
        <v>45379.305555555555</v>
      </c>
      <c r="C156" s="18">
        <v>45379</v>
      </c>
      <c r="D156" t="s">
        <v>101</v>
      </c>
      <c r="E156" s="32">
        <v>0</v>
      </c>
      <c r="F156" s="32">
        <v>332786</v>
      </c>
      <c r="G156" s="32">
        <v>23312380</v>
      </c>
      <c r="H156" t="s">
        <v>1863</v>
      </c>
    </row>
    <row r="157" spans="1:8" hidden="1" x14ac:dyDescent="0.3">
      <c r="A157" s="28">
        <v>16318</v>
      </c>
      <c r="B157" s="31">
        <v>45377.388194444444</v>
      </c>
      <c r="C157" s="18">
        <v>45377</v>
      </c>
      <c r="D157" t="s">
        <v>101</v>
      </c>
      <c r="E157" s="32">
        <v>0</v>
      </c>
      <c r="F157" s="32">
        <v>39490500</v>
      </c>
      <c r="G157" s="32">
        <v>23645166</v>
      </c>
      <c r="H157" t="s">
        <v>105</v>
      </c>
    </row>
    <row r="158" spans="1:8" hidden="1" x14ac:dyDescent="0.3">
      <c r="A158" s="28">
        <v>16317</v>
      </c>
      <c r="B158" s="31">
        <v>45377.29583333333</v>
      </c>
      <c r="C158" s="18">
        <v>45377</v>
      </c>
      <c r="D158" t="s">
        <v>101</v>
      </c>
      <c r="E158" s="32">
        <v>0</v>
      </c>
      <c r="F158" s="32">
        <v>205000</v>
      </c>
      <c r="G158" s="32">
        <v>63135666</v>
      </c>
      <c r="H158" t="s">
        <v>116</v>
      </c>
    </row>
    <row r="159" spans="1:8" hidden="1" x14ac:dyDescent="0.3">
      <c r="A159" s="28">
        <v>16316</v>
      </c>
      <c r="B159" s="31">
        <v>45377.29583333333</v>
      </c>
      <c r="C159" s="18">
        <v>45377</v>
      </c>
      <c r="D159" t="s">
        <v>101</v>
      </c>
      <c r="E159" s="32">
        <v>0</v>
      </c>
      <c r="F159" s="32">
        <v>2841604</v>
      </c>
      <c r="G159" s="32">
        <v>63340666</v>
      </c>
      <c r="H159" t="s">
        <v>116</v>
      </c>
    </row>
    <row r="160" spans="1:8" hidden="1" x14ac:dyDescent="0.3">
      <c r="A160" s="28">
        <v>16314</v>
      </c>
      <c r="B160" s="31">
        <v>45376.785416666666</v>
      </c>
      <c r="C160" s="18">
        <v>45376</v>
      </c>
      <c r="D160" t="s">
        <v>101</v>
      </c>
      <c r="E160" s="32">
        <v>0</v>
      </c>
      <c r="F160" s="32">
        <v>720000</v>
      </c>
      <c r="G160" s="32">
        <v>66182270</v>
      </c>
      <c r="H160" t="s">
        <v>106</v>
      </c>
    </row>
    <row r="161" spans="1:8" hidden="1" x14ac:dyDescent="0.3">
      <c r="A161" s="28">
        <v>16313</v>
      </c>
      <c r="B161" s="31">
        <v>45376.780555555553</v>
      </c>
      <c r="C161" s="18">
        <v>45376</v>
      </c>
      <c r="D161" t="s">
        <v>101</v>
      </c>
      <c r="E161" s="32">
        <v>0</v>
      </c>
      <c r="F161" s="32">
        <v>21800</v>
      </c>
      <c r="G161" s="32">
        <v>66902270</v>
      </c>
      <c r="H161" t="s">
        <v>1849</v>
      </c>
    </row>
    <row r="162" spans="1:8" hidden="1" x14ac:dyDescent="0.3">
      <c r="A162" s="28">
        <v>16302</v>
      </c>
      <c r="B162" s="31">
        <v>45373.583333333336</v>
      </c>
      <c r="C162" s="18">
        <v>45373</v>
      </c>
      <c r="D162" t="s">
        <v>100</v>
      </c>
      <c r="E162" s="32">
        <v>777700</v>
      </c>
      <c r="F162" s="32">
        <v>0</v>
      </c>
      <c r="G162" s="32">
        <v>66924070</v>
      </c>
      <c r="H162" t="s">
        <v>134</v>
      </c>
    </row>
    <row r="163" spans="1:8" hidden="1" x14ac:dyDescent="0.3">
      <c r="A163" s="28">
        <v>16299</v>
      </c>
      <c r="B163" s="31">
        <v>45373.491666666669</v>
      </c>
      <c r="C163" s="18">
        <v>45373</v>
      </c>
      <c r="D163" t="s">
        <v>100</v>
      </c>
      <c r="E163" s="32">
        <v>170320</v>
      </c>
      <c r="F163" s="32">
        <v>0</v>
      </c>
      <c r="G163" s="32">
        <v>66146370</v>
      </c>
      <c r="H163" t="s">
        <v>1841</v>
      </c>
    </row>
    <row r="164" spans="1:8" hidden="1" x14ac:dyDescent="0.3">
      <c r="A164" s="28">
        <v>16293</v>
      </c>
      <c r="B164" s="31">
        <v>45373.333333333336</v>
      </c>
      <c r="C164" s="18">
        <v>45373</v>
      </c>
      <c r="D164" t="s">
        <v>101</v>
      </c>
      <c r="E164" s="32">
        <v>0</v>
      </c>
      <c r="F164" s="32">
        <v>68285320</v>
      </c>
      <c r="G164" s="32">
        <v>65976050</v>
      </c>
      <c r="H164" t="s">
        <v>117</v>
      </c>
    </row>
    <row r="165" spans="1:8" hidden="1" x14ac:dyDescent="0.3">
      <c r="A165" s="28">
        <v>16292</v>
      </c>
      <c r="B165" s="31">
        <v>45372.756249999999</v>
      </c>
      <c r="C165" s="18">
        <v>45372</v>
      </c>
      <c r="D165" t="s">
        <v>101</v>
      </c>
      <c r="E165" s="32">
        <v>0</v>
      </c>
      <c r="F165" s="32">
        <v>263920</v>
      </c>
      <c r="G165" s="32">
        <v>134261370</v>
      </c>
      <c r="H165" t="s">
        <v>1831</v>
      </c>
    </row>
    <row r="166" spans="1:8" hidden="1" x14ac:dyDescent="0.3">
      <c r="A166" s="28">
        <v>16288</v>
      </c>
      <c r="B166" s="31">
        <v>45372.581944444442</v>
      </c>
      <c r="C166" s="18">
        <v>45372</v>
      </c>
      <c r="D166" t="s">
        <v>100</v>
      </c>
      <c r="E166" s="32">
        <v>1090100</v>
      </c>
      <c r="F166" s="32">
        <v>0</v>
      </c>
      <c r="G166" s="32">
        <v>134525290</v>
      </c>
      <c r="H166" t="s">
        <v>110</v>
      </c>
    </row>
    <row r="167" spans="1:8" hidden="1" x14ac:dyDescent="0.3">
      <c r="A167" s="28">
        <v>16285</v>
      </c>
      <c r="B167" s="31">
        <v>45372.442361111112</v>
      </c>
      <c r="C167" s="18">
        <v>45372</v>
      </c>
      <c r="D167" t="s">
        <v>100</v>
      </c>
      <c r="E167" s="32">
        <v>27000000</v>
      </c>
      <c r="F167" s="32">
        <v>0</v>
      </c>
      <c r="G167" s="32">
        <v>133435190</v>
      </c>
      <c r="H167" t="s">
        <v>122</v>
      </c>
    </row>
    <row r="168" spans="1:8" hidden="1" x14ac:dyDescent="0.3">
      <c r="A168" s="28">
        <v>16280</v>
      </c>
      <c r="B168" s="31">
        <v>45372.399305555555</v>
      </c>
      <c r="C168" s="18">
        <v>45372</v>
      </c>
      <c r="D168" t="s">
        <v>101</v>
      </c>
      <c r="E168" s="32">
        <v>0</v>
      </c>
      <c r="F168" s="32">
        <v>26606600</v>
      </c>
      <c r="G168" s="32">
        <v>106435190</v>
      </c>
      <c r="H168" t="s">
        <v>105</v>
      </c>
    </row>
    <row r="169" spans="1:8" hidden="1" x14ac:dyDescent="0.3">
      <c r="A169" s="28">
        <v>16254</v>
      </c>
      <c r="B169" s="31">
        <v>45369.32708333333</v>
      </c>
      <c r="C169" s="18">
        <v>45369</v>
      </c>
      <c r="D169" t="s">
        <v>100</v>
      </c>
      <c r="E169" s="32">
        <v>14448</v>
      </c>
      <c r="F169" s="32">
        <v>0</v>
      </c>
      <c r="G169" s="32">
        <v>133041790</v>
      </c>
      <c r="H169" t="s">
        <v>121</v>
      </c>
    </row>
    <row r="170" spans="1:8" hidden="1" x14ac:dyDescent="0.3">
      <c r="A170" s="28">
        <v>16248</v>
      </c>
      <c r="B170" s="31">
        <v>45366.77847222222</v>
      </c>
      <c r="C170" s="18">
        <v>45366</v>
      </c>
      <c r="D170" t="s">
        <v>101</v>
      </c>
      <c r="E170" s="32">
        <v>0</v>
      </c>
      <c r="F170" s="32">
        <v>1680000</v>
      </c>
      <c r="G170" s="32">
        <v>133027342</v>
      </c>
      <c r="H170" t="s">
        <v>106</v>
      </c>
    </row>
    <row r="171" spans="1:8" hidden="1" x14ac:dyDescent="0.3">
      <c r="A171" s="28">
        <v>16244</v>
      </c>
      <c r="B171" s="31">
        <v>45366.646527777775</v>
      </c>
      <c r="C171" s="18">
        <v>45366</v>
      </c>
      <c r="D171" t="s">
        <v>100</v>
      </c>
      <c r="E171" s="32">
        <v>1684100</v>
      </c>
      <c r="F171" s="32">
        <v>0</v>
      </c>
      <c r="G171" s="32">
        <v>134707342</v>
      </c>
      <c r="H171" t="s">
        <v>107</v>
      </c>
    </row>
    <row r="172" spans="1:8" hidden="1" x14ac:dyDescent="0.3">
      <c r="A172" s="28">
        <v>16219</v>
      </c>
      <c r="B172" s="31">
        <v>45365.438194444447</v>
      </c>
      <c r="C172" s="18">
        <v>45365</v>
      </c>
      <c r="D172" t="s">
        <v>101</v>
      </c>
      <c r="E172" s="32">
        <v>0</v>
      </c>
      <c r="F172" s="32">
        <v>4065650</v>
      </c>
      <c r="G172" s="32">
        <v>133023242</v>
      </c>
      <c r="H172" t="s">
        <v>109</v>
      </c>
    </row>
    <row r="173" spans="1:8" hidden="1" x14ac:dyDescent="0.3">
      <c r="A173" s="28">
        <v>16217</v>
      </c>
      <c r="B173" s="31">
        <v>45364.617361111108</v>
      </c>
      <c r="C173" s="18">
        <v>45364</v>
      </c>
      <c r="D173" t="s">
        <v>100</v>
      </c>
      <c r="E173" s="32">
        <v>469700</v>
      </c>
      <c r="F173" s="32">
        <v>0</v>
      </c>
      <c r="G173" s="32">
        <v>137088892</v>
      </c>
      <c r="H173" t="s">
        <v>130</v>
      </c>
    </row>
    <row r="174" spans="1:8" hidden="1" x14ac:dyDescent="0.3">
      <c r="A174" s="28">
        <v>16216</v>
      </c>
      <c r="B174" s="31">
        <v>45364.616666666669</v>
      </c>
      <c r="C174" s="18">
        <v>45364</v>
      </c>
      <c r="D174" t="s">
        <v>100</v>
      </c>
      <c r="E174" s="32">
        <v>876700</v>
      </c>
      <c r="F174" s="32">
        <v>0</v>
      </c>
      <c r="G174" s="32">
        <v>136619192</v>
      </c>
      <c r="H174" t="s">
        <v>130</v>
      </c>
    </row>
    <row r="175" spans="1:8" hidden="1" x14ac:dyDescent="0.3">
      <c r="A175" s="28">
        <v>16215</v>
      </c>
      <c r="B175" s="31">
        <v>45364.616666666669</v>
      </c>
      <c r="C175" s="18">
        <v>45364</v>
      </c>
      <c r="D175" t="s">
        <v>100</v>
      </c>
      <c r="E175" s="32">
        <v>7112600</v>
      </c>
      <c r="F175" s="32">
        <v>0</v>
      </c>
      <c r="G175" s="32">
        <v>135742492</v>
      </c>
      <c r="H175" t="s">
        <v>130</v>
      </c>
    </row>
    <row r="176" spans="1:8" hidden="1" x14ac:dyDescent="0.3">
      <c r="A176" s="28">
        <v>16211</v>
      </c>
      <c r="B176" s="31">
        <v>45364.468055555553</v>
      </c>
      <c r="C176" s="18">
        <v>45364</v>
      </c>
      <c r="D176" t="s">
        <v>100</v>
      </c>
      <c r="E176" s="32">
        <v>5768400</v>
      </c>
      <c r="F176" s="32">
        <v>0</v>
      </c>
      <c r="G176" s="32">
        <v>128629892</v>
      </c>
      <c r="H176" t="s">
        <v>127</v>
      </c>
    </row>
    <row r="177" spans="1:8" hidden="1" x14ac:dyDescent="0.3">
      <c r="A177" s="28">
        <v>16209</v>
      </c>
      <c r="B177" s="31">
        <v>45363.724305555559</v>
      </c>
      <c r="C177" s="18">
        <v>45363</v>
      </c>
      <c r="D177" t="s">
        <v>100</v>
      </c>
      <c r="E177" s="32">
        <v>6900300</v>
      </c>
      <c r="F177" s="32">
        <v>0</v>
      </c>
      <c r="G177" s="32">
        <v>122861492</v>
      </c>
      <c r="H177" t="s">
        <v>92</v>
      </c>
    </row>
    <row r="178" spans="1:8" hidden="1" x14ac:dyDescent="0.3">
      <c r="A178" s="28">
        <v>16204</v>
      </c>
      <c r="B178" s="31">
        <v>45362.768055555556</v>
      </c>
      <c r="C178" s="18">
        <v>45362</v>
      </c>
      <c r="D178" t="s">
        <v>101</v>
      </c>
      <c r="E178" s="32">
        <v>0</v>
      </c>
      <c r="F178" s="32">
        <v>788050</v>
      </c>
      <c r="G178" s="32">
        <v>115961192</v>
      </c>
      <c r="H178" t="s">
        <v>90</v>
      </c>
    </row>
    <row r="179" spans="1:8" hidden="1" x14ac:dyDescent="0.3">
      <c r="A179" s="28">
        <v>16203</v>
      </c>
      <c r="B179" s="31">
        <v>45362.765972222223</v>
      </c>
      <c r="C179" s="18">
        <v>45362</v>
      </c>
      <c r="D179" t="s">
        <v>101</v>
      </c>
      <c r="E179" s="32">
        <v>0</v>
      </c>
      <c r="F179" s="32">
        <v>354740</v>
      </c>
      <c r="G179" s="32">
        <v>116749242</v>
      </c>
      <c r="H179" t="s">
        <v>102</v>
      </c>
    </row>
    <row r="180" spans="1:8" hidden="1" x14ac:dyDescent="0.3">
      <c r="A180" s="28">
        <v>16202</v>
      </c>
      <c r="B180" s="31">
        <v>45362.762499999997</v>
      </c>
      <c r="C180" s="18">
        <v>45362</v>
      </c>
      <c r="D180" t="s">
        <v>101</v>
      </c>
      <c r="E180" s="32">
        <v>0</v>
      </c>
      <c r="F180" s="32">
        <v>4186940</v>
      </c>
      <c r="G180" s="32">
        <v>117103982</v>
      </c>
      <c r="H180" t="s">
        <v>103</v>
      </c>
    </row>
    <row r="181" spans="1:8" hidden="1" x14ac:dyDescent="0.3">
      <c r="A181" s="28">
        <v>16201</v>
      </c>
      <c r="B181" s="31">
        <v>45362.759027777778</v>
      </c>
      <c r="C181" s="18">
        <v>45362</v>
      </c>
      <c r="D181" t="s">
        <v>101</v>
      </c>
      <c r="E181" s="32">
        <v>0</v>
      </c>
      <c r="F181" s="32">
        <v>4706680</v>
      </c>
      <c r="G181" s="32">
        <v>121290922</v>
      </c>
      <c r="H181" t="s">
        <v>104</v>
      </c>
    </row>
    <row r="182" spans="1:8" hidden="1" x14ac:dyDescent="0.3">
      <c r="A182" s="28">
        <v>16195</v>
      </c>
      <c r="B182" s="31">
        <v>45362.413194444445</v>
      </c>
      <c r="C182" s="18">
        <v>45362</v>
      </c>
      <c r="D182" t="s">
        <v>101</v>
      </c>
      <c r="E182" s="32">
        <v>0</v>
      </c>
      <c r="F182" s="32">
        <v>39480300</v>
      </c>
      <c r="G182" s="32">
        <v>125997602</v>
      </c>
      <c r="H182" t="s">
        <v>105</v>
      </c>
    </row>
    <row r="183" spans="1:8" hidden="1" x14ac:dyDescent="0.3">
      <c r="A183" s="28">
        <v>16176</v>
      </c>
      <c r="B183" s="31">
        <v>45356.758333333331</v>
      </c>
      <c r="C183" s="18">
        <v>45356</v>
      </c>
      <c r="D183" t="s">
        <v>101</v>
      </c>
      <c r="E183" s="32">
        <v>0</v>
      </c>
      <c r="F183" s="32">
        <v>240000</v>
      </c>
      <c r="G183" s="32">
        <v>165477902</v>
      </c>
      <c r="H183" t="s">
        <v>106</v>
      </c>
    </row>
    <row r="184" spans="1:8" hidden="1" x14ac:dyDescent="0.3">
      <c r="A184" s="28">
        <v>16173</v>
      </c>
      <c r="B184" s="31">
        <v>45356.568749999999</v>
      </c>
      <c r="C184" s="18">
        <v>45356</v>
      </c>
      <c r="D184" t="s">
        <v>100</v>
      </c>
      <c r="E184" s="32">
        <v>744700</v>
      </c>
      <c r="F184" s="32">
        <v>0</v>
      </c>
      <c r="G184" s="32">
        <v>165717902</v>
      </c>
      <c r="H184" t="s">
        <v>107</v>
      </c>
    </row>
    <row r="185" spans="1:8" hidden="1" x14ac:dyDescent="0.3">
      <c r="A185" s="28">
        <v>16172</v>
      </c>
      <c r="B185" s="31">
        <v>45356.568749999999</v>
      </c>
      <c r="C185" s="18">
        <v>45356</v>
      </c>
      <c r="D185" t="s">
        <v>100</v>
      </c>
      <c r="E185" s="32">
        <v>418000</v>
      </c>
      <c r="F185" s="32">
        <v>0</v>
      </c>
      <c r="G185" s="32">
        <v>164973202</v>
      </c>
      <c r="H185" t="s">
        <v>107</v>
      </c>
    </row>
    <row r="186" spans="1:8" hidden="1" x14ac:dyDescent="0.3">
      <c r="A186" s="28">
        <v>16169</v>
      </c>
      <c r="B186" s="31">
        <v>45356.443749999999</v>
      </c>
      <c r="C186" s="18">
        <v>45356</v>
      </c>
      <c r="D186" t="s">
        <v>101</v>
      </c>
      <c r="E186" s="32">
        <v>0</v>
      </c>
      <c r="F186" s="32">
        <v>105210</v>
      </c>
      <c r="G186" s="32">
        <v>164555202</v>
      </c>
      <c r="H186" t="s">
        <v>108</v>
      </c>
    </row>
    <row r="187" spans="1:8" hidden="1" x14ac:dyDescent="0.3">
      <c r="A187" s="28">
        <v>16163</v>
      </c>
      <c r="B187" s="31">
        <v>45355.438194444447</v>
      </c>
      <c r="C187" s="18">
        <v>45355</v>
      </c>
      <c r="D187" t="s">
        <v>101</v>
      </c>
      <c r="E187" s="32">
        <v>0</v>
      </c>
      <c r="F187" s="32">
        <v>3871550</v>
      </c>
      <c r="G187" s="32">
        <v>164660412</v>
      </c>
      <c r="H187" t="s">
        <v>109</v>
      </c>
    </row>
    <row r="188" spans="1:8" hidden="1" x14ac:dyDescent="0.3">
      <c r="A188" s="28">
        <v>16162</v>
      </c>
      <c r="B188" s="31">
        <v>45355.398611111108</v>
      </c>
      <c r="C188" s="18">
        <v>45355</v>
      </c>
      <c r="D188" t="s">
        <v>101</v>
      </c>
      <c r="E188" s="32">
        <v>0</v>
      </c>
      <c r="F188" s="32">
        <v>39894900</v>
      </c>
      <c r="G188" s="32">
        <v>168531962</v>
      </c>
      <c r="H188" t="s">
        <v>105</v>
      </c>
    </row>
    <row r="189" spans="1:8" hidden="1" x14ac:dyDescent="0.3">
      <c r="A189" s="28">
        <v>16142</v>
      </c>
      <c r="B189" s="31">
        <v>45351.500694444447</v>
      </c>
      <c r="C189" s="18">
        <v>45351</v>
      </c>
      <c r="D189" t="s">
        <v>100</v>
      </c>
      <c r="E189" s="32">
        <v>1076900</v>
      </c>
      <c r="F189" s="32">
        <v>0</v>
      </c>
      <c r="G189" s="32">
        <v>208426862</v>
      </c>
      <c r="H189" t="s">
        <v>110</v>
      </c>
    </row>
    <row r="190" spans="1:8" hidden="1" x14ac:dyDescent="0.3">
      <c r="A190" s="28">
        <v>16130</v>
      </c>
      <c r="B190" s="31">
        <v>45350.708333333336</v>
      </c>
      <c r="C190" s="18">
        <v>45350</v>
      </c>
      <c r="D190" t="s">
        <v>101</v>
      </c>
      <c r="E190" s="32">
        <v>0</v>
      </c>
      <c r="F190" s="32">
        <v>100000000</v>
      </c>
      <c r="G190" s="32">
        <v>207349962</v>
      </c>
      <c r="H190" t="s">
        <v>111</v>
      </c>
    </row>
    <row r="191" spans="1:8" hidden="1" x14ac:dyDescent="0.3">
      <c r="A191" s="28">
        <v>16128</v>
      </c>
      <c r="B191" s="31">
        <v>45350.668749999997</v>
      </c>
      <c r="C191" s="18">
        <v>45350</v>
      </c>
      <c r="D191" t="s">
        <v>100</v>
      </c>
      <c r="E191" s="32">
        <v>300963300</v>
      </c>
      <c r="F191" s="32">
        <v>0</v>
      </c>
      <c r="G191" s="32">
        <v>307349962</v>
      </c>
      <c r="H191" t="s">
        <v>112</v>
      </c>
    </row>
    <row r="192" spans="1:8" hidden="1" x14ac:dyDescent="0.3">
      <c r="A192" s="28">
        <v>16119</v>
      </c>
      <c r="B192" s="31">
        <v>45350.377083333333</v>
      </c>
      <c r="C192" s="18">
        <v>45350</v>
      </c>
      <c r="D192" t="s">
        <v>101</v>
      </c>
      <c r="E192" s="32">
        <v>0</v>
      </c>
      <c r="F192" s="32">
        <v>39984900</v>
      </c>
      <c r="G192" s="32">
        <v>6386662</v>
      </c>
      <c r="H192" t="s">
        <v>105</v>
      </c>
    </row>
    <row r="193" spans="1:8" hidden="1" x14ac:dyDescent="0.3">
      <c r="A193" s="28">
        <v>16118</v>
      </c>
      <c r="B193" s="31">
        <v>45350.306944444441</v>
      </c>
      <c r="C193" s="18">
        <v>45350</v>
      </c>
      <c r="D193" t="s">
        <v>101</v>
      </c>
      <c r="E193" s="32">
        <v>0</v>
      </c>
      <c r="F193" s="32">
        <v>355737</v>
      </c>
      <c r="G193" s="32">
        <v>46371562</v>
      </c>
      <c r="H193" t="s">
        <v>113</v>
      </c>
    </row>
    <row r="194" spans="1:8" hidden="1" x14ac:dyDescent="0.3">
      <c r="A194" s="28">
        <v>16109</v>
      </c>
      <c r="B194" s="31">
        <v>45349.461111111108</v>
      </c>
      <c r="C194" s="18">
        <v>45349</v>
      </c>
      <c r="D194" t="s">
        <v>100</v>
      </c>
      <c r="E194" s="32">
        <v>40000000</v>
      </c>
      <c r="F194" s="32">
        <v>0</v>
      </c>
      <c r="G194" s="32">
        <v>46727299</v>
      </c>
      <c r="H194" t="s">
        <v>114</v>
      </c>
    </row>
    <row r="195" spans="1:8" hidden="1" x14ac:dyDescent="0.3">
      <c r="A195" s="28">
        <v>16107</v>
      </c>
      <c r="B195" s="31">
        <v>45348.774305555555</v>
      </c>
      <c r="C195" s="18">
        <v>45348</v>
      </c>
      <c r="D195" t="s">
        <v>101</v>
      </c>
      <c r="E195" s="32">
        <v>0</v>
      </c>
      <c r="F195" s="32">
        <v>13530</v>
      </c>
      <c r="G195" s="32">
        <v>6727299</v>
      </c>
      <c r="H195" t="s">
        <v>115</v>
      </c>
    </row>
    <row r="196" spans="1:8" hidden="1" x14ac:dyDescent="0.3">
      <c r="A196" s="28">
        <v>16106</v>
      </c>
      <c r="B196" s="31">
        <v>45348.771527777775</v>
      </c>
      <c r="C196" s="18">
        <v>45348</v>
      </c>
      <c r="D196" t="s">
        <v>101</v>
      </c>
      <c r="E196" s="32">
        <v>0</v>
      </c>
      <c r="F196" s="32">
        <v>720000</v>
      </c>
      <c r="G196" s="32">
        <v>6740829</v>
      </c>
      <c r="H196" t="s">
        <v>106</v>
      </c>
    </row>
    <row r="197" spans="1:8" hidden="1" x14ac:dyDescent="0.3">
      <c r="A197" s="28">
        <v>16092</v>
      </c>
      <c r="B197" s="31">
        <v>45348.488888888889</v>
      </c>
      <c r="C197" s="18">
        <v>45348</v>
      </c>
      <c r="D197" t="s">
        <v>101</v>
      </c>
      <c r="E197" s="32">
        <v>0</v>
      </c>
      <c r="F197" s="32">
        <v>1688410</v>
      </c>
      <c r="G197" s="32">
        <v>7460829</v>
      </c>
      <c r="H197" t="s">
        <v>105</v>
      </c>
    </row>
    <row r="198" spans="1:8" hidden="1" x14ac:dyDescent="0.3">
      <c r="A198" s="28">
        <v>16091</v>
      </c>
      <c r="B198" s="31">
        <v>45348.302777777775</v>
      </c>
      <c r="C198" s="18">
        <v>45348</v>
      </c>
      <c r="D198" t="s">
        <v>101</v>
      </c>
      <c r="E198" s="32">
        <v>0</v>
      </c>
      <c r="F198" s="32">
        <v>295300</v>
      </c>
      <c r="G198" s="32">
        <v>9149239</v>
      </c>
      <c r="H198" t="s">
        <v>116</v>
      </c>
    </row>
    <row r="199" spans="1:8" hidden="1" x14ac:dyDescent="0.3">
      <c r="A199" s="28">
        <v>16090</v>
      </c>
      <c r="B199" s="31">
        <v>45348.302777777775</v>
      </c>
      <c r="C199" s="18">
        <v>45348</v>
      </c>
      <c r="D199" t="s">
        <v>101</v>
      </c>
      <c r="E199" s="32">
        <v>0</v>
      </c>
      <c r="F199" s="32">
        <v>3770731</v>
      </c>
      <c r="G199" s="32">
        <v>9444539</v>
      </c>
      <c r="H199" t="s">
        <v>116</v>
      </c>
    </row>
    <row r="200" spans="1:8" hidden="1" x14ac:dyDescent="0.3">
      <c r="A200" s="28">
        <v>16089</v>
      </c>
      <c r="B200" s="31">
        <v>45345.580555555556</v>
      </c>
      <c r="C200" s="18">
        <v>45345</v>
      </c>
      <c r="D200" t="s">
        <v>101</v>
      </c>
      <c r="E200" s="32">
        <v>0</v>
      </c>
      <c r="F200" s="32">
        <v>51329210</v>
      </c>
      <c r="G200" s="32">
        <v>13215270</v>
      </c>
      <c r="H200" t="s">
        <v>117</v>
      </c>
    </row>
    <row r="201" spans="1:8" hidden="1" x14ac:dyDescent="0.3">
      <c r="A201" s="28">
        <v>16082</v>
      </c>
      <c r="B201" s="31">
        <v>45344.665972222225</v>
      </c>
      <c r="C201" s="18">
        <v>45344</v>
      </c>
      <c r="D201" t="s">
        <v>101</v>
      </c>
      <c r="E201" s="32">
        <v>0</v>
      </c>
      <c r="F201" s="32">
        <v>4400</v>
      </c>
      <c r="G201" s="32">
        <v>64544480</v>
      </c>
      <c r="H201" t="s">
        <v>118</v>
      </c>
    </row>
    <row r="202" spans="1:8" hidden="1" x14ac:dyDescent="0.3">
      <c r="A202" s="28">
        <v>16081</v>
      </c>
      <c r="B202" s="31">
        <v>45344.663888888892</v>
      </c>
      <c r="C202" s="18">
        <v>45344</v>
      </c>
      <c r="D202" t="s">
        <v>101</v>
      </c>
      <c r="E202" s="32">
        <v>0</v>
      </c>
      <c r="F202" s="32">
        <v>198000</v>
      </c>
      <c r="G202" s="32">
        <v>64548880</v>
      </c>
      <c r="H202" t="s">
        <v>119</v>
      </c>
    </row>
    <row r="203" spans="1:8" hidden="1" x14ac:dyDescent="0.3">
      <c r="A203" s="28">
        <v>16078</v>
      </c>
      <c r="B203" s="31">
        <v>45343.756249999999</v>
      </c>
      <c r="C203" s="18">
        <v>45343</v>
      </c>
      <c r="D203" t="s">
        <v>101</v>
      </c>
      <c r="E203" s="32">
        <v>0</v>
      </c>
      <c r="F203" s="32">
        <v>268820</v>
      </c>
      <c r="G203" s="32">
        <v>64746880</v>
      </c>
      <c r="H203" t="s">
        <v>120</v>
      </c>
    </row>
    <row r="204" spans="1:8" hidden="1" x14ac:dyDescent="0.3">
      <c r="A204" s="28">
        <v>16059</v>
      </c>
      <c r="B204" s="31">
        <v>45341.307638888888</v>
      </c>
      <c r="C204" s="18">
        <v>45341</v>
      </c>
      <c r="D204" t="s">
        <v>100</v>
      </c>
      <c r="E204" s="32">
        <v>9318</v>
      </c>
      <c r="F204" s="32">
        <v>0</v>
      </c>
      <c r="G204" s="32">
        <v>65015700</v>
      </c>
      <c r="H204" t="s">
        <v>121</v>
      </c>
    </row>
    <row r="205" spans="1:8" hidden="1" x14ac:dyDescent="0.3">
      <c r="A205" s="28">
        <v>16052</v>
      </c>
      <c r="B205" s="31">
        <v>45338.631944444445</v>
      </c>
      <c r="C205" s="18">
        <v>45338</v>
      </c>
      <c r="D205" t="s">
        <v>101</v>
      </c>
      <c r="E205" s="32">
        <v>0</v>
      </c>
      <c r="F205" s="32">
        <v>13349300</v>
      </c>
      <c r="G205" s="32">
        <v>65006382</v>
      </c>
      <c r="H205" t="s">
        <v>105</v>
      </c>
    </row>
    <row r="206" spans="1:8" hidden="1" x14ac:dyDescent="0.3">
      <c r="A206" s="28">
        <v>16049</v>
      </c>
      <c r="B206" s="31">
        <v>45338.447916666664</v>
      </c>
      <c r="C206" s="18">
        <v>45338</v>
      </c>
      <c r="D206" t="s">
        <v>100</v>
      </c>
      <c r="E206" s="32">
        <v>53100000</v>
      </c>
      <c r="F206" s="32">
        <v>0</v>
      </c>
      <c r="G206" s="32">
        <v>78355682</v>
      </c>
      <c r="H206" t="s">
        <v>122</v>
      </c>
    </row>
    <row r="207" spans="1:8" hidden="1" x14ac:dyDescent="0.3">
      <c r="A207" s="28">
        <v>16041</v>
      </c>
      <c r="B207" s="31">
        <v>45337.774305555555</v>
      </c>
      <c r="C207" s="18">
        <v>45337</v>
      </c>
      <c r="D207" t="s">
        <v>101</v>
      </c>
      <c r="E207" s="32">
        <v>0</v>
      </c>
      <c r="F207" s="32">
        <v>1920000</v>
      </c>
      <c r="G207" s="32">
        <v>25255682</v>
      </c>
      <c r="H207" t="s">
        <v>106</v>
      </c>
    </row>
    <row r="208" spans="1:8" hidden="1" x14ac:dyDescent="0.3">
      <c r="A208" s="28">
        <v>16039</v>
      </c>
      <c r="B208" s="31">
        <v>45337.731944444444</v>
      </c>
      <c r="C208" s="18">
        <v>45337</v>
      </c>
      <c r="D208" t="s">
        <v>100</v>
      </c>
      <c r="E208" s="32">
        <v>4598550</v>
      </c>
      <c r="F208" s="32">
        <v>0</v>
      </c>
      <c r="G208" s="32">
        <v>27175682</v>
      </c>
      <c r="H208" t="s">
        <v>107</v>
      </c>
    </row>
    <row r="209" spans="1:8" hidden="1" x14ac:dyDescent="0.3">
      <c r="A209" s="28">
        <v>16016</v>
      </c>
      <c r="B209" s="31">
        <v>45335.768750000003</v>
      </c>
      <c r="C209" s="18">
        <v>45335</v>
      </c>
      <c r="D209" t="s">
        <v>101</v>
      </c>
      <c r="E209" s="32">
        <v>0</v>
      </c>
      <c r="F209" s="32">
        <v>751650</v>
      </c>
      <c r="G209" s="32">
        <v>22577132</v>
      </c>
      <c r="H209" t="s">
        <v>123</v>
      </c>
    </row>
    <row r="210" spans="1:8" hidden="1" x14ac:dyDescent="0.3">
      <c r="A210" s="28">
        <v>16015</v>
      </c>
      <c r="B210" s="31">
        <v>45335.765972222223</v>
      </c>
      <c r="C210" s="18">
        <v>45335</v>
      </c>
      <c r="D210" t="s">
        <v>101</v>
      </c>
      <c r="E210" s="32">
        <v>0</v>
      </c>
      <c r="F210" s="32">
        <v>4303220</v>
      </c>
      <c r="G210" s="32">
        <v>23328782</v>
      </c>
      <c r="H210" t="s">
        <v>124</v>
      </c>
    </row>
    <row r="211" spans="1:8" hidden="1" x14ac:dyDescent="0.3">
      <c r="A211" s="28">
        <v>16014</v>
      </c>
      <c r="B211" s="31">
        <v>45335.76458333333</v>
      </c>
      <c r="C211" s="18">
        <v>45335</v>
      </c>
      <c r="D211" t="s">
        <v>101</v>
      </c>
      <c r="E211" s="32">
        <v>0</v>
      </c>
      <c r="F211" s="32">
        <v>344920</v>
      </c>
      <c r="G211" s="32">
        <v>27632002</v>
      </c>
      <c r="H211" t="s">
        <v>125</v>
      </c>
    </row>
    <row r="212" spans="1:8" hidden="1" x14ac:dyDescent="0.3">
      <c r="A212" s="28">
        <v>16013</v>
      </c>
      <c r="B212" s="31">
        <v>45335.761111111111</v>
      </c>
      <c r="C212" s="18">
        <v>45335</v>
      </c>
      <c r="D212" t="s">
        <v>101</v>
      </c>
      <c r="E212" s="32">
        <v>0</v>
      </c>
      <c r="F212" s="32">
        <v>4828880</v>
      </c>
      <c r="G212" s="32">
        <v>27976922</v>
      </c>
      <c r="H212" t="s">
        <v>126</v>
      </c>
    </row>
    <row r="213" spans="1:8" hidden="1" x14ac:dyDescent="0.3">
      <c r="A213" s="28">
        <v>16011</v>
      </c>
      <c r="B213" s="31">
        <v>45335.722222222219</v>
      </c>
      <c r="C213" s="18">
        <v>45335</v>
      </c>
      <c r="D213" t="s">
        <v>100</v>
      </c>
      <c r="E213" s="32">
        <v>2649900</v>
      </c>
      <c r="F213" s="32">
        <v>0</v>
      </c>
      <c r="G213" s="32">
        <v>32805802</v>
      </c>
      <c r="H213" t="s">
        <v>127</v>
      </c>
    </row>
    <row r="214" spans="1:8" hidden="1" x14ac:dyDescent="0.3">
      <c r="A214" s="28">
        <v>16010</v>
      </c>
      <c r="B214" s="31">
        <v>45335.72152777778</v>
      </c>
      <c r="C214" s="18">
        <v>45335</v>
      </c>
      <c r="D214" t="s">
        <v>100</v>
      </c>
      <c r="E214" s="32">
        <v>2708200</v>
      </c>
      <c r="F214" s="32">
        <v>0</v>
      </c>
      <c r="G214" s="32">
        <v>30155902</v>
      </c>
      <c r="H214" t="s">
        <v>127</v>
      </c>
    </row>
    <row r="215" spans="1:8" hidden="1" x14ac:dyDescent="0.3">
      <c r="A215" s="28">
        <v>16005</v>
      </c>
      <c r="B215" s="31">
        <v>45335.600694444445</v>
      </c>
      <c r="C215" s="18">
        <v>45335</v>
      </c>
      <c r="D215" t="s">
        <v>101</v>
      </c>
      <c r="E215" s="32">
        <v>0</v>
      </c>
      <c r="F215" s="32">
        <v>26588600</v>
      </c>
      <c r="G215" s="32">
        <v>27447702</v>
      </c>
      <c r="H215" t="s">
        <v>105</v>
      </c>
    </row>
    <row r="216" spans="1:8" hidden="1" x14ac:dyDescent="0.3">
      <c r="A216" s="28">
        <v>16004</v>
      </c>
      <c r="B216" s="31">
        <v>45335.595138888886</v>
      </c>
      <c r="C216" s="18">
        <v>45335</v>
      </c>
      <c r="D216" t="s">
        <v>100</v>
      </c>
      <c r="E216" s="32">
        <v>5750000</v>
      </c>
      <c r="F216" s="32">
        <v>0</v>
      </c>
      <c r="G216" s="32">
        <v>54036302</v>
      </c>
      <c r="H216" t="s">
        <v>128</v>
      </c>
    </row>
    <row r="217" spans="1:8" hidden="1" x14ac:dyDescent="0.3">
      <c r="A217" s="28">
        <v>16001</v>
      </c>
      <c r="B217" s="31">
        <v>45335.592361111114</v>
      </c>
      <c r="C217" s="18">
        <v>45335</v>
      </c>
      <c r="D217" t="s">
        <v>100</v>
      </c>
      <c r="E217" s="32">
        <v>24300000</v>
      </c>
      <c r="F217" s="32">
        <v>0</v>
      </c>
      <c r="G217" s="32">
        <v>48286302</v>
      </c>
      <c r="H217" t="s">
        <v>129</v>
      </c>
    </row>
    <row r="218" spans="1:8" hidden="1" x14ac:dyDescent="0.3">
      <c r="A218" s="28">
        <v>16000</v>
      </c>
      <c r="B218" s="31">
        <v>45335.586111111108</v>
      </c>
      <c r="C218" s="18">
        <v>45335</v>
      </c>
      <c r="D218" t="s">
        <v>101</v>
      </c>
      <c r="E218" s="32">
        <v>0</v>
      </c>
      <c r="F218" s="32">
        <v>1431360</v>
      </c>
      <c r="G218" s="32">
        <v>23986302</v>
      </c>
      <c r="H218" t="s">
        <v>105</v>
      </c>
    </row>
    <row r="219" spans="1:8" hidden="1" x14ac:dyDescent="0.3">
      <c r="A219" s="28">
        <v>15996</v>
      </c>
      <c r="B219" s="31">
        <v>45335.377083333333</v>
      </c>
      <c r="C219" s="18">
        <v>45335</v>
      </c>
      <c r="D219" t="s">
        <v>101</v>
      </c>
      <c r="E219" s="32">
        <v>0</v>
      </c>
      <c r="F219" s="32">
        <v>26925800</v>
      </c>
      <c r="G219" s="32">
        <v>25417662</v>
      </c>
      <c r="H219" t="s">
        <v>105</v>
      </c>
    </row>
    <row r="220" spans="1:8" hidden="1" x14ac:dyDescent="0.3">
      <c r="A220" s="28">
        <v>15987</v>
      </c>
      <c r="B220" s="31">
        <v>45329.71875</v>
      </c>
      <c r="C220" s="18">
        <v>45329</v>
      </c>
      <c r="D220" t="s">
        <v>101</v>
      </c>
      <c r="E220" s="32">
        <v>0</v>
      </c>
      <c r="F220" s="32">
        <v>30000000</v>
      </c>
      <c r="G220" s="32">
        <v>52343462</v>
      </c>
      <c r="H220" t="s">
        <v>111</v>
      </c>
    </row>
    <row r="221" spans="1:8" hidden="1" x14ac:dyDescent="0.3">
      <c r="A221" s="28">
        <v>15984</v>
      </c>
      <c r="B221" s="31">
        <v>45329.637499999997</v>
      </c>
      <c r="C221" s="18">
        <v>45329</v>
      </c>
      <c r="D221" t="s">
        <v>100</v>
      </c>
      <c r="E221" s="32">
        <v>4599100</v>
      </c>
      <c r="F221" s="32">
        <v>0</v>
      </c>
      <c r="G221" s="32">
        <v>82343462</v>
      </c>
      <c r="H221" t="s">
        <v>130</v>
      </c>
    </row>
    <row r="222" spans="1:8" hidden="1" x14ac:dyDescent="0.3">
      <c r="A222" s="28">
        <v>15964</v>
      </c>
      <c r="B222" s="31">
        <v>45328.423611111109</v>
      </c>
      <c r="C222" s="18">
        <v>45328</v>
      </c>
      <c r="D222" t="s">
        <v>101</v>
      </c>
      <c r="E222" s="32">
        <v>0</v>
      </c>
      <c r="F222" s="32">
        <v>105210</v>
      </c>
      <c r="G222" s="32">
        <v>77744362</v>
      </c>
      <c r="H222" t="s">
        <v>108</v>
      </c>
    </row>
    <row r="223" spans="1:8" hidden="1" x14ac:dyDescent="0.3">
      <c r="A223" s="28">
        <v>15961</v>
      </c>
      <c r="B223" s="31">
        <v>45327.765972222223</v>
      </c>
      <c r="C223" s="18">
        <v>45327</v>
      </c>
      <c r="D223" t="s">
        <v>101</v>
      </c>
      <c r="E223" s="32">
        <v>0</v>
      </c>
      <c r="F223" s="32">
        <v>240000</v>
      </c>
      <c r="G223" s="32">
        <v>77849572</v>
      </c>
      <c r="H223" t="s">
        <v>106</v>
      </c>
    </row>
    <row r="224" spans="1:8" hidden="1" x14ac:dyDescent="0.3">
      <c r="A224" s="28">
        <v>15959</v>
      </c>
      <c r="B224" s="31">
        <v>45327.617361111108</v>
      </c>
      <c r="C224" s="18">
        <v>45327</v>
      </c>
      <c r="D224" t="s">
        <v>101</v>
      </c>
      <c r="E224" s="32">
        <v>0</v>
      </c>
      <c r="F224" s="32">
        <v>23734920</v>
      </c>
      <c r="G224" s="32">
        <v>78089572</v>
      </c>
      <c r="H224" t="s">
        <v>131</v>
      </c>
    </row>
    <row r="225" spans="1:8" hidden="1" x14ac:dyDescent="0.3">
      <c r="A225" s="28">
        <v>15951</v>
      </c>
      <c r="B225" s="31">
        <v>45324.624305555553</v>
      </c>
      <c r="C225" s="18">
        <v>45324</v>
      </c>
      <c r="D225" t="s">
        <v>101</v>
      </c>
      <c r="E225" s="32">
        <v>0</v>
      </c>
      <c r="F225" s="32">
        <v>26458400</v>
      </c>
      <c r="G225" s="32">
        <v>101824492</v>
      </c>
      <c r="H225" t="s">
        <v>105</v>
      </c>
    </row>
    <row r="226" spans="1:8" hidden="1" x14ac:dyDescent="0.3">
      <c r="A226" s="28">
        <v>15940</v>
      </c>
      <c r="B226" s="31">
        <v>45323.711805555555</v>
      </c>
      <c r="C226" s="18">
        <v>45323</v>
      </c>
      <c r="D226" t="s">
        <v>100</v>
      </c>
      <c r="E226" s="32">
        <v>205700</v>
      </c>
      <c r="F226" s="32">
        <v>0</v>
      </c>
      <c r="G226" s="32">
        <v>128282892</v>
      </c>
      <c r="H226" t="s">
        <v>107</v>
      </c>
    </row>
    <row r="227" spans="1:8" hidden="1" x14ac:dyDescent="0.3">
      <c r="A227" s="28">
        <v>15934</v>
      </c>
      <c r="B227" s="31">
        <v>45323.425000000003</v>
      </c>
      <c r="C227" s="18">
        <v>45323</v>
      </c>
      <c r="D227" t="s">
        <v>101</v>
      </c>
      <c r="E227" s="32">
        <v>0</v>
      </c>
      <c r="F227" s="32">
        <v>50000000</v>
      </c>
      <c r="G227" s="32">
        <v>128077192</v>
      </c>
      <c r="H227" t="s">
        <v>111</v>
      </c>
    </row>
    <row r="228" spans="1:8" hidden="1" x14ac:dyDescent="0.3">
      <c r="A228" s="28">
        <v>15904</v>
      </c>
      <c r="B228" s="31">
        <v>45321.45416666667</v>
      </c>
      <c r="C228" s="18">
        <v>45321</v>
      </c>
      <c r="D228" t="s">
        <v>101</v>
      </c>
      <c r="E228" s="32">
        <v>0</v>
      </c>
      <c r="F228" s="32">
        <v>26618600</v>
      </c>
      <c r="G228" s="32">
        <v>178077192</v>
      </c>
      <c r="H228" t="s">
        <v>105</v>
      </c>
    </row>
    <row r="229" spans="1:8" hidden="1" x14ac:dyDescent="0.3">
      <c r="A229" s="28">
        <v>15902</v>
      </c>
      <c r="B229" s="31">
        <v>45320.711805555555</v>
      </c>
      <c r="C229" s="18">
        <v>45320</v>
      </c>
      <c r="D229" t="s">
        <v>100</v>
      </c>
      <c r="E229" s="32">
        <v>186835000</v>
      </c>
      <c r="F229" s="32">
        <v>0</v>
      </c>
      <c r="G229" s="32">
        <v>204695792</v>
      </c>
      <c r="H229" t="s">
        <v>112</v>
      </c>
    </row>
    <row r="230" spans="1:8" hidden="1" x14ac:dyDescent="0.3">
      <c r="A230" s="28">
        <v>15897</v>
      </c>
      <c r="B230" s="31">
        <v>45320.645138888889</v>
      </c>
      <c r="C230" s="18">
        <v>45320</v>
      </c>
      <c r="D230" t="s">
        <v>101</v>
      </c>
      <c r="E230" s="32">
        <v>0</v>
      </c>
      <c r="F230" s="32">
        <v>26742800</v>
      </c>
      <c r="G230" s="32">
        <v>17860792</v>
      </c>
      <c r="H230" t="s">
        <v>105</v>
      </c>
    </row>
    <row r="231" spans="1:8" hidden="1" x14ac:dyDescent="0.3">
      <c r="A231" s="28">
        <v>15892</v>
      </c>
      <c r="B231" s="31">
        <v>45320.426388888889</v>
      </c>
      <c r="C231" s="18">
        <v>45320</v>
      </c>
      <c r="D231" t="s">
        <v>101</v>
      </c>
      <c r="E231" s="32">
        <v>0</v>
      </c>
      <c r="F231" s="32">
        <v>5101920</v>
      </c>
      <c r="G231" s="32">
        <v>44603592</v>
      </c>
      <c r="H231" t="s">
        <v>105</v>
      </c>
    </row>
    <row r="232" spans="1:8" hidden="1" x14ac:dyDescent="0.3">
      <c r="A232" s="28">
        <v>15891</v>
      </c>
      <c r="B232" s="31">
        <v>45320.324999999997</v>
      </c>
      <c r="C232" s="18">
        <v>45320</v>
      </c>
      <c r="D232" t="s">
        <v>101</v>
      </c>
      <c r="E232" s="32">
        <v>0</v>
      </c>
      <c r="F232" s="32">
        <v>355863</v>
      </c>
      <c r="G232" s="32">
        <v>49705512</v>
      </c>
      <c r="H232" t="s">
        <v>132</v>
      </c>
    </row>
    <row r="233" spans="1:8" hidden="1" x14ac:dyDescent="0.3">
      <c r="A233" s="28">
        <v>15884</v>
      </c>
      <c r="B233" s="31">
        <v>45317.29583333333</v>
      </c>
      <c r="C233" s="18">
        <v>45317</v>
      </c>
      <c r="D233" t="s">
        <v>101</v>
      </c>
      <c r="E233" s="32">
        <v>0</v>
      </c>
      <c r="F233" s="32">
        <v>233300</v>
      </c>
      <c r="G233" s="32">
        <v>50061375</v>
      </c>
      <c r="H233" t="s">
        <v>116</v>
      </c>
    </row>
    <row r="234" spans="1:8" hidden="1" x14ac:dyDescent="0.3">
      <c r="A234" s="28">
        <v>15883</v>
      </c>
      <c r="B234" s="31">
        <v>45317.29583333333</v>
      </c>
      <c r="C234" s="18">
        <v>45317</v>
      </c>
      <c r="D234" t="s">
        <v>101</v>
      </c>
      <c r="E234" s="32">
        <v>0</v>
      </c>
      <c r="F234" s="32">
        <v>6957760</v>
      </c>
      <c r="G234" s="32">
        <v>50294675</v>
      </c>
      <c r="H234" t="s">
        <v>116</v>
      </c>
    </row>
    <row r="235" spans="1:8" hidden="1" x14ac:dyDescent="0.3">
      <c r="A235" s="28">
        <v>15881</v>
      </c>
      <c r="B235" s="31">
        <v>45316.788194444445</v>
      </c>
      <c r="C235" s="18">
        <v>45316</v>
      </c>
      <c r="D235" t="s">
        <v>101</v>
      </c>
      <c r="E235" s="32">
        <v>0</v>
      </c>
      <c r="F235" s="32">
        <v>240000</v>
      </c>
      <c r="G235" s="32">
        <v>57252435</v>
      </c>
      <c r="H235" t="s">
        <v>106</v>
      </c>
    </row>
    <row r="236" spans="1:8" hidden="1" x14ac:dyDescent="0.3">
      <c r="A236" s="28">
        <v>15880</v>
      </c>
      <c r="B236" s="31">
        <v>45316.775694444441</v>
      </c>
      <c r="C236" s="18">
        <v>45316</v>
      </c>
      <c r="D236" t="s">
        <v>101</v>
      </c>
      <c r="E236" s="32">
        <v>0</v>
      </c>
      <c r="F236" s="32">
        <v>5980</v>
      </c>
      <c r="G236" s="32">
        <v>57492435</v>
      </c>
      <c r="H236" t="s">
        <v>133</v>
      </c>
    </row>
    <row r="237" spans="1:8" hidden="1" x14ac:dyDescent="0.3">
      <c r="A237" s="28">
        <v>15876</v>
      </c>
      <c r="B237" s="31">
        <v>45316.474999999999</v>
      </c>
      <c r="C237" s="18">
        <v>45316</v>
      </c>
      <c r="D237" t="s">
        <v>100</v>
      </c>
      <c r="E237" s="32">
        <v>369600</v>
      </c>
      <c r="F237" s="32">
        <v>0</v>
      </c>
      <c r="G237" s="32">
        <v>57498415</v>
      </c>
      <c r="H237" t="s">
        <v>110</v>
      </c>
    </row>
    <row r="238" spans="1:8" hidden="1" x14ac:dyDescent="0.3">
      <c r="A238" s="28">
        <v>15872</v>
      </c>
      <c r="B238" s="31">
        <v>45315.745833333334</v>
      </c>
      <c r="C238" s="18">
        <v>45315</v>
      </c>
      <c r="D238" t="s">
        <v>101</v>
      </c>
      <c r="E238" s="32">
        <v>0</v>
      </c>
      <c r="F238" s="32">
        <v>240000</v>
      </c>
      <c r="G238" s="32">
        <v>57128815</v>
      </c>
      <c r="H238" t="s">
        <v>106</v>
      </c>
    </row>
    <row r="239" spans="1:8" hidden="1" x14ac:dyDescent="0.3">
      <c r="A239" s="28">
        <v>15870</v>
      </c>
      <c r="B239" s="31">
        <v>45315.660416666666</v>
      </c>
      <c r="C239" s="18">
        <v>45315</v>
      </c>
      <c r="D239" t="s">
        <v>101</v>
      </c>
      <c r="E239" s="32">
        <v>0</v>
      </c>
      <c r="F239" s="32">
        <v>53046210</v>
      </c>
      <c r="G239" s="32">
        <v>57368815</v>
      </c>
      <c r="H239" t="s">
        <v>117</v>
      </c>
    </row>
    <row r="240" spans="1:8" hidden="1" x14ac:dyDescent="0.3">
      <c r="A240" s="28">
        <v>15864</v>
      </c>
      <c r="B240" s="31">
        <v>45314.711111111108</v>
      </c>
      <c r="C240" s="18">
        <v>45314</v>
      </c>
      <c r="D240" t="s">
        <v>100</v>
      </c>
      <c r="E240" s="32">
        <v>616000</v>
      </c>
      <c r="F240" s="32">
        <v>0</v>
      </c>
      <c r="G240" s="32">
        <v>110415025</v>
      </c>
      <c r="H240" t="s">
        <v>134</v>
      </c>
    </row>
    <row r="241" spans="1:8" hidden="1" x14ac:dyDescent="0.3">
      <c r="A241" s="28">
        <v>15856</v>
      </c>
      <c r="B241" s="31">
        <v>45313.768055555556</v>
      </c>
      <c r="C241" s="18">
        <v>45313</v>
      </c>
      <c r="D241" t="s">
        <v>101</v>
      </c>
      <c r="E241" s="32">
        <v>0</v>
      </c>
      <c r="F241" s="32">
        <v>261020</v>
      </c>
      <c r="G241" s="32">
        <v>109799025</v>
      </c>
      <c r="H241" t="s">
        <v>135</v>
      </c>
    </row>
    <row r="242" spans="1:8" hidden="1" x14ac:dyDescent="0.3">
      <c r="A242" s="28">
        <v>15853</v>
      </c>
      <c r="B242" s="31">
        <v>45313.492361111108</v>
      </c>
      <c r="C242" s="18">
        <v>45313</v>
      </c>
      <c r="D242" t="s">
        <v>101</v>
      </c>
      <c r="E242" s="32">
        <v>0</v>
      </c>
      <c r="F242" s="32">
        <v>26674600</v>
      </c>
      <c r="G242" s="32">
        <v>110060045</v>
      </c>
      <c r="H242" t="s">
        <v>105</v>
      </c>
    </row>
    <row r="243" spans="1:8" hidden="1" x14ac:dyDescent="0.3">
      <c r="A243" s="28">
        <v>15851</v>
      </c>
      <c r="B243" s="31">
        <v>45313.491666666669</v>
      </c>
      <c r="C243" s="18">
        <v>45313</v>
      </c>
      <c r="D243" t="s">
        <v>101</v>
      </c>
      <c r="E243" s="32">
        <v>0</v>
      </c>
      <c r="F243" s="32">
        <v>30000000</v>
      </c>
      <c r="G243" s="32">
        <v>136734645</v>
      </c>
      <c r="H243" t="s">
        <v>111</v>
      </c>
    </row>
    <row r="244" spans="1:8" hidden="1" x14ac:dyDescent="0.3">
      <c r="A244" s="28">
        <v>15850</v>
      </c>
      <c r="B244" s="31">
        <v>45313.490277777775</v>
      </c>
      <c r="C244" s="18">
        <v>45313</v>
      </c>
      <c r="D244" t="s">
        <v>100</v>
      </c>
      <c r="E244" s="32">
        <v>86000000</v>
      </c>
      <c r="F244" s="32">
        <v>0</v>
      </c>
      <c r="G244" s="32">
        <v>166734645</v>
      </c>
      <c r="H244" t="s">
        <v>122</v>
      </c>
    </row>
    <row r="245" spans="1:8" hidden="1" x14ac:dyDescent="0.3">
      <c r="A245" s="28">
        <v>15841</v>
      </c>
      <c r="B245" s="31">
        <v>45313.306250000001</v>
      </c>
      <c r="C245" s="18">
        <v>45313</v>
      </c>
      <c r="D245" t="s">
        <v>100</v>
      </c>
      <c r="E245" s="32">
        <v>9035</v>
      </c>
      <c r="F245" s="32">
        <v>0</v>
      </c>
      <c r="G245" s="32">
        <v>80734645</v>
      </c>
      <c r="H245" t="s">
        <v>121</v>
      </c>
    </row>
    <row r="246" spans="1:8" hidden="1" x14ac:dyDescent="0.3">
      <c r="A246" s="28">
        <v>15823</v>
      </c>
      <c r="B246" s="31">
        <v>45308.379166666666</v>
      </c>
      <c r="C246" s="18">
        <v>45308</v>
      </c>
      <c r="D246" t="s">
        <v>101</v>
      </c>
      <c r="E246" s="32">
        <v>0</v>
      </c>
      <c r="F246" s="32">
        <v>24136920</v>
      </c>
      <c r="G246" s="32">
        <v>80725610</v>
      </c>
      <c r="H246" t="s">
        <v>105</v>
      </c>
    </row>
    <row r="247" spans="1:8" hidden="1" x14ac:dyDescent="0.3">
      <c r="A247" s="28">
        <v>15812</v>
      </c>
      <c r="B247" s="31">
        <v>45306.788194444445</v>
      </c>
      <c r="C247" s="18">
        <v>45306</v>
      </c>
      <c r="D247" t="s">
        <v>101</v>
      </c>
      <c r="E247" s="32">
        <v>0</v>
      </c>
      <c r="F247" s="32">
        <v>1920000</v>
      </c>
      <c r="G247" s="32">
        <v>104862530</v>
      </c>
      <c r="H247" t="s">
        <v>106</v>
      </c>
    </row>
    <row r="248" spans="1:8" hidden="1" x14ac:dyDescent="0.3">
      <c r="A248" s="28">
        <v>15810</v>
      </c>
      <c r="B248" s="31">
        <v>45306.773611111108</v>
      </c>
      <c r="C248" s="18">
        <v>45306</v>
      </c>
      <c r="D248" t="s">
        <v>100</v>
      </c>
      <c r="E248" s="32">
        <v>44391600</v>
      </c>
      <c r="F248" s="32">
        <v>0</v>
      </c>
      <c r="G248" s="32">
        <v>106782530</v>
      </c>
      <c r="H248" t="s">
        <v>136</v>
      </c>
    </row>
    <row r="249" spans="1:8" hidden="1" x14ac:dyDescent="0.3">
      <c r="A249" s="28">
        <v>15809</v>
      </c>
      <c r="B249" s="31">
        <v>45306.773611111108</v>
      </c>
      <c r="C249" s="18">
        <v>45306</v>
      </c>
      <c r="D249" t="s">
        <v>100</v>
      </c>
      <c r="E249" s="32">
        <v>3758700</v>
      </c>
      <c r="F249" s="32">
        <v>0</v>
      </c>
      <c r="G249" s="32">
        <v>62390930</v>
      </c>
      <c r="H249" t="s">
        <v>136</v>
      </c>
    </row>
    <row r="250" spans="1:8" hidden="1" x14ac:dyDescent="0.3">
      <c r="A250" s="28">
        <v>15795</v>
      </c>
      <c r="B250" s="31">
        <v>45306.65625</v>
      </c>
      <c r="C250" s="18">
        <v>45306</v>
      </c>
      <c r="D250" t="s">
        <v>100</v>
      </c>
      <c r="E250" s="32">
        <v>303600</v>
      </c>
      <c r="F250" s="32">
        <v>0</v>
      </c>
      <c r="G250" s="32">
        <v>58632230</v>
      </c>
      <c r="H250" t="s">
        <v>107</v>
      </c>
    </row>
    <row r="251" spans="1:8" hidden="1" x14ac:dyDescent="0.3">
      <c r="A251" s="28">
        <v>15793</v>
      </c>
      <c r="B251" s="31">
        <v>45306.599305555559</v>
      </c>
      <c r="C251" s="18">
        <v>45306</v>
      </c>
      <c r="D251" t="s">
        <v>100</v>
      </c>
      <c r="E251" s="32">
        <v>286000</v>
      </c>
      <c r="F251" s="32">
        <v>0</v>
      </c>
      <c r="G251" s="32">
        <v>58328630</v>
      </c>
      <c r="H251" t="s">
        <v>137</v>
      </c>
    </row>
    <row r="252" spans="1:8" hidden="1" x14ac:dyDescent="0.3">
      <c r="A252" s="28">
        <v>15776</v>
      </c>
      <c r="B252" s="31">
        <v>45303.378472222219</v>
      </c>
      <c r="C252" s="18">
        <v>45303</v>
      </c>
      <c r="D252" t="s">
        <v>101</v>
      </c>
      <c r="E252" s="32">
        <v>0</v>
      </c>
      <c r="F252" s="32">
        <v>12721300</v>
      </c>
      <c r="G252" s="32">
        <v>58042630</v>
      </c>
      <c r="H252" t="s">
        <v>105</v>
      </c>
    </row>
    <row r="253" spans="1:8" hidden="1" x14ac:dyDescent="0.3">
      <c r="A253" s="28">
        <v>15775</v>
      </c>
      <c r="B253" s="31">
        <v>45303.37777777778</v>
      </c>
      <c r="C253" s="18">
        <v>45303</v>
      </c>
      <c r="D253" t="s">
        <v>101</v>
      </c>
      <c r="E253" s="32">
        <v>0</v>
      </c>
      <c r="F253" s="32">
        <v>13133100</v>
      </c>
      <c r="G253" s="32">
        <v>70763930</v>
      </c>
      <c r="H253" t="s">
        <v>105</v>
      </c>
    </row>
    <row r="254" spans="1:8" hidden="1" x14ac:dyDescent="0.3">
      <c r="A254" s="28">
        <v>15765</v>
      </c>
      <c r="B254" s="31">
        <v>45301.76666666667</v>
      </c>
      <c r="C254" s="18">
        <v>45301</v>
      </c>
      <c r="D254" t="s">
        <v>101</v>
      </c>
      <c r="E254" s="32">
        <v>0</v>
      </c>
      <c r="F254" s="32">
        <v>362870</v>
      </c>
      <c r="G254" s="32">
        <v>83897030</v>
      </c>
      <c r="H254" t="s">
        <v>138</v>
      </c>
    </row>
    <row r="255" spans="1:8" hidden="1" x14ac:dyDescent="0.3">
      <c r="A255" s="28">
        <v>15764</v>
      </c>
      <c r="B255" s="31">
        <v>45301.765277777777</v>
      </c>
      <c r="C255" s="18">
        <v>45301</v>
      </c>
      <c r="D255" t="s">
        <v>101</v>
      </c>
      <c r="E255" s="32">
        <v>0</v>
      </c>
      <c r="F255" s="32">
        <v>752520</v>
      </c>
      <c r="G255" s="32">
        <v>84259900</v>
      </c>
      <c r="H255" t="s">
        <v>139</v>
      </c>
    </row>
    <row r="256" spans="1:8" hidden="1" x14ac:dyDescent="0.3">
      <c r="A256" s="28">
        <v>15763</v>
      </c>
      <c r="B256" s="31">
        <v>45301.759027777778</v>
      </c>
      <c r="C256" s="18">
        <v>45301</v>
      </c>
      <c r="D256" t="s">
        <v>101</v>
      </c>
      <c r="E256" s="32">
        <v>0</v>
      </c>
      <c r="F256" s="32">
        <v>4823220</v>
      </c>
      <c r="G256" s="32">
        <v>85012420</v>
      </c>
      <c r="H256" t="s">
        <v>140</v>
      </c>
    </row>
    <row r="257" spans="1:8" hidden="1" x14ac:dyDescent="0.3">
      <c r="A257" s="28">
        <v>15762</v>
      </c>
      <c r="B257" s="31">
        <v>45301.756249999999</v>
      </c>
      <c r="C257" s="18">
        <v>45301</v>
      </c>
      <c r="D257" t="s">
        <v>101</v>
      </c>
      <c r="E257" s="32">
        <v>0</v>
      </c>
      <c r="F257" s="32">
        <v>4303220</v>
      </c>
      <c r="G257" s="32">
        <v>89835640</v>
      </c>
      <c r="H257" t="s">
        <v>141</v>
      </c>
    </row>
    <row r="258" spans="1:8" hidden="1" x14ac:dyDescent="0.3">
      <c r="A258" s="28">
        <v>15761</v>
      </c>
      <c r="B258" s="31">
        <v>45301.681944444441</v>
      </c>
      <c r="C258" s="18">
        <v>45301</v>
      </c>
      <c r="D258" t="s">
        <v>100</v>
      </c>
      <c r="E258" s="32">
        <v>704000</v>
      </c>
      <c r="F258" s="32">
        <v>0</v>
      </c>
      <c r="G258" s="32">
        <v>94138860</v>
      </c>
      <c r="H258" t="s">
        <v>130</v>
      </c>
    </row>
    <row r="259" spans="1:8" hidden="1" x14ac:dyDescent="0.3">
      <c r="A259" s="28">
        <v>15760</v>
      </c>
      <c r="B259" s="31">
        <v>45301.681250000001</v>
      </c>
      <c r="C259" s="18">
        <v>45301</v>
      </c>
      <c r="D259" t="s">
        <v>100</v>
      </c>
      <c r="E259" s="32">
        <v>3990800</v>
      </c>
      <c r="F259" s="32">
        <v>0</v>
      </c>
      <c r="G259" s="32">
        <v>93434860</v>
      </c>
      <c r="H259" t="s">
        <v>130</v>
      </c>
    </row>
    <row r="260" spans="1:8" hidden="1" x14ac:dyDescent="0.3">
      <c r="A260" s="28">
        <v>15751</v>
      </c>
      <c r="B260" s="31">
        <v>45301.439583333333</v>
      </c>
      <c r="C260" s="18">
        <v>45301</v>
      </c>
      <c r="D260" t="s">
        <v>101</v>
      </c>
      <c r="E260" s="32">
        <v>0</v>
      </c>
      <c r="F260" s="32">
        <v>4203550</v>
      </c>
      <c r="G260" s="32">
        <v>89444060</v>
      </c>
      <c r="H260" t="s">
        <v>109</v>
      </c>
    </row>
    <row r="261" spans="1:8" hidden="1" x14ac:dyDescent="0.3">
      <c r="A261" s="28">
        <v>15730</v>
      </c>
      <c r="B261" s="31">
        <v>45296.756944444445</v>
      </c>
      <c r="C261" s="18">
        <v>45296</v>
      </c>
      <c r="D261" t="s">
        <v>101</v>
      </c>
      <c r="E261" s="32">
        <v>0</v>
      </c>
      <c r="F261" s="32">
        <v>240000</v>
      </c>
      <c r="G261" s="32">
        <v>93647610</v>
      </c>
      <c r="H261" t="s">
        <v>106</v>
      </c>
    </row>
    <row r="262" spans="1:8" hidden="1" x14ac:dyDescent="0.3">
      <c r="A262" s="28">
        <v>15709</v>
      </c>
      <c r="B262" s="31">
        <v>45293.574999999997</v>
      </c>
      <c r="C262" s="18">
        <v>45293</v>
      </c>
      <c r="D262" t="s">
        <v>101</v>
      </c>
      <c r="E262" s="32">
        <v>0</v>
      </c>
      <c r="F262" s="32">
        <v>105210</v>
      </c>
      <c r="G262" s="32">
        <v>93887610</v>
      </c>
      <c r="H262" t="s">
        <v>142</v>
      </c>
    </row>
    <row r="263" spans="1:8" hidden="1" x14ac:dyDescent="0.3">
      <c r="A263" s="28">
        <v>15708</v>
      </c>
      <c r="B263" s="31">
        <v>45293.572222222225</v>
      </c>
      <c r="C263" s="18">
        <v>45293</v>
      </c>
      <c r="D263" t="s">
        <v>100</v>
      </c>
      <c r="E263" s="32">
        <v>70000000</v>
      </c>
      <c r="F263" s="32">
        <v>0</v>
      </c>
      <c r="G263" s="32">
        <v>93992820</v>
      </c>
      <c r="H263" t="s">
        <v>114</v>
      </c>
    </row>
    <row r="264" spans="1:8" hidden="1" x14ac:dyDescent="0.3">
      <c r="A264" s="28">
        <v>15706</v>
      </c>
      <c r="B264" s="31">
        <v>45293.570833333331</v>
      </c>
      <c r="C264" s="18">
        <v>45293</v>
      </c>
      <c r="D264" t="s">
        <v>101</v>
      </c>
      <c r="E264" s="32">
        <v>0</v>
      </c>
      <c r="F264" s="32">
        <v>1658440</v>
      </c>
      <c r="G264" s="32">
        <v>23992820</v>
      </c>
      <c r="H264" t="s">
        <v>105</v>
      </c>
    </row>
    <row r="265" spans="1:8" hidden="1" x14ac:dyDescent="0.3">
      <c r="A265" s="28">
        <v>15661</v>
      </c>
      <c r="B265" s="31">
        <v>45288.421527777777</v>
      </c>
      <c r="C265" s="18">
        <v>45288</v>
      </c>
      <c r="D265" t="s">
        <v>101</v>
      </c>
      <c r="E265" s="32">
        <v>0</v>
      </c>
      <c r="F265" s="32">
        <v>25845800</v>
      </c>
      <c r="G265" s="32">
        <v>25651260</v>
      </c>
      <c r="H265" t="s">
        <v>105</v>
      </c>
    </row>
    <row r="266" spans="1:8" hidden="1" x14ac:dyDescent="0.3">
      <c r="A266" s="28">
        <v>15659</v>
      </c>
      <c r="B266" s="31">
        <v>45288.307638888888</v>
      </c>
      <c r="C266" s="18">
        <v>45288</v>
      </c>
      <c r="D266" t="s">
        <v>101</v>
      </c>
      <c r="E266" s="32">
        <v>0</v>
      </c>
      <c r="F266" s="32">
        <v>345205</v>
      </c>
      <c r="G266" s="32">
        <v>51497060</v>
      </c>
      <c r="H266" t="s">
        <v>143</v>
      </c>
    </row>
    <row r="267" spans="1:8" hidden="1" x14ac:dyDescent="0.3">
      <c r="A267" s="28">
        <v>15651</v>
      </c>
      <c r="B267" s="31">
        <v>45287.397222222222</v>
      </c>
      <c r="C267" s="18">
        <v>45287</v>
      </c>
      <c r="D267" t="s">
        <v>101</v>
      </c>
      <c r="E267" s="32">
        <v>0</v>
      </c>
      <c r="F267" s="32">
        <v>25905800</v>
      </c>
      <c r="G267" s="32">
        <v>51842265</v>
      </c>
      <c r="H267" t="s">
        <v>105</v>
      </c>
    </row>
    <row r="268" spans="1:8" hidden="1" x14ac:dyDescent="0.3">
      <c r="A268" s="28">
        <v>15648</v>
      </c>
      <c r="B268" s="31">
        <v>45286.786111111112</v>
      </c>
      <c r="C268" s="18">
        <v>45286</v>
      </c>
      <c r="D268" t="s">
        <v>101</v>
      </c>
      <c r="E268" s="32">
        <v>0</v>
      </c>
      <c r="F268" s="32">
        <v>240000</v>
      </c>
      <c r="G268" s="32">
        <v>77748065</v>
      </c>
      <c r="H268" t="s">
        <v>106</v>
      </c>
    </row>
    <row r="269" spans="1:8" hidden="1" x14ac:dyDescent="0.3">
      <c r="A269" s="28">
        <v>15647</v>
      </c>
      <c r="B269" s="31">
        <v>45286.784722222219</v>
      </c>
      <c r="C269" s="18">
        <v>45286</v>
      </c>
      <c r="D269" t="s">
        <v>101</v>
      </c>
      <c r="E269" s="32">
        <v>0</v>
      </c>
      <c r="F269" s="32">
        <v>6950</v>
      </c>
      <c r="G269" s="32">
        <v>77988065</v>
      </c>
      <c r="H269" t="s">
        <v>144</v>
      </c>
    </row>
    <row r="270" spans="1:8" hidden="1" x14ac:dyDescent="0.3">
      <c r="A270" s="28">
        <v>15646</v>
      </c>
      <c r="B270" s="31">
        <v>45286.750694444447</v>
      </c>
      <c r="C270" s="18">
        <v>45286</v>
      </c>
      <c r="D270" t="s">
        <v>100</v>
      </c>
      <c r="E270" s="32">
        <v>50000000</v>
      </c>
      <c r="F270" s="32">
        <v>0</v>
      </c>
      <c r="G270" s="32">
        <v>77995015</v>
      </c>
      <c r="H270" t="s">
        <v>114</v>
      </c>
    </row>
    <row r="271" spans="1:8" hidden="1" x14ac:dyDescent="0.3">
      <c r="A271" s="28">
        <v>15638</v>
      </c>
      <c r="B271" s="31">
        <v>45286.356944444444</v>
      </c>
      <c r="C271" s="18">
        <v>45286</v>
      </c>
      <c r="D271" t="s">
        <v>101</v>
      </c>
      <c r="E271" s="32">
        <v>0</v>
      </c>
      <c r="F271" s="32">
        <v>210800</v>
      </c>
      <c r="G271" s="32">
        <v>27995015</v>
      </c>
      <c r="H271" t="s">
        <v>116</v>
      </c>
    </row>
    <row r="272" spans="1:8" hidden="1" x14ac:dyDescent="0.3">
      <c r="A272" s="28">
        <v>15637</v>
      </c>
      <c r="B272" s="31">
        <v>45286.356944444444</v>
      </c>
      <c r="C272" s="18">
        <v>45286</v>
      </c>
      <c r="D272" t="s">
        <v>101</v>
      </c>
      <c r="E272" s="32">
        <v>0</v>
      </c>
      <c r="F272" s="32">
        <v>2415586</v>
      </c>
      <c r="G272" s="32">
        <v>28205815</v>
      </c>
      <c r="H272" t="s">
        <v>116</v>
      </c>
    </row>
    <row r="273" spans="1:8" hidden="1" x14ac:dyDescent="0.3">
      <c r="A273" s="28">
        <v>15630</v>
      </c>
      <c r="B273" s="31">
        <v>45282.582638888889</v>
      </c>
      <c r="C273" s="18">
        <v>45282</v>
      </c>
      <c r="D273" t="s">
        <v>100</v>
      </c>
      <c r="E273" s="32">
        <v>199100</v>
      </c>
      <c r="F273" s="32">
        <v>0</v>
      </c>
      <c r="G273" s="32">
        <v>30621401</v>
      </c>
      <c r="H273" t="s">
        <v>134</v>
      </c>
    </row>
    <row r="274" spans="1:8" hidden="1" x14ac:dyDescent="0.3">
      <c r="A274" s="28">
        <v>15625</v>
      </c>
      <c r="B274" s="31">
        <v>45282.334722222222</v>
      </c>
      <c r="C274" s="18">
        <v>45282</v>
      </c>
      <c r="D274" t="s">
        <v>101</v>
      </c>
      <c r="E274" s="32">
        <v>0</v>
      </c>
      <c r="F274" s="32">
        <v>51491970</v>
      </c>
      <c r="G274" s="32">
        <v>30422301</v>
      </c>
      <c r="H274" t="s">
        <v>117</v>
      </c>
    </row>
    <row r="275" spans="1:8" hidden="1" x14ac:dyDescent="0.3">
      <c r="A275" s="28">
        <v>15624</v>
      </c>
      <c r="B275" s="31">
        <v>45281.757638888892</v>
      </c>
      <c r="C275" s="18">
        <v>45281</v>
      </c>
      <c r="D275" t="s">
        <v>101</v>
      </c>
      <c r="E275" s="32">
        <v>0</v>
      </c>
      <c r="F275" s="32">
        <v>262930</v>
      </c>
      <c r="G275" s="32">
        <v>81914271</v>
      </c>
      <c r="H275" t="s">
        <v>145</v>
      </c>
    </row>
    <row r="276" spans="1:8" hidden="1" x14ac:dyDescent="0.3">
      <c r="A276" s="28">
        <v>15618</v>
      </c>
      <c r="B276" s="31">
        <v>45281.390277777777</v>
      </c>
      <c r="C276" s="18">
        <v>45281</v>
      </c>
      <c r="D276" t="s">
        <v>101</v>
      </c>
      <c r="E276" s="32">
        <v>0</v>
      </c>
      <c r="F276" s="32">
        <v>13061000</v>
      </c>
      <c r="G276" s="32">
        <v>82177201</v>
      </c>
      <c r="H276" t="s">
        <v>105</v>
      </c>
    </row>
    <row r="277" spans="1:8" hidden="1" x14ac:dyDescent="0.3">
      <c r="A277" s="28">
        <v>15617</v>
      </c>
      <c r="B277" s="31">
        <v>45281.386805555558</v>
      </c>
      <c r="C277" s="18">
        <v>45281</v>
      </c>
      <c r="D277" t="s">
        <v>101</v>
      </c>
      <c r="E277" s="32">
        <v>0</v>
      </c>
      <c r="F277" s="32">
        <v>13462900</v>
      </c>
      <c r="G277" s="32">
        <v>95238201</v>
      </c>
      <c r="H277" t="s">
        <v>105</v>
      </c>
    </row>
    <row r="278" spans="1:8" hidden="1" x14ac:dyDescent="0.3">
      <c r="A278" s="28">
        <v>15598</v>
      </c>
      <c r="B278" s="31">
        <v>45279.552083333336</v>
      </c>
      <c r="C278" s="18">
        <v>45279</v>
      </c>
      <c r="D278" t="s">
        <v>100</v>
      </c>
      <c r="E278" s="32">
        <v>80300</v>
      </c>
      <c r="F278" s="32">
        <v>0</v>
      </c>
      <c r="G278" s="32">
        <v>108701101</v>
      </c>
      <c r="H278" t="s">
        <v>107</v>
      </c>
    </row>
    <row r="279" spans="1:8" hidden="1" x14ac:dyDescent="0.3">
      <c r="A279" s="28">
        <v>15597</v>
      </c>
      <c r="B279" s="31">
        <v>45279.551388888889</v>
      </c>
      <c r="C279" s="18">
        <v>45279</v>
      </c>
      <c r="D279" t="s">
        <v>100</v>
      </c>
      <c r="E279" s="32">
        <v>267300</v>
      </c>
      <c r="F279" s="32">
        <v>0</v>
      </c>
      <c r="G279" s="32">
        <v>108620801</v>
      </c>
      <c r="H279" t="s">
        <v>107</v>
      </c>
    </row>
    <row r="280" spans="1:8" hidden="1" x14ac:dyDescent="0.3">
      <c r="A280" s="28">
        <v>15596</v>
      </c>
      <c r="B280" s="31">
        <v>45279.551388888889</v>
      </c>
      <c r="C280" s="18">
        <v>45279</v>
      </c>
      <c r="D280" t="s">
        <v>100</v>
      </c>
      <c r="E280" s="32">
        <v>382800</v>
      </c>
      <c r="F280" s="32">
        <v>0</v>
      </c>
      <c r="G280" s="32">
        <v>108353501</v>
      </c>
      <c r="H280" t="s">
        <v>107</v>
      </c>
    </row>
    <row r="281" spans="1:8" hidden="1" x14ac:dyDescent="0.3">
      <c r="A281" s="28">
        <v>15584</v>
      </c>
      <c r="B281" s="31">
        <v>45278.397916666669</v>
      </c>
      <c r="C281" s="18">
        <v>45278</v>
      </c>
      <c r="D281" t="s">
        <v>101</v>
      </c>
      <c r="E281" s="32">
        <v>0</v>
      </c>
      <c r="F281" s="32">
        <v>25442600</v>
      </c>
      <c r="G281" s="32">
        <v>107970701</v>
      </c>
      <c r="H281" t="s">
        <v>105</v>
      </c>
    </row>
    <row r="282" spans="1:8" hidden="1" x14ac:dyDescent="0.3">
      <c r="A282" s="28">
        <v>15583</v>
      </c>
      <c r="B282" s="31">
        <v>45278.397222222222</v>
      </c>
      <c r="C282" s="18">
        <v>45278</v>
      </c>
      <c r="D282" t="s">
        <v>101</v>
      </c>
      <c r="E282" s="32">
        <v>0</v>
      </c>
      <c r="F282" s="32">
        <v>13441500</v>
      </c>
      <c r="G282" s="32">
        <v>133413301</v>
      </c>
      <c r="H282" t="s">
        <v>105</v>
      </c>
    </row>
    <row r="283" spans="1:8" hidden="1" x14ac:dyDescent="0.3">
      <c r="A283" s="28">
        <v>15580</v>
      </c>
      <c r="B283" s="31">
        <v>45278.306944444441</v>
      </c>
      <c r="C283" s="18">
        <v>45278</v>
      </c>
      <c r="D283" t="s">
        <v>100</v>
      </c>
      <c r="E283" s="32">
        <v>18279</v>
      </c>
      <c r="F283" s="32">
        <v>0</v>
      </c>
      <c r="G283" s="32">
        <v>146854801</v>
      </c>
      <c r="H283" t="s">
        <v>146</v>
      </c>
    </row>
    <row r="284" spans="1:8" hidden="1" x14ac:dyDescent="0.3">
      <c r="A284" s="28">
        <v>15573</v>
      </c>
      <c r="B284" s="31">
        <v>45275.775694444441</v>
      </c>
      <c r="C284" s="18">
        <v>45275</v>
      </c>
      <c r="D284" t="s">
        <v>101</v>
      </c>
      <c r="E284" s="32">
        <v>0</v>
      </c>
      <c r="F284" s="32">
        <v>1920000</v>
      </c>
      <c r="G284" s="32">
        <v>146836522</v>
      </c>
      <c r="H284" t="s">
        <v>106</v>
      </c>
    </row>
    <row r="285" spans="1:8" hidden="1" x14ac:dyDescent="0.3">
      <c r="A285" s="28">
        <v>15555</v>
      </c>
      <c r="B285" s="31">
        <v>45274.656944444447</v>
      </c>
      <c r="C285" s="18">
        <v>45274</v>
      </c>
      <c r="D285" t="s">
        <v>100</v>
      </c>
      <c r="E285" s="32">
        <v>503800</v>
      </c>
      <c r="F285" s="32">
        <v>0</v>
      </c>
      <c r="G285" s="32">
        <v>148756522</v>
      </c>
      <c r="H285" t="s">
        <v>107</v>
      </c>
    </row>
    <row r="286" spans="1:8" hidden="1" x14ac:dyDescent="0.3">
      <c r="A286" s="28">
        <v>15551</v>
      </c>
      <c r="B286" s="31">
        <v>45274.375694444447</v>
      </c>
      <c r="C286" s="18">
        <v>45274</v>
      </c>
      <c r="D286" t="s">
        <v>101</v>
      </c>
      <c r="E286" s="32">
        <v>0</v>
      </c>
      <c r="F286" s="32">
        <v>25978000</v>
      </c>
      <c r="G286" s="32">
        <v>148252722</v>
      </c>
      <c r="H286" t="s">
        <v>105</v>
      </c>
    </row>
    <row r="287" spans="1:8" hidden="1" x14ac:dyDescent="0.3">
      <c r="A287" s="28">
        <v>15550</v>
      </c>
      <c r="B287" s="31">
        <v>45274.35833333333</v>
      </c>
      <c r="C287" s="18">
        <v>45274</v>
      </c>
      <c r="D287" t="s">
        <v>100</v>
      </c>
      <c r="E287" s="32">
        <v>100724589</v>
      </c>
      <c r="F287" s="32">
        <v>0</v>
      </c>
      <c r="G287" s="32">
        <v>174230722</v>
      </c>
      <c r="H287" t="s">
        <v>147</v>
      </c>
    </row>
    <row r="288" spans="1:8" hidden="1" x14ac:dyDescent="0.3">
      <c r="A288" s="28">
        <v>15549</v>
      </c>
      <c r="B288" s="31">
        <v>45274.357638888891</v>
      </c>
      <c r="C288" s="18">
        <v>45274</v>
      </c>
      <c r="D288" t="s">
        <v>101</v>
      </c>
      <c r="E288" s="32">
        <v>0</v>
      </c>
      <c r="F288" s="32">
        <v>200000000</v>
      </c>
      <c r="G288" s="32">
        <v>73506133</v>
      </c>
      <c r="H288" t="s">
        <v>111</v>
      </c>
    </row>
    <row r="289" spans="1:8" hidden="1" x14ac:dyDescent="0.3">
      <c r="A289" s="28">
        <v>15547</v>
      </c>
      <c r="B289" s="31">
        <v>45273.738194444442</v>
      </c>
      <c r="C289" s="18">
        <v>45273</v>
      </c>
      <c r="D289" t="s">
        <v>100</v>
      </c>
      <c r="E289" s="32">
        <v>30697700</v>
      </c>
      <c r="F289" s="32">
        <v>0</v>
      </c>
      <c r="G289" s="32">
        <v>273506133</v>
      </c>
      <c r="H289" t="s">
        <v>127</v>
      </c>
    </row>
    <row r="290" spans="1:8" hidden="1" x14ac:dyDescent="0.3">
      <c r="A290" s="28">
        <v>15546</v>
      </c>
      <c r="B290" s="31">
        <v>45273.737500000003</v>
      </c>
      <c r="C290" s="18">
        <v>45273</v>
      </c>
      <c r="D290" t="s">
        <v>100</v>
      </c>
      <c r="E290" s="32">
        <v>1188000</v>
      </c>
      <c r="F290" s="32">
        <v>0</v>
      </c>
      <c r="G290" s="32">
        <v>242808433</v>
      </c>
      <c r="H290" t="s">
        <v>127</v>
      </c>
    </row>
    <row r="291" spans="1:8" hidden="1" x14ac:dyDescent="0.3">
      <c r="A291" s="28">
        <v>15545</v>
      </c>
      <c r="B291" s="31">
        <v>45273.736805555556</v>
      </c>
      <c r="C291" s="18">
        <v>45273</v>
      </c>
      <c r="D291" t="s">
        <v>100</v>
      </c>
      <c r="E291" s="32">
        <v>476300</v>
      </c>
      <c r="F291" s="32">
        <v>0</v>
      </c>
      <c r="G291" s="32">
        <v>241620433</v>
      </c>
      <c r="H291" t="s">
        <v>127</v>
      </c>
    </row>
    <row r="292" spans="1:8" hidden="1" x14ac:dyDescent="0.3">
      <c r="A292" s="28">
        <v>15529</v>
      </c>
      <c r="B292" s="31">
        <v>45272.377083333333</v>
      </c>
      <c r="C292" s="18">
        <v>45272</v>
      </c>
      <c r="D292" t="s">
        <v>101</v>
      </c>
      <c r="E292" s="32">
        <v>0</v>
      </c>
      <c r="F292" s="32">
        <v>13180200</v>
      </c>
      <c r="G292" s="32">
        <v>241144133</v>
      </c>
      <c r="H292" t="s">
        <v>105</v>
      </c>
    </row>
    <row r="293" spans="1:8" hidden="1" x14ac:dyDescent="0.3">
      <c r="A293" s="28">
        <v>15528</v>
      </c>
      <c r="B293" s="31">
        <v>45272.377083333333</v>
      </c>
      <c r="C293" s="18">
        <v>45272</v>
      </c>
      <c r="D293" t="s">
        <v>101</v>
      </c>
      <c r="E293" s="32">
        <v>0</v>
      </c>
      <c r="F293" s="32">
        <v>13441500</v>
      </c>
      <c r="G293" s="32">
        <v>254324333</v>
      </c>
      <c r="H293" t="s">
        <v>105</v>
      </c>
    </row>
    <row r="294" spans="1:8" hidden="1" x14ac:dyDescent="0.3">
      <c r="A294" s="28">
        <v>15526</v>
      </c>
      <c r="B294" s="31">
        <v>45271.770138888889</v>
      </c>
      <c r="C294" s="18">
        <v>45271</v>
      </c>
      <c r="D294" t="s">
        <v>101</v>
      </c>
      <c r="E294" s="32">
        <v>0</v>
      </c>
      <c r="F294" s="32">
        <v>751210</v>
      </c>
      <c r="G294" s="32">
        <v>267765833</v>
      </c>
      <c r="H294" t="s">
        <v>148</v>
      </c>
    </row>
    <row r="295" spans="1:8" hidden="1" x14ac:dyDescent="0.3">
      <c r="A295" s="28">
        <v>15525</v>
      </c>
      <c r="B295" s="31">
        <v>45271.76666666667</v>
      </c>
      <c r="C295" s="18">
        <v>45271</v>
      </c>
      <c r="D295" t="s">
        <v>101</v>
      </c>
      <c r="E295" s="32">
        <v>0</v>
      </c>
      <c r="F295" s="32">
        <v>357840</v>
      </c>
      <c r="G295" s="32">
        <v>268517043</v>
      </c>
      <c r="H295" t="s">
        <v>149</v>
      </c>
    </row>
    <row r="296" spans="1:8" hidden="1" x14ac:dyDescent="0.3">
      <c r="A296" s="28">
        <v>15524</v>
      </c>
      <c r="B296" s="31">
        <v>45271.763194444444</v>
      </c>
      <c r="C296" s="18">
        <v>45271</v>
      </c>
      <c r="D296" t="s">
        <v>101</v>
      </c>
      <c r="E296" s="32">
        <v>0</v>
      </c>
      <c r="F296" s="32">
        <v>4419620</v>
      </c>
      <c r="G296" s="32">
        <v>268874883</v>
      </c>
      <c r="H296" t="s">
        <v>150</v>
      </c>
    </row>
    <row r="297" spans="1:8" hidden="1" x14ac:dyDescent="0.3">
      <c r="A297" s="28">
        <v>15523</v>
      </c>
      <c r="B297" s="31">
        <v>45271.760416666664</v>
      </c>
      <c r="C297" s="18">
        <v>45271</v>
      </c>
      <c r="D297" t="s">
        <v>101</v>
      </c>
      <c r="E297" s="32">
        <v>0</v>
      </c>
      <c r="F297" s="32">
        <v>4823220</v>
      </c>
      <c r="G297" s="32">
        <v>273294503</v>
      </c>
      <c r="H297" t="s">
        <v>151</v>
      </c>
    </row>
    <row r="298" spans="1:8" hidden="1" x14ac:dyDescent="0.3">
      <c r="A298" s="28">
        <v>15507</v>
      </c>
      <c r="B298" s="31">
        <v>45268.438194444447</v>
      </c>
      <c r="C298" s="18">
        <v>45268</v>
      </c>
      <c r="D298" t="s">
        <v>101</v>
      </c>
      <c r="E298" s="32">
        <v>0</v>
      </c>
      <c r="F298" s="32">
        <v>4203550</v>
      </c>
      <c r="G298" s="32">
        <v>278117723</v>
      </c>
      <c r="H298" t="s">
        <v>109</v>
      </c>
    </row>
    <row r="299" spans="1:8" hidden="1" x14ac:dyDescent="0.3">
      <c r="A299" s="28">
        <v>15506</v>
      </c>
      <c r="B299" s="31">
        <v>45268.376388888886</v>
      </c>
      <c r="C299" s="18">
        <v>45268</v>
      </c>
      <c r="D299" t="s">
        <v>101</v>
      </c>
      <c r="E299" s="32">
        <v>0</v>
      </c>
      <c r="F299" s="32">
        <v>13177200</v>
      </c>
      <c r="G299" s="32">
        <v>282321273</v>
      </c>
      <c r="H299" t="s">
        <v>105</v>
      </c>
    </row>
    <row r="300" spans="1:8" hidden="1" x14ac:dyDescent="0.3">
      <c r="A300" s="28">
        <v>15503</v>
      </c>
      <c r="B300" s="31">
        <v>45266.679166666669</v>
      </c>
      <c r="C300" s="18">
        <v>45266</v>
      </c>
      <c r="D300" t="s">
        <v>100</v>
      </c>
      <c r="E300" s="32">
        <v>426800</v>
      </c>
      <c r="F300" s="32">
        <v>0</v>
      </c>
      <c r="G300" s="32">
        <v>295498473</v>
      </c>
      <c r="H300" t="s">
        <v>130</v>
      </c>
    </row>
    <row r="301" spans="1:8" hidden="1" x14ac:dyDescent="0.3">
      <c r="A301" s="28">
        <v>15502</v>
      </c>
      <c r="B301" s="31">
        <v>45266.678472222222</v>
      </c>
      <c r="C301" s="18">
        <v>45266</v>
      </c>
      <c r="D301" t="s">
        <v>100</v>
      </c>
      <c r="E301" s="32">
        <v>530200</v>
      </c>
      <c r="F301" s="32">
        <v>0</v>
      </c>
      <c r="G301" s="32">
        <v>295071673</v>
      </c>
      <c r="H301" t="s">
        <v>130</v>
      </c>
    </row>
    <row r="302" spans="1:8" hidden="1" x14ac:dyDescent="0.3">
      <c r="A302" s="28">
        <v>15501</v>
      </c>
      <c r="B302" s="31">
        <v>45266.677083333336</v>
      </c>
      <c r="C302" s="18">
        <v>45266</v>
      </c>
      <c r="D302" t="s">
        <v>100</v>
      </c>
      <c r="E302" s="32">
        <v>17858500</v>
      </c>
      <c r="F302" s="32">
        <v>0</v>
      </c>
      <c r="G302" s="32">
        <v>294541473</v>
      </c>
      <c r="H302" t="s">
        <v>130</v>
      </c>
    </row>
    <row r="303" spans="1:8" hidden="1" x14ac:dyDescent="0.3">
      <c r="A303" s="28">
        <v>15494</v>
      </c>
      <c r="B303" s="31">
        <v>45266.573611111111</v>
      </c>
      <c r="C303" s="18">
        <v>45266</v>
      </c>
      <c r="D303" t="s">
        <v>101</v>
      </c>
      <c r="E303" s="32">
        <v>0</v>
      </c>
      <c r="F303" s="32">
        <v>105210</v>
      </c>
      <c r="G303" s="32">
        <v>276682973</v>
      </c>
      <c r="H303" t="s">
        <v>108</v>
      </c>
    </row>
    <row r="304" spans="1:8" hidden="1" x14ac:dyDescent="0.3">
      <c r="A304" s="28">
        <v>15488</v>
      </c>
      <c r="B304" s="31">
        <v>45266.461111111108</v>
      </c>
      <c r="C304" s="18">
        <v>45266</v>
      </c>
      <c r="D304" t="s">
        <v>100</v>
      </c>
      <c r="E304" s="32">
        <v>630300</v>
      </c>
      <c r="F304" s="32">
        <v>0</v>
      </c>
      <c r="G304" s="32">
        <v>276788183</v>
      </c>
      <c r="H304" t="s">
        <v>107</v>
      </c>
    </row>
    <row r="305" spans="1:8" hidden="1" x14ac:dyDescent="0.3">
      <c r="A305" s="28">
        <v>15487</v>
      </c>
      <c r="B305" s="31">
        <v>45266.461111111108</v>
      </c>
      <c r="C305" s="18">
        <v>45266</v>
      </c>
      <c r="D305" t="s">
        <v>100</v>
      </c>
      <c r="E305" s="32">
        <v>671000</v>
      </c>
      <c r="F305" s="32">
        <v>0</v>
      </c>
      <c r="G305" s="32">
        <v>276157883</v>
      </c>
      <c r="H305" t="s">
        <v>107</v>
      </c>
    </row>
    <row r="306" spans="1:8" hidden="1" x14ac:dyDescent="0.3">
      <c r="A306" s="28">
        <v>15483</v>
      </c>
      <c r="B306" s="31">
        <v>45265.759027777778</v>
      </c>
      <c r="C306" s="18">
        <v>45265</v>
      </c>
      <c r="D306" t="s">
        <v>101</v>
      </c>
      <c r="E306" s="32">
        <v>0</v>
      </c>
      <c r="F306" s="32">
        <v>240000</v>
      </c>
      <c r="G306" s="32">
        <v>275486883</v>
      </c>
      <c r="H306" t="s">
        <v>106</v>
      </c>
    </row>
    <row r="307" spans="1:8" hidden="1" x14ac:dyDescent="0.3">
      <c r="A307" s="28">
        <v>15474</v>
      </c>
      <c r="B307" s="31">
        <v>45265.4</v>
      </c>
      <c r="C307" s="18">
        <v>45265</v>
      </c>
      <c r="D307" t="s">
        <v>101</v>
      </c>
      <c r="E307" s="32">
        <v>0</v>
      </c>
      <c r="F307" s="32">
        <v>13441500</v>
      </c>
      <c r="G307" s="32">
        <v>275726883</v>
      </c>
      <c r="H307" t="s">
        <v>105</v>
      </c>
    </row>
    <row r="308" spans="1:8" hidden="1" x14ac:dyDescent="0.3">
      <c r="A308" s="28">
        <v>15426</v>
      </c>
      <c r="B308" s="31">
        <v>45259.674305555556</v>
      </c>
      <c r="C308" s="18">
        <v>45259</v>
      </c>
      <c r="D308" t="s">
        <v>100</v>
      </c>
      <c r="E308" s="32">
        <v>201175700</v>
      </c>
      <c r="F308" s="32">
        <v>0</v>
      </c>
      <c r="G308" s="32">
        <v>289168383</v>
      </c>
      <c r="H308" t="s">
        <v>112</v>
      </c>
    </row>
    <row r="309" spans="1:8" hidden="1" x14ac:dyDescent="0.3">
      <c r="A309" s="28">
        <v>15421</v>
      </c>
      <c r="B309" s="31">
        <v>45259.418749999997</v>
      </c>
      <c r="C309" s="18">
        <v>45259</v>
      </c>
      <c r="D309" t="s">
        <v>101</v>
      </c>
      <c r="E309" s="32">
        <v>0</v>
      </c>
      <c r="F309" s="32">
        <v>12884900</v>
      </c>
      <c r="G309" s="32">
        <v>87992683</v>
      </c>
      <c r="H309" t="s">
        <v>105</v>
      </c>
    </row>
    <row r="310" spans="1:8" hidden="1" x14ac:dyDescent="0.3">
      <c r="A310" s="28">
        <v>15419</v>
      </c>
      <c r="B310" s="31">
        <v>45259.407638888886</v>
      </c>
      <c r="C310" s="18">
        <v>45259</v>
      </c>
      <c r="D310" t="s">
        <v>101</v>
      </c>
      <c r="E310" s="32">
        <v>0</v>
      </c>
      <c r="F310" s="32">
        <v>13474900</v>
      </c>
      <c r="G310" s="32">
        <v>100877583</v>
      </c>
      <c r="H310" t="s">
        <v>105</v>
      </c>
    </row>
    <row r="311" spans="1:8" hidden="1" x14ac:dyDescent="0.3">
      <c r="A311" s="28">
        <v>15418</v>
      </c>
      <c r="B311" s="31">
        <v>45259.378472222219</v>
      </c>
      <c r="C311" s="18">
        <v>45259</v>
      </c>
      <c r="D311" t="s">
        <v>100</v>
      </c>
      <c r="E311" s="32">
        <v>100645874</v>
      </c>
      <c r="F311" s="32">
        <v>0</v>
      </c>
      <c r="G311" s="32">
        <v>114352483</v>
      </c>
      <c r="H311" t="s">
        <v>147</v>
      </c>
    </row>
    <row r="312" spans="1:8" hidden="1" x14ac:dyDescent="0.3">
      <c r="A312" s="28">
        <v>15413</v>
      </c>
      <c r="B312" s="31">
        <v>45258.306250000001</v>
      </c>
      <c r="C312" s="18">
        <v>45258</v>
      </c>
      <c r="D312" t="s">
        <v>101</v>
      </c>
      <c r="E312" s="32">
        <v>0</v>
      </c>
      <c r="F312" s="32">
        <v>356712</v>
      </c>
      <c r="G312" s="32">
        <v>13706609</v>
      </c>
      <c r="H312" t="s">
        <v>152</v>
      </c>
    </row>
    <row r="313" spans="1:8" hidden="1" x14ac:dyDescent="0.3">
      <c r="A313" s="28">
        <v>15411</v>
      </c>
      <c r="B313" s="31">
        <v>45257.820138888892</v>
      </c>
      <c r="C313" s="18">
        <v>45257</v>
      </c>
      <c r="D313" t="s">
        <v>101</v>
      </c>
      <c r="E313" s="32">
        <v>0</v>
      </c>
      <c r="F313" s="32">
        <v>240000</v>
      </c>
      <c r="G313" s="32">
        <v>14063321</v>
      </c>
      <c r="H313" t="s">
        <v>106</v>
      </c>
    </row>
    <row r="314" spans="1:8" hidden="1" x14ac:dyDescent="0.3">
      <c r="A314" s="28">
        <v>15410</v>
      </c>
      <c r="B314" s="31">
        <v>45257.797222222223</v>
      </c>
      <c r="C314" s="18">
        <v>45257</v>
      </c>
      <c r="D314" t="s">
        <v>101</v>
      </c>
      <c r="E314" s="32">
        <v>0</v>
      </c>
      <c r="F314" s="32">
        <v>5980</v>
      </c>
      <c r="G314" s="32">
        <v>14303321</v>
      </c>
      <c r="H314" t="s">
        <v>153</v>
      </c>
    </row>
    <row r="315" spans="1:8" hidden="1" x14ac:dyDescent="0.3">
      <c r="A315" s="28">
        <v>15404</v>
      </c>
      <c r="B315" s="31">
        <v>45257.303472222222</v>
      </c>
      <c r="C315" s="18">
        <v>45257</v>
      </c>
      <c r="D315" t="s">
        <v>101</v>
      </c>
      <c r="E315" s="32">
        <v>0</v>
      </c>
      <c r="F315" s="32">
        <v>410980</v>
      </c>
      <c r="G315" s="32">
        <v>14309301</v>
      </c>
      <c r="H315" t="s">
        <v>116</v>
      </c>
    </row>
    <row r="316" spans="1:8" hidden="1" x14ac:dyDescent="0.3">
      <c r="A316" s="28">
        <v>15403</v>
      </c>
      <c r="B316" s="31">
        <v>45257.303472222222</v>
      </c>
      <c r="C316" s="18">
        <v>45257</v>
      </c>
      <c r="D316" t="s">
        <v>101</v>
      </c>
      <c r="E316" s="32">
        <v>0</v>
      </c>
      <c r="F316" s="32">
        <v>5016356</v>
      </c>
      <c r="G316" s="32">
        <v>14720281</v>
      </c>
      <c r="H316" t="s">
        <v>116</v>
      </c>
    </row>
    <row r="317" spans="1:8" hidden="1" x14ac:dyDescent="0.3">
      <c r="A317" s="28">
        <v>15379</v>
      </c>
      <c r="B317" s="31">
        <v>45253.333333333336</v>
      </c>
      <c r="C317" s="18">
        <v>45253</v>
      </c>
      <c r="D317" t="s">
        <v>101</v>
      </c>
      <c r="E317" s="32">
        <v>0</v>
      </c>
      <c r="F317" s="32">
        <v>51470850</v>
      </c>
      <c r="G317" s="32">
        <v>19736637</v>
      </c>
      <c r="H317" t="s">
        <v>117</v>
      </c>
    </row>
    <row r="318" spans="1:8" hidden="1" x14ac:dyDescent="0.3">
      <c r="A318" s="28">
        <v>15366</v>
      </c>
      <c r="B318" s="31">
        <v>45251.756944444445</v>
      </c>
      <c r="C318" s="18">
        <v>45251</v>
      </c>
      <c r="D318" t="s">
        <v>101</v>
      </c>
      <c r="E318" s="32">
        <v>0</v>
      </c>
      <c r="F318" s="32">
        <v>266980</v>
      </c>
      <c r="G318" s="32">
        <v>71207487</v>
      </c>
      <c r="H318" t="s">
        <v>154</v>
      </c>
    </row>
    <row r="319" spans="1:8" hidden="1" x14ac:dyDescent="0.3">
      <c r="A319" s="28">
        <v>15352</v>
      </c>
      <c r="B319" s="31">
        <v>45251.385416666664</v>
      </c>
      <c r="C319" s="18">
        <v>45251</v>
      </c>
      <c r="D319" t="s">
        <v>100</v>
      </c>
      <c r="E319" s="32">
        <v>44300000</v>
      </c>
      <c r="F319" s="32">
        <v>0</v>
      </c>
      <c r="G319" s="32">
        <v>71474467</v>
      </c>
      <c r="H319" t="s">
        <v>129</v>
      </c>
    </row>
    <row r="320" spans="1:8" hidden="1" x14ac:dyDescent="0.3">
      <c r="A320" s="28">
        <v>15349</v>
      </c>
      <c r="B320" s="31">
        <v>45251.385416666664</v>
      </c>
      <c r="C320" s="18">
        <v>45251</v>
      </c>
      <c r="D320" t="s">
        <v>100</v>
      </c>
      <c r="E320" s="32">
        <v>127419</v>
      </c>
      <c r="F320" s="32">
        <v>0</v>
      </c>
      <c r="G320" s="32">
        <v>27174467</v>
      </c>
      <c r="H320" t="s">
        <v>155</v>
      </c>
    </row>
    <row r="321" spans="1:8" hidden="1" x14ac:dyDescent="0.3">
      <c r="A321" s="28">
        <v>15338</v>
      </c>
      <c r="B321" s="31">
        <v>45250.481249999997</v>
      </c>
      <c r="C321" s="18">
        <v>45250</v>
      </c>
      <c r="D321" t="s">
        <v>101</v>
      </c>
      <c r="E321" s="32">
        <v>0</v>
      </c>
      <c r="F321" s="32">
        <v>19387350</v>
      </c>
      <c r="G321" s="32">
        <v>27047048</v>
      </c>
      <c r="H321" t="s">
        <v>105</v>
      </c>
    </row>
    <row r="322" spans="1:8" hidden="1" x14ac:dyDescent="0.3">
      <c r="A322" s="28">
        <v>15329</v>
      </c>
      <c r="B322" s="31">
        <v>45250.313194444447</v>
      </c>
      <c r="C322" s="18">
        <v>45250</v>
      </c>
      <c r="D322" t="s">
        <v>100</v>
      </c>
      <c r="E322" s="32">
        <v>14052</v>
      </c>
      <c r="F322" s="32">
        <v>0</v>
      </c>
      <c r="G322" s="32">
        <v>46434398</v>
      </c>
      <c r="H322" t="s">
        <v>146</v>
      </c>
    </row>
    <row r="323" spans="1:8" hidden="1" x14ac:dyDescent="0.3">
      <c r="A323" s="28">
        <v>15320</v>
      </c>
      <c r="B323" s="31">
        <v>45247.376388888886</v>
      </c>
      <c r="C323" s="18">
        <v>45247</v>
      </c>
      <c r="D323" t="s">
        <v>101</v>
      </c>
      <c r="E323" s="32">
        <v>0</v>
      </c>
      <c r="F323" s="32">
        <v>6479950</v>
      </c>
      <c r="G323" s="32">
        <v>46420346</v>
      </c>
      <c r="H323" t="s">
        <v>105</v>
      </c>
    </row>
    <row r="324" spans="1:8" hidden="1" x14ac:dyDescent="0.3">
      <c r="A324" s="28">
        <v>15308</v>
      </c>
      <c r="B324" s="31">
        <v>45245.773611111108</v>
      </c>
      <c r="C324" s="18">
        <v>45245</v>
      </c>
      <c r="D324" t="s">
        <v>101</v>
      </c>
      <c r="E324" s="32">
        <v>0</v>
      </c>
      <c r="F324" s="32">
        <v>1920000</v>
      </c>
      <c r="G324" s="32">
        <v>52900296</v>
      </c>
      <c r="H324" t="s">
        <v>106</v>
      </c>
    </row>
    <row r="325" spans="1:8" hidden="1" x14ac:dyDescent="0.3">
      <c r="A325" s="28">
        <v>15304</v>
      </c>
      <c r="B325" s="31">
        <v>45245.635416666664</v>
      </c>
      <c r="C325" s="18">
        <v>45245</v>
      </c>
      <c r="D325" t="s">
        <v>100</v>
      </c>
      <c r="E325" s="32">
        <v>3066800</v>
      </c>
      <c r="F325" s="32">
        <v>0</v>
      </c>
      <c r="G325" s="32">
        <v>54820296</v>
      </c>
      <c r="H325" t="s">
        <v>107</v>
      </c>
    </row>
    <row r="326" spans="1:8" hidden="1" x14ac:dyDescent="0.3">
      <c r="A326" s="28">
        <v>15289</v>
      </c>
      <c r="B326" s="31">
        <v>45244.386805555558</v>
      </c>
      <c r="C326" s="18">
        <v>45244</v>
      </c>
      <c r="D326" t="s">
        <v>101</v>
      </c>
      <c r="E326" s="32">
        <v>0</v>
      </c>
      <c r="F326" s="32">
        <v>26448400</v>
      </c>
      <c r="G326" s="32">
        <v>51753496</v>
      </c>
      <c r="H326" t="s">
        <v>105</v>
      </c>
    </row>
    <row r="327" spans="1:8" hidden="1" x14ac:dyDescent="0.3">
      <c r="A327" s="28">
        <v>15287</v>
      </c>
      <c r="B327" s="31">
        <v>45243.701388888891</v>
      </c>
      <c r="C327" s="18">
        <v>45243</v>
      </c>
      <c r="D327" t="s">
        <v>100</v>
      </c>
      <c r="E327" s="32">
        <v>1677500</v>
      </c>
      <c r="F327" s="32">
        <v>0</v>
      </c>
      <c r="G327" s="32">
        <v>78201896</v>
      </c>
      <c r="H327" t="s">
        <v>127</v>
      </c>
    </row>
    <row r="328" spans="1:8" hidden="1" x14ac:dyDescent="0.3">
      <c r="A328" s="28">
        <v>15286</v>
      </c>
      <c r="B328" s="31">
        <v>45243.701388888891</v>
      </c>
      <c r="C328" s="18">
        <v>45243</v>
      </c>
      <c r="D328" t="s">
        <v>100</v>
      </c>
      <c r="E328" s="32">
        <v>1441000</v>
      </c>
      <c r="F328" s="32">
        <v>0</v>
      </c>
      <c r="G328" s="32">
        <v>76524396</v>
      </c>
      <c r="H328" t="s">
        <v>127</v>
      </c>
    </row>
    <row r="329" spans="1:8" hidden="1" x14ac:dyDescent="0.3">
      <c r="A329" s="28">
        <v>15285</v>
      </c>
      <c r="B329" s="31">
        <v>45243.701388888891</v>
      </c>
      <c r="C329" s="18">
        <v>45243</v>
      </c>
      <c r="D329" t="s">
        <v>100</v>
      </c>
      <c r="E329" s="32">
        <v>3612400</v>
      </c>
      <c r="F329" s="32">
        <v>0</v>
      </c>
      <c r="G329" s="32">
        <v>75083396</v>
      </c>
      <c r="H329" t="s">
        <v>127</v>
      </c>
    </row>
    <row r="330" spans="1:8" hidden="1" x14ac:dyDescent="0.3">
      <c r="A330" s="28">
        <v>15284</v>
      </c>
      <c r="B330" s="31">
        <v>45243.701388888891</v>
      </c>
      <c r="C330" s="18">
        <v>45243</v>
      </c>
      <c r="D330" t="s">
        <v>100</v>
      </c>
      <c r="E330" s="32">
        <v>2621300</v>
      </c>
      <c r="F330" s="32">
        <v>0</v>
      </c>
      <c r="G330" s="32">
        <v>71470996</v>
      </c>
      <c r="H330" t="s">
        <v>127</v>
      </c>
    </row>
    <row r="331" spans="1:8" hidden="1" x14ac:dyDescent="0.3">
      <c r="A331" s="28">
        <v>15283</v>
      </c>
      <c r="B331" s="31">
        <v>45243.700694444444</v>
      </c>
      <c r="C331" s="18">
        <v>45243</v>
      </c>
      <c r="D331" t="s">
        <v>100</v>
      </c>
      <c r="E331" s="32">
        <v>12111000</v>
      </c>
      <c r="F331" s="32">
        <v>0</v>
      </c>
      <c r="G331" s="32">
        <v>68849696</v>
      </c>
      <c r="H331" t="s">
        <v>127</v>
      </c>
    </row>
    <row r="332" spans="1:8" hidden="1" x14ac:dyDescent="0.3">
      <c r="A332" s="28">
        <v>15266</v>
      </c>
      <c r="B332" s="31">
        <v>45240.76458333333</v>
      </c>
      <c r="C332" s="18">
        <v>45240</v>
      </c>
      <c r="D332" t="s">
        <v>101</v>
      </c>
      <c r="E332" s="32">
        <v>0</v>
      </c>
      <c r="F332" s="32">
        <v>635620</v>
      </c>
      <c r="G332" s="32">
        <v>56738696</v>
      </c>
      <c r="H332" t="s">
        <v>156</v>
      </c>
    </row>
    <row r="333" spans="1:8" hidden="1" x14ac:dyDescent="0.3">
      <c r="A333" s="28">
        <v>15265</v>
      </c>
      <c r="B333" s="31">
        <v>45240.763888888891</v>
      </c>
      <c r="C333" s="18">
        <v>45240</v>
      </c>
      <c r="D333" t="s">
        <v>101</v>
      </c>
      <c r="E333" s="32">
        <v>0</v>
      </c>
      <c r="F333" s="32">
        <v>297550</v>
      </c>
      <c r="G333" s="32">
        <v>57374316</v>
      </c>
      <c r="H333" t="s">
        <v>157</v>
      </c>
    </row>
    <row r="334" spans="1:8" hidden="1" x14ac:dyDescent="0.3">
      <c r="A334" s="28">
        <v>15264</v>
      </c>
      <c r="B334" s="31">
        <v>45240.759722222225</v>
      </c>
      <c r="C334" s="18">
        <v>45240</v>
      </c>
      <c r="D334" t="s">
        <v>101</v>
      </c>
      <c r="E334" s="32">
        <v>0</v>
      </c>
      <c r="F334" s="32">
        <v>3942600</v>
      </c>
      <c r="G334" s="32">
        <v>57671866</v>
      </c>
      <c r="H334" t="s">
        <v>158</v>
      </c>
    </row>
    <row r="335" spans="1:8" hidden="1" x14ac:dyDescent="0.3">
      <c r="A335" s="28">
        <v>15263</v>
      </c>
      <c r="B335" s="31">
        <v>45240.759027777778</v>
      </c>
      <c r="C335" s="18">
        <v>45240</v>
      </c>
      <c r="D335" t="s">
        <v>101</v>
      </c>
      <c r="E335" s="32">
        <v>0</v>
      </c>
      <c r="F335" s="32">
        <v>4330060</v>
      </c>
      <c r="G335" s="32">
        <v>61614466</v>
      </c>
      <c r="H335" t="s">
        <v>159</v>
      </c>
    </row>
    <row r="336" spans="1:8" hidden="1" x14ac:dyDescent="0.3">
      <c r="A336" s="28">
        <v>15255</v>
      </c>
      <c r="B336" s="31">
        <v>45240.440972222219</v>
      </c>
      <c r="C336" s="18">
        <v>45240</v>
      </c>
      <c r="D336" t="s">
        <v>101</v>
      </c>
      <c r="E336" s="32">
        <v>0</v>
      </c>
      <c r="F336" s="32">
        <v>4091400</v>
      </c>
      <c r="G336" s="32">
        <v>65944526</v>
      </c>
      <c r="H336" t="s">
        <v>109</v>
      </c>
    </row>
    <row r="337" spans="1:8" hidden="1" x14ac:dyDescent="0.3">
      <c r="A337" s="28">
        <v>15248</v>
      </c>
      <c r="B337" s="31">
        <v>45239.65347222222</v>
      </c>
      <c r="C337" s="18">
        <v>45239</v>
      </c>
      <c r="D337" t="s">
        <v>100</v>
      </c>
      <c r="E337" s="32">
        <v>17166600</v>
      </c>
      <c r="F337" s="32">
        <v>0</v>
      </c>
      <c r="G337" s="32">
        <v>70035926</v>
      </c>
      <c r="H337" t="s">
        <v>92</v>
      </c>
    </row>
    <row r="338" spans="1:8" hidden="1" x14ac:dyDescent="0.3">
      <c r="A338" s="28">
        <v>15242</v>
      </c>
      <c r="B338" s="31">
        <v>45238.684027777781</v>
      </c>
      <c r="C338" s="18">
        <v>45238</v>
      </c>
      <c r="D338" t="s">
        <v>100</v>
      </c>
      <c r="E338" s="32">
        <v>3438600</v>
      </c>
      <c r="F338" s="32">
        <v>0</v>
      </c>
      <c r="G338" s="32">
        <v>52869326</v>
      </c>
      <c r="H338" t="s">
        <v>130</v>
      </c>
    </row>
    <row r="339" spans="1:8" hidden="1" x14ac:dyDescent="0.3">
      <c r="A339" s="28">
        <v>15235</v>
      </c>
      <c r="B339" s="31">
        <v>45238.47152777778</v>
      </c>
      <c r="C339" s="18">
        <v>45238</v>
      </c>
      <c r="D339" t="s">
        <v>101</v>
      </c>
      <c r="E339" s="32">
        <v>0</v>
      </c>
      <c r="F339" s="32">
        <v>1599470</v>
      </c>
      <c r="G339" s="32">
        <v>49430726</v>
      </c>
      <c r="H339" t="s">
        <v>105</v>
      </c>
    </row>
    <row r="340" spans="1:8" hidden="1" x14ac:dyDescent="0.3">
      <c r="A340" s="28">
        <v>15234</v>
      </c>
      <c r="B340" s="31">
        <v>45238.47152777778</v>
      </c>
      <c r="C340" s="18">
        <v>45238</v>
      </c>
      <c r="D340" t="s">
        <v>101</v>
      </c>
      <c r="E340" s="32">
        <v>0</v>
      </c>
      <c r="F340" s="32">
        <v>1392010</v>
      </c>
      <c r="G340" s="32">
        <v>51030196</v>
      </c>
      <c r="H340" t="s">
        <v>105</v>
      </c>
    </row>
    <row r="341" spans="1:8" hidden="1" x14ac:dyDescent="0.3">
      <c r="A341" s="28">
        <v>15231</v>
      </c>
      <c r="B341" s="31">
        <v>45238.461111111108</v>
      </c>
      <c r="C341" s="18">
        <v>45238</v>
      </c>
      <c r="D341" t="s">
        <v>101</v>
      </c>
      <c r="E341" s="32">
        <v>0</v>
      </c>
      <c r="F341" s="32">
        <v>39186000</v>
      </c>
      <c r="G341" s="32">
        <v>52422206</v>
      </c>
      <c r="H341" t="s">
        <v>105</v>
      </c>
    </row>
    <row r="342" spans="1:8" hidden="1" x14ac:dyDescent="0.3">
      <c r="A342" s="28">
        <v>15216</v>
      </c>
      <c r="B342" s="31">
        <v>45236.763194444444</v>
      </c>
      <c r="C342" s="18">
        <v>45236</v>
      </c>
      <c r="D342" t="s">
        <v>101</v>
      </c>
      <c r="E342" s="32">
        <v>0</v>
      </c>
      <c r="F342" s="32">
        <v>240000</v>
      </c>
      <c r="G342" s="32">
        <v>91608206</v>
      </c>
      <c r="H342" t="s">
        <v>106</v>
      </c>
    </row>
    <row r="343" spans="1:8" hidden="1" x14ac:dyDescent="0.3">
      <c r="A343" s="28">
        <v>15207</v>
      </c>
      <c r="B343" s="31">
        <v>45236.415277777778</v>
      </c>
      <c r="C343" s="18">
        <v>45236</v>
      </c>
      <c r="D343" t="s">
        <v>101</v>
      </c>
      <c r="E343" s="32">
        <v>0</v>
      </c>
      <c r="F343" s="32">
        <v>105210</v>
      </c>
      <c r="G343" s="32">
        <v>91848206</v>
      </c>
      <c r="H343" t="s">
        <v>108</v>
      </c>
    </row>
    <row r="344" spans="1:8" hidden="1" x14ac:dyDescent="0.3">
      <c r="A344" s="28">
        <v>15205</v>
      </c>
      <c r="B344" s="31">
        <v>45236.38958333333</v>
      </c>
      <c r="C344" s="18">
        <v>45236</v>
      </c>
      <c r="D344" t="s">
        <v>101</v>
      </c>
      <c r="E344" s="32">
        <v>0</v>
      </c>
      <c r="F344" s="32">
        <v>5270880</v>
      </c>
      <c r="G344" s="32">
        <v>91953416</v>
      </c>
      <c r="H344" t="s">
        <v>105</v>
      </c>
    </row>
    <row r="345" spans="1:8" hidden="1" x14ac:dyDescent="0.3">
      <c r="A345" s="28">
        <v>15204</v>
      </c>
      <c r="B345" s="31">
        <v>45233.720138888886</v>
      </c>
      <c r="C345" s="18">
        <v>45233</v>
      </c>
      <c r="D345" t="s">
        <v>101</v>
      </c>
      <c r="E345" s="32">
        <v>0</v>
      </c>
      <c r="F345" s="32">
        <v>500000</v>
      </c>
      <c r="G345" s="32">
        <v>97224296</v>
      </c>
      <c r="H345" t="s">
        <v>160</v>
      </c>
    </row>
    <row r="346" spans="1:8" hidden="1" x14ac:dyDescent="0.3">
      <c r="A346" s="28">
        <v>15199</v>
      </c>
      <c r="B346" s="31">
        <v>45232.574999999997</v>
      </c>
      <c r="C346" s="18">
        <v>45232</v>
      </c>
      <c r="D346" t="s">
        <v>100</v>
      </c>
      <c r="E346" s="32">
        <v>228800</v>
      </c>
      <c r="F346" s="32">
        <v>0</v>
      </c>
      <c r="G346" s="32">
        <v>97724296</v>
      </c>
      <c r="H346" t="s">
        <v>107</v>
      </c>
    </row>
    <row r="347" spans="1:8" hidden="1" x14ac:dyDescent="0.3">
      <c r="A347" s="28">
        <v>15198</v>
      </c>
      <c r="B347" s="31">
        <v>45232.574999999997</v>
      </c>
      <c r="C347" s="18">
        <v>45232</v>
      </c>
      <c r="D347" t="s">
        <v>100</v>
      </c>
      <c r="E347" s="32">
        <v>138600</v>
      </c>
      <c r="F347" s="32">
        <v>0</v>
      </c>
      <c r="G347" s="32">
        <v>97495496</v>
      </c>
      <c r="H347" t="s">
        <v>107</v>
      </c>
    </row>
    <row r="348" spans="1:8" hidden="1" x14ac:dyDescent="0.3">
      <c r="A348" s="28">
        <v>15197</v>
      </c>
      <c r="B348" s="31">
        <v>45232.574999999997</v>
      </c>
      <c r="C348" s="18">
        <v>45232</v>
      </c>
      <c r="D348" t="s">
        <v>100</v>
      </c>
      <c r="E348" s="32">
        <v>543400</v>
      </c>
      <c r="F348" s="32">
        <v>0</v>
      </c>
      <c r="G348" s="32">
        <v>97356896</v>
      </c>
      <c r="H348" t="s">
        <v>107</v>
      </c>
    </row>
    <row r="349" spans="1:8" hidden="1" x14ac:dyDescent="0.3">
      <c r="A349" s="28">
        <v>15196</v>
      </c>
      <c r="B349" s="31">
        <v>45232.574999999997</v>
      </c>
      <c r="C349" s="18">
        <v>45232</v>
      </c>
      <c r="D349" t="s">
        <v>100</v>
      </c>
      <c r="E349" s="32">
        <v>1287000</v>
      </c>
      <c r="F349" s="32">
        <v>0</v>
      </c>
      <c r="G349" s="32">
        <v>96813496</v>
      </c>
      <c r="H349" t="s">
        <v>107</v>
      </c>
    </row>
    <row r="350" spans="1:8" hidden="1" x14ac:dyDescent="0.3">
      <c r="A350" s="28">
        <v>15167</v>
      </c>
      <c r="B350" s="31">
        <v>45230.44027777778</v>
      </c>
      <c r="C350" s="18">
        <v>45230</v>
      </c>
      <c r="D350" t="s">
        <v>101</v>
      </c>
      <c r="E350" s="32">
        <v>0</v>
      </c>
      <c r="F350" s="32">
        <v>26949800</v>
      </c>
      <c r="G350" s="32">
        <v>95526496</v>
      </c>
      <c r="H350" t="s">
        <v>105</v>
      </c>
    </row>
    <row r="351" spans="1:8" hidden="1" x14ac:dyDescent="0.3">
      <c r="A351" s="28">
        <v>15161</v>
      </c>
      <c r="B351" s="31">
        <v>45229.780555555553</v>
      </c>
      <c r="C351" s="18">
        <v>45229</v>
      </c>
      <c r="D351" t="s">
        <v>101</v>
      </c>
      <c r="E351" s="32">
        <v>0</v>
      </c>
      <c r="F351" s="32">
        <v>100000000</v>
      </c>
      <c r="G351" s="32">
        <v>122476296</v>
      </c>
      <c r="H351" t="s">
        <v>111</v>
      </c>
    </row>
    <row r="352" spans="1:8" hidden="1" x14ac:dyDescent="0.3">
      <c r="A352" s="28">
        <v>15156</v>
      </c>
      <c r="B352" s="31">
        <v>45229.663194444445</v>
      </c>
      <c r="C352" s="18">
        <v>45229</v>
      </c>
      <c r="D352" t="s">
        <v>100</v>
      </c>
      <c r="E352" s="32">
        <v>1852800</v>
      </c>
      <c r="F352" s="32">
        <v>0</v>
      </c>
      <c r="G352" s="32">
        <v>222476296</v>
      </c>
      <c r="H352" t="s">
        <v>127</v>
      </c>
    </row>
    <row r="353" spans="1:8" hidden="1" x14ac:dyDescent="0.3">
      <c r="A353" s="28">
        <v>15152</v>
      </c>
      <c r="B353" s="31">
        <v>45229.598611111112</v>
      </c>
      <c r="C353" s="18">
        <v>45229</v>
      </c>
      <c r="D353" t="s">
        <v>100</v>
      </c>
      <c r="E353" s="32">
        <v>185216300</v>
      </c>
      <c r="F353" s="32">
        <v>0</v>
      </c>
      <c r="G353" s="32">
        <v>220623496</v>
      </c>
      <c r="H353" t="s">
        <v>112</v>
      </c>
    </row>
    <row r="354" spans="1:8" hidden="1" x14ac:dyDescent="0.3">
      <c r="A354" s="28">
        <v>15144</v>
      </c>
      <c r="B354" s="31">
        <v>45229.460416666669</v>
      </c>
      <c r="C354" s="18">
        <v>45229</v>
      </c>
      <c r="D354" t="s">
        <v>100</v>
      </c>
      <c r="E354" s="32">
        <v>18528000</v>
      </c>
      <c r="F354" s="32">
        <v>0</v>
      </c>
      <c r="G354" s="32">
        <v>35407196</v>
      </c>
      <c r="H354" t="s">
        <v>161</v>
      </c>
    </row>
    <row r="355" spans="1:8" hidden="1" x14ac:dyDescent="0.3">
      <c r="A355" s="28">
        <v>15141</v>
      </c>
      <c r="B355" s="31">
        <v>45229.324305555558</v>
      </c>
      <c r="C355" s="18">
        <v>45229</v>
      </c>
      <c r="D355" t="s">
        <v>101</v>
      </c>
      <c r="E355" s="32">
        <v>0</v>
      </c>
      <c r="F355" s="32">
        <v>345205</v>
      </c>
      <c r="G355" s="32">
        <v>16879196</v>
      </c>
      <c r="H355" t="s">
        <v>162</v>
      </c>
    </row>
    <row r="356" spans="1:8" hidden="1" x14ac:dyDescent="0.3">
      <c r="A356" s="28">
        <v>15131</v>
      </c>
      <c r="B356" s="31">
        <v>45225.710416666669</v>
      </c>
      <c r="C356" s="18">
        <v>45225</v>
      </c>
      <c r="D356" t="s">
        <v>101</v>
      </c>
      <c r="E356" s="32">
        <v>0</v>
      </c>
      <c r="F356" s="32">
        <v>277880</v>
      </c>
      <c r="G356" s="32">
        <v>17224401</v>
      </c>
      <c r="H356" t="s">
        <v>116</v>
      </c>
    </row>
    <row r="357" spans="1:8" hidden="1" x14ac:dyDescent="0.3">
      <c r="A357" s="28">
        <v>15130</v>
      </c>
      <c r="B357" s="31">
        <v>45225.710416666669</v>
      </c>
      <c r="C357" s="18">
        <v>45225</v>
      </c>
      <c r="D357" t="s">
        <v>101</v>
      </c>
      <c r="E357" s="32">
        <v>0</v>
      </c>
      <c r="F357" s="32">
        <v>1113253</v>
      </c>
      <c r="G357" s="32">
        <v>17502281</v>
      </c>
      <c r="H357" t="s">
        <v>116</v>
      </c>
    </row>
    <row r="358" spans="1:8" hidden="1" x14ac:dyDescent="0.3">
      <c r="A358" s="28">
        <v>15127</v>
      </c>
      <c r="B358" s="31">
        <v>45225.452777777777</v>
      </c>
      <c r="C358" s="18">
        <v>45225</v>
      </c>
      <c r="D358" t="s">
        <v>101</v>
      </c>
      <c r="E358" s="32">
        <v>0</v>
      </c>
      <c r="F358" s="32">
        <v>1356960</v>
      </c>
      <c r="G358" s="32">
        <v>18615534</v>
      </c>
      <c r="H358" t="s">
        <v>105</v>
      </c>
    </row>
    <row r="359" spans="1:8" hidden="1" x14ac:dyDescent="0.3">
      <c r="A359" s="28">
        <v>15121</v>
      </c>
      <c r="B359" s="31">
        <v>45225.384722222225</v>
      </c>
      <c r="C359" s="18">
        <v>45225</v>
      </c>
      <c r="D359" t="s">
        <v>101</v>
      </c>
      <c r="E359" s="32">
        <v>0</v>
      </c>
      <c r="F359" s="32">
        <v>30000000</v>
      </c>
      <c r="G359" s="32">
        <v>19972494</v>
      </c>
      <c r="H359" t="s">
        <v>111</v>
      </c>
    </row>
    <row r="360" spans="1:8" hidden="1" x14ac:dyDescent="0.3">
      <c r="A360" s="28">
        <v>15120</v>
      </c>
      <c r="B360" s="31">
        <v>45225.381249999999</v>
      </c>
      <c r="C360" s="18">
        <v>45225</v>
      </c>
      <c r="D360" t="s">
        <v>100</v>
      </c>
      <c r="E360" s="32">
        <v>49972494</v>
      </c>
      <c r="F360" s="32">
        <v>0</v>
      </c>
      <c r="G360" s="32">
        <v>49972494</v>
      </c>
      <c r="H360" t="s">
        <v>163</v>
      </c>
    </row>
    <row r="361" spans="1:8" hidden="1" x14ac:dyDescent="0.3">
      <c r="A361" s="28">
        <v>15119</v>
      </c>
      <c r="B361" s="31">
        <v>45225.29583333333</v>
      </c>
      <c r="C361" s="18">
        <v>45225</v>
      </c>
      <c r="D361" t="s">
        <v>101</v>
      </c>
      <c r="E361" s="32">
        <v>0</v>
      </c>
      <c r="F361" s="32">
        <v>3304654</v>
      </c>
      <c r="G361" s="32">
        <v>0</v>
      </c>
      <c r="H361" t="s">
        <v>116</v>
      </c>
    </row>
    <row r="362" spans="1:8" hidden="1" x14ac:dyDescent="0.3">
      <c r="A362" s="28">
        <v>15117</v>
      </c>
      <c r="B362" s="31">
        <v>45224.777083333334</v>
      </c>
      <c r="C362" s="18">
        <v>45224</v>
      </c>
      <c r="D362" t="s">
        <v>101</v>
      </c>
      <c r="E362" s="32">
        <v>0</v>
      </c>
      <c r="F362" s="32">
        <v>6800</v>
      </c>
      <c r="G362" s="32">
        <v>3304654</v>
      </c>
      <c r="H362" t="s">
        <v>164</v>
      </c>
    </row>
    <row r="363" spans="1:8" hidden="1" x14ac:dyDescent="0.3">
      <c r="A363" s="28">
        <v>15116</v>
      </c>
      <c r="B363" s="31">
        <v>45224.774305555555</v>
      </c>
      <c r="C363" s="18">
        <v>45224</v>
      </c>
      <c r="D363" t="s">
        <v>101</v>
      </c>
      <c r="E363" s="32">
        <v>0</v>
      </c>
      <c r="F363" s="32">
        <v>240000</v>
      </c>
      <c r="G363" s="32">
        <v>3311454</v>
      </c>
      <c r="H363" t="s">
        <v>106</v>
      </c>
    </row>
    <row r="364" spans="1:8" hidden="1" x14ac:dyDescent="0.3">
      <c r="A364" s="28">
        <v>15102</v>
      </c>
      <c r="B364" s="31">
        <v>45223.393055555556</v>
      </c>
      <c r="C364" s="18">
        <v>45223</v>
      </c>
      <c r="D364" t="s">
        <v>101</v>
      </c>
      <c r="E364" s="32">
        <v>0</v>
      </c>
      <c r="F364" s="32">
        <v>9420880</v>
      </c>
      <c r="G364" s="32">
        <v>3551454</v>
      </c>
      <c r="H364" t="s">
        <v>105</v>
      </c>
    </row>
    <row r="365" spans="1:8" hidden="1" x14ac:dyDescent="0.3">
      <c r="A365" s="28">
        <v>15101</v>
      </c>
      <c r="B365" s="31">
        <v>45223.383333333331</v>
      </c>
      <c r="C365" s="18">
        <v>45223</v>
      </c>
      <c r="D365" t="s">
        <v>101</v>
      </c>
      <c r="E365" s="32">
        <v>0</v>
      </c>
      <c r="F365" s="32">
        <v>13467500</v>
      </c>
      <c r="G365" s="32">
        <v>12972334</v>
      </c>
      <c r="H365" t="s">
        <v>105</v>
      </c>
    </row>
    <row r="366" spans="1:8" hidden="1" x14ac:dyDescent="0.3">
      <c r="A366" s="28">
        <v>15100</v>
      </c>
      <c r="B366" s="31">
        <v>45223.334027777775</v>
      </c>
      <c r="C366" s="18">
        <v>45223</v>
      </c>
      <c r="D366" t="s">
        <v>101</v>
      </c>
      <c r="E366" s="32">
        <v>0</v>
      </c>
      <c r="F366" s="32">
        <v>50220690</v>
      </c>
      <c r="G366" s="32">
        <v>26439834</v>
      </c>
      <c r="H366" t="s">
        <v>117</v>
      </c>
    </row>
    <row r="367" spans="1:8" hidden="1" x14ac:dyDescent="0.3">
      <c r="A367" s="28">
        <v>15099</v>
      </c>
      <c r="B367" s="31">
        <v>45222.768055555556</v>
      </c>
      <c r="C367" s="18">
        <v>45222</v>
      </c>
      <c r="D367" t="s">
        <v>101</v>
      </c>
      <c r="E367" s="32">
        <v>0</v>
      </c>
      <c r="F367" s="32">
        <v>262100</v>
      </c>
      <c r="G367" s="32">
        <v>76660524</v>
      </c>
      <c r="H367" t="s">
        <v>165</v>
      </c>
    </row>
    <row r="368" spans="1:8" hidden="1" x14ac:dyDescent="0.3">
      <c r="A368" s="28">
        <v>15098</v>
      </c>
      <c r="B368" s="31">
        <v>45222.765277777777</v>
      </c>
      <c r="C368" s="18">
        <v>45222</v>
      </c>
      <c r="D368" t="s">
        <v>101</v>
      </c>
      <c r="E368" s="32">
        <v>0</v>
      </c>
      <c r="F368" s="32">
        <v>12100</v>
      </c>
      <c r="G368" s="32">
        <v>76922624</v>
      </c>
      <c r="H368" t="s">
        <v>166</v>
      </c>
    </row>
    <row r="369" spans="1:8" hidden="1" x14ac:dyDescent="0.3">
      <c r="A369" s="28">
        <v>15094</v>
      </c>
      <c r="B369" s="31">
        <v>45222.496527777781</v>
      </c>
      <c r="C369" s="18">
        <v>45222</v>
      </c>
      <c r="D369" t="s">
        <v>101</v>
      </c>
      <c r="E369" s="32">
        <v>0</v>
      </c>
      <c r="F369" s="32">
        <v>50000000</v>
      </c>
      <c r="G369" s="32">
        <v>76934724</v>
      </c>
      <c r="H369" t="s">
        <v>111</v>
      </c>
    </row>
    <row r="370" spans="1:8" hidden="1" x14ac:dyDescent="0.3">
      <c r="A370" s="28">
        <v>15069</v>
      </c>
      <c r="B370" s="31">
        <v>45218.504861111112</v>
      </c>
      <c r="C370" s="18">
        <v>45218</v>
      </c>
      <c r="D370" t="s">
        <v>101</v>
      </c>
      <c r="E370" s="32">
        <v>0</v>
      </c>
      <c r="F370" s="32">
        <v>485213</v>
      </c>
      <c r="G370" s="32">
        <v>126934724</v>
      </c>
      <c r="H370" t="s">
        <v>167</v>
      </c>
    </row>
    <row r="371" spans="1:8" hidden="1" x14ac:dyDescent="0.3">
      <c r="A371" s="28">
        <v>15061</v>
      </c>
      <c r="B371" s="31">
        <v>45217.631249999999</v>
      </c>
      <c r="C371" s="18">
        <v>45217</v>
      </c>
      <c r="D371" t="s">
        <v>101</v>
      </c>
      <c r="E371" s="32">
        <v>0</v>
      </c>
      <c r="F371" s="32">
        <v>13502500</v>
      </c>
      <c r="G371" s="32">
        <v>127419937</v>
      </c>
      <c r="H371" t="s">
        <v>105</v>
      </c>
    </row>
    <row r="372" spans="1:8" hidden="1" x14ac:dyDescent="0.3">
      <c r="A372" s="28">
        <v>15059</v>
      </c>
      <c r="B372" s="31">
        <v>45217.490972222222</v>
      </c>
      <c r="C372" s="18">
        <v>45217</v>
      </c>
      <c r="D372" t="s">
        <v>101</v>
      </c>
      <c r="E372" s="32">
        <v>0</v>
      </c>
      <c r="F372" s="32">
        <v>13514500</v>
      </c>
      <c r="G372" s="32">
        <v>140922437</v>
      </c>
      <c r="H372" t="s">
        <v>105</v>
      </c>
    </row>
    <row r="373" spans="1:8" hidden="1" x14ac:dyDescent="0.3">
      <c r="A373" s="28">
        <v>15052</v>
      </c>
      <c r="B373" s="31">
        <v>45216.381249999999</v>
      </c>
      <c r="C373" s="18">
        <v>45216</v>
      </c>
      <c r="D373" t="s">
        <v>101</v>
      </c>
      <c r="E373" s="32">
        <v>0</v>
      </c>
      <c r="F373" s="32">
        <v>40441200</v>
      </c>
      <c r="G373" s="32">
        <v>154436937</v>
      </c>
      <c r="H373" t="s">
        <v>105</v>
      </c>
    </row>
    <row r="374" spans="1:8" hidden="1" x14ac:dyDescent="0.3">
      <c r="A374" s="28">
        <v>15043</v>
      </c>
      <c r="B374" s="31">
        <v>45215.775694444441</v>
      </c>
      <c r="C374" s="18">
        <v>45215</v>
      </c>
      <c r="D374" t="s">
        <v>101</v>
      </c>
      <c r="E374" s="32">
        <v>0</v>
      </c>
      <c r="F374" s="32">
        <v>1920000</v>
      </c>
      <c r="G374" s="32">
        <v>194878137</v>
      </c>
      <c r="H374" t="s">
        <v>106</v>
      </c>
    </row>
    <row r="375" spans="1:8" hidden="1" x14ac:dyDescent="0.3">
      <c r="A375" s="28">
        <v>15040</v>
      </c>
      <c r="B375" s="31">
        <v>45215.629166666666</v>
      </c>
      <c r="C375" s="18">
        <v>45215</v>
      </c>
      <c r="D375" t="s">
        <v>100</v>
      </c>
      <c r="E375" s="32">
        <v>4035900</v>
      </c>
      <c r="F375" s="32">
        <v>0</v>
      </c>
      <c r="G375" s="32">
        <v>196798137</v>
      </c>
      <c r="H375" t="s">
        <v>107</v>
      </c>
    </row>
    <row r="376" spans="1:8" hidden="1" x14ac:dyDescent="0.3">
      <c r="A376" s="28">
        <v>15028</v>
      </c>
      <c r="B376" s="31">
        <v>45215.318055555559</v>
      </c>
      <c r="C376" s="18">
        <v>45215</v>
      </c>
      <c r="D376" t="s">
        <v>100</v>
      </c>
      <c r="E376" s="32">
        <v>15165</v>
      </c>
      <c r="F376" s="32">
        <v>0</v>
      </c>
      <c r="G376" s="32">
        <v>192762237</v>
      </c>
      <c r="H376" t="s">
        <v>146</v>
      </c>
    </row>
    <row r="377" spans="1:8" hidden="1" x14ac:dyDescent="0.3">
      <c r="A377" s="28">
        <v>15021</v>
      </c>
      <c r="B377" s="31">
        <v>45212.658333333333</v>
      </c>
      <c r="C377" s="18">
        <v>45212</v>
      </c>
      <c r="D377" t="s">
        <v>100</v>
      </c>
      <c r="E377" s="32">
        <v>738100</v>
      </c>
      <c r="F377" s="32">
        <v>0</v>
      </c>
      <c r="G377" s="32">
        <v>192747072</v>
      </c>
      <c r="H377" t="s">
        <v>127</v>
      </c>
    </row>
    <row r="378" spans="1:8" hidden="1" x14ac:dyDescent="0.3">
      <c r="A378" s="28">
        <v>15020</v>
      </c>
      <c r="B378" s="31">
        <v>45212.658333333333</v>
      </c>
      <c r="C378" s="18">
        <v>45212</v>
      </c>
      <c r="D378" t="s">
        <v>100</v>
      </c>
      <c r="E378" s="32">
        <v>9654700</v>
      </c>
      <c r="F378" s="32">
        <v>0</v>
      </c>
      <c r="G378" s="32">
        <v>192008972</v>
      </c>
      <c r="H378" t="s">
        <v>127</v>
      </c>
    </row>
    <row r="379" spans="1:8" hidden="1" x14ac:dyDescent="0.3">
      <c r="A379" s="28">
        <v>15019</v>
      </c>
      <c r="B379" s="31">
        <v>45212.658333333333</v>
      </c>
      <c r="C379" s="18">
        <v>45212</v>
      </c>
      <c r="D379" t="s">
        <v>100</v>
      </c>
      <c r="E379" s="32">
        <v>843700</v>
      </c>
      <c r="F379" s="32">
        <v>0</v>
      </c>
      <c r="G379" s="32">
        <v>182354272</v>
      </c>
      <c r="H379" t="s">
        <v>127</v>
      </c>
    </row>
    <row r="380" spans="1:8" hidden="1" x14ac:dyDescent="0.3">
      <c r="A380" s="28">
        <v>15018</v>
      </c>
      <c r="B380" s="31">
        <v>45212.658333333333</v>
      </c>
      <c r="C380" s="18">
        <v>45212</v>
      </c>
      <c r="D380" t="s">
        <v>100</v>
      </c>
      <c r="E380" s="32">
        <v>10133200</v>
      </c>
      <c r="F380" s="32">
        <v>0</v>
      </c>
      <c r="G380" s="32">
        <v>181510572</v>
      </c>
      <c r="H380" t="s">
        <v>127</v>
      </c>
    </row>
    <row r="381" spans="1:8" hidden="1" x14ac:dyDescent="0.3">
      <c r="A381" s="28">
        <v>15017</v>
      </c>
      <c r="B381" s="31">
        <v>45212.658333333333</v>
      </c>
      <c r="C381" s="18">
        <v>45212</v>
      </c>
      <c r="D381" t="s">
        <v>100</v>
      </c>
      <c r="E381" s="32">
        <v>8499700</v>
      </c>
      <c r="F381" s="32">
        <v>0</v>
      </c>
      <c r="G381" s="32">
        <v>171377372</v>
      </c>
      <c r="H381" t="s">
        <v>127</v>
      </c>
    </row>
    <row r="382" spans="1:8" hidden="1" x14ac:dyDescent="0.3">
      <c r="A382" s="28">
        <v>15016</v>
      </c>
      <c r="B382" s="31">
        <v>45212.658333333333</v>
      </c>
      <c r="C382" s="18">
        <v>45212</v>
      </c>
      <c r="D382" t="s">
        <v>100</v>
      </c>
      <c r="E382" s="32">
        <v>1426700</v>
      </c>
      <c r="F382" s="32">
        <v>0</v>
      </c>
      <c r="G382" s="32">
        <v>162877672</v>
      </c>
      <c r="H382" t="s">
        <v>127</v>
      </c>
    </row>
    <row r="383" spans="1:8" hidden="1" x14ac:dyDescent="0.3">
      <c r="A383" s="28">
        <v>15012</v>
      </c>
      <c r="B383" s="31">
        <v>45212.390277777777</v>
      </c>
      <c r="C383" s="18">
        <v>45212</v>
      </c>
      <c r="D383" t="s">
        <v>101</v>
      </c>
      <c r="E383" s="32">
        <v>0</v>
      </c>
      <c r="F383" s="32">
        <v>1351050</v>
      </c>
      <c r="G383" s="32">
        <v>161450972</v>
      </c>
      <c r="H383" t="s">
        <v>105</v>
      </c>
    </row>
    <row r="384" spans="1:8" hidden="1" x14ac:dyDescent="0.3">
      <c r="A384" s="28">
        <v>15001</v>
      </c>
      <c r="B384" s="31">
        <v>45210.611805555556</v>
      </c>
      <c r="C384" s="18">
        <v>45210</v>
      </c>
      <c r="D384" t="s">
        <v>100</v>
      </c>
      <c r="E384" s="32">
        <v>1757800</v>
      </c>
      <c r="F384" s="32">
        <v>0</v>
      </c>
      <c r="G384" s="32">
        <v>162802022</v>
      </c>
      <c r="H384" t="s">
        <v>130</v>
      </c>
    </row>
    <row r="385" spans="1:8" hidden="1" x14ac:dyDescent="0.3">
      <c r="A385" s="28">
        <v>15000</v>
      </c>
      <c r="B385" s="31">
        <v>45210.611111111109</v>
      </c>
      <c r="C385" s="18">
        <v>45210</v>
      </c>
      <c r="D385" t="s">
        <v>100</v>
      </c>
      <c r="E385" s="32">
        <v>4138200</v>
      </c>
      <c r="F385" s="32">
        <v>0</v>
      </c>
      <c r="G385" s="32">
        <v>161044222</v>
      </c>
      <c r="H385" t="s">
        <v>130</v>
      </c>
    </row>
    <row r="386" spans="1:8" hidden="1" x14ac:dyDescent="0.3">
      <c r="A386" s="28">
        <v>14991</v>
      </c>
      <c r="B386" s="31">
        <v>45209.769444444442</v>
      </c>
      <c r="C386" s="18">
        <v>45209</v>
      </c>
      <c r="D386" t="s">
        <v>101</v>
      </c>
      <c r="E386" s="32">
        <v>0</v>
      </c>
      <c r="F386" s="32">
        <v>790380</v>
      </c>
      <c r="G386" s="32">
        <v>156906022</v>
      </c>
      <c r="H386" t="s">
        <v>168</v>
      </c>
    </row>
    <row r="387" spans="1:8" hidden="1" x14ac:dyDescent="0.3">
      <c r="A387" s="28">
        <v>14990</v>
      </c>
      <c r="B387" s="31">
        <v>45209.768055555556</v>
      </c>
      <c r="C387" s="18">
        <v>45209</v>
      </c>
      <c r="D387" t="s">
        <v>101</v>
      </c>
      <c r="E387" s="32">
        <v>0</v>
      </c>
      <c r="F387" s="32">
        <v>370010</v>
      </c>
      <c r="G387" s="32">
        <v>157696402</v>
      </c>
      <c r="H387" t="s">
        <v>169</v>
      </c>
    </row>
    <row r="388" spans="1:8" hidden="1" x14ac:dyDescent="0.3">
      <c r="A388" s="28">
        <v>14989</v>
      </c>
      <c r="B388" s="31">
        <v>45209.763888888891</v>
      </c>
      <c r="C388" s="18">
        <v>45209</v>
      </c>
      <c r="D388" t="s">
        <v>101</v>
      </c>
      <c r="E388" s="32">
        <v>0</v>
      </c>
      <c r="F388" s="32">
        <v>4483220</v>
      </c>
      <c r="G388" s="32">
        <v>158066412</v>
      </c>
      <c r="H388" t="s">
        <v>170</v>
      </c>
    </row>
    <row r="389" spans="1:8" hidden="1" x14ac:dyDescent="0.3">
      <c r="A389" s="28">
        <v>14988</v>
      </c>
      <c r="B389" s="31">
        <v>45209.757638888892</v>
      </c>
      <c r="C389" s="18">
        <v>45209</v>
      </c>
      <c r="D389" t="s">
        <v>101</v>
      </c>
      <c r="E389" s="32">
        <v>0</v>
      </c>
      <c r="F389" s="32">
        <v>4983180</v>
      </c>
      <c r="G389" s="32">
        <v>162549632</v>
      </c>
      <c r="H389" t="s">
        <v>171</v>
      </c>
    </row>
    <row r="390" spans="1:8" hidden="1" x14ac:dyDescent="0.3">
      <c r="A390" s="28">
        <v>14978</v>
      </c>
      <c r="B390" s="31">
        <v>45209.442361111112</v>
      </c>
      <c r="C390" s="18">
        <v>45209</v>
      </c>
      <c r="D390" t="s">
        <v>101</v>
      </c>
      <c r="E390" s="32">
        <v>0</v>
      </c>
      <c r="F390" s="32">
        <v>26933000</v>
      </c>
      <c r="G390" s="32">
        <v>167532812</v>
      </c>
      <c r="H390" t="s">
        <v>105</v>
      </c>
    </row>
    <row r="391" spans="1:8" hidden="1" x14ac:dyDescent="0.3">
      <c r="A391" s="28">
        <v>14977</v>
      </c>
      <c r="B391" s="31">
        <v>45209.438888888886</v>
      </c>
      <c r="C391" s="18">
        <v>45209</v>
      </c>
      <c r="D391" t="s">
        <v>101</v>
      </c>
      <c r="E391" s="32">
        <v>0</v>
      </c>
      <c r="F391" s="32">
        <v>4091400</v>
      </c>
      <c r="G391" s="32">
        <v>194465812</v>
      </c>
      <c r="H391" t="s">
        <v>109</v>
      </c>
    </row>
    <row r="392" spans="1:8" hidden="1" x14ac:dyDescent="0.3">
      <c r="A392" s="28">
        <v>14976</v>
      </c>
      <c r="B392" s="31">
        <v>45205.750694444447</v>
      </c>
      <c r="C392" s="18">
        <v>45205</v>
      </c>
      <c r="D392" t="s">
        <v>100</v>
      </c>
      <c r="E392" s="32">
        <v>99000</v>
      </c>
      <c r="F392" s="32">
        <v>0</v>
      </c>
      <c r="G392" s="32">
        <v>198557212</v>
      </c>
      <c r="H392" t="s">
        <v>107</v>
      </c>
    </row>
    <row r="393" spans="1:8" hidden="1" x14ac:dyDescent="0.3">
      <c r="A393" s="28">
        <v>14975</v>
      </c>
      <c r="B393" s="31">
        <v>45205.750694444447</v>
      </c>
      <c r="C393" s="18">
        <v>45205</v>
      </c>
      <c r="D393" t="s">
        <v>100</v>
      </c>
      <c r="E393" s="32">
        <v>1409100</v>
      </c>
      <c r="F393" s="32">
        <v>0</v>
      </c>
      <c r="G393" s="32">
        <v>198458212</v>
      </c>
      <c r="H393" t="s">
        <v>107</v>
      </c>
    </row>
    <row r="394" spans="1:8" hidden="1" x14ac:dyDescent="0.3">
      <c r="A394" s="28">
        <v>14971</v>
      </c>
      <c r="B394" s="31">
        <v>45204.769444444442</v>
      </c>
      <c r="C394" s="18">
        <v>45204</v>
      </c>
      <c r="D394" t="s">
        <v>101</v>
      </c>
      <c r="E394" s="32">
        <v>0</v>
      </c>
      <c r="F394" s="32">
        <v>240000</v>
      </c>
      <c r="G394" s="32">
        <v>197049112</v>
      </c>
      <c r="H394" t="s">
        <v>106</v>
      </c>
    </row>
    <row r="395" spans="1:8" hidden="1" x14ac:dyDescent="0.3">
      <c r="A395" s="28">
        <v>14969</v>
      </c>
      <c r="B395" s="31">
        <v>45204.645138888889</v>
      </c>
      <c r="C395" s="18">
        <v>45204</v>
      </c>
      <c r="D395" t="s">
        <v>101</v>
      </c>
      <c r="E395" s="32">
        <v>0</v>
      </c>
      <c r="F395" s="32">
        <v>2703500</v>
      </c>
      <c r="G395" s="32">
        <v>197289112</v>
      </c>
      <c r="H395" t="s">
        <v>105</v>
      </c>
    </row>
    <row r="396" spans="1:8" hidden="1" x14ac:dyDescent="0.3">
      <c r="A396" s="28">
        <v>14960</v>
      </c>
      <c r="B396" s="31">
        <v>45203.667361111111</v>
      </c>
      <c r="C396" s="18">
        <v>45203</v>
      </c>
      <c r="D396" t="s">
        <v>100</v>
      </c>
      <c r="E396" s="32">
        <v>187466400</v>
      </c>
      <c r="F396" s="32">
        <v>0</v>
      </c>
      <c r="G396" s="32">
        <v>199992612</v>
      </c>
      <c r="H396" t="s">
        <v>112</v>
      </c>
    </row>
    <row r="397" spans="1:8" hidden="1" x14ac:dyDescent="0.3">
      <c r="A397" s="28">
        <v>14948</v>
      </c>
      <c r="B397" s="31">
        <v>45203.375694444447</v>
      </c>
      <c r="C397" s="18">
        <v>45203</v>
      </c>
      <c r="D397" t="s">
        <v>101</v>
      </c>
      <c r="E397" s="32">
        <v>0</v>
      </c>
      <c r="F397" s="32">
        <v>105210</v>
      </c>
      <c r="G397" s="32">
        <v>12526212</v>
      </c>
      <c r="H397" t="s">
        <v>108</v>
      </c>
    </row>
    <row r="398" spans="1:8" hidden="1" x14ac:dyDescent="0.3">
      <c r="A398" s="28">
        <v>14947</v>
      </c>
      <c r="B398" s="31">
        <v>45203.375</v>
      </c>
      <c r="C398" s="18">
        <v>45203</v>
      </c>
      <c r="D398" t="s">
        <v>101</v>
      </c>
      <c r="E398" s="32">
        <v>0</v>
      </c>
      <c r="F398" s="32">
        <v>34049000</v>
      </c>
      <c r="G398" s="32">
        <v>12631422</v>
      </c>
      <c r="H398" t="s">
        <v>105</v>
      </c>
    </row>
    <row r="399" spans="1:8" hidden="1" x14ac:dyDescent="0.3">
      <c r="A399" s="28">
        <v>14946</v>
      </c>
      <c r="B399" s="31">
        <v>45203.348611111112</v>
      </c>
      <c r="C399" s="18">
        <v>45203</v>
      </c>
      <c r="D399" t="s">
        <v>101</v>
      </c>
      <c r="E399" s="32">
        <v>0</v>
      </c>
      <c r="F399" s="32">
        <v>356712</v>
      </c>
      <c r="G399" s="32">
        <v>46680422</v>
      </c>
      <c r="H399" t="s">
        <v>172</v>
      </c>
    </row>
    <row r="400" spans="1:8" hidden="1" x14ac:dyDescent="0.3">
      <c r="A400" s="28">
        <v>14941</v>
      </c>
      <c r="B400" s="31">
        <v>45196.677777777775</v>
      </c>
      <c r="C400" s="18">
        <v>45196</v>
      </c>
      <c r="D400" t="s">
        <v>100</v>
      </c>
      <c r="E400" s="32">
        <v>12463000</v>
      </c>
      <c r="F400" s="32">
        <v>0</v>
      </c>
      <c r="G400" s="32">
        <v>47037134</v>
      </c>
      <c r="H400" t="s">
        <v>161</v>
      </c>
    </row>
    <row r="401" spans="1:8" hidden="1" x14ac:dyDescent="0.3">
      <c r="A401" s="28">
        <v>14940</v>
      </c>
      <c r="B401" s="31">
        <v>45196.676388888889</v>
      </c>
      <c r="C401" s="18">
        <v>45196</v>
      </c>
      <c r="D401" t="s">
        <v>100</v>
      </c>
      <c r="E401" s="32">
        <v>1246300</v>
      </c>
      <c r="F401" s="32">
        <v>0</v>
      </c>
      <c r="G401" s="32">
        <v>34574134</v>
      </c>
      <c r="H401" t="s">
        <v>127</v>
      </c>
    </row>
    <row r="402" spans="1:8" hidden="1" x14ac:dyDescent="0.3">
      <c r="A402" s="28">
        <v>14938</v>
      </c>
      <c r="B402" s="31">
        <v>45196.624305555553</v>
      </c>
      <c r="C402" s="18">
        <v>45196</v>
      </c>
      <c r="D402" t="s">
        <v>100</v>
      </c>
      <c r="E402" s="32">
        <v>1632400</v>
      </c>
      <c r="F402" s="32">
        <v>0</v>
      </c>
      <c r="G402" s="32">
        <v>33327834</v>
      </c>
      <c r="H402" t="s">
        <v>130</v>
      </c>
    </row>
    <row r="403" spans="1:8" hidden="1" x14ac:dyDescent="0.3">
      <c r="A403" s="28">
        <v>14910</v>
      </c>
      <c r="B403" s="31">
        <v>45196.379166666666</v>
      </c>
      <c r="C403" s="18">
        <v>45196</v>
      </c>
      <c r="D403" t="s">
        <v>101</v>
      </c>
      <c r="E403" s="32">
        <v>0</v>
      </c>
      <c r="F403" s="32">
        <v>14903350</v>
      </c>
      <c r="G403" s="32">
        <v>31695434</v>
      </c>
      <c r="H403" t="s">
        <v>105</v>
      </c>
    </row>
    <row r="404" spans="1:8" hidden="1" x14ac:dyDescent="0.3">
      <c r="A404" s="28">
        <v>14897</v>
      </c>
      <c r="B404" s="31">
        <v>45195.433333333334</v>
      </c>
      <c r="C404" s="18">
        <v>45195</v>
      </c>
      <c r="D404" t="s">
        <v>101</v>
      </c>
      <c r="E404" s="32">
        <v>0</v>
      </c>
      <c r="F404" s="32">
        <v>500000</v>
      </c>
      <c r="G404" s="32">
        <v>46598784</v>
      </c>
      <c r="H404" t="s">
        <v>173</v>
      </c>
    </row>
    <row r="405" spans="1:8" hidden="1" x14ac:dyDescent="0.3">
      <c r="A405" s="28">
        <v>14896</v>
      </c>
      <c r="B405" s="31">
        <v>45195.431944444441</v>
      </c>
      <c r="C405" s="18">
        <v>45195</v>
      </c>
      <c r="D405" t="s">
        <v>101</v>
      </c>
      <c r="E405" s="32">
        <v>0</v>
      </c>
      <c r="F405" s="32">
        <v>500000</v>
      </c>
      <c r="G405" s="32">
        <v>47098784</v>
      </c>
      <c r="H405" t="s">
        <v>173</v>
      </c>
    </row>
    <row r="406" spans="1:8" hidden="1" x14ac:dyDescent="0.3">
      <c r="A406" s="28">
        <v>14895</v>
      </c>
      <c r="B406" s="31">
        <v>45195.429861111108</v>
      </c>
      <c r="C406" s="18">
        <v>45195</v>
      </c>
      <c r="D406" t="s">
        <v>101</v>
      </c>
      <c r="E406" s="32">
        <v>0</v>
      </c>
      <c r="F406" s="32">
        <v>1000000</v>
      </c>
      <c r="G406" s="32">
        <v>47598784</v>
      </c>
      <c r="H406" t="s">
        <v>173</v>
      </c>
    </row>
    <row r="407" spans="1:8" hidden="1" x14ac:dyDescent="0.3">
      <c r="A407" s="28">
        <v>14891</v>
      </c>
      <c r="B407" s="31">
        <v>45195.384722222225</v>
      </c>
      <c r="C407" s="18">
        <v>45195</v>
      </c>
      <c r="D407" t="s">
        <v>101</v>
      </c>
      <c r="E407" s="32">
        <v>0</v>
      </c>
      <c r="F407" s="32">
        <v>39837300</v>
      </c>
      <c r="G407" s="32">
        <v>48598784</v>
      </c>
      <c r="H407" t="s">
        <v>105</v>
      </c>
    </row>
    <row r="408" spans="1:8" hidden="1" x14ac:dyDescent="0.3">
      <c r="A408" s="28">
        <v>14882</v>
      </c>
      <c r="B408" s="31">
        <v>45195.29583333333</v>
      </c>
      <c r="C408" s="18">
        <v>45195</v>
      </c>
      <c r="D408" t="s">
        <v>101</v>
      </c>
      <c r="E408" s="32">
        <v>0</v>
      </c>
      <c r="F408" s="32">
        <v>245200</v>
      </c>
      <c r="G408" s="32">
        <v>88436084</v>
      </c>
      <c r="H408" t="s">
        <v>116</v>
      </c>
    </row>
    <row r="409" spans="1:8" hidden="1" x14ac:dyDescent="0.3">
      <c r="A409" s="28">
        <v>14881</v>
      </c>
      <c r="B409" s="31">
        <v>45195.29583333333</v>
      </c>
      <c r="C409" s="18">
        <v>45195</v>
      </c>
      <c r="D409" t="s">
        <v>101</v>
      </c>
      <c r="E409" s="32">
        <v>0</v>
      </c>
      <c r="F409" s="32">
        <v>3144667</v>
      </c>
      <c r="G409" s="32">
        <v>88681284</v>
      </c>
      <c r="H409" t="s">
        <v>116</v>
      </c>
    </row>
    <row r="410" spans="1:8" hidden="1" x14ac:dyDescent="0.3">
      <c r="A410" s="28">
        <v>14879</v>
      </c>
      <c r="B410" s="31">
        <v>45194.788194444445</v>
      </c>
      <c r="C410" s="18">
        <v>45194</v>
      </c>
      <c r="D410" t="s">
        <v>101</v>
      </c>
      <c r="E410" s="32">
        <v>0</v>
      </c>
      <c r="F410" s="32">
        <v>5970</v>
      </c>
      <c r="G410" s="32">
        <v>91825951</v>
      </c>
      <c r="H410" t="s">
        <v>174</v>
      </c>
    </row>
    <row r="411" spans="1:8" hidden="1" x14ac:dyDescent="0.3">
      <c r="A411" s="28">
        <v>14878</v>
      </c>
      <c r="B411" s="31">
        <v>45194.787499999999</v>
      </c>
      <c r="C411" s="18">
        <v>45194</v>
      </c>
      <c r="D411" t="s">
        <v>101</v>
      </c>
      <c r="E411" s="32">
        <v>0</v>
      </c>
      <c r="F411" s="32">
        <v>240000</v>
      </c>
      <c r="G411" s="32">
        <v>91831921</v>
      </c>
      <c r="H411" t="s">
        <v>106</v>
      </c>
    </row>
    <row r="412" spans="1:8" hidden="1" x14ac:dyDescent="0.3">
      <c r="A412" s="28">
        <v>14861</v>
      </c>
      <c r="B412" s="31">
        <v>45191.527083333334</v>
      </c>
      <c r="C412" s="18">
        <v>45191</v>
      </c>
      <c r="D412" t="s">
        <v>101</v>
      </c>
      <c r="E412" s="32">
        <v>0</v>
      </c>
      <c r="F412" s="32">
        <v>60000</v>
      </c>
      <c r="G412" s="32">
        <v>92071921</v>
      </c>
      <c r="H412" t="s">
        <v>175</v>
      </c>
    </row>
    <row r="413" spans="1:8" hidden="1" x14ac:dyDescent="0.3">
      <c r="A413" s="28">
        <v>14858</v>
      </c>
      <c r="B413" s="31">
        <v>45191.461111111108</v>
      </c>
      <c r="C413" s="18">
        <v>45191</v>
      </c>
      <c r="D413" t="s">
        <v>100</v>
      </c>
      <c r="E413" s="32">
        <v>1030700</v>
      </c>
      <c r="F413" s="32">
        <v>0</v>
      </c>
      <c r="G413" s="32">
        <v>92131921</v>
      </c>
      <c r="H413" t="s">
        <v>134</v>
      </c>
    </row>
    <row r="414" spans="1:8" hidden="1" x14ac:dyDescent="0.3">
      <c r="A414" s="28">
        <v>14853</v>
      </c>
      <c r="B414" s="31">
        <v>45191.333333333336</v>
      </c>
      <c r="C414" s="18">
        <v>45191</v>
      </c>
      <c r="D414" t="s">
        <v>101</v>
      </c>
      <c r="E414" s="32">
        <v>0</v>
      </c>
      <c r="F414" s="32">
        <v>23691970</v>
      </c>
      <c r="G414" s="32">
        <v>91101221</v>
      </c>
      <c r="H414" t="s">
        <v>131</v>
      </c>
    </row>
    <row r="415" spans="1:8" hidden="1" x14ac:dyDescent="0.3">
      <c r="A415" s="28">
        <v>14852</v>
      </c>
      <c r="B415" s="31">
        <v>45191.333333333336</v>
      </c>
      <c r="C415" s="18">
        <v>45191</v>
      </c>
      <c r="D415" t="s">
        <v>101</v>
      </c>
      <c r="E415" s="32">
        <v>0</v>
      </c>
      <c r="F415" s="32">
        <v>50213680</v>
      </c>
      <c r="G415" s="32">
        <v>114793191</v>
      </c>
      <c r="H415" t="s">
        <v>117</v>
      </c>
    </row>
    <row r="416" spans="1:8" hidden="1" x14ac:dyDescent="0.3">
      <c r="A416" s="28">
        <v>14851</v>
      </c>
      <c r="B416" s="31">
        <v>45190.761805555558</v>
      </c>
      <c r="C416" s="18">
        <v>45190</v>
      </c>
      <c r="D416" t="s">
        <v>101</v>
      </c>
      <c r="E416" s="32">
        <v>0</v>
      </c>
      <c r="F416" s="32">
        <v>261250</v>
      </c>
      <c r="G416" s="32">
        <v>165006871</v>
      </c>
      <c r="H416" t="s">
        <v>176</v>
      </c>
    </row>
    <row r="417" spans="1:8" hidden="1" x14ac:dyDescent="0.3">
      <c r="A417" s="28">
        <v>14850</v>
      </c>
      <c r="B417" s="31">
        <v>45190.760416666664</v>
      </c>
      <c r="C417" s="18">
        <v>45190</v>
      </c>
      <c r="D417" t="s">
        <v>101</v>
      </c>
      <c r="E417" s="32">
        <v>0</v>
      </c>
      <c r="F417" s="32">
        <v>12100</v>
      </c>
      <c r="G417" s="32">
        <v>165268121</v>
      </c>
      <c r="H417" t="s">
        <v>177</v>
      </c>
    </row>
    <row r="418" spans="1:8" hidden="1" x14ac:dyDescent="0.3">
      <c r="A418" s="28">
        <v>14838</v>
      </c>
      <c r="B418" s="31">
        <v>45189.457638888889</v>
      </c>
      <c r="C418" s="18">
        <v>45189</v>
      </c>
      <c r="D418" t="s">
        <v>101</v>
      </c>
      <c r="E418" s="32">
        <v>0</v>
      </c>
      <c r="F418" s="32">
        <v>39592800</v>
      </c>
      <c r="G418" s="32">
        <v>165280221</v>
      </c>
      <c r="H418" t="s">
        <v>105</v>
      </c>
    </row>
    <row r="419" spans="1:8" hidden="1" x14ac:dyDescent="0.3">
      <c r="A419" s="28">
        <v>14825</v>
      </c>
      <c r="B419" s="31">
        <v>45188.402777777781</v>
      </c>
      <c r="C419" s="18">
        <v>45188</v>
      </c>
      <c r="D419" t="s">
        <v>101</v>
      </c>
      <c r="E419" s="32">
        <v>0</v>
      </c>
      <c r="F419" s="32">
        <v>1414800</v>
      </c>
      <c r="G419" s="32">
        <v>204873021</v>
      </c>
      <c r="H419" t="s">
        <v>105</v>
      </c>
    </row>
    <row r="420" spans="1:8" hidden="1" x14ac:dyDescent="0.3">
      <c r="A420" s="28">
        <v>14824</v>
      </c>
      <c r="B420" s="31">
        <v>45188.401388888888</v>
      </c>
      <c r="C420" s="18">
        <v>45188</v>
      </c>
      <c r="D420" t="s">
        <v>101</v>
      </c>
      <c r="E420" s="32">
        <v>0</v>
      </c>
      <c r="F420" s="32">
        <v>1638450</v>
      </c>
      <c r="G420" s="32">
        <v>206287821</v>
      </c>
      <c r="H420" t="s">
        <v>105</v>
      </c>
    </row>
    <row r="421" spans="1:8" hidden="1" x14ac:dyDescent="0.3">
      <c r="A421" s="28">
        <v>14810</v>
      </c>
      <c r="B421" s="31">
        <v>45187.338888888888</v>
      </c>
      <c r="C421" s="18">
        <v>45187</v>
      </c>
      <c r="D421" t="s">
        <v>100</v>
      </c>
      <c r="E421" s="32">
        <v>16336</v>
      </c>
      <c r="F421" s="32">
        <v>0</v>
      </c>
      <c r="G421" s="32">
        <v>207926271</v>
      </c>
      <c r="H421" t="s">
        <v>146</v>
      </c>
    </row>
    <row r="422" spans="1:8" hidden="1" x14ac:dyDescent="0.3">
      <c r="A422" s="28">
        <v>14804</v>
      </c>
      <c r="B422" s="31">
        <v>45184.786111111112</v>
      </c>
      <c r="C422" s="18">
        <v>45184</v>
      </c>
      <c r="D422" t="s">
        <v>101</v>
      </c>
      <c r="E422" s="32">
        <v>0</v>
      </c>
      <c r="F422" s="32">
        <v>1920000</v>
      </c>
      <c r="G422" s="32">
        <v>207909935</v>
      </c>
      <c r="H422" t="s">
        <v>106</v>
      </c>
    </row>
    <row r="423" spans="1:8" hidden="1" x14ac:dyDescent="0.3">
      <c r="A423" s="28">
        <v>14802</v>
      </c>
      <c r="B423" s="31">
        <v>45184.742361111108</v>
      </c>
      <c r="C423" s="18">
        <v>45184</v>
      </c>
      <c r="D423" t="s">
        <v>100</v>
      </c>
      <c r="E423" s="32">
        <v>3756500</v>
      </c>
      <c r="F423" s="32">
        <v>0</v>
      </c>
      <c r="G423" s="32">
        <v>209829935</v>
      </c>
      <c r="H423" t="s">
        <v>107</v>
      </c>
    </row>
    <row r="424" spans="1:8" hidden="1" x14ac:dyDescent="0.3">
      <c r="A424" s="28">
        <v>14769</v>
      </c>
      <c r="B424" s="31">
        <v>45182.578472222223</v>
      </c>
      <c r="C424" s="18">
        <v>45182</v>
      </c>
      <c r="D424" t="s">
        <v>100</v>
      </c>
      <c r="E424" s="32">
        <v>5959800</v>
      </c>
      <c r="F424" s="32">
        <v>0</v>
      </c>
      <c r="G424" s="32">
        <v>206073435</v>
      </c>
      <c r="H424" t="s">
        <v>130</v>
      </c>
    </row>
    <row r="425" spans="1:8" hidden="1" x14ac:dyDescent="0.3">
      <c r="A425" s="28">
        <v>14768</v>
      </c>
      <c r="B425" s="31">
        <v>45182.563888888886</v>
      </c>
      <c r="C425" s="18">
        <v>45182</v>
      </c>
      <c r="D425" t="s">
        <v>100</v>
      </c>
      <c r="E425" s="32">
        <v>8764800</v>
      </c>
      <c r="F425" s="32">
        <v>0</v>
      </c>
      <c r="G425" s="32">
        <v>200113635</v>
      </c>
      <c r="H425" t="s">
        <v>127</v>
      </c>
    </row>
    <row r="426" spans="1:8" hidden="1" x14ac:dyDescent="0.3">
      <c r="A426" s="28">
        <v>14767</v>
      </c>
      <c r="B426" s="31">
        <v>45182.563888888886</v>
      </c>
      <c r="C426" s="18">
        <v>45182</v>
      </c>
      <c r="D426" t="s">
        <v>100</v>
      </c>
      <c r="E426" s="32">
        <v>3859900</v>
      </c>
      <c r="F426" s="32">
        <v>0</v>
      </c>
      <c r="G426" s="32">
        <v>191348835</v>
      </c>
      <c r="H426" t="s">
        <v>127</v>
      </c>
    </row>
    <row r="427" spans="1:8" hidden="1" x14ac:dyDescent="0.3">
      <c r="A427" s="28">
        <v>14766</v>
      </c>
      <c r="B427" s="31">
        <v>45182.563194444447</v>
      </c>
      <c r="C427" s="18">
        <v>45182</v>
      </c>
      <c r="D427" t="s">
        <v>100</v>
      </c>
      <c r="E427" s="32">
        <v>1080200</v>
      </c>
      <c r="F427" s="32">
        <v>0</v>
      </c>
      <c r="G427" s="32">
        <v>187488935</v>
      </c>
      <c r="H427" t="s">
        <v>127</v>
      </c>
    </row>
    <row r="428" spans="1:8" hidden="1" x14ac:dyDescent="0.3">
      <c r="A428" s="28">
        <v>14765</v>
      </c>
      <c r="B428" s="31">
        <v>45182.563194444447</v>
      </c>
      <c r="C428" s="18">
        <v>45182</v>
      </c>
      <c r="D428" t="s">
        <v>100</v>
      </c>
      <c r="E428" s="32">
        <v>11348700</v>
      </c>
      <c r="F428" s="32">
        <v>0</v>
      </c>
      <c r="G428" s="32">
        <v>186408735</v>
      </c>
      <c r="H428" t="s">
        <v>127</v>
      </c>
    </row>
    <row r="429" spans="1:8" hidden="1" x14ac:dyDescent="0.3">
      <c r="A429" s="28">
        <v>14756</v>
      </c>
      <c r="B429" s="31">
        <v>45180.768055555556</v>
      </c>
      <c r="C429" s="18">
        <v>45180</v>
      </c>
      <c r="D429" t="s">
        <v>101</v>
      </c>
      <c r="E429" s="32">
        <v>0</v>
      </c>
      <c r="F429" s="32">
        <v>791880</v>
      </c>
      <c r="G429" s="32">
        <v>175060035</v>
      </c>
      <c r="H429" t="s">
        <v>178</v>
      </c>
    </row>
    <row r="430" spans="1:8" hidden="1" x14ac:dyDescent="0.3">
      <c r="A430" s="28">
        <v>14755</v>
      </c>
      <c r="B430" s="31">
        <v>45180.763888888891</v>
      </c>
      <c r="C430" s="18">
        <v>45180</v>
      </c>
      <c r="D430" t="s">
        <v>101</v>
      </c>
      <c r="E430" s="32">
        <v>0</v>
      </c>
      <c r="F430" s="32">
        <v>375770</v>
      </c>
      <c r="G430" s="32">
        <v>175851915</v>
      </c>
      <c r="H430" t="s">
        <v>179</v>
      </c>
    </row>
    <row r="431" spans="1:8" hidden="1" x14ac:dyDescent="0.3">
      <c r="A431" s="28">
        <v>14754</v>
      </c>
      <c r="B431" s="31">
        <v>45180.760416666664</v>
      </c>
      <c r="C431" s="18">
        <v>45180</v>
      </c>
      <c r="D431" t="s">
        <v>101</v>
      </c>
      <c r="E431" s="32">
        <v>0</v>
      </c>
      <c r="F431" s="32">
        <v>4983180</v>
      </c>
      <c r="G431" s="32">
        <v>176227685</v>
      </c>
      <c r="H431" t="s">
        <v>180</v>
      </c>
    </row>
    <row r="432" spans="1:8" hidden="1" x14ac:dyDescent="0.3">
      <c r="A432" s="28">
        <v>14753</v>
      </c>
      <c r="B432" s="31">
        <v>45180.756249999999</v>
      </c>
      <c r="C432" s="18">
        <v>45180</v>
      </c>
      <c r="D432" t="s">
        <v>101</v>
      </c>
      <c r="E432" s="32">
        <v>0</v>
      </c>
      <c r="F432" s="32">
        <v>4483220</v>
      </c>
      <c r="G432" s="32">
        <v>181210865</v>
      </c>
      <c r="H432" t="s">
        <v>181</v>
      </c>
    </row>
    <row r="433" spans="1:8" hidden="1" x14ac:dyDescent="0.3">
      <c r="A433" s="28">
        <v>14751</v>
      </c>
      <c r="B433" s="31">
        <v>45180.624305555553</v>
      </c>
      <c r="C433" s="18">
        <v>45180</v>
      </c>
      <c r="D433" t="s">
        <v>100</v>
      </c>
      <c r="E433" s="32">
        <v>3410000</v>
      </c>
      <c r="F433" s="32">
        <v>0</v>
      </c>
      <c r="G433" s="32">
        <v>185694085</v>
      </c>
      <c r="H433" t="s">
        <v>92</v>
      </c>
    </row>
    <row r="434" spans="1:8" hidden="1" x14ac:dyDescent="0.3">
      <c r="A434" s="28">
        <v>14743</v>
      </c>
      <c r="B434" s="31">
        <v>45180.438888888886</v>
      </c>
      <c r="C434" s="18">
        <v>45180</v>
      </c>
      <c r="D434" t="s">
        <v>101</v>
      </c>
      <c r="E434" s="32">
        <v>0</v>
      </c>
      <c r="F434" s="32">
        <v>4091400</v>
      </c>
      <c r="G434" s="32">
        <v>182284085</v>
      </c>
      <c r="H434" t="s">
        <v>109</v>
      </c>
    </row>
    <row r="435" spans="1:8" hidden="1" x14ac:dyDescent="0.3">
      <c r="A435" s="28">
        <v>14741</v>
      </c>
      <c r="B435" s="31">
        <v>45180.422222222223</v>
      </c>
      <c r="C435" s="18">
        <v>45180</v>
      </c>
      <c r="D435" t="s">
        <v>100</v>
      </c>
      <c r="E435" s="32">
        <v>100000000</v>
      </c>
      <c r="F435" s="32">
        <v>0</v>
      </c>
      <c r="G435" s="32">
        <v>186375485</v>
      </c>
      <c r="H435" t="s">
        <v>114</v>
      </c>
    </row>
    <row r="436" spans="1:8" hidden="1" x14ac:dyDescent="0.3">
      <c r="A436" s="28">
        <v>14739</v>
      </c>
      <c r="B436" s="31">
        <v>45180.42083333333</v>
      </c>
      <c r="C436" s="18">
        <v>45180</v>
      </c>
      <c r="D436" t="s">
        <v>101</v>
      </c>
      <c r="E436" s="32">
        <v>0</v>
      </c>
      <c r="F436" s="32">
        <v>100000000</v>
      </c>
      <c r="G436" s="32">
        <v>86375485</v>
      </c>
      <c r="H436" t="s">
        <v>182</v>
      </c>
    </row>
    <row r="437" spans="1:8" hidden="1" x14ac:dyDescent="0.3">
      <c r="A437" s="28">
        <v>14738</v>
      </c>
      <c r="B437" s="31">
        <v>45180.40902777778</v>
      </c>
      <c r="C437" s="18">
        <v>45180</v>
      </c>
      <c r="D437" t="s">
        <v>101</v>
      </c>
      <c r="E437" s="32">
        <v>0</v>
      </c>
      <c r="F437" s="32">
        <v>39567000</v>
      </c>
      <c r="G437" s="32">
        <v>186375485</v>
      </c>
      <c r="H437" t="s">
        <v>105</v>
      </c>
    </row>
    <row r="438" spans="1:8" hidden="1" x14ac:dyDescent="0.3">
      <c r="A438" s="28">
        <v>14730</v>
      </c>
      <c r="B438" s="31">
        <v>45177.479166666664</v>
      </c>
      <c r="C438" s="18">
        <v>45177</v>
      </c>
      <c r="D438" t="s">
        <v>101</v>
      </c>
      <c r="E438" s="32">
        <v>0</v>
      </c>
      <c r="F438" s="32">
        <v>100000000</v>
      </c>
      <c r="G438" s="32">
        <v>225942485</v>
      </c>
      <c r="H438" t="s">
        <v>182</v>
      </c>
    </row>
    <row r="439" spans="1:8" hidden="1" x14ac:dyDescent="0.3">
      <c r="A439" s="28">
        <v>14705</v>
      </c>
      <c r="B439" s="31">
        <v>45174.761111111111</v>
      </c>
      <c r="C439" s="18">
        <v>45174</v>
      </c>
      <c r="D439" t="s">
        <v>101</v>
      </c>
      <c r="E439" s="32">
        <v>0</v>
      </c>
      <c r="F439" s="32">
        <v>240000</v>
      </c>
      <c r="G439" s="32">
        <v>325942485</v>
      </c>
      <c r="H439" t="s">
        <v>106</v>
      </c>
    </row>
    <row r="440" spans="1:8" hidden="1" x14ac:dyDescent="0.3">
      <c r="A440" s="28">
        <v>14704</v>
      </c>
      <c r="B440" s="31">
        <v>45174.616666666669</v>
      </c>
      <c r="C440" s="18">
        <v>45174</v>
      </c>
      <c r="D440" t="s">
        <v>101</v>
      </c>
      <c r="E440" s="32">
        <v>0</v>
      </c>
      <c r="F440" s="32">
        <v>13263300</v>
      </c>
      <c r="G440" s="32">
        <v>326182485</v>
      </c>
      <c r="H440" t="s">
        <v>105</v>
      </c>
    </row>
    <row r="441" spans="1:8" hidden="1" x14ac:dyDescent="0.3">
      <c r="A441" s="28">
        <v>14692</v>
      </c>
      <c r="B441" s="31">
        <v>45173.384722222225</v>
      </c>
      <c r="C441" s="18">
        <v>45173</v>
      </c>
      <c r="D441" t="s">
        <v>101</v>
      </c>
      <c r="E441" s="32">
        <v>0</v>
      </c>
      <c r="F441" s="32">
        <v>38323200</v>
      </c>
      <c r="G441" s="32">
        <v>339445785</v>
      </c>
      <c r="H441" t="s">
        <v>105</v>
      </c>
    </row>
    <row r="442" spans="1:8" hidden="1" x14ac:dyDescent="0.3">
      <c r="A442" s="28">
        <v>14691</v>
      </c>
      <c r="B442" s="31">
        <v>45173.384722222225</v>
      </c>
      <c r="C442" s="18">
        <v>45173</v>
      </c>
      <c r="D442" t="s">
        <v>100</v>
      </c>
      <c r="E442" s="32">
        <v>300000000</v>
      </c>
      <c r="F442" s="32">
        <v>0</v>
      </c>
      <c r="G442" s="32">
        <v>377768985</v>
      </c>
      <c r="H442" t="s">
        <v>114</v>
      </c>
    </row>
    <row r="443" spans="1:8" hidden="1" x14ac:dyDescent="0.3">
      <c r="A443" s="28">
        <v>14689</v>
      </c>
      <c r="B443" s="31">
        <v>45170.6875</v>
      </c>
      <c r="C443" s="18">
        <v>45170</v>
      </c>
      <c r="D443" t="s">
        <v>101</v>
      </c>
      <c r="E443" s="32">
        <v>0</v>
      </c>
      <c r="F443" s="32">
        <v>105210</v>
      </c>
      <c r="G443" s="32">
        <v>77768985</v>
      </c>
      <c r="H443" t="s">
        <v>108</v>
      </c>
    </row>
    <row r="444" spans="1:8" hidden="1" x14ac:dyDescent="0.3">
      <c r="A444" s="28">
        <v>14685</v>
      </c>
      <c r="B444" s="31">
        <v>45170.380555555559</v>
      </c>
      <c r="C444" s="18">
        <v>45170</v>
      </c>
      <c r="D444" t="s">
        <v>101</v>
      </c>
      <c r="E444" s="32">
        <v>0</v>
      </c>
      <c r="F444" s="32">
        <v>52972800</v>
      </c>
      <c r="G444" s="32">
        <v>77874195</v>
      </c>
      <c r="H444" t="s">
        <v>105</v>
      </c>
    </row>
    <row r="445" spans="1:8" hidden="1" x14ac:dyDescent="0.3">
      <c r="A445" s="28">
        <v>14640</v>
      </c>
      <c r="B445" s="31">
        <v>45167.671527777777</v>
      </c>
      <c r="C445" s="18">
        <v>45167</v>
      </c>
      <c r="D445" t="s">
        <v>101</v>
      </c>
      <c r="E445" s="32">
        <v>0</v>
      </c>
      <c r="F445" s="32">
        <v>130000000</v>
      </c>
      <c r="G445" s="32">
        <v>130846995</v>
      </c>
      <c r="H445" t="s">
        <v>111</v>
      </c>
    </row>
    <row r="446" spans="1:8" hidden="1" x14ac:dyDescent="0.3">
      <c r="A446" s="28">
        <v>14639</v>
      </c>
      <c r="B446" s="31">
        <v>45167.670138888891</v>
      </c>
      <c r="C446" s="18">
        <v>45167</v>
      </c>
      <c r="D446" t="s">
        <v>100</v>
      </c>
      <c r="E446" s="32">
        <v>248895900</v>
      </c>
      <c r="F446" s="32">
        <v>0</v>
      </c>
      <c r="G446" s="32">
        <v>260846995</v>
      </c>
      <c r="H446" t="s">
        <v>112</v>
      </c>
    </row>
    <row r="447" spans="1:8" hidden="1" x14ac:dyDescent="0.3">
      <c r="A447" s="28">
        <v>14621</v>
      </c>
      <c r="B447" s="31">
        <v>45166.481944444444</v>
      </c>
      <c r="C447" s="18">
        <v>45166</v>
      </c>
      <c r="D447" t="s">
        <v>100</v>
      </c>
      <c r="E447" s="32">
        <v>9538149</v>
      </c>
      <c r="F447" s="32">
        <v>0</v>
      </c>
      <c r="G447" s="32">
        <v>11951095</v>
      </c>
      <c r="H447" t="s">
        <v>183</v>
      </c>
    </row>
    <row r="448" spans="1:8" hidden="1" x14ac:dyDescent="0.3">
      <c r="A448" s="28">
        <v>14617</v>
      </c>
      <c r="B448" s="31">
        <v>45166.411111111112</v>
      </c>
      <c r="C448" s="18">
        <v>45166</v>
      </c>
      <c r="D448" t="s">
        <v>101</v>
      </c>
      <c r="E448" s="32">
        <v>0</v>
      </c>
      <c r="F448" s="32">
        <v>2644640</v>
      </c>
      <c r="G448" s="32">
        <v>2412946</v>
      </c>
      <c r="H448" t="s">
        <v>105</v>
      </c>
    </row>
    <row r="449" spans="1:8" hidden="1" x14ac:dyDescent="0.3">
      <c r="A449" s="28">
        <v>14616</v>
      </c>
      <c r="B449" s="31">
        <v>45166.335416666669</v>
      </c>
      <c r="C449" s="18">
        <v>45166</v>
      </c>
      <c r="D449" t="s">
        <v>101</v>
      </c>
      <c r="E449" s="32">
        <v>0</v>
      </c>
      <c r="F449" s="32">
        <v>263410</v>
      </c>
      <c r="G449" s="32">
        <v>5057586</v>
      </c>
      <c r="H449" t="s">
        <v>116</v>
      </c>
    </row>
    <row r="450" spans="1:8" hidden="1" x14ac:dyDescent="0.3">
      <c r="A450" s="28">
        <v>14615</v>
      </c>
      <c r="B450" s="31">
        <v>45166.335416666669</v>
      </c>
      <c r="C450" s="18">
        <v>45166</v>
      </c>
      <c r="D450" t="s">
        <v>101</v>
      </c>
      <c r="E450" s="32">
        <v>0</v>
      </c>
      <c r="F450" s="32">
        <v>4601949</v>
      </c>
      <c r="G450" s="32">
        <v>5320996</v>
      </c>
      <c r="H450" t="s">
        <v>116</v>
      </c>
    </row>
    <row r="451" spans="1:8" hidden="1" x14ac:dyDescent="0.3">
      <c r="A451" s="28">
        <v>14614</v>
      </c>
      <c r="B451" s="31">
        <v>45166.328472222223</v>
      </c>
      <c r="C451" s="18">
        <v>45166</v>
      </c>
      <c r="D451" t="s">
        <v>101</v>
      </c>
      <c r="E451" s="32">
        <v>0</v>
      </c>
      <c r="F451" s="32">
        <v>192000</v>
      </c>
      <c r="G451" s="32">
        <v>9922945</v>
      </c>
      <c r="H451" t="s">
        <v>184</v>
      </c>
    </row>
    <row r="452" spans="1:8" hidden="1" x14ac:dyDescent="0.3">
      <c r="A452" s="28">
        <v>14612</v>
      </c>
      <c r="B452" s="31">
        <v>45163.768055555556</v>
      </c>
      <c r="C452" s="18">
        <v>45163</v>
      </c>
      <c r="D452" t="s">
        <v>101</v>
      </c>
      <c r="E452" s="32">
        <v>0</v>
      </c>
      <c r="F452" s="32">
        <v>7410</v>
      </c>
      <c r="G452" s="32">
        <v>10114945</v>
      </c>
      <c r="H452" t="s">
        <v>185</v>
      </c>
    </row>
    <row r="453" spans="1:8" hidden="1" x14ac:dyDescent="0.3">
      <c r="A453" s="28">
        <v>14611</v>
      </c>
      <c r="B453" s="31">
        <v>45163.768055555556</v>
      </c>
      <c r="C453" s="18">
        <v>45163</v>
      </c>
      <c r="D453" t="s">
        <v>101</v>
      </c>
      <c r="E453" s="32">
        <v>0</v>
      </c>
      <c r="F453" s="32">
        <v>240000</v>
      </c>
      <c r="G453" s="32">
        <v>10122355</v>
      </c>
      <c r="H453" t="s">
        <v>106</v>
      </c>
    </row>
    <row r="454" spans="1:8" hidden="1" x14ac:dyDescent="0.3">
      <c r="A454" s="28">
        <v>14605</v>
      </c>
      <c r="B454" s="31">
        <v>45163.375694444447</v>
      </c>
      <c r="C454" s="18">
        <v>45163</v>
      </c>
      <c r="D454" t="s">
        <v>101</v>
      </c>
      <c r="E454" s="32">
        <v>0</v>
      </c>
      <c r="F454" s="32">
        <v>5317320</v>
      </c>
      <c r="G454" s="32">
        <v>10362355</v>
      </c>
      <c r="H454" t="s">
        <v>105</v>
      </c>
    </row>
    <row r="455" spans="1:8" hidden="1" x14ac:dyDescent="0.3">
      <c r="A455" s="28">
        <v>14597</v>
      </c>
      <c r="B455" s="31">
        <v>45162.333333333336</v>
      </c>
      <c r="C455" s="18">
        <v>45162</v>
      </c>
      <c r="D455" t="s">
        <v>101</v>
      </c>
      <c r="E455" s="32">
        <v>0</v>
      </c>
      <c r="F455" s="32">
        <v>50142950</v>
      </c>
      <c r="G455" s="32">
        <v>15679675</v>
      </c>
      <c r="H455" t="s">
        <v>117</v>
      </c>
    </row>
    <row r="456" spans="1:8" hidden="1" x14ac:dyDescent="0.3">
      <c r="A456" s="28">
        <v>14590</v>
      </c>
      <c r="B456" s="31">
        <v>45161.621527777781</v>
      </c>
      <c r="C456" s="18">
        <v>45161</v>
      </c>
      <c r="D456" t="s">
        <v>101</v>
      </c>
      <c r="E456" s="32">
        <v>0</v>
      </c>
      <c r="F456" s="32">
        <v>1340240</v>
      </c>
      <c r="G456" s="32">
        <v>65822625</v>
      </c>
      <c r="H456" t="s">
        <v>105</v>
      </c>
    </row>
    <row r="457" spans="1:8" hidden="1" x14ac:dyDescent="0.3">
      <c r="A457" s="28">
        <v>14589</v>
      </c>
      <c r="B457" s="31">
        <v>45161.617361111108</v>
      </c>
      <c r="C457" s="18">
        <v>45161</v>
      </c>
      <c r="D457" t="s">
        <v>101</v>
      </c>
      <c r="E457" s="32">
        <v>0</v>
      </c>
      <c r="F457" s="32">
        <v>728190</v>
      </c>
      <c r="G457" s="32">
        <v>67162865</v>
      </c>
      <c r="H457" t="s">
        <v>105</v>
      </c>
    </row>
    <row r="458" spans="1:8" hidden="1" x14ac:dyDescent="0.3">
      <c r="A458" s="28">
        <v>14588</v>
      </c>
      <c r="B458" s="31">
        <v>45161.611111111109</v>
      </c>
      <c r="C458" s="18">
        <v>45161</v>
      </c>
      <c r="D458" t="s">
        <v>100</v>
      </c>
      <c r="E458" s="32">
        <v>466400</v>
      </c>
      <c r="F458" s="32">
        <v>0</v>
      </c>
      <c r="G458" s="32">
        <v>67891055</v>
      </c>
      <c r="H458" t="s">
        <v>134</v>
      </c>
    </row>
    <row r="459" spans="1:8" hidden="1" x14ac:dyDescent="0.3">
      <c r="A459" s="28">
        <v>14580</v>
      </c>
      <c r="B459" s="31">
        <v>45160.681250000001</v>
      </c>
      <c r="C459" s="18">
        <v>45160</v>
      </c>
      <c r="D459" t="s">
        <v>100</v>
      </c>
      <c r="E459" s="32">
        <v>18900000</v>
      </c>
      <c r="F459" s="32">
        <v>0</v>
      </c>
      <c r="G459" s="32">
        <v>67424655</v>
      </c>
      <c r="H459" t="s">
        <v>129</v>
      </c>
    </row>
    <row r="460" spans="1:8" hidden="1" x14ac:dyDescent="0.3">
      <c r="A460" s="28">
        <v>14568</v>
      </c>
      <c r="B460" s="31">
        <v>45159.770833333336</v>
      </c>
      <c r="C460" s="18">
        <v>45159</v>
      </c>
      <c r="D460" t="s">
        <v>101</v>
      </c>
      <c r="E460" s="32">
        <v>0</v>
      </c>
      <c r="F460" s="32">
        <v>261980</v>
      </c>
      <c r="G460" s="32">
        <v>48524655</v>
      </c>
      <c r="H460" t="s">
        <v>186</v>
      </c>
    </row>
    <row r="461" spans="1:8" hidden="1" x14ac:dyDescent="0.3">
      <c r="A461" s="28">
        <v>14567</v>
      </c>
      <c r="B461" s="31">
        <v>45159.770833333336</v>
      </c>
      <c r="C461" s="18">
        <v>45159</v>
      </c>
      <c r="D461" t="s">
        <v>101</v>
      </c>
      <c r="E461" s="32">
        <v>0</v>
      </c>
      <c r="F461" s="32">
        <v>12100</v>
      </c>
      <c r="G461" s="32">
        <v>48786635</v>
      </c>
      <c r="H461" t="s">
        <v>187</v>
      </c>
    </row>
    <row r="462" spans="1:8" hidden="1" x14ac:dyDescent="0.3">
      <c r="A462" s="28">
        <v>14557</v>
      </c>
      <c r="B462" s="31">
        <v>45159.34375</v>
      </c>
      <c r="C462" s="18">
        <v>45159</v>
      </c>
      <c r="D462" t="s">
        <v>100</v>
      </c>
      <c r="E462" s="32">
        <v>12579</v>
      </c>
      <c r="F462" s="32">
        <v>0</v>
      </c>
      <c r="G462" s="32">
        <v>48798735</v>
      </c>
      <c r="H462" t="s">
        <v>146</v>
      </c>
    </row>
    <row r="463" spans="1:8" hidden="1" x14ac:dyDescent="0.3">
      <c r="A463" s="28">
        <v>14556</v>
      </c>
      <c r="B463" s="31">
        <v>45156.561805555553</v>
      </c>
      <c r="C463" s="18">
        <v>45156</v>
      </c>
      <c r="D463" t="s">
        <v>101</v>
      </c>
      <c r="E463" s="32">
        <v>0</v>
      </c>
      <c r="F463" s="32">
        <v>1000000</v>
      </c>
      <c r="G463" s="32">
        <v>48786156</v>
      </c>
      <c r="H463" t="s">
        <v>188</v>
      </c>
    </row>
    <row r="464" spans="1:8" hidden="1" x14ac:dyDescent="0.3">
      <c r="A464" s="28">
        <v>14541</v>
      </c>
      <c r="B464" s="31">
        <v>45154.775000000001</v>
      </c>
      <c r="C464" s="18">
        <v>45154</v>
      </c>
      <c r="D464" t="s">
        <v>101</v>
      </c>
      <c r="E464" s="32">
        <v>0</v>
      </c>
      <c r="F464" s="32">
        <v>1920000</v>
      </c>
      <c r="G464" s="32">
        <v>49786156</v>
      </c>
      <c r="H464" t="s">
        <v>106</v>
      </c>
    </row>
    <row r="465" spans="1:8" hidden="1" x14ac:dyDescent="0.3">
      <c r="A465" s="28">
        <v>14539</v>
      </c>
      <c r="B465" s="31">
        <v>45154.693749999999</v>
      </c>
      <c r="C465" s="18">
        <v>45154</v>
      </c>
      <c r="D465" t="s">
        <v>100</v>
      </c>
      <c r="E465" s="32">
        <v>1250700</v>
      </c>
      <c r="F465" s="32">
        <v>0</v>
      </c>
      <c r="G465" s="32">
        <v>51706156</v>
      </c>
      <c r="H465" t="s">
        <v>107</v>
      </c>
    </row>
    <row r="466" spans="1:8" hidden="1" x14ac:dyDescent="0.3">
      <c r="A466" s="28">
        <v>14530</v>
      </c>
      <c r="B466" s="31">
        <v>45154.477777777778</v>
      </c>
      <c r="C466" s="18">
        <v>45154</v>
      </c>
      <c r="D466" t="s">
        <v>100</v>
      </c>
      <c r="E466" s="32">
        <v>30000000</v>
      </c>
      <c r="F466" s="32">
        <v>0</v>
      </c>
      <c r="G466" s="32">
        <v>50455456</v>
      </c>
      <c r="H466" t="s">
        <v>114</v>
      </c>
    </row>
    <row r="467" spans="1:8" hidden="1" x14ac:dyDescent="0.3">
      <c r="A467" s="28">
        <v>14523</v>
      </c>
      <c r="B467" s="31">
        <v>45152.568749999999</v>
      </c>
      <c r="C467" s="18">
        <v>45152</v>
      </c>
      <c r="D467" t="s">
        <v>101</v>
      </c>
      <c r="E467" s="32">
        <v>0</v>
      </c>
      <c r="F467" s="32">
        <v>38781900</v>
      </c>
      <c r="G467" s="32">
        <v>20455456</v>
      </c>
      <c r="H467" t="s">
        <v>105</v>
      </c>
    </row>
    <row r="468" spans="1:8" hidden="1" x14ac:dyDescent="0.3">
      <c r="A468" s="28">
        <v>14522</v>
      </c>
      <c r="B468" s="31">
        <v>45152.566666666666</v>
      </c>
      <c r="C468" s="18">
        <v>45152</v>
      </c>
      <c r="D468" t="s">
        <v>100</v>
      </c>
      <c r="E468" s="32">
        <v>21000000</v>
      </c>
      <c r="F468" s="32">
        <v>0</v>
      </c>
      <c r="G468" s="32">
        <v>59237356</v>
      </c>
      <c r="H468" t="s">
        <v>122</v>
      </c>
    </row>
    <row r="469" spans="1:8" hidden="1" x14ac:dyDescent="0.3">
      <c r="A469" s="28">
        <v>14514</v>
      </c>
      <c r="B469" s="31">
        <v>45152.534722222219</v>
      </c>
      <c r="C469" s="18">
        <v>45152</v>
      </c>
      <c r="D469" t="s">
        <v>100</v>
      </c>
      <c r="E469" s="32">
        <v>10016600</v>
      </c>
      <c r="F469" s="32">
        <v>0</v>
      </c>
      <c r="G469" s="32">
        <v>38237356</v>
      </c>
      <c r="H469" t="s">
        <v>127</v>
      </c>
    </row>
    <row r="470" spans="1:8" hidden="1" x14ac:dyDescent="0.3">
      <c r="A470" s="28">
        <v>14513</v>
      </c>
      <c r="B470" s="31">
        <v>45152.534722222219</v>
      </c>
      <c r="C470" s="18">
        <v>45152</v>
      </c>
      <c r="D470" t="s">
        <v>100</v>
      </c>
      <c r="E470" s="32">
        <v>2273700</v>
      </c>
      <c r="F470" s="32">
        <v>0</v>
      </c>
      <c r="G470" s="32">
        <v>28220756</v>
      </c>
      <c r="H470" t="s">
        <v>127</v>
      </c>
    </row>
    <row r="471" spans="1:8" hidden="1" x14ac:dyDescent="0.3">
      <c r="A471" s="28">
        <v>14512</v>
      </c>
      <c r="B471" s="31">
        <v>45152.534722222219</v>
      </c>
      <c r="C471" s="18">
        <v>45152</v>
      </c>
      <c r="D471" t="s">
        <v>100</v>
      </c>
      <c r="E471" s="32">
        <v>2808300</v>
      </c>
      <c r="F471" s="32">
        <v>0</v>
      </c>
      <c r="G471" s="32">
        <v>25947056</v>
      </c>
      <c r="H471" t="s">
        <v>127</v>
      </c>
    </row>
    <row r="472" spans="1:8" hidden="1" x14ac:dyDescent="0.3">
      <c r="A472" s="28">
        <v>14511</v>
      </c>
      <c r="B472" s="31">
        <v>45152.534722222219</v>
      </c>
      <c r="C472" s="18">
        <v>45152</v>
      </c>
      <c r="D472" t="s">
        <v>100</v>
      </c>
      <c r="E472" s="32">
        <v>3165800</v>
      </c>
      <c r="F472" s="32">
        <v>0</v>
      </c>
      <c r="G472" s="32">
        <v>23138756</v>
      </c>
      <c r="H472" t="s">
        <v>127</v>
      </c>
    </row>
    <row r="473" spans="1:8" hidden="1" x14ac:dyDescent="0.3">
      <c r="A473" s="28">
        <v>14495</v>
      </c>
      <c r="B473" s="31">
        <v>45148.765277777777</v>
      </c>
      <c r="C473" s="18">
        <v>45148</v>
      </c>
      <c r="D473" t="s">
        <v>101</v>
      </c>
      <c r="E473" s="32">
        <v>0</v>
      </c>
      <c r="F473" s="32">
        <v>790380</v>
      </c>
      <c r="G473" s="32">
        <v>19972956</v>
      </c>
      <c r="H473" t="s">
        <v>189</v>
      </c>
    </row>
    <row r="474" spans="1:8" hidden="1" x14ac:dyDescent="0.3">
      <c r="A474" s="28">
        <v>14494</v>
      </c>
      <c r="B474" s="31">
        <v>45148.761805555558</v>
      </c>
      <c r="C474" s="18">
        <v>45148</v>
      </c>
      <c r="D474" t="s">
        <v>101</v>
      </c>
      <c r="E474" s="32">
        <v>0</v>
      </c>
      <c r="F474" s="32">
        <v>370010</v>
      </c>
      <c r="G474" s="32">
        <v>20763336</v>
      </c>
      <c r="H474" t="s">
        <v>190</v>
      </c>
    </row>
    <row r="475" spans="1:8" hidden="1" x14ac:dyDescent="0.3">
      <c r="A475" s="28">
        <v>14493</v>
      </c>
      <c r="B475" s="31">
        <v>45148.758333333331</v>
      </c>
      <c r="C475" s="18">
        <v>45148</v>
      </c>
      <c r="D475" t="s">
        <v>101</v>
      </c>
      <c r="E475" s="32">
        <v>0</v>
      </c>
      <c r="F475" s="32">
        <v>4983180</v>
      </c>
      <c r="G475" s="32">
        <v>21133346</v>
      </c>
      <c r="H475" t="s">
        <v>191</v>
      </c>
    </row>
    <row r="476" spans="1:8" hidden="1" x14ac:dyDescent="0.3">
      <c r="A476" s="28">
        <v>14492</v>
      </c>
      <c r="B476" s="31">
        <v>45148.754861111112</v>
      </c>
      <c r="C476" s="18">
        <v>45148</v>
      </c>
      <c r="D476" t="s">
        <v>101</v>
      </c>
      <c r="E476" s="32">
        <v>0</v>
      </c>
      <c r="F476" s="32">
        <v>4483220</v>
      </c>
      <c r="G476" s="32">
        <v>26116526</v>
      </c>
      <c r="H476" t="s">
        <v>192</v>
      </c>
    </row>
    <row r="477" spans="1:8" hidden="1" x14ac:dyDescent="0.3">
      <c r="A477" s="28">
        <v>14486</v>
      </c>
      <c r="B477" s="31">
        <v>45148.438194444447</v>
      </c>
      <c r="C477" s="18">
        <v>45148</v>
      </c>
      <c r="D477" t="s">
        <v>101</v>
      </c>
      <c r="E477" s="32">
        <v>0</v>
      </c>
      <c r="F477" s="32">
        <v>4091400</v>
      </c>
      <c r="G477" s="32">
        <v>30599746</v>
      </c>
      <c r="H477" t="s">
        <v>109</v>
      </c>
    </row>
    <row r="478" spans="1:8" hidden="1" x14ac:dyDescent="0.3">
      <c r="A478" s="28">
        <v>14484</v>
      </c>
      <c r="B478" s="31">
        <v>45148.422222222223</v>
      </c>
      <c r="C478" s="18">
        <v>45148</v>
      </c>
      <c r="D478" t="s">
        <v>101</v>
      </c>
      <c r="E478" s="32">
        <v>0</v>
      </c>
      <c r="F478" s="32">
        <v>39012600</v>
      </c>
      <c r="G478" s="32">
        <v>34691146</v>
      </c>
      <c r="H478" t="s">
        <v>105</v>
      </c>
    </row>
    <row r="479" spans="1:8" hidden="1" x14ac:dyDescent="0.3">
      <c r="A479" s="28">
        <v>14482</v>
      </c>
      <c r="B479" s="31">
        <v>45147.640972222223</v>
      </c>
      <c r="C479" s="18">
        <v>45147</v>
      </c>
      <c r="D479" t="s">
        <v>100</v>
      </c>
      <c r="E479" s="32">
        <v>1210000</v>
      </c>
      <c r="F479" s="32">
        <v>0</v>
      </c>
      <c r="G479" s="32">
        <v>73703746</v>
      </c>
      <c r="H479" t="s">
        <v>130</v>
      </c>
    </row>
    <row r="480" spans="1:8" hidden="1" x14ac:dyDescent="0.3">
      <c r="A480" s="28">
        <v>14481</v>
      </c>
      <c r="B480" s="31">
        <v>45147.640972222223</v>
      </c>
      <c r="C480" s="18">
        <v>45147</v>
      </c>
      <c r="D480" t="s">
        <v>100</v>
      </c>
      <c r="E480" s="32">
        <v>4934600</v>
      </c>
      <c r="F480" s="32">
        <v>0</v>
      </c>
      <c r="G480" s="32">
        <v>72493746</v>
      </c>
      <c r="H480" t="s">
        <v>130</v>
      </c>
    </row>
    <row r="481" spans="1:8" hidden="1" x14ac:dyDescent="0.3">
      <c r="A481" s="28">
        <v>14478</v>
      </c>
      <c r="B481" s="31">
        <v>45147.474305555559</v>
      </c>
      <c r="C481" s="18">
        <v>45147</v>
      </c>
      <c r="D481" t="s">
        <v>101</v>
      </c>
      <c r="E481" s="32">
        <v>0</v>
      </c>
      <c r="F481" s="32">
        <v>26222200</v>
      </c>
      <c r="G481" s="32">
        <v>67559146</v>
      </c>
      <c r="H481" t="s">
        <v>105</v>
      </c>
    </row>
    <row r="482" spans="1:8" hidden="1" x14ac:dyDescent="0.3">
      <c r="A482" s="28">
        <v>14465</v>
      </c>
      <c r="B482" s="31">
        <v>45145.761805555558</v>
      </c>
      <c r="C482" s="18">
        <v>45145</v>
      </c>
      <c r="D482" t="s">
        <v>101</v>
      </c>
      <c r="E482" s="32">
        <v>0</v>
      </c>
      <c r="F482" s="32">
        <v>240000</v>
      </c>
      <c r="G482" s="32">
        <v>93781346</v>
      </c>
      <c r="H482" t="s">
        <v>106</v>
      </c>
    </row>
    <row r="483" spans="1:8" hidden="1" x14ac:dyDescent="0.3">
      <c r="A483" s="28">
        <v>14460</v>
      </c>
      <c r="B483" s="31">
        <v>45145.48541666667</v>
      </c>
      <c r="C483" s="18">
        <v>45145</v>
      </c>
      <c r="D483" t="s">
        <v>101</v>
      </c>
      <c r="E483" s="32">
        <v>0</v>
      </c>
      <c r="F483" s="32">
        <v>26036000</v>
      </c>
      <c r="G483" s="32">
        <v>94021346</v>
      </c>
      <c r="H483" t="s">
        <v>105</v>
      </c>
    </row>
    <row r="484" spans="1:8" hidden="1" x14ac:dyDescent="0.3">
      <c r="A484" s="28">
        <v>14454</v>
      </c>
      <c r="B484" s="31">
        <v>45145.377083333333</v>
      </c>
      <c r="C484" s="18">
        <v>45145</v>
      </c>
      <c r="D484" t="s">
        <v>100</v>
      </c>
      <c r="E484" s="32">
        <v>41000000</v>
      </c>
      <c r="F484" s="32">
        <v>0</v>
      </c>
      <c r="G484" s="32">
        <v>120057346</v>
      </c>
      <c r="H484" t="s">
        <v>129</v>
      </c>
    </row>
    <row r="485" spans="1:8" hidden="1" x14ac:dyDescent="0.3">
      <c r="A485" s="28">
        <v>14436</v>
      </c>
      <c r="B485" s="31">
        <v>45141.490277777775</v>
      </c>
      <c r="C485" s="18">
        <v>45141</v>
      </c>
      <c r="D485" t="s">
        <v>101</v>
      </c>
      <c r="E485" s="32">
        <v>0</v>
      </c>
      <c r="F485" s="32">
        <v>70000000</v>
      </c>
      <c r="G485" s="32">
        <v>79057346</v>
      </c>
      <c r="H485" t="s">
        <v>111</v>
      </c>
    </row>
    <row r="486" spans="1:8" hidden="1" x14ac:dyDescent="0.3">
      <c r="A486" s="28">
        <v>14435</v>
      </c>
      <c r="B486" s="31">
        <v>45141.45</v>
      </c>
      <c r="C486" s="18">
        <v>45141</v>
      </c>
      <c r="D486" t="s">
        <v>101</v>
      </c>
      <c r="E486" s="32">
        <v>0</v>
      </c>
      <c r="F486" s="32">
        <v>105210</v>
      </c>
      <c r="G486" s="32">
        <v>149057346</v>
      </c>
      <c r="H486" t="s">
        <v>108</v>
      </c>
    </row>
    <row r="487" spans="1:8" hidden="1" x14ac:dyDescent="0.3">
      <c r="A487" s="28">
        <v>14421</v>
      </c>
      <c r="B487" s="31">
        <v>45138.670138888891</v>
      </c>
      <c r="C487" s="18">
        <v>45138</v>
      </c>
      <c r="D487" t="s">
        <v>100</v>
      </c>
      <c r="E487" s="32">
        <v>124117900</v>
      </c>
      <c r="F487" s="32">
        <v>0</v>
      </c>
      <c r="G487" s="32">
        <v>149162556</v>
      </c>
      <c r="H487" t="s">
        <v>112</v>
      </c>
    </row>
    <row r="488" spans="1:8" hidden="1" x14ac:dyDescent="0.3">
      <c r="A488" s="28">
        <v>14382</v>
      </c>
      <c r="B488" s="31">
        <v>45134.648611111108</v>
      </c>
      <c r="C488" s="18">
        <v>45134</v>
      </c>
      <c r="D488" t="s">
        <v>100</v>
      </c>
      <c r="E488" s="32">
        <v>7620800</v>
      </c>
      <c r="F488" s="32">
        <v>0</v>
      </c>
      <c r="G488" s="32">
        <v>25044656</v>
      </c>
      <c r="H488" t="s">
        <v>161</v>
      </c>
    </row>
    <row r="489" spans="1:8" hidden="1" x14ac:dyDescent="0.3">
      <c r="A489" s="28">
        <v>14372</v>
      </c>
      <c r="B489" s="31">
        <v>45134.304166666669</v>
      </c>
      <c r="C489" s="18">
        <v>45134</v>
      </c>
      <c r="D489" t="s">
        <v>101</v>
      </c>
      <c r="E489" s="32">
        <v>0</v>
      </c>
      <c r="F489" s="32">
        <v>180000</v>
      </c>
      <c r="G489" s="32">
        <v>17423856</v>
      </c>
      <c r="H489" t="s">
        <v>193</v>
      </c>
    </row>
    <row r="490" spans="1:8" hidden="1" x14ac:dyDescent="0.3">
      <c r="A490" s="28">
        <v>14370</v>
      </c>
      <c r="B490" s="31">
        <v>45133.686111111114</v>
      </c>
      <c r="C490" s="18">
        <v>45133</v>
      </c>
      <c r="D490" t="s">
        <v>100</v>
      </c>
      <c r="E490" s="32">
        <v>1254000</v>
      </c>
      <c r="F490" s="32">
        <v>0</v>
      </c>
      <c r="G490" s="32">
        <v>17603856</v>
      </c>
      <c r="H490" t="s">
        <v>130</v>
      </c>
    </row>
    <row r="491" spans="1:8" hidden="1" x14ac:dyDescent="0.3">
      <c r="A491" s="28">
        <v>14367</v>
      </c>
      <c r="B491" s="31">
        <v>45133.295138888891</v>
      </c>
      <c r="C491" s="18">
        <v>45133</v>
      </c>
      <c r="D491" t="s">
        <v>101</v>
      </c>
      <c r="E491" s="32">
        <v>0</v>
      </c>
      <c r="F491" s="32">
        <v>251200</v>
      </c>
      <c r="G491" s="32">
        <v>16349856</v>
      </c>
      <c r="H491" t="s">
        <v>116</v>
      </c>
    </row>
    <row r="492" spans="1:8" hidden="1" x14ac:dyDescent="0.3">
      <c r="A492" s="28">
        <v>14366</v>
      </c>
      <c r="B492" s="31">
        <v>45133.295138888891</v>
      </c>
      <c r="C492" s="18">
        <v>45133</v>
      </c>
      <c r="D492" t="s">
        <v>101</v>
      </c>
      <c r="E492" s="32">
        <v>0</v>
      </c>
      <c r="F492" s="32">
        <v>3215022</v>
      </c>
      <c r="G492" s="32">
        <v>16601056</v>
      </c>
      <c r="H492" t="s">
        <v>116</v>
      </c>
    </row>
    <row r="493" spans="1:8" hidden="1" x14ac:dyDescent="0.3">
      <c r="A493" s="28">
        <v>14364</v>
      </c>
      <c r="B493" s="31">
        <v>45132.773611111108</v>
      </c>
      <c r="C493" s="18">
        <v>45132</v>
      </c>
      <c r="D493" t="s">
        <v>101</v>
      </c>
      <c r="E493" s="32">
        <v>0</v>
      </c>
      <c r="F493" s="32">
        <v>5980</v>
      </c>
      <c r="G493" s="32">
        <v>19816078</v>
      </c>
      <c r="H493" t="s">
        <v>194</v>
      </c>
    </row>
    <row r="494" spans="1:8" hidden="1" x14ac:dyDescent="0.3">
      <c r="A494" s="28">
        <v>14363</v>
      </c>
      <c r="B494" s="31">
        <v>45132.772222222222</v>
      </c>
      <c r="C494" s="18">
        <v>45132</v>
      </c>
      <c r="D494" t="s">
        <v>101</v>
      </c>
      <c r="E494" s="32">
        <v>0</v>
      </c>
      <c r="F494" s="32">
        <v>240000</v>
      </c>
      <c r="G494" s="32">
        <v>19822058</v>
      </c>
      <c r="H494" t="s">
        <v>106</v>
      </c>
    </row>
    <row r="495" spans="1:8" hidden="1" x14ac:dyDescent="0.3">
      <c r="A495" s="28">
        <v>14347</v>
      </c>
      <c r="B495" s="31">
        <v>45131.333333333336</v>
      </c>
      <c r="C495" s="18">
        <v>45131</v>
      </c>
      <c r="D495" t="s">
        <v>101</v>
      </c>
      <c r="E495" s="32">
        <v>0</v>
      </c>
      <c r="F495" s="32">
        <v>51352690</v>
      </c>
      <c r="G495" s="32">
        <v>20062058</v>
      </c>
      <c r="H495" t="s">
        <v>195</v>
      </c>
    </row>
    <row r="496" spans="1:8" hidden="1" x14ac:dyDescent="0.3">
      <c r="A496" s="28">
        <v>14346</v>
      </c>
      <c r="B496" s="31">
        <v>45128.758333333331</v>
      </c>
      <c r="C496" s="18">
        <v>45128</v>
      </c>
      <c r="D496" t="s">
        <v>101</v>
      </c>
      <c r="E496" s="32">
        <v>0</v>
      </c>
      <c r="F496" s="32">
        <v>12100</v>
      </c>
      <c r="G496" s="32">
        <v>71414748</v>
      </c>
      <c r="H496" t="s">
        <v>196</v>
      </c>
    </row>
    <row r="497" spans="1:8" hidden="1" x14ac:dyDescent="0.3">
      <c r="A497" s="28">
        <v>14345</v>
      </c>
      <c r="B497" s="31">
        <v>45128.758333333331</v>
      </c>
      <c r="C497" s="18">
        <v>45128</v>
      </c>
      <c r="D497" t="s">
        <v>101</v>
      </c>
      <c r="E497" s="32">
        <v>0</v>
      </c>
      <c r="F497" s="32">
        <v>260510</v>
      </c>
      <c r="G497" s="32">
        <v>71426848</v>
      </c>
      <c r="H497" t="s">
        <v>197</v>
      </c>
    </row>
    <row r="498" spans="1:8" hidden="1" x14ac:dyDescent="0.3">
      <c r="A498" s="28">
        <v>14344</v>
      </c>
      <c r="B498" s="31">
        <v>45128.62222222222</v>
      </c>
      <c r="C498" s="18">
        <v>45128</v>
      </c>
      <c r="D498" t="s">
        <v>100</v>
      </c>
      <c r="E498" s="32">
        <v>1180300</v>
      </c>
      <c r="F498" s="32">
        <v>0</v>
      </c>
      <c r="G498" s="32">
        <v>71687358</v>
      </c>
      <c r="H498" t="s">
        <v>198</v>
      </c>
    </row>
    <row r="499" spans="1:8" hidden="1" x14ac:dyDescent="0.3">
      <c r="A499" s="28">
        <v>14315</v>
      </c>
      <c r="B499" s="31">
        <v>45126.474999999999</v>
      </c>
      <c r="C499" s="18">
        <v>45126</v>
      </c>
      <c r="D499" t="s">
        <v>101</v>
      </c>
      <c r="E499" s="32">
        <v>0</v>
      </c>
      <c r="F499" s="32">
        <v>40000000</v>
      </c>
      <c r="G499" s="32">
        <v>70507058</v>
      </c>
      <c r="H499" t="s">
        <v>199</v>
      </c>
    </row>
    <row r="500" spans="1:8" hidden="1" x14ac:dyDescent="0.3">
      <c r="A500" s="28">
        <v>14314</v>
      </c>
      <c r="B500" s="31">
        <v>45126.472916666666</v>
      </c>
      <c r="C500" s="18">
        <v>45126</v>
      </c>
      <c r="D500" t="s">
        <v>100</v>
      </c>
      <c r="E500" s="32">
        <v>99837261</v>
      </c>
      <c r="F500" s="32">
        <v>0</v>
      </c>
      <c r="G500" s="32">
        <v>110507058</v>
      </c>
      <c r="H500" t="s">
        <v>200</v>
      </c>
    </row>
    <row r="501" spans="1:8" hidden="1" x14ac:dyDescent="0.3">
      <c r="A501" s="28">
        <v>14313</v>
      </c>
      <c r="B501" s="31">
        <v>45126.46597222222</v>
      </c>
      <c r="C501" s="18">
        <v>45126</v>
      </c>
      <c r="D501" t="s">
        <v>101</v>
      </c>
      <c r="E501" s="32">
        <v>0</v>
      </c>
      <c r="F501" s="32">
        <v>38093100</v>
      </c>
      <c r="G501" s="32">
        <v>10669797</v>
      </c>
      <c r="H501" t="s">
        <v>201</v>
      </c>
    </row>
    <row r="502" spans="1:8" hidden="1" x14ac:dyDescent="0.3">
      <c r="A502" s="28">
        <v>14305</v>
      </c>
      <c r="B502" s="31">
        <v>45125.408333333333</v>
      </c>
      <c r="C502" s="18">
        <v>45125</v>
      </c>
      <c r="D502" t="s">
        <v>101</v>
      </c>
      <c r="E502" s="32">
        <v>0</v>
      </c>
      <c r="F502" s="32">
        <v>25315200</v>
      </c>
      <c r="G502" s="32">
        <v>48762897</v>
      </c>
      <c r="H502" t="s">
        <v>201</v>
      </c>
    </row>
    <row r="503" spans="1:8" hidden="1" x14ac:dyDescent="0.3">
      <c r="A503" s="28">
        <v>14304</v>
      </c>
      <c r="B503" s="31">
        <v>45125.400694444441</v>
      </c>
      <c r="C503" s="18">
        <v>45125</v>
      </c>
      <c r="D503" t="s">
        <v>101</v>
      </c>
      <c r="E503" s="32">
        <v>0</v>
      </c>
      <c r="F503" s="32">
        <v>993756</v>
      </c>
      <c r="G503" s="32">
        <v>74078097</v>
      </c>
      <c r="H503" t="s">
        <v>201</v>
      </c>
    </row>
    <row r="504" spans="1:8" hidden="1" x14ac:dyDescent="0.3">
      <c r="A504" s="28">
        <v>14303</v>
      </c>
      <c r="B504" s="31">
        <v>45125.384027777778</v>
      </c>
      <c r="C504" s="18">
        <v>45125</v>
      </c>
      <c r="D504" t="s">
        <v>100</v>
      </c>
      <c r="E504" s="32">
        <v>69000000</v>
      </c>
      <c r="F504" s="32">
        <v>0</v>
      </c>
      <c r="G504" s="32">
        <v>75071853</v>
      </c>
      <c r="H504" t="s">
        <v>202</v>
      </c>
    </row>
    <row r="505" spans="1:8" hidden="1" x14ac:dyDescent="0.3">
      <c r="A505" s="28">
        <v>14295</v>
      </c>
      <c r="B505" s="31">
        <v>45124.806944444441</v>
      </c>
      <c r="C505" s="18">
        <v>45124</v>
      </c>
      <c r="D505" t="s">
        <v>101</v>
      </c>
      <c r="E505" s="32">
        <v>0</v>
      </c>
      <c r="F505" s="32">
        <v>3000000</v>
      </c>
      <c r="G505" s="32">
        <v>6071853</v>
      </c>
      <c r="H505" t="s">
        <v>203</v>
      </c>
    </row>
    <row r="506" spans="1:8" hidden="1" x14ac:dyDescent="0.3">
      <c r="A506" s="28">
        <v>14293</v>
      </c>
      <c r="B506" s="31">
        <v>45124.780555555553</v>
      </c>
      <c r="C506" s="18">
        <v>45124</v>
      </c>
      <c r="D506" t="s">
        <v>101</v>
      </c>
      <c r="E506" s="32">
        <v>0</v>
      </c>
      <c r="F506" s="32">
        <v>1920000</v>
      </c>
      <c r="G506" s="32">
        <v>9071853</v>
      </c>
      <c r="H506" t="s">
        <v>204</v>
      </c>
    </row>
    <row r="507" spans="1:8" hidden="1" x14ac:dyDescent="0.3">
      <c r="A507" s="28">
        <v>14285</v>
      </c>
      <c r="B507" s="31">
        <v>45124.35</v>
      </c>
      <c r="C507" s="18">
        <v>45124</v>
      </c>
      <c r="D507" t="s">
        <v>100</v>
      </c>
      <c r="E507" s="32">
        <v>6938</v>
      </c>
      <c r="F507" s="32">
        <v>0</v>
      </c>
      <c r="G507" s="32">
        <v>10991853</v>
      </c>
      <c r="H507" t="s">
        <v>205</v>
      </c>
    </row>
    <row r="508" spans="1:8" hidden="1" x14ac:dyDescent="0.3">
      <c r="A508" s="28">
        <v>14265</v>
      </c>
      <c r="B508" s="31">
        <v>45121.405555555553</v>
      </c>
      <c r="C508" s="18">
        <v>45121</v>
      </c>
      <c r="D508" t="s">
        <v>101</v>
      </c>
      <c r="E508" s="32">
        <v>0</v>
      </c>
      <c r="F508" s="32">
        <v>7000000</v>
      </c>
      <c r="G508" s="32">
        <v>10984915</v>
      </c>
      <c r="H508" t="s">
        <v>199</v>
      </c>
    </row>
    <row r="509" spans="1:8" hidden="1" x14ac:dyDescent="0.3">
      <c r="A509" s="28">
        <v>14264</v>
      </c>
      <c r="B509" s="31">
        <v>45121.402083333334</v>
      </c>
      <c r="C509" s="18">
        <v>45121</v>
      </c>
      <c r="D509" t="s">
        <v>101</v>
      </c>
      <c r="E509" s="32">
        <v>0</v>
      </c>
      <c r="F509" s="32">
        <v>2542540</v>
      </c>
      <c r="G509" s="32">
        <v>17984915</v>
      </c>
      <c r="H509" t="s">
        <v>201</v>
      </c>
    </row>
    <row r="510" spans="1:8" hidden="1" x14ac:dyDescent="0.3">
      <c r="A510" s="28">
        <v>14261</v>
      </c>
      <c r="B510" s="31">
        <v>45120.697916666664</v>
      </c>
      <c r="C510" s="18">
        <v>45120</v>
      </c>
      <c r="D510" t="s">
        <v>100</v>
      </c>
      <c r="E510" s="32">
        <v>6751800</v>
      </c>
      <c r="F510" s="32">
        <v>0</v>
      </c>
      <c r="G510" s="32">
        <v>20527455</v>
      </c>
      <c r="H510" t="s">
        <v>206</v>
      </c>
    </row>
    <row r="511" spans="1:8" hidden="1" x14ac:dyDescent="0.3">
      <c r="A511" s="28">
        <v>14259</v>
      </c>
      <c r="B511" s="31">
        <v>45120.645138888889</v>
      </c>
      <c r="C511" s="18">
        <v>45120</v>
      </c>
      <c r="D511" t="s">
        <v>100</v>
      </c>
      <c r="E511" s="32">
        <v>2134000</v>
      </c>
      <c r="F511" s="32">
        <v>0</v>
      </c>
      <c r="G511" s="32">
        <v>13775655</v>
      </c>
      <c r="H511" t="s">
        <v>207</v>
      </c>
    </row>
    <row r="512" spans="1:8" hidden="1" x14ac:dyDescent="0.3">
      <c r="A512" s="28">
        <v>14258</v>
      </c>
      <c r="B512" s="31">
        <v>45120.645138888889</v>
      </c>
      <c r="C512" s="18">
        <v>45120</v>
      </c>
      <c r="D512" t="s">
        <v>100</v>
      </c>
      <c r="E512" s="32">
        <v>2673000</v>
      </c>
      <c r="F512" s="32">
        <v>0</v>
      </c>
      <c r="G512" s="32">
        <v>11641655</v>
      </c>
      <c r="H512" t="s">
        <v>207</v>
      </c>
    </row>
    <row r="513" spans="1:8" hidden="1" x14ac:dyDescent="0.3">
      <c r="A513" s="28">
        <v>14257</v>
      </c>
      <c r="B513" s="31">
        <v>45120.645138888889</v>
      </c>
      <c r="C513" s="18">
        <v>45120</v>
      </c>
      <c r="D513" t="s">
        <v>100</v>
      </c>
      <c r="E513" s="32">
        <v>6021400</v>
      </c>
      <c r="F513" s="32">
        <v>0</v>
      </c>
      <c r="G513" s="32">
        <v>8968655</v>
      </c>
      <c r="H513" t="s">
        <v>207</v>
      </c>
    </row>
    <row r="514" spans="1:8" hidden="1" x14ac:dyDescent="0.3">
      <c r="A514" s="28">
        <v>14256</v>
      </c>
      <c r="B514" s="31">
        <v>45120.645138888889</v>
      </c>
      <c r="C514" s="18">
        <v>45120</v>
      </c>
      <c r="D514" t="s">
        <v>100</v>
      </c>
      <c r="E514" s="32">
        <v>1142900</v>
      </c>
      <c r="F514" s="32">
        <v>0</v>
      </c>
      <c r="G514" s="32">
        <v>2947255</v>
      </c>
      <c r="H514" t="s">
        <v>207</v>
      </c>
    </row>
    <row r="515" spans="1:8" hidden="1" x14ac:dyDescent="0.3">
      <c r="A515" s="28">
        <v>14255</v>
      </c>
      <c r="B515" s="31">
        <v>45120.628472222219</v>
      </c>
      <c r="C515" s="18">
        <v>45120</v>
      </c>
      <c r="D515" t="s">
        <v>101</v>
      </c>
      <c r="E515" s="32">
        <v>0</v>
      </c>
      <c r="F515" s="32">
        <v>2555560</v>
      </c>
      <c r="G515" s="32">
        <v>1804355</v>
      </c>
      <c r="H515" t="s">
        <v>201</v>
      </c>
    </row>
    <row r="516" spans="1:8" hidden="1" x14ac:dyDescent="0.3">
      <c r="A516" s="28">
        <v>14253</v>
      </c>
      <c r="B516" s="31">
        <v>45120.393750000003</v>
      </c>
      <c r="C516" s="18">
        <v>45120</v>
      </c>
      <c r="D516" t="s">
        <v>101</v>
      </c>
      <c r="E516" s="32">
        <v>0</v>
      </c>
      <c r="F516" s="32">
        <v>3838440</v>
      </c>
      <c r="G516" s="32">
        <v>4359915</v>
      </c>
      <c r="H516" t="s">
        <v>201</v>
      </c>
    </row>
    <row r="517" spans="1:8" hidden="1" x14ac:dyDescent="0.3">
      <c r="A517" s="28">
        <v>14249</v>
      </c>
      <c r="B517" s="31">
        <v>45119.620833333334</v>
      </c>
      <c r="C517" s="18">
        <v>45119</v>
      </c>
      <c r="D517" t="s">
        <v>100</v>
      </c>
      <c r="E517" s="32">
        <v>1861200</v>
      </c>
      <c r="F517" s="32">
        <v>0</v>
      </c>
      <c r="G517" s="32">
        <v>8198355</v>
      </c>
      <c r="H517" t="s">
        <v>208</v>
      </c>
    </row>
    <row r="518" spans="1:8" hidden="1" x14ac:dyDescent="0.3">
      <c r="A518" s="28">
        <v>14248</v>
      </c>
      <c r="B518" s="31">
        <v>45119.589583333334</v>
      </c>
      <c r="C518" s="18">
        <v>45119</v>
      </c>
      <c r="D518" t="s">
        <v>100</v>
      </c>
      <c r="E518" s="32">
        <v>60500</v>
      </c>
      <c r="F518" s="32">
        <v>0</v>
      </c>
      <c r="G518" s="32">
        <v>6337155</v>
      </c>
      <c r="H518" t="s">
        <v>209</v>
      </c>
    </row>
    <row r="519" spans="1:8" hidden="1" x14ac:dyDescent="0.3">
      <c r="A519" s="28">
        <v>14247</v>
      </c>
      <c r="B519" s="31">
        <v>45119.588888888888</v>
      </c>
      <c r="C519" s="18">
        <v>45119</v>
      </c>
      <c r="D519" t="s">
        <v>100</v>
      </c>
      <c r="E519" s="32">
        <v>1151700</v>
      </c>
      <c r="F519" s="32">
        <v>0</v>
      </c>
      <c r="G519" s="32">
        <v>6276655</v>
      </c>
      <c r="H519" t="s">
        <v>209</v>
      </c>
    </row>
    <row r="520" spans="1:8" hidden="1" x14ac:dyDescent="0.3">
      <c r="A520" s="28">
        <v>14239</v>
      </c>
      <c r="B520" s="31">
        <v>45118.438194444447</v>
      </c>
      <c r="C520" s="18">
        <v>45118</v>
      </c>
      <c r="D520" t="s">
        <v>101</v>
      </c>
      <c r="E520" s="32">
        <v>0</v>
      </c>
      <c r="F520" s="32">
        <v>4091400</v>
      </c>
      <c r="G520" s="32">
        <v>5124955</v>
      </c>
      <c r="H520" t="s">
        <v>210</v>
      </c>
    </row>
    <row r="521" spans="1:8" hidden="1" x14ac:dyDescent="0.3">
      <c r="A521" s="28">
        <v>14236</v>
      </c>
      <c r="B521" s="31">
        <v>45118.390972222223</v>
      </c>
      <c r="C521" s="18">
        <v>45118</v>
      </c>
      <c r="D521" t="s">
        <v>101</v>
      </c>
      <c r="E521" s="32">
        <v>0</v>
      </c>
      <c r="F521" s="32">
        <v>32492500</v>
      </c>
      <c r="G521" s="32">
        <v>9216355</v>
      </c>
      <c r="H521" t="s">
        <v>201</v>
      </c>
    </row>
    <row r="522" spans="1:8" hidden="1" x14ac:dyDescent="0.3">
      <c r="A522" s="28">
        <v>14235</v>
      </c>
      <c r="B522" s="31">
        <v>45117.772222222222</v>
      </c>
      <c r="C522" s="18">
        <v>45117</v>
      </c>
      <c r="D522" t="s">
        <v>101</v>
      </c>
      <c r="E522" s="32">
        <v>0</v>
      </c>
      <c r="F522" s="32">
        <v>791880</v>
      </c>
      <c r="G522" s="32">
        <v>41708855</v>
      </c>
      <c r="H522" t="s">
        <v>211</v>
      </c>
    </row>
    <row r="523" spans="1:8" hidden="1" x14ac:dyDescent="0.3">
      <c r="A523" s="28">
        <v>14234</v>
      </c>
      <c r="B523" s="31">
        <v>45117.770138888889</v>
      </c>
      <c r="C523" s="18">
        <v>45117</v>
      </c>
      <c r="D523" t="s">
        <v>101</v>
      </c>
      <c r="E523" s="32">
        <v>0</v>
      </c>
      <c r="F523" s="32">
        <v>375770</v>
      </c>
      <c r="G523" s="32">
        <v>42500735</v>
      </c>
      <c r="H523" t="s">
        <v>212</v>
      </c>
    </row>
    <row r="524" spans="1:8" hidden="1" x14ac:dyDescent="0.3">
      <c r="A524" s="28">
        <v>14233</v>
      </c>
      <c r="B524" s="31">
        <v>45117.767361111109</v>
      </c>
      <c r="C524" s="18">
        <v>45117</v>
      </c>
      <c r="D524" t="s">
        <v>101</v>
      </c>
      <c r="E524" s="32">
        <v>0</v>
      </c>
      <c r="F524" s="32">
        <v>4983180</v>
      </c>
      <c r="G524" s="32">
        <v>42876505</v>
      </c>
      <c r="H524" t="s">
        <v>213</v>
      </c>
    </row>
    <row r="525" spans="1:8" hidden="1" x14ac:dyDescent="0.3">
      <c r="A525" s="28">
        <v>14232</v>
      </c>
      <c r="B525" s="31">
        <v>45117.762499999997</v>
      </c>
      <c r="C525" s="18">
        <v>45117</v>
      </c>
      <c r="D525" t="s">
        <v>101</v>
      </c>
      <c r="E525" s="32">
        <v>0</v>
      </c>
      <c r="F525" s="32">
        <v>4095700</v>
      </c>
      <c r="G525" s="32">
        <v>47859685</v>
      </c>
      <c r="H525" t="s">
        <v>214</v>
      </c>
    </row>
    <row r="526" spans="1:8" hidden="1" x14ac:dyDescent="0.3">
      <c r="A526" s="28">
        <v>14231</v>
      </c>
      <c r="B526" s="31">
        <v>45117.701388888891</v>
      </c>
      <c r="C526" s="18">
        <v>45117</v>
      </c>
      <c r="D526" t="s">
        <v>100</v>
      </c>
      <c r="E526" s="32">
        <v>9149800</v>
      </c>
      <c r="F526" s="32">
        <v>0</v>
      </c>
      <c r="G526" s="32">
        <v>51955385</v>
      </c>
      <c r="H526" t="s">
        <v>215</v>
      </c>
    </row>
    <row r="527" spans="1:8" hidden="1" x14ac:dyDescent="0.3">
      <c r="A527" s="28">
        <v>14230</v>
      </c>
      <c r="B527" s="31">
        <v>45117.614583333336</v>
      </c>
      <c r="C527" s="18">
        <v>45117</v>
      </c>
      <c r="D527" t="s">
        <v>100</v>
      </c>
      <c r="E527" s="32">
        <v>11000000</v>
      </c>
      <c r="F527" s="32">
        <v>0</v>
      </c>
      <c r="G527" s="32">
        <v>42805585</v>
      </c>
      <c r="H527" t="s">
        <v>199</v>
      </c>
    </row>
    <row r="528" spans="1:8" hidden="1" x14ac:dyDescent="0.3">
      <c r="A528" s="28">
        <v>14227</v>
      </c>
      <c r="B528" s="31">
        <v>45117.548611111109</v>
      </c>
      <c r="C528" s="18">
        <v>45117</v>
      </c>
      <c r="D528" t="s">
        <v>100</v>
      </c>
      <c r="E528" s="32">
        <v>12300000</v>
      </c>
      <c r="F528" s="32">
        <v>0</v>
      </c>
      <c r="G528" s="32">
        <v>31805585</v>
      </c>
      <c r="H528" t="s">
        <v>216</v>
      </c>
    </row>
    <row r="529" spans="1:8" hidden="1" x14ac:dyDescent="0.3">
      <c r="A529" s="28">
        <v>14217</v>
      </c>
      <c r="B529" s="31">
        <v>45117.209722222222</v>
      </c>
      <c r="C529" s="18">
        <v>45117</v>
      </c>
      <c r="D529" t="s">
        <v>100</v>
      </c>
      <c r="E529" s="32">
        <v>12075800</v>
      </c>
      <c r="F529" s="32">
        <v>0</v>
      </c>
      <c r="G529" s="32">
        <v>19505585</v>
      </c>
      <c r="H529" t="s">
        <v>217</v>
      </c>
    </row>
    <row r="530" spans="1:8" hidden="1" x14ac:dyDescent="0.3">
      <c r="A530" s="28"/>
      <c r="B530" s="31"/>
    </row>
    <row r="531" spans="1:8" hidden="1" x14ac:dyDescent="0.3">
      <c r="A531" s="28"/>
      <c r="B531" s="31"/>
    </row>
    <row r="532" spans="1:8" hidden="1" x14ac:dyDescent="0.3">
      <c r="A532" s="28"/>
      <c r="B532" s="31"/>
    </row>
    <row r="533" spans="1:8" hidden="1" x14ac:dyDescent="0.3">
      <c r="A533" s="28"/>
      <c r="B533" s="31"/>
    </row>
    <row r="534" spans="1:8" hidden="1" x14ac:dyDescent="0.3">
      <c r="A534" s="28"/>
      <c r="B534" s="31"/>
    </row>
    <row r="535" spans="1:8" hidden="1" x14ac:dyDescent="0.3">
      <c r="A535" s="28"/>
      <c r="B535" s="31"/>
    </row>
    <row r="536" spans="1:8" hidden="1" x14ac:dyDescent="0.3">
      <c r="A536" s="28"/>
      <c r="B536" s="31"/>
    </row>
    <row r="537" spans="1:8" hidden="1" x14ac:dyDescent="0.3">
      <c r="A537" s="28"/>
      <c r="B537" s="31"/>
    </row>
    <row r="538" spans="1:8" hidden="1" x14ac:dyDescent="0.3">
      <c r="A538" s="28"/>
      <c r="B538" s="31"/>
    </row>
    <row r="539" spans="1:8" hidden="1" x14ac:dyDescent="0.3">
      <c r="A539" s="28"/>
      <c r="B539" s="35"/>
    </row>
    <row r="540" spans="1:8" hidden="1" x14ac:dyDescent="0.3">
      <c r="A540" s="28"/>
      <c r="B540" s="35"/>
    </row>
    <row r="541" spans="1:8" hidden="1" x14ac:dyDescent="0.3">
      <c r="A541" s="28"/>
      <c r="B541" s="35"/>
    </row>
    <row r="542" spans="1:8" hidden="1" x14ac:dyDescent="0.3">
      <c r="A542" s="28"/>
      <c r="B542" s="35"/>
    </row>
    <row r="543" spans="1:8" hidden="1" x14ac:dyDescent="0.3">
      <c r="A543" s="28"/>
      <c r="B543" s="35"/>
    </row>
    <row r="544" spans="1:8" hidden="1" x14ac:dyDescent="0.3">
      <c r="A544" s="28"/>
      <c r="B544" s="35"/>
    </row>
    <row r="545" spans="1:2" hidden="1" x14ac:dyDescent="0.3">
      <c r="A545" s="28"/>
      <c r="B545" s="35"/>
    </row>
    <row r="546" spans="1:2" hidden="1" x14ac:dyDescent="0.3">
      <c r="A546" s="28"/>
      <c r="B546" s="35"/>
    </row>
    <row r="547" spans="1:2" hidden="1" x14ac:dyDescent="0.3">
      <c r="A547" s="28"/>
      <c r="B547" s="35"/>
    </row>
    <row r="548" spans="1:2" hidden="1" x14ac:dyDescent="0.3">
      <c r="A548" s="28"/>
      <c r="B548" s="35"/>
    </row>
    <row r="549" spans="1:2" hidden="1" x14ac:dyDescent="0.3">
      <c r="A549" s="28"/>
      <c r="B549" s="35"/>
    </row>
    <row r="550" spans="1:2" hidden="1" x14ac:dyDescent="0.3">
      <c r="A550" s="28"/>
      <c r="B550" s="35"/>
    </row>
    <row r="551" spans="1:2" hidden="1" x14ac:dyDescent="0.3">
      <c r="A551" s="28"/>
      <c r="B551" s="35"/>
    </row>
    <row r="552" spans="1:2" hidden="1" x14ac:dyDescent="0.3">
      <c r="A552" s="28"/>
      <c r="B552" s="35"/>
    </row>
    <row r="553" spans="1:2" hidden="1" x14ac:dyDescent="0.3">
      <c r="A553" s="28"/>
      <c r="B553" s="35"/>
    </row>
    <row r="554" spans="1:2" hidden="1" x14ac:dyDescent="0.3">
      <c r="A554" s="28"/>
      <c r="B554" s="35"/>
    </row>
    <row r="555" spans="1:2" hidden="1" x14ac:dyDescent="0.3">
      <c r="A555" s="28"/>
      <c r="B555" s="35"/>
    </row>
    <row r="556" spans="1:2" hidden="1" x14ac:dyDescent="0.3">
      <c r="A556" s="28"/>
      <c r="B556" s="35"/>
    </row>
    <row r="557" spans="1:2" hidden="1" x14ac:dyDescent="0.3">
      <c r="A557" s="28"/>
      <c r="B557" s="35"/>
    </row>
    <row r="558" spans="1:2" hidden="1" x14ac:dyDescent="0.3">
      <c r="A558" s="28"/>
      <c r="B558" s="35"/>
    </row>
    <row r="559" spans="1:2" hidden="1" x14ac:dyDescent="0.3">
      <c r="A559" s="28"/>
      <c r="B559" s="35"/>
    </row>
    <row r="560" spans="1:2" hidden="1" x14ac:dyDescent="0.3">
      <c r="A560" s="28"/>
      <c r="B560" s="35"/>
    </row>
    <row r="561" spans="1:2" hidden="1" x14ac:dyDescent="0.3">
      <c r="A561" s="28"/>
      <c r="B561" s="35"/>
    </row>
    <row r="562" spans="1:2" hidden="1" x14ac:dyDescent="0.3">
      <c r="A562" s="28"/>
      <c r="B562" s="35"/>
    </row>
    <row r="563" spans="1:2" hidden="1" x14ac:dyDescent="0.3">
      <c r="A563" s="28"/>
      <c r="B563" s="35"/>
    </row>
    <row r="564" spans="1:2" hidden="1" x14ac:dyDescent="0.3">
      <c r="A564" s="28"/>
      <c r="B564" s="35"/>
    </row>
    <row r="565" spans="1:2" hidden="1" x14ac:dyDescent="0.3">
      <c r="A565" s="28"/>
      <c r="B565" s="35"/>
    </row>
    <row r="566" spans="1:2" hidden="1" x14ac:dyDescent="0.3">
      <c r="A566" s="28"/>
      <c r="B566" s="35"/>
    </row>
    <row r="567" spans="1:2" hidden="1" x14ac:dyDescent="0.3">
      <c r="A567" s="28"/>
      <c r="B567" s="35"/>
    </row>
    <row r="568" spans="1:2" hidden="1" x14ac:dyDescent="0.3">
      <c r="A568" s="28"/>
      <c r="B568" s="35"/>
    </row>
    <row r="569" spans="1:2" hidden="1" x14ac:dyDescent="0.3">
      <c r="A569" s="28"/>
      <c r="B569" s="35"/>
    </row>
    <row r="570" spans="1:2" hidden="1" x14ac:dyDescent="0.3">
      <c r="A570" s="28"/>
      <c r="B570" s="35"/>
    </row>
    <row r="571" spans="1:2" hidden="1" x14ac:dyDescent="0.3">
      <c r="A571" s="28"/>
      <c r="B571" s="35"/>
    </row>
    <row r="572" spans="1:2" hidden="1" x14ac:dyDescent="0.3">
      <c r="A572" s="28"/>
      <c r="B572" s="35"/>
    </row>
    <row r="573" spans="1:2" hidden="1" x14ac:dyDescent="0.3">
      <c r="A573" s="28"/>
      <c r="B573" s="35"/>
    </row>
    <row r="574" spans="1:2" hidden="1" x14ac:dyDescent="0.3">
      <c r="A574" s="28"/>
      <c r="B574" s="35"/>
    </row>
    <row r="575" spans="1:2" hidden="1" x14ac:dyDescent="0.3">
      <c r="A575" s="28"/>
      <c r="B575" s="35"/>
    </row>
    <row r="576" spans="1:2" hidden="1" x14ac:dyDescent="0.3">
      <c r="A576" s="28"/>
      <c r="B576" s="35"/>
    </row>
    <row r="577" spans="1:2" hidden="1" x14ac:dyDescent="0.3">
      <c r="A577" s="28"/>
      <c r="B577" s="35"/>
    </row>
    <row r="578" spans="1:2" hidden="1" x14ac:dyDescent="0.3">
      <c r="A578" s="28"/>
      <c r="B578" s="35"/>
    </row>
    <row r="579" spans="1:2" hidden="1" x14ac:dyDescent="0.3">
      <c r="A579" s="28"/>
      <c r="B579" s="35"/>
    </row>
    <row r="580" spans="1:2" hidden="1" x14ac:dyDescent="0.3">
      <c r="A580" s="28"/>
      <c r="B580" s="35"/>
    </row>
    <row r="581" spans="1:2" hidden="1" x14ac:dyDescent="0.3">
      <c r="A581" s="28"/>
      <c r="B581" s="35"/>
    </row>
    <row r="582" spans="1:2" hidden="1" x14ac:dyDescent="0.3">
      <c r="A582" s="28"/>
      <c r="B582" s="35"/>
    </row>
    <row r="583" spans="1:2" hidden="1" x14ac:dyDescent="0.3">
      <c r="A583" s="28"/>
      <c r="B583" s="35"/>
    </row>
    <row r="584" spans="1:2" hidden="1" x14ac:dyDescent="0.3">
      <c r="A584" s="28"/>
      <c r="B584" s="35"/>
    </row>
    <row r="585" spans="1:2" hidden="1" x14ac:dyDescent="0.3">
      <c r="A585" s="28"/>
      <c r="B585" s="35"/>
    </row>
    <row r="586" spans="1:2" hidden="1" x14ac:dyDescent="0.3">
      <c r="A586" s="28"/>
      <c r="B586" s="35"/>
    </row>
    <row r="587" spans="1:2" hidden="1" x14ac:dyDescent="0.3">
      <c r="A587" s="28"/>
      <c r="B587" s="35"/>
    </row>
    <row r="588" spans="1:2" hidden="1" x14ac:dyDescent="0.3">
      <c r="A588" s="28"/>
      <c r="B588" s="35"/>
    </row>
    <row r="589" spans="1:2" hidden="1" x14ac:dyDescent="0.3">
      <c r="A589" s="28"/>
      <c r="B589" s="35"/>
    </row>
    <row r="590" spans="1:2" hidden="1" x14ac:dyDescent="0.3">
      <c r="A590" s="28"/>
      <c r="B590" s="35"/>
    </row>
    <row r="591" spans="1:2" hidden="1" x14ac:dyDescent="0.3">
      <c r="A591" s="28"/>
      <c r="B591" s="35"/>
    </row>
    <row r="592" spans="1:2" hidden="1" x14ac:dyDescent="0.3">
      <c r="A592" s="28"/>
      <c r="B592" s="35"/>
    </row>
    <row r="593" spans="1:8" hidden="1" x14ac:dyDescent="0.3">
      <c r="A593" s="28"/>
      <c r="B593" s="35"/>
    </row>
    <row r="594" spans="1:8" hidden="1" x14ac:dyDescent="0.3">
      <c r="A594" s="28"/>
      <c r="B594" s="35"/>
    </row>
    <row r="595" spans="1:8" hidden="1" x14ac:dyDescent="0.3">
      <c r="A595" s="28"/>
      <c r="B595" s="35"/>
    </row>
    <row r="596" spans="1:8" hidden="1" x14ac:dyDescent="0.3">
      <c r="A596" s="28"/>
      <c r="B596" s="35"/>
    </row>
    <row r="597" spans="1:8" hidden="1" x14ac:dyDescent="0.3">
      <c r="A597" s="28"/>
      <c r="B597" s="35"/>
    </row>
    <row r="598" spans="1:8" hidden="1" x14ac:dyDescent="0.3">
      <c r="A598" s="28"/>
      <c r="B598" s="35"/>
    </row>
    <row r="599" spans="1:8" hidden="1" x14ac:dyDescent="0.3">
      <c r="A599" s="28"/>
      <c r="B599" s="35"/>
    </row>
    <row r="600" spans="1:8" hidden="1" x14ac:dyDescent="0.3">
      <c r="A600" s="28"/>
      <c r="B600" s="35"/>
    </row>
    <row r="601" spans="1:8" x14ac:dyDescent="0.3">
      <c r="A601" s="42" t="s">
        <v>93</v>
      </c>
      <c r="B601" s="43">
        <v>63230104134613</v>
      </c>
      <c r="C601" s="44" t="s">
        <v>707</v>
      </c>
      <c r="E601" s="32">
        <f>SUBTOTAL(9,표8[입금액])</f>
        <v>59516600</v>
      </c>
      <c r="F601" s="32">
        <f>SUBTOTAL(9,표8[출금액])</f>
        <v>21688875</v>
      </c>
      <c r="G601" s="32">
        <f>E601-F601</f>
        <v>37827725</v>
      </c>
    </row>
    <row r="602" spans="1:8" x14ac:dyDescent="0.3">
      <c r="A602" s="36" t="s">
        <v>94</v>
      </c>
      <c r="B602" s="37" t="s">
        <v>35</v>
      </c>
      <c r="C602" s="38" t="s">
        <v>95</v>
      </c>
      <c r="D602" s="39" t="s">
        <v>96</v>
      </c>
      <c r="E602" s="40" t="s">
        <v>97</v>
      </c>
      <c r="F602" s="40" t="s">
        <v>98</v>
      </c>
      <c r="G602" s="40" t="s">
        <v>34</v>
      </c>
      <c r="H602" s="41" t="s">
        <v>36</v>
      </c>
    </row>
    <row r="603" spans="1:8" x14ac:dyDescent="0.3">
      <c r="A603" s="28">
        <v>17159</v>
      </c>
      <c r="B603" s="35">
        <v>45482.694444444445</v>
      </c>
      <c r="C603" s="18">
        <v>45482</v>
      </c>
      <c r="D603" t="s">
        <v>101</v>
      </c>
      <c r="E603" s="32">
        <v>0</v>
      </c>
      <c r="F603" s="32">
        <v>1555620</v>
      </c>
      <c r="G603" s="32">
        <v>183517860</v>
      </c>
      <c r="H603" t="s">
        <v>221</v>
      </c>
    </row>
    <row r="604" spans="1:8" x14ac:dyDescent="0.3">
      <c r="A604" s="28">
        <v>17158</v>
      </c>
      <c r="B604" s="35">
        <v>45482.693055555559</v>
      </c>
      <c r="C604" s="18">
        <v>45482</v>
      </c>
      <c r="D604" t="s">
        <v>100</v>
      </c>
      <c r="E604" s="32">
        <v>427900</v>
      </c>
      <c r="F604" s="32">
        <v>0</v>
      </c>
      <c r="G604" s="32">
        <v>185073480</v>
      </c>
      <c r="H604" t="s">
        <v>462</v>
      </c>
    </row>
    <row r="605" spans="1:8" x14ac:dyDescent="0.3">
      <c r="A605" s="28">
        <v>17157</v>
      </c>
      <c r="B605" s="35">
        <v>45482.67291666667</v>
      </c>
      <c r="C605" s="18">
        <v>45482</v>
      </c>
      <c r="D605" t="s">
        <v>101</v>
      </c>
      <c r="E605" s="32">
        <v>0</v>
      </c>
      <c r="F605" s="32">
        <v>4523440</v>
      </c>
      <c r="G605" s="32">
        <v>184645580</v>
      </c>
      <c r="H605" t="s">
        <v>320</v>
      </c>
    </row>
    <row r="606" spans="1:8" x14ac:dyDescent="0.3">
      <c r="A606" s="28">
        <v>17156</v>
      </c>
      <c r="B606" s="35">
        <v>45482.672222222223</v>
      </c>
      <c r="C606" s="18">
        <v>45482</v>
      </c>
      <c r="D606" t="s">
        <v>101</v>
      </c>
      <c r="E606" s="32">
        <v>0</v>
      </c>
      <c r="F606" s="32">
        <v>52500</v>
      </c>
      <c r="G606" s="32">
        <v>189169020</v>
      </c>
      <c r="H606" t="s">
        <v>321</v>
      </c>
    </row>
    <row r="607" spans="1:8" x14ac:dyDescent="0.3">
      <c r="A607" s="28">
        <v>17155</v>
      </c>
      <c r="B607" s="35">
        <v>45482.671527777777</v>
      </c>
      <c r="C607" s="18">
        <v>45482</v>
      </c>
      <c r="D607" t="s">
        <v>101</v>
      </c>
      <c r="E607" s="32">
        <v>0</v>
      </c>
      <c r="F607" s="32">
        <v>143330</v>
      </c>
      <c r="G607" s="32">
        <v>189221520</v>
      </c>
      <c r="H607" t="s">
        <v>280</v>
      </c>
    </row>
    <row r="608" spans="1:8" x14ac:dyDescent="0.3">
      <c r="A608" s="28">
        <v>17154</v>
      </c>
      <c r="B608" s="35">
        <v>45482.671527777777</v>
      </c>
      <c r="C608" s="18">
        <v>45482</v>
      </c>
      <c r="D608" t="s">
        <v>101</v>
      </c>
      <c r="E608" s="32">
        <v>0</v>
      </c>
      <c r="F608" s="32">
        <v>6999980</v>
      </c>
      <c r="G608" s="32">
        <v>189364850</v>
      </c>
      <c r="H608" t="s">
        <v>2370</v>
      </c>
    </row>
    <row r="609" spans="1:8" x14ac:dyDescent="0.3">
      <c r="A609" s="28">
        <v>17153</v>
      </c>
      <c r="B609" s="35">
        <v>45482.67083333333</v>
      </c>
      <c r="C609" s="18">
        <v>45482</v>
      </c>
      <c r="D609" t="s">
        <v>101</v>
      </c>
      <c r="E609" s="32">
        <v>0</v>
      </c>
      <c r="F609" s="32">
        <v>1158200</v>
      </c>
      <c r="G609" s="32">
        <v>196364830</v>
      </c>
      <c r="H609" t="s">
        <v>319</v>
      </c>
    </row>
    <row r="610" spans="1:8" x14ac:dyDescent="0.3">
      <c r="A610" s="28">
        <v>17152</v>
      </c>
      <c r="B610" s="35">
        <v>45482.664583333331</v>
      </c>
      <c r="C610" s="18">
        <v>45482</v>
      </c>
      <c r="D610" t="s">
        <v>101</v>
      </c>
      <c r="E610" s="32">
        <v>0</v>
      </c>
      <c r="F610" s="32">
        <v>150590</v>
      </c>
      <c r="G610" s="32">
        <v>197523030</v>
      </c>
      <c r="H610" t="s">
        <v>280</v>
      </c>
    </row>
    <row r="611" spans="1:8" x14ac:dyDescent="0.3">
      <c r="A611" s="28">
        <v>17151</v>
      </c>
      <c r="B611" s="35">
        <v>45482.584722222222</v>
      </c>
      <c r="C611" s="18">
        <v>45482</v>
      </c>
      <c r="D611" t="s">
        <v>100</v>
      </c>
      <c r="E611" s="32">
        <v>2854500</v>
      </c>
      <c r="F611" s="32">
        <v>0</v>
      </c>
      <c r="G611" s="32">
        <v>197673620</v>
      </c>
      <c r="H611" t="s">
        <v>620</v>
      </c>
    </row>
    <row r="612" spans="1:8" x14ac:dyDescent="0.3">
      <c r="A612" s="28">
        <v>17150</v>
      </c>
      <c r="B612" s="35">
        <v>45482.431944444441</v>
      </c>
      <c r="C612" s="18">
        <v>45482</v>
      </c>
      <c r="D612" t="s">
        <v>101</v>
      </c>
      <c r="E612" s="32">
        <v>0</v>
      </c>
      <c r="F612" s="32">
        <v>99000</v>
      </c>
      <c r="G612" s="32">
        <v>194819120</v>
      </c>
      <c r="H612" t="s">
        <v>2371</v>
      </c>
    </row>
    <row r="613" spans="1:8" x14ac:dyDescent="0.3">
      <c r="A613" s="28">
        <v>17149</v>
      </c>
      <c r="B613" s="35">
        <v>45482.397222222222</v>
      </c>
      <c r="C613" s="18">
        <v>45482</v>
      </c>
      <c r="D613" t="s">
        <v>101</v>
      </c>
      <c r="E613" s="32">
        <v>0</v>
      </c>
      <c r="F613" s="32">
        <v>508640</v>
      </c>
      <c r="G613" s="32">
        <v>194918120</v>
      </c>
      <c r="H613" t="s">
        <v>280</v>
      </c>
    </row>
    <row r="614" spans="1:8" x14ac:dyDescent="0.3">
      <c r="A614" s="28">
        <v>17148</v>
      </c>
      <c r="B614" s="35">
        <v>45481.671527777777</v>
      </c>
      <c r="C614" s="18">
        <v>45481</v>
      </c>
      <c r="D614" t="s">
        <v>101</v>
      </c>
      <c r="E614" s="32">
        <v>0</v>
      </c>
      <c r="F614" s="32">
        <v>99000</v>
      </c>
      <c r="G614" s="32">
        <v>195426760</v>
      </c>
      <c r="H614" t="s">
        <v>2372</v>
      </c>
    </row>
    <row r="615" spans="1:8" x14ac:dyDescent="0.3">
      <c r="A615" s="28">
        <v>17147</v>
      </c>
      <c r="B615" s="35">
        <v>45481.671527777777</v>
      </c>
      <c r="C615" s="18">
        <v>45481</v>
      </c>
      <c r="D615" t="s">
        <v>101</v>
      </c>
      <c r="E615" s="32">
        <v>0</v>
      </c>
      <c r="F615" s="32">
        <v>99000</v>
      </c>
      <c r="G615" s="32">
        <v>195525760</v>
      </c>
      <c r="H615" t="s">
        <v>2373</v>
      </c>
    </row>
    <row r="616" spans="1:8" x14ac:dyDescent="0.3">
      <c r="A616" s="28">
        <v>17146</v>
      </c>
      <c r="B616" s="35">
        <v>45481.671527777777</v>
      </c>
      <c r="C616" s="18">
        <v>45481</v>
      </c>
      <c r="D616" t="s">
        <v>101</v>
      </c>
      <c r="E616" s="32">
        <v>0</v>
      </c>
      <c r="F616" s="32">
        <v>99000</v>
      </c>
      <c r="G616" s="32">
        <v>195624760</v>
      </c>
      <c r="H616" t="s">
        <v>2374</v>
      </c>
    </row>
    <row r="617" spans="1:8" x14ac:dyDescent="0.3">
      <c r="A617" s="28">
        <v>17145</v>
      </c>
      <c r="B617" s="35">
        <v>45481.668055555558</v>
      </c>
      <c r="C617" s="18">
        <v>45481</v>
      </c>
      <c r="D617" t="s">
        <v>101</v>
      </c>
      <c r="E617" s="32">
        <v>0</v>
      </c>
      <c r="F617" s="32">
        <v>99000</v>
      </c>
      <c r="G617" s="32">
        <v>195723760</v>
      </c>
      <c r="H617" t="s">
        <v>2375</v>
      </c>
    </row>
    <row r="618" spans="1:8" x14ac:dyDescent="0.3">
      <c r="A618" s="28">
        <v>17144</v>
      </c>
      <c r="B618" s="35">
        <v>45481.667361111111</v>
      </c>
      <c r="C618" s="18">
        <v>45481</v>
      </c>
      <c r="D618" t="s">
        <v>101</v>
      </c>
      <c r="E618" s="32">
        <v>0</v>
      </c>
      <c r="F618" s="32">
        <v>99000</v>
      </c>
      <c r="G618" s="32">
        <v>195822760</v>
      </c>
      <c r="H618" t="s">
        <v>2376</v>
      </c>
    </row>
    <row r="619" spans="1:8" x14ac:dyDescent="0.3">
      <c r="A619" s="28">
        <v>17143</v>
      </c>
      <c r="B619" s="35">
        <v>45481.581250000003</v>
      </c>
      <c r="C619" s="18">
        <v>45481</v>
      </c>
      <c r="D619" t="s">
        <v>100</v>
      </c>
      <c r="E619" s="32">
        <v>21538000</v>
      </c>
      <c r="F619" s="32">
        <v>0</v>
      </c>
      <c r="G619" s="32">
        <v>195921760</v>
      </c>
      <c r="H619" t="s">
        <v>236</v>
      </c>
    </row>
    <row r="620" spans="1:8" x14ac:dyDescent="0.3">
      <c r="A620" s="28">
        <v>17142</v>
      </c>
      <c r="B620" s="35">
        <v>45481.5625</v>
      </c>
      <c r="C620" s="18">
        <v>45481</v>
      </c>
      <c r="D620" t="s">
        <v>101</v>
      </c>
      <c r="E620" s="32">
        <v>0</v>
      </c>
      <c r="F620" s="32">
        <v>290179</v>
      </c>
      <c r="G620" s="32">
        <v>174383760</v>
      </c>
      <c r="H620" t="s">
        <v>221</v>
      </c>
    </row>
    <row r="621" spans="1:8" x14ac:dyDescent="0.3">
      <c r="A621" s="28">
        <v>17141</v>
      </c>
      <c r="B621" s="35">
        <v>45481.404861111114</v>
      </c>
      <c r="C621" s="18">
        <v>45481</v>
      </c>
      <c r="D621" t="s">
        <v>100</v>
      </c>
      <c r="E621" s="32">
        <v>169400</v>
      </c>
      <c r="F621" s="32">
        <v>0</v>
      </c>
      <c r="G621" s="32">
        <v>174673939</v>
      </c>
      <c r="H621" t="s">
        <v>405</v>
      </c>
    </row>
    <row r="622" spans="1:8" x14ac:dyDescent="0.3">
      <c r="A622" s="28">
        <v>17140</v>
      </c>
      <c r="B622" s="35">
        <v>45478.834027777775</v>
      </c>
      <c r="C622" s="18">
        <v>45478</v>
      </c>
      <c r="D622" t="s">
        <v>101</v>
      </c>
      <c r="E622" s="32">
        <v>0</v>
      </c>
      <c r="F622" s="32">
        <v>644490</v>
      </c>
      <c r="G622" s="32">
        <v>174504539</v>
      </c>
      <c r="H622" t="s">
        <v>2369</v>
      </c>
    </row>
    <row r="623" spans="1:8" x14ac:dyDescent="0.3">
      <c r="A623" s="28">
        <v>17139</v>
      </c>
      <c r="B623" s="35">
        <v>45478.79791666667</v>
      </c>
      <c r="C623" s="18">
        <v>45478</v>
      </c>
      <c r="D623" t="s">
        <v>101</v>
      </c>
      <c r="E623" s="32">
        <v>0</v>
      </c>
      <c r="F623" s="32">
        <v>711920</v>
      </c>
      <c r="G623" s="32">
        <v>175149029</v>
      </c>
      <c r="H623" t="s">
        <v>239</v>
      </c>
    </row>
    <row r="624" spans="1:8" x14ac:dyDescent="0.3">
      <c r="A624" s="28">
        <v>17136</v>
      </c>
      <c r="B624" s="35">
        <v>45478.737500000003</v>
      </c>
      <c r="C624" s="18">
        <v>45478</v>
      </c>
      <c r="D624" t="s">
        <v>100</v>
      </c>
      <c r="E624" s="32">
        <v>28053300</v>
      </c>
      <c r="F624" s="32">
        <v>0</v>
      </c>
      <c r="G624" s="32">
        <v>175860949</v>
      </c>
      <c r="H624" t="s">
        <v>297</v>
      </c>
    </row>
    <row r="625" spans="1:8" x14ac:dyDescent="0.3">
      <c r="A625" s="28">
        <v>17135</v>
      </c>
      <c r="B625" s="35">
        <v>45478.605555555558</v>
      </c>
      <c r="C625" s="18">
        <v>45478</v>
      </c>
      <c r="D625" t="s">
        <v>100</v>
      </c>
      <c r="E625" s="32">
        <v>348700</v>
      </c>
      <c r="F625" s="32">
        <v>0</v>
      </c>
      <c r="G625" s="32">
        <v>147807649</v>
      </c>
      <c r="H625" t="s">
        <v>403</v>
      </c>
    </row>
    <row r="626" spans="1:8" x14ac:dyDescent="0.3">
      <c r="A626" s="28">
        <v>17134</v>
      </c>
      <c r="B626" s="35">
        <v>45478.582638888889</v>
      </c>
      <c r="C626" s="18">
        <v>45478</v>
      </c>
      <c r="D626" t="s">
        <v>100</v>
      </c>
      <c r="E626" s="32">
        <v>1762200</v>
      </c>
      <c r="F626" s="32">
        <v>0</v>
      </c>
      <c r="G626" s="32">
        <v>147458949</v>
      </c>
      <c r="H626" t="s">
        <v>1629</v>
      </c>
    </row>
    <row r="627" spans="1:8" x14ac:dyDescent="0.3">
      <c r="A627" s="28">
        <v>17131</v>
      </c>
      <c r="B627" s="35">
        <v>45478.463888888888</v>
      </c>
      <c r="C627" s="18">
        <v>45478</v>
      </c>
      <c r="D627" t="s">
        <v>100</v>
      </c>
      <c r="E627" s="32">
        <v>334400</v>
      </c>
      <c r="F627" s="32">
        <v>0</v>
      </c>
      <c r="G627" s="32">
        <v>145696749</v>
      </c>
      <c r="H627" t="s">
        <v>292</v>
      </c>
    </row>
    <row r="628" spans="1:8" x14ac:dyDescent="0.3">
      <c r="A628" s="28">
        <v>17130</v>
      </c>
      <c r="B628" s="35">
        <v>45478.419444444444</v>
      </c>
      <c r="C628" s="18">
        <v>45478</v>
      </c>
      <c r="D628" t="s">
        <v>100</v>
      </c>
      <c r="E628" s="32">
        <v>402600</v>
      </c>
      <c r="F628" s="32">
        <v>0</v>
      </c>
      <c r="G628" s="32">
        <v>145362349</v>
      </c>
      <c r="H628" t="s">
        <v>329</v>
      </c>
    </row>
    <row r="629" spans="1:8" x14ac:dyDescent="0.3">
      <c r="A629" s="28">
        <v>17129</v>
      </c>
      <c r="B629" s="35">
        <v>45478.404861111114</v>
      </c>
      <c r="C629" s="18">
        <v>45478</v>
      </c>
      <c r="D629" t="s">
        <v>100</v>
      </c>
      <c r="E629" s="32">
        <v>237600</v>
      </c>
      <c r="F629" s="32">
        <v>0</v>
      </c>
      <c r="G629" s="32">
        <v>144959749</v>
      </c>
      <c r="H629" t="s">
        <v>334</v>
      </c>
    </row>
    <row r="630" spans="1:8" x14ac:dyDescent="0.3">
      <c r="A630" s="28">
        <v>17127</v>
      </c>
      <c r="B630" s="35">
        <v>45478.385416666664</v>
      </c>
      <c r="C630" s="18">
        <v>45478</v>
      </c>
      <c r="D630" t="s">
        <v>100</v>
      </c>
      <c r="E630" s="32">
        <v>1054900</v>
      </c>
      <c r="F630" s="32">
        <v>0</v>
      </c>
      <c r="G630" s="32">
        <v>144722149</v>
      </c>
      <c r="H630" t="s">
        <v>2367</v>
      </c>
    </row>
    <row r="631" spans="1:8" x14ac:dyDescent="0.3">
      <c r="A631" s="28">
        <v>17126</v>
      </c>
      <c r="B631" s="35">
        <v>45478.373611111114</v>
      </c>
      <c r="C631" s="18">
        <v>45478</v>
      </c>
      <c r="D631" t="s">
        <v>100</v>
      </c>
      <c r="E631" s="32">
        <v>889000</v>
      </c>
      <c r="F631" s="32">
        <v>0</v>
      </c>
      <c r="G631" s="32">
        <v>143667249</v>
      </c>
      <c r="H631" t="s">
        <v>395</v>
      </c>
    </row>
    <row r="632" spans="1:8" x14ac:dyDescent="0.3">
      <c r="A632" s="28">
        <v>17125</v>
      </c>
      <c r="B632" s="35">
        <v>45478.372916666667</v>
      </c>
      <c r="C632" s="18">
        <v>45478</v>
      </c>
      <c r="D632" t="s">
        <v>100</v>
      </c>
      <c r="E632" s="32">
        <v>88900</v>
      </c>
      <c r="F632" s="32">
        <v>0</v>
      </c>
      <c r="G632" s="32">
        <v>142778249</v>
      </c>
      <c r="H632" t="s">
        <v>395</v>
      </c>
    </row>
    <row r="633" spans="1:8" x14ac:dyDescent="0.3">
      <c r="A633" s="28">
        <v>17124</v>
      </c>
      <c r="B633" s="35">
        <v>45478.363888888889</v>
      </c>
      <c r="C633" s="18">
        <v>45478</v>
      </c>
      <c r="D633" t="s">
        <v>101</v>
      </c>
      <c r="E633" s="32">
        <v>0</v>
      </c>
      <c r="F633" s="32">
        <v>83738</v>
      </c>
      <c r="G633" s="32">
        <v>142689349</v>
      </c>
      <c r="H633" t="s">
        <v>221</v>
      </c>
    </row>
    <row r="634" spans="1:8" x14ac:dyDescent="0.3">
      <c r="A634" s="28">
        <v>17122</v>
      </c>
      <c r="B634" s="35">
        <v>45477.40347222222</v>
      </c>
      <c r="C634" s="18">
        <v>45477</v>
      </c>
      <c r="D634" t="s">
        <v>101</v>
      </c>
      <c r="E634" s="32">
        <v>0</v>
      </c>
      <c r="F634" s="32">
        <v>264000</v>
      </c>
      <c r="G634" s="32">
        <v>142773087</v>
      </c>
      <c r="H634" t="s">
        <v>2366</v>
      </c>
    </row>
    <row r="635" spans="1:8" x14ac:dyDescent="0.3">
      <c r="A635" s="28">
        <v>17121</v>
      </c>
      <c r="B635" s="35">
        <v>45477.381249999999</v>
      </c>
      <c r="C635" s="18">
        <v>45477</v>
      </c>
      <c r="D635" t="s">
        <v>100</v>
      </c>
      <c r="E635" s="32">
        <v>1145100</v>
      </c>
      <c r="F635" s="32">
        <v>0</v>
      </c>
      <c r="G635" s="32">
        <v>143037087</v>
      </c>
      <c r="H635" t="s">
        <v>327</v>
      </c>
    </row>
    <row r="636" spans="1:8" x14ac:dyDescent="0.3">
      <c r="A636" s="28">
        <v>17120</v>
      </c>
      <c r="B636" s="35">
        <v>45476.555555555555</v>
      </c>
      <c r="C636" s="18">
        <v>45476</v>
      </c>
      <c r="D636" t="s">
        <v>101</v>
      </c>
      <c r="E636" s="32">
        <v>0</v>
      </c>
      <c r="F636" s="32">
        <v>90437</v>
      </c>
      <c r="G636" s="32">
        <v>141891987</v>
      </c>
      <c r="H636" t="s">
        <v>221</v>
      </c>
    </row>
    <row r="637" spans="1:8" x14ac:dyDescent="0.3">
      <c r="A637" s="28">
        <v>17119</v>
      </c>
      <c r="B637" s="35">
        <v>45476.469444444447</v>
      </c>
      <c r="C637" s="18">
        <v>45476</v>
      </c>
      <c r="D637" t="s">
        <v>101</v>
      </c>
      <c r="E637" s="32">
        <v>0</v>
      </c>
      <c r="F637" s="32">
        <v>2936290</v>
      </c>
      <c r="G637" s="32">
        <v>141982424</v>
      </c>
      <c r="H637" t="s">
        <v>294</v>
      </c>
    </row>
    <row r="638" spans="1:8" x14ac:dyDescent="0.3">
      <c r="A638" s="28">
        <v>17118</v>
      </c>
      <c r="B638" s="35">
        <v>45476.464583333334</v>
      </c>
      <c r="C638" s="18">
        <v>45476</v>
      </c>
      <c r="D638" t="s">
        <v>101</v>
      </c>
      <c r="E638" s="32">
        <v>0</v>
      </c>
      <c r="F638" s="32">
        <v>726400</v>
      </c>
      <c r="G638" s="32">
        <v>144918714</v>
      </c>
      <c r="H638" t="s">
        <v>2363</v>
      </c>
    </row>
    <row r="639" spans="1:8" x14ac:dyDescent="0.3">
      <c r="A639" s="28">
        <v>17115</v>
      </c>
      <c r="B639" s="35">
        <v>45475.645138888889</v>
      </c>
      <c r="C639" s="18">
        <v>45475</v>
      </c>
      <c r="D639" t="s">
        <v>100</v>
      </c>
      <c r="E639" s="32">
        <v>210100</v>
      </c>
      <c r="F639" s="32">
        <v>0</v>
      </c>
      <c r="G639" s="32">
        <v>145645114</v>
      </c>
      <c r="H639" t="s">
        <v>224</v>
      </c>
    </row>
    <row r="640" spans="1:8" x14ac:dyDescent="0.3">
      <c r="A640" s="28">
        <v>17114</v>
      </c>
      <c r="B640" s="35">
        <v>45475.54583333333</v>
      </c>
      <c r="C640" s="18">
        <v>45475</v>
      </c>
      <c r="D640" t="s">
        <v>101</v>
      </c>
      <c r="E640" s="32">
        <v>0</v>
      </c>
      <c r="F640" s="32">
        <v>255121</v>
      </c>
      <c r="G640" s="32">
        <v>145435014</v>
      </c>
      <c r="H640" t="s">
        <v>221</v>
      </c>
    </row>
    <row r="641" spans="1:8" hidden="1" x14ac:dyDescent="0.3">
      <c r="A641" s="28">
        <v>17092</v>
      </c>
      <c r="B641" s="35">
        <v>45471.661805555559</v>
      </c>
      <c r="C641" s="18">
        <v>45471</v>
      </c>
      <c r="D641" t="s">
        <v>100</v>
      </c>
      <c r="E641" s="32">
        <v>732600</v>
      </c>
      <c r="F641" s="32">
        <v>0</v>
      </c>
      <c r="G641" s="32">
        <v>111160116</v>
      </c>
      <c r="H641" t="s">
        <v>565</v>
      </c>
    </row>
    <row r="642" spans="1:8" hidden="1" x14ac:dyDescent="0.3">
      <c r="A642" s="28">
        <v>17087</v>
      </c>
      <c r="B642" s="35">
        <v>45471.654861111114</v>
      </c>
      <c r="C642" s="18">
        <v>45471</v>
      </c>
      <c r="D642" t="s">
        <v>100</v>
      </c>
      <c r="E642" s="32">
        <v>635800</v>
      </c>
      <c r="F642" s="32">
        <v>0</v>
      </c>
      <c r="G642" s="32">
        <v>110427516</v>
      </c>
      <c r="H642" t="s">
        <v>251</v>
      </c>
    </row>
    <row r="643" spans="1:8" hidden="1" x14ac:dyDescent="0.3">
      <c r="A643" s="28">
        <v>17086</v>
      </c>
      <c r="B643" s="35">
        <v>45471.637499999997</v>
      </c>
      <c r="C643" s="18">
        <v>45471</v>
      </c>
      <c r="D643" t="s">
        <v>100</v>
      </c>
      <c r="E643" s="32">
        <v>100000</v>
      </c>
      <c r="F643" s="32">
        <v>0</v>
      </c>
      <c r="G643" s="32">
        <v>109791716</v>
      </c>
      <c r="H643" t="s">
        <v>1951</v>
      </c>
    </row>
    <row r="644" spans="1:8" hidden="1" x14ac:dyDescent="0.3">
      <c r="A644" s="28">
        <v>17085</v>
      </c>
      <c r="B644" s="35">
        <v>45471.618055555555</v>
      </c>
      <c r="C644" s="18">
        <v>45471</v>
      </c>
      <c r="D644" t="s">
        <v>100</v>
      </c>
      <c r="E644" s="32">
        <v>57600</v>
      </c>
      <c r="F644" s="32">
        <v>0</v>
      </c>
      <c r="G644" s="32">
        <v>109691716</v>
      </c>
      <c r="H644" t="s">
        <v>313</v>
      </c>
    </row>
    <row r="645" spans="1:8" hidden="1" x14ac:dyDescent="0.3">
      <c r="A645" s="28">
        <v>17084</v>
      </c>
      <c r="B645" s="35">
        <v>45471.618055555555</v>
      </c>
      <c r="C645" s="18">
        <v>45471</v>
      </c>
      <c r="D645" t="s">
        <v>100</v>
      </c>
      <c r="E645" s="32">
        <v>26900</v>
      </c>
      <c r="F645" s="32">
        <v>0</v>
      </c>
      <c r="G645" s="32">
        <v>109634116</v>
      </c>
      <c r="H645" t="s">
        <v>313</v>
      </c>
    </row>
    <row r="646" spans="1:8" hidden="1" x14ac:dyDescent="0.3">
      <c r="A646" s="28">
        <v>17083</v>
      </c>
      <c r="B646" s="35">
        <v>45471.616666666669</v>
      </c>
      <c r="C646" s="18">
        <v>45471</v>
      </c>
      <c r="D646" t="s">
        <v>100</v>
      </c>
      <c r="E646" s="32">
        <v>576000</v>
      </c>
      <c r="F646" s="32">
        <v>0</v>
      </c>
      <c r="G646" s="32">
        <v>109607216</v>
      </c>
      <c r="H646" t="s">
        <v>314</v>
      </c>
    </row>
    <row r="647" spans="1:8" hidden="1" x14ac:dyDescent="0.3">
      <c r="A647" s="28">
        <v>17082</v>
      </c>
      <c r="B647" s="35">
        <v>45471.614583333336</v>
      </c>
      <c r="C647" s="18">
        <v>45471</v>
      </c>
      <c r="D647" t="s">
        <v>100</v>
      </c>
      <c r="E647" s="32">
        <v>269000</v>
      </c>
      <c r="F647" s="32">
        <v>0</v>
      </c>
      <c r="G647" s="32">
        <v>109031216</v>
      </c>
      <c r="H647" t="s">
        <v>314</v>
      </c>
    </row>
    <row r="648" spans="1:8" hidden="1" x14ac:dyDescent="0.3">
      <c r="A648" s="28">
        <v>17081</v>
      </c>
      <c r="B648" s="35">
        <v>45471.613888888889</v>
      </c>
      <c r="C648" s="18">
        <v>45471</v>
      </c>
      <c r="D648" t="s">
        <v>100</v>
      </c>
      <c r="E648" s="32">
        <v>54500</v>
      </c>
      <c r="F648" s="32">
        <v>0</v>
      </c>
      <c r="G648" s="32">
        <v>108762216</v>
      </c>
      <c r="H648" t="s">
        <v>313</v>
      </c>
    </row>
    <row r="649" spans="1:8" hidden="1" x14ac:dyDescent="0.3">
      <c r="A649" s="28">
        <v>17080</v>
      </c>
      <c r="B649" s="35">
        <v>45471.61041666667</v>
      </c>
      <c r="C649" s="18">
        <v>45471</v>
      </c>
      <c r="D649" t="s">
        <v>100</v>
      </c>
      <c r="E649" s="32">
        <v>545000</v>
      </c>
      <c r="F649" s="32">
        <v>0</v>
      </c>
      <c r="G649" s="32">
        <v>108707716</v>
      </c>
      <c r="H649" t="s">
        <v>314</v>
      </c>
    </row>
    <row r="650" spans="1:8" hidden="1" x14ac:dyDescent="0.3">
      <c r="A650" s="28">
        <v>17079</v>
      </c>
      <c r="B650" s="35">
        <v>45471.61041666667</v>
      </c>
      <c r="C650" s="18">
        <v>45471</v>
      </c>
      <c r="D650" t="s">
        <v>100</v>
      </c>
      <c r="E650" s="32">
        <v>986700</v>
      </c>
      <c r="F650" s="32">
        <v>0</v>
      </c>
      <c r="G650" s="32">
        <v>108162716</v>
      </c>
      <c r="H650" t="s">
        <v>311</v>
      </c>
    </row>
    <row r="651" spans="1:8" hidden="1" x14ac:dyDescent="0.3">
      <c r="A651" s="28">
        <v>17078</v>
      </c>
      <c r="B651" s="35">
        <v>45471.589583333334</v>
      </c>
      <c r="C651" s="18">
        <v>45471</v>
      </c>
      <c r="D651" t="s">
        <v>100</v>
      </c>
      <c r="E651" s="32">
        <v>1000000</v>
      </c>
      <c r="F651" s="32">
        <v>0</v>
      </c>
      <c r="G651" s="32">
        <v>107176016</v>
      </c>
      <c r="H651" t="s">
        <v>1951</v>
      </c>
    </row>
    <row r="652" spans="1:8" hidden="1" x14ac:dyDescent="0.3">
      <c r="A652" s="28">
        <v>17077</v>
      </c>
      <c r="B652" s="35">
        <v>45471.530555555553</v>
      </c>
      <c r="C652" s="18">
        <v>45471</v>
      </c>
      <c r="D652" t="s">
        <v>100</v>
      </c>
      <c r="E652" s="32">
        <v>6997100</v>
      </c>
      <c r="F652" s="32">
        <v>0</v>
      </c>
      <c r="G652" s="32">
        <v>106176016</v>
      </c>
      <c r="H652" t="s">
        <v>618</v>
      </c>
    </row>
    <row r="653" spans="1:8" hidden="1" x14ac:dyDescent="0.3">
      <c r="A653" s="28">
        <v>17076</v>
      </c>
      <c r="B653" s="35">
        <v>45471.51666666667</v>
      </c>
      <c r="C653" s="18">
        <v>45471</v>
      </c>
      <c r="D653" t="s">
        <v>100</v>
      </c>
      <c r="E653" s="32">
        <v>111100</v>
      </c>
      <c r="F653" s="32">
        <v>0</v>
      </c>
      <c r="G653" s="32">
        <v>99178916</v>
      </c>
      <c r="H653" t="s">
        <v>248</v>
      </c>
    </row>
    <row r="654" spans="1:8" hidden="1" x14ac:dyDescent="0.3">
      <c r="A654" s="28">
        <v>17074</v>
      </c>
      <c r="B654" s="35">
        <v>45471.46875</v>
      </c>
      <c r="C654" s="18">
        <v>45471</v>
      </c>
      <c r="D654" t="s">
        <v>100</v>
      </c>
      <c r="E654" s="32">
        <v>1425600</v>
      </c>
      <c r="F654" s="32">
        <v>0</v>
      </c>
      <c r="G654" s="32">
        <v>99067816</v>
      </c>
      <c r="H654" t="s">
        <v>1952</v>
      </c>
    </row>
    <row r="655" spans="1:8" hidden="1" x14ac:dyDescent="0.3">
      <c r="A655" s="28">
        <v>17073</v>
      </c>
      <c r="B655" s="35">
        <v>45471.462500000001</v>
      </c>
      <c r="C655" s="18">
        <v>45471</v>
      </c>
      <c r="D655" t="s">
        <v>100</v>
      </c>
      <c r="E655" s="32">
        <v>70400</v>
      </c>
      <c r="F655" s="32">
        <v>0</v>
      </c>
      <c r="G655" s="32">
        <v>97642216</v>
      </c>
      <c r="H655" t="s">
        <v>1953</v>
      </c>
    </row>
    <row r="656" spans="1:8" hidden="1" x14ac:dyDescent="0.3">
      <c r="A656" s="28">
        <v>17072</v>
      </c>
      <c r="B656" s="35">
        <v>45471.460416666669</v>
      </c>
      <c r="C656" s="18">
        <v>45471</v>
      </c>
      <c r="D656" t="s">
        <v>100</v>
      </c>
      <c r="E656" s="32">
        <v>91300</v>
      </c>
      <c r="F656" s="32">
        <v>0</v>
      </c>
      <c r="G656" s="32">
        <v>97571816</v>
      </c>
      <c r="H656" t="s">
        <v>263</v>
      </c>
    </row>
    <row r="657" spans="1:8" hidden="1" x14ac:dyDescent="0.3">
      <c r="A657" s="28">
        <v>17071</v>
      </c>
      <c r="B657" s="35">
        <v>45471.459027777775</v>
      </c>
      <c r="C657" s="18">
        <v>45471</v>
      </c>
      <c r="D657" t="s">
        <v>100</v>
      </c>
      <c r="E657" s="32">
        <v>71500</v>
      </c>
      <c r="F657" s="32">
        <v>0</v>
      </c>
      <c r="G657" s="32">
        <v>97480516</v>
      </c>
      <c r="H657" t="s">
        <v>252</v>
      </c>
    </row>
    <row r="658" spans="1:8" hidden="1" x14ac:dyDescent="0.3">
      <c r="A658" s="28">
        <v>17070</v>
      </c>
      <c r="B658" s="35">
        <v>45471.456944444442</v>
      </c>
      <c r="C658" s="18">
        <v>45471</v>
      </c>
      <c r="D658" t="s">
        <v>100</v>
      </c>
      <c r="E658" s="32">
        <v>2689500</v>
      </c>
      <c r="F658" s="32">
        <v>0</v>
      </c>
      <c r="G658" s="32">
        <v>97409016</v>
      </c>
      <c r="H658" t="s">
        <v>1919</v>
      </c>
    </row>
    <row r="659" spans="1:8" hidden="1" x14ac:dyDescent="0.3">
      <c r="A659" s="28">
        <v>17069</v>
      </c>
      <c r="B659" s="35">
        <v>45471.402777777781</v>
      </c>
      <c r="C659" s="18">
        <v>45471</v>
      </c>
      <c r="D659" t="s">
        <v>100</v>
      </c>
      <c r="E659" s="32">
        <v>1618100</v>
      </c>
      <c r="F659" s="32">
        <v>0</v>
      </c>
      <c r="G659" s="32">
        <v>94719516</v>
      </c>
      <c r="H659" t="s">
        <v>254</v>
      </c>
    </row>
    <row r="660" spans="1:8" hidden="1" x14ac:dyDescent="0.3">
      <c r="A660" s="28">
        <v>17068</v>
      </c>
      <c r="B660" s="35">
        <v>45471.375694444447</v>
      </c>
      <c r="C660" s="18">
        <v>45471</v>
      </c>
      <c r="D660" t="s">
        <v>100</v>
      </c>
      <c r="E660" s="32">
        <v>283800</v>
      </c>
      <c r="F660" s="32">
        <v>0</v>
      </c>
      <c r="G660" s="32">
        <v>93101416</v>
      </c>
      <c r="H660" t="s">
        <v>307</v>
      </c>
    </row>
    <row r="661" spans="1:8" hidden="1" x14ac:dyDescent="0.3">
      <c r="A661" s="28">
        <v>17067</v>
      </c>
      <c r="B661" s="35">
        <v>45471.375</v>
      </c>
      <c r="C661" s="18">
        <v>45471</v>
      </c>
      <c r="D661" t="s">
        <v>100</v>
      </c>
      <c r="E661" s="32">
        <v>183700</v>
      </c>
      <c r="F661" s="32">
        <v>0</v>
      </c>
      <c r="G661" s="32">
        <v>92817616</v>
      </c>
      <c r="H661" t="s">
        <v>257</v>
      </c>
    </row>
    <row r="662" spans="1:8" hidden="1" x14ac:dyDescent="0.3">
      <c r="A662" s="28">
        <v>17066</v>
      </c>
      <c r="B662" s="35">
        <v>45471.372916666667</v>
      </c>
      <c r="C662" s="18">
        <v>45471</v>
      </c>
      <c r="D662" t="s">
        <v>101</v>
      </c>
      <c r="E662" s="32">
        <v>0</v>
      </c>
      <c r="F662" s="32">
        <v>20770490</v>
      </c>
      <c r="G662" s="32">
        <v>92633916</v>
      </c>
      <c r="H662" t="s">
        <v>258</v>
      </c>
    </row>
    <row r="663" spans="1:8" hidden="1" x14ac:dyDescent="0.3">
      <c r="A663" s="28">
        <v>17065</v>
      </c>
      <c r="B663" s="35">
        <v>45471.372916666667</v>
      </c>
      <c r="C663" s="18">
        <v>45471</v>
      </c>
      <c r="D663" t="s">
        <v>101</v>
      </c>
      <c r="E663" s="32">
        <v>0</v>
      </c>
      <c r="F663" s="32">
        <v>16997200</v>
      </c>
      <c r="G663" s="32">
        <v>113404406</v>
      </c>
      <c r="H663" t="s">
        <v>258</v>
      </c>
    </row>
    <row r="664" spans="1:8" hidden="1" x14ac:dyDescent="0.3">
      <c r="A664" s="28">
        <v>17062</v>
      </c>
      <c r="B664" s="35">
        <v>45470.705555555556</v>
      </c>
      <c r="C664" s="18">
        <v>45470</v>
      </c>
      <c r="D664" t="s">
        <v>100</v>
      </c>
      <c r="E664" s="32">
        <v>303600</v>
      </c>
      <c r="F664" s="32">
        <v>0</v>
      </c>
      <c r="G664" s="32">
        <v>130401606</v>
      </c>
      <c r="H664" t="s">
        <v>247</v>
      </c>
    </row>
    <row r="665" spans="1:8" hidden="1" x14ac:dyDescent="0.3">
      <c r="A665" s="28">
        <v>17061</v>
      </c>
      <c r="B665" s="35">
        <v>45470.705555555556</v>
      </c>
      <c r="C665" s="18">
        <v>45470</v>
      </c>
      <c r="D665" t="s">
        <v>100</v>
      </c>
      <c r="E665" s="32">
        <v>145200</v>
      </c>
      <c r="F665" s="32">
        <v>0</v>
      </c>
      <c r="G665" s="32">
        <v>130098006</v>
      </c>
      <c r="H665" t="s">
        <v>247</v>
      </c>
    </row>
    <row r="666" spans="1:8" hidden="1" x14ac:dyDescent="0.3">
      <c r="A666" s="28">
        <v>17060</v>
      </c>
      <c r="B666" s="35">
        <v>45470.686805555553</v>
      </c>
      <c r="C666" s="18">
        <v>45470</v>
      </c>
      <c r="D666" t="s">
        <v>101</v>
      </c>
      <c r="E666" s="32">
        <v>0</v>
      </c>
      <c r="F666" s="32">
        <v>7700000</v>
      </c>
      <c r="G666" s="32">
        <v>129952806</v>
      </c>
      <c r="H666" t="s">
        <v>1954</v>
      </c>
    </row>
    <row r="667" spans="1:8" hidden="1" x14ac:dyDescent="0.3">
      <c r="A667" s="28">
        <v>17059</v>
      </c>
      <c r="B667" s="35">
        <v>45470.659722222219</v>
      </c>
      <c r="C667" s="18">
        <v>45470</v>
      </c>
      <c r="D667" t="s">
        <v>100</v>
      </c>
      <c r="E667" s="32">
        <v>426800</v>
      </c>
      <c r="F667" s="32">
        <v>0</v>
      </c>
      <c r="G667" s="32">
        <v>137652806</v>
      </c>
      <c r="H667" t="s">
        <v>1955</v>
      </c>
    </row>
    <row r="668" spans="1:8" hidden="1" x14ac:dyDescent="0.3">
      <c r="A668" s="28">
        <v>17058</v>
      </c>
      <c r="B668" s="35">
        <v>45470.615972222222</v>
      </c>
      <c r="C668" s="18">
        <v>45470</v>
      </c>
      <c r="D668" t="s">
        <v>100</v>
      </c>
      <c r="E668" s="32">
        <v>709500</v>
      </c>
      <c r="F668" s="32">
        <v>0</v>
      </c>
      <c r="G668" s="32">
        <v>137226006</v>
      </c>
      <c r="H668" t="s">
        <v>260</v>
      </c>
    </row>
    <row r="669" spans="1:8" hidden="1" x14ac:dyDescent="0.3">
      <c r="A669" s="28">
        <v>17056</v>
      </c>
      <c r="B669" s="35">
        <v>45470.56527777778</v>
      </c>
      <c r="C669" s="18">
        <v>45470</v>
      </c>
      <c r="D669" t="s">
        <v>100</v>
      </c>
      <c r="E669" s="32">
        <v>1482800</v>
      </c>
      <c r="F669" s="32">
        <v>0</v>
      </c>
      <c r="G669" s="32">
        <v>136516506</v>
      </c>
      <c r="H669" t="s">
        <v>264</v>
      </c>
    </row>
    <row r="670" spans="1:8" hidden="1" x14ac:dyDescent="0.3">
      <c r="A670" s="28">
        <v>17055</v>
      </c>
      <c r="B670" s="35">
        <v>45470.415972222225</v>
      </c>
      <c r="C670" s="18">
        <v>45470</v>
      </c>
      <c r="D670" t="s">
        <v>101</v>
      </c>
      <c r="E670" s="32">
        <v>0</v>
      </c>
      <c r="F670" s="32">
        <v>8000</v>
      </c>
      <c r="G670" s="32">
        <v>135033706</v>
      </c>
      <c r="H670" t="s">
        <v>241</v>
      </c>
    </row>
    <row r="671" spans="1:8" hidden="1" x14ac:dyDescent="0.3">
      <c r="A671" s="28">
        <v>17054</v>
      </c>
      <c r="B671" s="35">
        <v>45470.388194444444</v>
      </c>
      <c r="C671" s="18">
        <v>45470</v>
      </c>
      <c r="D671" t="s">
        <v>101</v>
      </c>
      <c r="E671" s="32">
        <v>0</v>
      </c>
      <c r="F671" s="32">
        <v>15268000</v>
      </c>
      <c r="G671" s="32">
        <v>135041706</v>
      </c>
      <c r="H671" t="s">
        <v>645</v>
      </c>
    </row>
    <row r="672" spans="1:8" hidden="1" x14ac:dyDescent="0.3">
      <c r="A672" s="28">
        <v>17053</v>
      </c>
      <c r="B672" s="35">
        <v>45470.387499999997</v>
      </c>
      <c r="C672" s="18">
        <v>45470</v>
      </c>
      <c r="D672" t="s">
        <v>101</v>
      </c>
      <c r="E672" s="32">
        <v>0</v>
      </c>
      <c r="F672" s="32">
        <v>13866000</v>
      </c>
      <c r="G672" s="32">
        <v>150309706</v>
      </c>
      <c r="H672" t="s">
        <v>645</v>
      </c>
    </row>
    <row r="673" spans="1:8" hidden="1" x14ac:dyDescent="0.3">
      <c r="A673" s="28">
        <v>17052</v>
      </c>
      <c r="B673" s="35">
        <v>45470.386805555558</v>
      </c>
      <c r="C673" s="18">
        <v>45470</v>
      </c>
      <c r="D673" t="s">
        <v>101</v>
      </c>
      <c r="E673" s="32">
        <v>0</v>
      </c>
      <c r="F673" s="32">
        <v>41595000</v>
      </c>
      <c r="G673" s="32">
        <v>164175706</v>
      </c>
      <c r="H673" t="s">
        <v>645</v>
      </c>
    </row>
    <row r="674" spans="1:8" hidden="1" x14ac:dyDescent="0.3">
      <c r="A674" s="28">
        <v>17051</v>
      </c>
      <c r="B674" s="35">
        <v>45470.385416666664</v>
      </c>
      <c r="C674" s="18">
        <v>45470</v>
      </c>
      <c r="D674" t="s">
        <v>100</v>
      </c>
      <c r="E674" s="32">
        <v>170000000</v>
      </c>
      <c r="F674" s="32">
        <v>0</v>
      </c>
      <c r="G674" s="32">
        <v>205770706</v>
      </c>
      <c r="H674" t="s">
        <v>533</v>
      </c>
    </row>
    <row r="675" spans="1:8" hidden="1" x14ac:dyDescent="0.3">
      <c r="A675" s="28">
        <v>17049</v>
      </c>
      <c r="B675" s="35">
        <v>45470.381944444445</v>
      </c>
      <c r="C675" s="18">
        <v>45470</v>
      </c>
      <c r="D675" t="s">
        <v>101</v>
      </c>
      <c r="E675" s="32">
        <v>0</v>
      </c>
      <c r="F675" s="32">
        <v>19352520</v>
      </c>
      <c r="G675" s="32">
        <v>35770706</v>
      </c>
      <c r="H675" t="s">
        <v>1956</v>
      </c>
    </row>
    <row r="676" spans="1:8" hidden="1" x14ac:dyDescent="0.3">
      <c r="A676" s="28">
        <v>17048</v>
      </c>
      <c r="B676" s="35">
        <v>45469.611111111109</v>
      </c>
      <c r="C676" s="18">
        <v>45469</v>
      </c>
      <c r="D676" t="s">
        <v>100</v>
      </c>
      <c r="E676" s="32">
        <v>544500</v>
      </c>
      <c r="F676" s="32">
        <v>0</v>
      </c>
      <c r="G676" s="32">
        <v>55123226</v>
      </c>
      <c r="H676" t="s">
        <v>235</v>
      </c>
    </row>
    <row r="677" spans="1:8" hidden="1" x14ac:dyDescent="0.3">
      <c r="A677" s="28">
        <v>17047</v>
      </c>
      <c r="B677" s="35">
        <v>45469.591666666667</v>
      </c>
      <c r="C677" s="18">
        <v>45469</v>
      </c>
      <c r="D677" t="s">
        <v>100</v>
      </c>
      <c r="E677" s="32">
        <v>264000</v>
      </c>
      <c r="F677" s="32">
        <v>0</v>
      </c>
      <c r="G677" s="32">
        <v>54578726</v>
      </c>
      <c r="H677" t="s">
        <v>1957</v>
      </c>
    </row>
    <row r="678" spans="1:8" hidden="1" x14ac:dyDescent="0.3">
      <c r="A678" s="28">
        <v>17046</v>
      </c>
      <c r="B678" s="35">
        <v>45469.563888888886</v>
      </c>
      <c r="C678" s="18">
        <v>45469</v>
      </c>
      <c r="D678" t="s">
        <v>100</v>
      </c>
      <c r="E678" s="32">
        <v>129800</v>
      </c>
      <c r="F678" s="32">
        <v>0</v>
      </c>
      <c r="G678" s="32">
        <v>54314726</v>
      </c>
      <c r="H678" t="s">
        <v>448</v>
      </c>
    </row>
    <row r="679" spans="1:8" hidden="1" x14ac:dyDescent="0.3">
      <c r="A679" s="28">
        <v>17044</v>
      </c>
      <c r="B679" s="35">
        <v>45469.418749999997</v>
      </c>
      <c r="C679" s="18">
        <v>45469</v>
      </c>
      <c r="D679" t="s">
        <v>101</v>
      </c>
      <c r="E679" s="32">
        <v>0</v>
      </c>
      <c r="F679" s="32">
        <v>2596047</v>
      </c>
      <c r="G679" s="32">
        <v>54184926</v>
      </c>
      <c r="H679" t="s">
        <v>1958</v>
      </c>
    </row>
    <row r="680" spans="1:8" hidden="1" x14ac:dyDescent="0.3">
      <c r="A680" s="28">
        <v>17043</v>
      </c>
      <c r="B680" s="35">
        <v>45469.40625</v>
      </c>
      <c r="C680" s="18">
        <v>45469</v>
      </c>
      <c r="D680" t="s">
        <v>101</v>
      </c>
      <c r="E680" s="32">
        <v>0</v>
      </c>
      <c r="F680" s="32">
        <v>8000</v>
      </c>
      <c r="G680" s="32">
        <v>56780973</v>
      </c>
      <c r="H680" t="s">
        <v>241</v>
      </c>
    </row>
    <row r="681" spans="1:8" hidden="1" x14ac:dyDescent="0.3">
      <c r="A681" s="28">
        <v>17042</v>
      </c>
      <c r="B681" s="35">
        <v>45469.379861111112</v>
      </c>
      <c r="C681" s="18">
        <v>45469</v>
      </c>
      <c r="D681" t="s">
        <v>100</v>
      </c>
      <c r="E681" s="32">
        <v>2538800</v>
      </c>
      <c r="F681" s="32">
        <v>0</v>
      </c>
      <c r="G681" s="32">
        <v>56788973</v>
      </c>
      <c r="H681" t="s">
        <v>1959</v>
      </c>
    </row>
    <row r="682" spans="1:8" hidden="1" x14ac:dyDescent="0.3">
      <c r="A682" s="28">
        <v>17041</v>
      </c>
      <c r="B682" s="35">
        <v>45469.379861111112</v>
      </c>
      <c r="C682" s="18">
        <v>45469</v>
      </c>
      <c r="D682" t="s">
        <v>100</v>
      </c>
      <c r="E682" s="32">
        <v>561000</v>
      </c>
      <c r="F682" s="32">
        <v>0</v>
      </c>
      <c r="G682" s="32">
        <v>54250173</v>
      </c>
      <c r="H682" t="s">
        <v>1959</v>
      </c>
    </row>
    <row r="683" spans="1:8" hidden="1" x14ac:dyDescent="0.3">
      <c r="A683" s="28">
        <v>17040</v>
      </c>
      <c r="B683" s="35">
        <v>45469.375694444447</v>
      </c>
      <c r="C683" s="18">
        <v>45469</v>
      </c>
      <c r="D683" t="s">
        <v>101</v>
      </c>
      <c r="E683" s="32">
        <v>0</v>
      </c>
      <c r="F683" s="32">
        <v>4177500</v>
      </c>
      <c r="G683" s="32">
        <v>53689173</v>
      </c>
      <c r="H683" t="s">
        <v>1960</v>
      </c>
    </row>
    <row r="684" spans="1:8" hidden="1" x14ac:dyDescent="0.3">
      <c r="A684" s="28">
        <v>17037</v>
      </c>
      <c r="B684" s="35">
        <v>45468.834027777775</v>
      </c>
      <c r="C684" s="18">
        <v>45468</v>
      </c>
      <c r="D684" t="s">
        <v>101</v>
      </c>
      <c r="E684" s="32">
        <v>0</v>
      </c>
      <c r="F684" s="32">
        <v>440000</v>
      </c>
      <c r="G684" s="32">
        <v>57866673</v>
      </c>
      <c r="H684" t="s">
        <v>271</v>
      </c>
    </row>
    <row r="685" spans="1:8" hidden="1" x14ac:dyDescent="0.3">
      <c r="A685" s="28">
        <v>17034</v>
      </c>
      <c r="B685" s="35">
        <v>45468.702777777777</v>
      </c>
      <c r="C685" s="18">
        <v>45468</v>
      </c>
      <c r="D685" t="s">
        <v>101</v>
      </c>
      <c r="E685" s="32">
        <v>0</v>
      </c>
      <c r="F685" s="32">
        <v>198000</v>
      </c>
      <c r="G685" s="32">
        <v>58306673</v>
      </c>
      <c r="H685" t="s">
        <v>1961</v>
      </c>
    </row>
    <row r="686" spans="1:8" hidden="1" x14ac:dyDescent="0.3">
      <c r="A686" s="28">
        <v>17033</v>
      </c>
      <c r="B686" s="35">
        <v>45468.700694444444</v>
      </c>
      <c r="C686" s="18">
        <v>45468</v>
      </c>
      <c r="D686" t="s">
        <v>101</v>
      </c>
      <c r="E686" s="32">
        <v>0</v>
      </c>
      <c r="F686" s="32">
        <v>650000</v>
      </c>
      <c r="G686" s="32">
        <v>58504673</v>
      </c>
      <c r="H686" t="s">
        <v>1962</v>
      </c>
    </row>
    <row r="687" spans="1:8" hidden="1" x14ac:dyDescent="0.3">
      <c r="A687" s="28">
        <v>17032</v>
      </c>
      <c r="B687" s="35">
        <v>45468.604861111111</v>
      </c>
      <c r="C687" s="18">
        <v>45468</v>
      </c>
      <c r="D687" t="s">
        <v>100</v>
      </c>
      <c r="E687" s="32">
        <v>12872398</v>
      </c>
      <c r="F687" s="32">
        <v>0</v>
      </c>
      <c r="G687" s="32">
        <v>59154673</v>
      </c>
      <c r="H687" t="s">
        <v>1878</v>
      </c>
    </row>
    <row r="688" spans="1:8" hidden="1" x14ac:dyDescent="0.3">
      <c r="A688" s="28">
        <v>17031</v>
      </c>
      <c r="B688" s="35">
        <v>45468.595833333333</v>
      </c>
      <c r="C688" s="18">
        <v>45468</v>
      </c>
      <c r="D688" t="s">
        <v>100</v>
      </c>
      <c r="E688" s="32">
        <v>1824900</v>
      </c>
      <c r="F688" s="32">
        <v>0</v>
      </c>
      <c r="G688" s="32">
        <v>46282275</v>
      </c>
      <c r="H688" t="s">
        <v>223</v>
      </c>
    </row>
    <row r="689" spans="1:8" hidden="1" x14ac:dyDescent="0.3">
      <c r="A689" s="28">
        <v>17029</v>
      </c>
      <c r="B689" s="35">
        <v>45468.415277777778</v>
      </c>
      <c r="C689" s="18">
        <v>45468</v>
      </c>
      <c r="D689" t="s">
        <v>101</v>
      </c>
      <c r="E689" s="32">
        <v>0</v>
      </c>
      <c r="F689" s="32">
        <v>130000</v>
      </c>
      <c r="G689" s="32">
        <v>44457375</v>
      </c>
      <c r="H689" t="s">
        <v>1963</v>
      </c>
    </row>
    <row r="690" spans="1:8" hidden="1" x14ac:dyDescent="0.3">
      <c r="A690" s="28">
        <v>17028</v>
      </c>
      <c r="B690" s="35">
        <v>45468.413888888892</v>
      </c>
      <c r="C690" s="18">
        <v>45468</v>
      </c>
      <c r="D690" t="s">
        <v>101</v>
      </c>
      <c r="E690" s="32">
        <v>0</v>
      </c>
      <c r="F690" s="32">
        <v>450000</v>
      </c>
      <c r="G690" s="32">
        <v>44587375</v>
      </c>
      <c r="H690" t="s">
        <v>282</v>
      </c>
    </row>
    <row r="691" spans="1:8" hidden="1" x14ac:dyDescent="0.3">
      <c r="A691" s="28">
        <v>17027</v>
      </c>
      <c r="B691" s="35">
        <v>45468.410416666666</v>
      </c>
      <c r="C691" s="18">
        <v>45468</v>
      </c>
      <c r="D691" t="s">
        <v>101</v>
      </c>
      <c r="E691" s="32">
        <v>0</v>
      </c>
      <c r="F691" s="32">
        <v>20000</v>
      </c>
      <c r="G691" s="32">
        <v>45037375</v>
      </c>
      <c r="H691" t="s">
        <v>295</v>
      </c>
    </row>
    <row r="692" spans="1:8" hidden="1" x14ac:dyDescent="0.3">
      <c r="A692" s="28">
        <v>17026</v>
      </c>
      <c r="B692" s="35">
        <v>45468.390277777777</v>
      </c>
      <c r="C692" s="18">
        <v>45468</v>
      </c>
      <c r="D692" t="s">
        <v>101</v>
      </c>
      <c r="E692" s="32">
        <v>0</v>
      </c>
      <c r="F692" s="32">
        <v>1386000</v>
      </c>
      <c r="G692" s="32">
        <v>45057375</v>
      </c>
      <c r="H692" t="s">
        <v>1964</v>
      </c>
    </row>
    <row r="693" spans="1:8" hidden="1" x14ac:dyDescent="0.3">
      <c r="A693" s="28">
        <v>17024</v>
      </c>
      <c r="B693" s="35">
        <v>45468.376388888886</v>
      </c>
      <c r="C693" s="18">
        <v>45468</v>
      </c>
      <c r="D693" t="s">
        <v>101</v>
      </c>
      <c r="E693" s="32">
        <v>0</v>
      </c>
      <c r="F693" s="32">
        <v>13878000</v>
      </c>
      <c r="G693" s="32">
        <v>46443375</v>
      </c>
      <c r="H693" t="s">
        <v>1965</v>
      </c>
    </row>
    <row r="694" spans="1:8" hidden="1" x14ac:dyDescent="0.3">
      <c r="A694" s="28">
        <v>17023</v>
      </c>
      <c r="B694" s="35">
        <v>45468.356249999997</v>
      </c>
      <c r="C694" s="18">
        <v>45468</v>
      </c>
      <c r="D694" t="s">
        <v>100</v>
      </c>
      <c r="E694" s="32">
        <v>144100</v>
      </c>
      <c r="F694" s="32">
        <v>0</v>
      </c>
      <c r="G694" s="32">
        <v>60321375</v>
      </c>
      <c r="H694" t="s">
        <v>311</v>
      </c>
    </row>
    <row r="695" spans="1:8" hidden="1" x14ac:dyDescent="0.3">
      <c r="A695" s="28">
        <v>17022</v>
      </c>
      <c r="B695" s="35">
        <v>45467.487500000003</v>
      </c>
      <c r="C695" s="18">
        <v>45467</v>
      </c>
      <c r="D695" t="s">
        <v>100</v>
      </c>
      <c r="E695" s="32">
        <v>353000</v>
      </c>
      <c r="F695" s="32">
        <v>0</v>
      </c>
      <c r="G695" s="32">
        <v>60177275</v>
      </c>
      <c r="H695" t="s">
        <v>383</v>
      </c>
    </row>
    <row r="696" spans="1:8" hidden="1" x14ac:dyDescent="0.3">
      <c r="A696" s="28">
        <v>17021</v>
      </c>
      <c r="B696" s="35">
        <v>45467.480555555558</v>
      </c>
      <c r="C696" s="18">
        <v>45467</v>
      </c>
      <c r="D696" t="s">
        <v>100</v>
      </c>
      <c r="E696" s="32">
        <v>35300</v>
      </c>
      <c r="F696" s="32">
        <v>0</v>
      </c>
      <c r="G696" s="32">
        <v>59824275</v>
      </c>
      <c r="H696" t="s">
        <v>384</v>
      </c>
    </row>
    <row r="697" spans="1:8" hidden="1" x14ac:dyDescent="0.3">
      <c r="A697" s="28">
        <v>17018</v>
      </c>
      <c r="B697" s="35">
        <v>45467.45416666667</v>
      </c>
      <c r="C697" s="18">
        <v>45467</v>
      </c>
      <c r="D697" t="s">
        <v>101</v>
      </c>
      <c r="E697" s="32">
        <v>0</v>
      </c>
      <c r="F697" s="32">
        <v>2054800</v>
      </c>
      <c r="G697" s="32">
        <v>59788975</v>
      </c>
      <c r="H697" t="s">
        <v>632</v>
      </c>
    </row>
    <row r="698" spans="1:8" hidden="1" x14ac:dyDescent="0.3">
      <c r="A698" s="28">
        <v>17013</v>
      </c>
      <c r="B698" s="35">
        <v>45464.67083333333</v>
      </c>
      <c r="C698" s="18">
        <v>45464</v>
      </c>
      <c r="D698" t="s">
        <v>100</v>
      </c>
      <c r="E698" s="32">
        <v>985000</v>
      </c>
      <c r="F698" s="32">
        <v>0</v>
      </c>
      <c r="G698" s="32">
        <v>61843775</v>
      </c>
      <c r="H698" t="s">
        <v>246</v>
      </c>
    </row>
    <row r="699" spans="1:8" hidden="1" x14ac:dyDescent="0.3">
      <c r="A699" s="28">
        <v>17012</v>
      </c>
      <c r="B699" s="35">
        <v>45464.67083333333</v>
      </c>
      <c r="C699" s="18">
        <v>45464</v>
      </c>
      <c r="D699" t="s">
        <v>100</v>
      </c>
      <c r="E699" s="32">
        <v>1574000</v>
      </c>
      <c r="F699" s="32">
        <v>0</v>
      </c>
      <c r="G699" s="32">
        <v>60858775</v>
      </c>
      <c r="H699" t="s">
        <v>246</v>
      </c>
    </row>
    <row r="700" spans="1:8" hidden="1" x14ac:dyDescent="0.3">
      <c r="A700" s="28">
        <v>17011</v>
      </c>
      <c r="B700" s="35">
        <v>45464.670138888891</v>
      </c>
      <c r="C700" s="18">
        <v>45464</v>
      </c>
      <c r="D700" t="s">
        <v>100</v>
      </c>
      <c r="E700" s="32">
        <v>290000</v>
      </c>
      <c r="F700" s="32">
        <v>0</v>
      </c>
      <c r="G700" s="32">
        <v>59284775</v>
      </c>
      <c r="H700" t="s">
        <v>246</v>
      </c>
    </row>
    <row r="701" spans="1:8" hidden="1" x14ac:dyDescent="0.3">
      <c r="A701" s="28">
        <v>17010</v>
      </c>
      <c r="B701" s="35">
        <v>45464.670138888891</v>
      </c>
      <c r="C701" s="18">
        <v>45464</v>
      </c>
      <c r="D701" t="s">
        <v>100</v>
      </c>
      <c r="E701" s="32">
        <v>347000</v>
      </c>
      <c r="F701" s="32">
        <v>0</v>
      </c>
      <c r="G701" s="32">
        <v>58994775</v>
      </c>
      <c r="H701" t="s">
        <v>246</v>
      </c>
    </row>
    <row r="702" spans="1:8" hidden="1" x14ac:dyDescent="0.3">
      <c r="A702" s="28">
        <v>17009</v>
      </c>
      <c r="B702" s="35">
        <v>45464.670138888891</v>
      </c>
      <c r="C702" s="18">
        <v>45464</v>
      </c>
      <c r="D702" t="s">
        <v>100</v>
      </c>
      <c r="E702" s="32">
        <v>1318000</v>
      </c>
      <c r="F702" s="32">
        <v>0</v>
      </c>
      <c r="G702" s="32">
        <v>58647775</v>
      </c>
      <c r="H702" t="s">
        <v>246</v>
      </c>
    </row>
    <row r="703" spans="1:8" hidden="1" x14ac:dyDescent="0.3">
      <c r="A703" s="28">
        <v>17008</v>
      </c>
      <c r="B703" s="35">
        <v>45464.654861111114</v>
      </c>
      <c r="C703" s="18">
        <v>45464</v>
      </c>
      <c r="D703" t="s">
        <v>100</v>
      </c>
      <c r="E703" s="32">
        <v>157400</v>
      </c>
      <c r="F703" s="32">
        <v>0</v>
      </c>
      <c r="G703" s="32">
        <v>57329775</v>
      </c>
      <c r="H703" t="s">
        <v>247</v>
      </c>
    </row>
    <row r="704" spans="1:8" hidden="1" x14ac:dyDescent="0.3">
      <c r="A704" s="28">
        <v>17007</v>
      </c>
      <c r="B704" s="35">
        <v>45464.654861111114</v>
      </c>
      <c r="C704" s="18">
        <v>45464</v>
      </c>
      <c r="D704" t="s">
        <v>100</v>
      </c>
      <c r="E704" s="32">
        <v>98500</v>
      </c>
      <c r="F704" s="32">
        <v>0</v>
      </c>
      <c r="G704" s="32">
        <v>57172375</v>
      </c>
      <c r="H704" t="s">
        <v>247</v>
      </c>
    </row>
    <row r="705" spans="1:8" hidden="1" x14ac:dyDescent="0.3">
      <c r="A705" s="28">
        <v>17006</v>
      </c>
      <c r="B705" s="35">
        <v>45464.654861111114</v>
      </c>
      <c r="C705" s="18">
        <v>45464</v>
      </c>
      <c r="D705" t="s">
        <v>100</v>
      </c>
      <c r="E705" s="32">
        <v>29000</v>
      </c>
      <c r="F705" s="32">
        <v>0</v>
      </c>
      <c r="G705" s="32">
        <v>57073875</v>
      </c>
      <c r="H705" t="s">
        <v>247</v>
      </c>
    </row>
    <row r="706" spans="1:8" hidden="1" x14ac:dyDescent="0.3">
      <c r="A706" s="28">
        <v>17005</v>
      </c>
      <c r="B706" s="35">
        <v>45464.654861111114</v>
      </c>
      <c r="C706" s="18">
        <v>45464</v>
      </c>
      <c r="D706" t="s">
        <v>100</v>
      </c>
      <c r="E706" s="32">
        <v>34700</v>
      </c>
      <c r="F706" s="32">
        <v>0</v>
      </c>
      <c r="G706" s="32">
        <v>57044875</v>
      </c>
      <c r="H706" t="s">
        <v>247</v>
      </c>
    </row>
    <row r="707" spans="1:8" hidden="1" x14ac:dyDescent="0.3">
      <c r="A707" s="28">
        <v>17004</v>
      </c>
      <c r="B707" s="35">
        <v>45464.654861111114</v>
      </c>
      <c r="C707" s="18">
        <v>45464</v>
      </c>
      <c r="D707" t="s">
        <v>100</v>
      </c>
      <c r="E707" s="32">
        <v>131800</v>
      </c>
      <c r="F707" s="32">
        <v>0</v>
      </c>
      <c r="G707" s="32">
        <v>57010175</v>
      </c>
      <c r="H707" t="s">
        <v>247</v>
      </c>
    </row>
    <row r="708" spans="1:8" hidden="1" x14ac:dyDescent="0.3">
      <c r="A708" s="28">
        <v>17003</v>
      </c>
      <c r="B708" s="35">
        <v>45464.629166666666</v>
      </c>
      <c r="C708" s="18">
        <v>45464</v>
      </c>
      <c r="D708" t="s">
        <v>101</v>
      </c>
      <c r="E708" s="32">
        <v>0</v>
      </c>
      <c r="F708" s="32">
        <v>1100000</v>
      </c>
      <c r="G708" s="32">
        <v>56878375</v>
      </c>
      <c r="H708" t="s">
        <v>1966</v>
      </c>
    </row>
    <row r="709" spans="1:8" hidden="1" x14ac:dyDescent="0.3">
      <c r="A709" s="28">
        <v>17001</v>
      </c>
      <c r="B709" s="35">
        <v>45464.431944444441</v>
      </c>
      <c r="C709" s="18">
        <v>45464</v>
      </c>
      <c r="D709" t="s">
        <v>101</v>
      </c>
      <c r="E709" s="32">
        <v>0</v>
      </c>
      <c r="F709" s="32">
        <v>107960</v>
      </c>
      <c r="G709" s="32">
        <v>57978375</v>
      </c>
      <c r="H709" t="s">
        <v>1967</v>
      </c>
    </row>
    <row r="710" spans="1:8" hidden="1" x14ac:dyDescent="0.3">
      <c r="A710" s="28">
        <v>16999</v>
      </c>
      <c r="B710" s="35">
        <v>45464.382638888892</v>
      </c>
      <c r="C710" s="18">
        <v>45464</v>
      </c>
      <c r="D710" t="s">
        <v>101</v>
      </c>
      <c r="E710" s="32">
        <v>0</v>
      </c>
      <c r="F710" s="32">
        <v>50000000</v>
      </c>
      <c r="G710" s="32">
        <v>58086335</v>
      </c>
      <c r="H710" t="s">
        <v>270</v>
      </c>
    </row>
    <row r="711" spans="1:8" hidden="1" x14ac:dyDescent="0.3">
      <c r="A711" s="28">
        <v>16997</v>
      </c>
      <c r="B711" s="35">
        <v>45463.852777777778</v>
      </c>
      <c r="C711" s="18">
        <v>45463</v>
      </c>
      <c r="D711" t="s">
        <v>101</v>
      </c>
      <c r="E711" s="32">
        <v>0</v>
      </c>
      <c r="F711" s="32">
        <v>598530</v>
      </c>
      <c r="G711" s="32">
        <v>108086335</v>
      </c>
      <c r="H711" t="s">
        <v>285</v>
      </c>
    </row>
    <row r="712" spans="1:8" hidden="1" x14ac:dyDescent="0.3">
      <c r="A712" s="28">
        <v>16996</v>
      </c>
      <c r="B712" s="35">
        <v>45463.829861111109</v>
      </c>
      <c r="C712" s="18">
        <v>45463</v>
      </c>
      <c r="D712" t="s">
        <v>101</v>
      </c>
      <c r="E712" s="32">
        <v>0</v>
      </c>
      <c r="F712" s="32">
        <v>299535</v>
      </c>
      <c r="G712" s="32">
        <v>108684865</v>
      </c>
      <c r="H712" t="s">
        <v>286</v>
      </c>
    </row>
    <row r="713" spans="1:8" hidden="1" x14ac:dyDescent="0.3">
      <c r="A713" s="28">
        <v>16995</v>
      </c>
      <c r="B713" s="35">
        <v>45463.821527777778</v>
      </c>
      <c r="C713" s="18">
        <v>45463</v>
      </c>
      <c r="D713" t="s">
        <v>101</v>
      </c>
      <c r="E713" s="32">
        <v>0</v>
      </c>
      <c r="F713" s="32">
        <v>77429</v>
      </c>
      <c r="G713" s="32">
        <v>108984400</v>
      </c>
      <c r="H713" t="s">
        <v>1968</v>
      </c>
    </row>
    <row r="714" spans="1:8" hidden="1" x14ac:dyDescent="0.3">
      <c r="A714" s="28">
        <v>16994</v>
      </c>
      <c r="B714" s="35">
        <v>45463.816666666666</v>
      </c>
      <c r="C714" s="18">
        <v>45463</v>
      </c>
      <c r="D714" t="s">
        <v>101</v>
      </c>
      <c r="E714" s="32">
        <v>0</v>
      </c>
      <c r="F714" s="32">
        <v>1000000</v>
      </c>
      <c r="G714" s="32">
        <v>109061829</v>
      </c>
      <c r="H714" t="s">
        <v>1969</v>
      </c>
    </row>
    <row r="715" spans="1:8" hidden="1" x14ac:dyDescent="0.3">
      <c r="A715" s="28">
        <v>16993</v>
      </c>
      <c r="B715" s="35">
        <v>45463.622916666667</v>
      </c>
      <c r="C715" s="18">
        <v>45463</v>
      </c>
      <c r="D715" t="s">
        <v>100</v>
      </c>
      <c r="E715" s="32">
        <v>412500</v>
      </c>
      <c r="F715" s="32">
        <v>0</v>
      </c>
      <c r="G715" s="32">
        <v>110061829</v>
      </c>
      <c r="H715" t="s">
        <v>1970</v>
      </c>
    </row>
    <row r="716" spans="1:8" hidden="1" x14ac:dyDescent="0.3">
      <c r="A716" s="28">
        <v>16992</v>
      </c>
      <c r="B716" s="35">
        <v>45463.57708333333</v>
      </c>
      <c r="C716" s="18">
        <v>45463</v>
      </c>
      <c r="D716" t="s">
        <v>100</v>
      </c>
      <c r="E716" s="32">
        <v>823900</v>
      </c>
      <c r="F716" s="32">
        <v>0</v>
      </c>
      <c r="G716" s="32">
        <v>109649329</v>
      </c>
      <c r="H716" t="s">
        <v>1874</v>
      </c>
    </row>
    <row r="717" spans="1:8" hidden="1" x14ac:dyDescent="0.3">
      <c r="A717" s="28">
        <v>16991</v>
      </c>
      <c r="B717" s="35">
        <v>45463.481249999997</v>
      </c>
      <c r="C717" s="18">
        <v>45463</v>
      </c>
      <c r="D717" t="s">
        <v>101</v>
      </c>
      <c r="E717" s="32">
        <v>0</v>
      </c>
      <c r="F717" s="32">
        <v>133533</v>
      </c>
      <c r="G717" s="32">
        <v>108825429</v>
      </c>
      <c r="H717" t="s">
        <v>221</v>
      </c>
    </row>
    <row r="718" spans="1:8" hidden="1" x14ac:dyDescent="0.3">
      <c r="A718" s="28">
        <v>16989</v>
      </c>
      <c r="B718" s="35">
        <v>45463.431250000001</v>
      </c>
      <c r="C718" s="18">
        <v>45463</v>
      </c>
      <c r="D718" t="s">
        <v>101</v>
      </c>
      <c r="E718" s="32">
        <v>0</v>
      </c>
      <c r="F718" s="32">
        <v>989289</v>
      </c>
      <c r="G718" s="32">
        <v>108958962</v>
      </c>
      <c r="H718" t="s">
        <v>291</v>
      </c>
    </row>
    <row r="719" spans="1:8" hidden="1" x14ac:dyDescent="0.3">
      <c r="A719" s="28">
        <v>16988</v>
      </c>
      <c r="B719" s="35">
        <v>45463.40347222222</v>
      </c>
      <c r="C719" s="18">
        <v>45463</v>
      </c>
      <c r="D719" t="s">
        <v>101</v>
      </c>
      <c r="E719" s="32">
        <v>0</v>
      </c>
      <c r="F719" s="32">
        <v>1815000</v>
      </c>
      <c r="G719" s="32">
        <v>109948251</v>
      </c>
      <c r="H719" t="s">
        <v>1971</v>
      </c>
    </row>
    <row r="720" spans="1:8" hidden="1" x14ac:dyDescent="0.3">
      <c r="A720" s="28">
        <v>16986</v>
      </c>
      <c r="B720" s="35">
        <v>45462.745833333334</v>
      </c>
      <c r="C720" s="18">
        <v>45462</v>
      </c>
      <c r="D720" t="s">
        <v>100</v>
      </c>
      <c r="E720" s="32">
        <v>4898300</v>
      </c>
      <c r="F720" s="32">
        <v>0</v>
      </c>
      <c r="G720" s="32">
        <v>111763251</v>
      </c>
      <c r="H720" t="s">
        <v>1972</v>
      </c>
    </row>
    <row r="721" spans="1:8" hidden="1" x14ac:dyDescent="0.3">
      <c r="A721" s="28">
        <v>16985</v>
      </c>
      <c r="B721" s="35">
        <v>45462.692361111112</v>
      </c>
      <c r="C721" s="18">
        <v>45462</v>
      </c>
      <c r="D721" t="s">
        <v>100</v>
      </c>
      <c r="E721" s="32">
        <v>121000</v>
      </c>
      <c r="F721" s="32">
        <v>0</v>
      </c>
      <c r="G721" s="32">
        <v>106864951</v>
      </c>
      <c r="H721" t="s">
        <v>1973</v>
      </c>
    </row>
    <row r="722" spans="1:8" hidden="1" x14ac:dyDescent="0.3">
      <c r="A722" s="28">
        <v>16984</v>
      </c>
      <c r="B722" s="35">
        <v>45462.479166666664</v>
      </c>
      <c r="C722" s="18">
        <v>45462</v>
      </c>
      <c r="D722" t="s">
        <v>101</v>
      </c>
      <c r="E722" s="32">
        <v>0</v>
      </c>
      <c r="F722" s="32">
        <v>1319206</v>
      </c>
      <c r="G722" s="32">
        <v>106743951</v>
      </c>
      <c r="H722" t="s">
        <v>1974</v>
      </c>
    </row>
    <row r="723" spans="1:8" hidden="1" x14ac:dyDescent="0.3">
      <c r="A723" s="28">
        <v>16976</v>
      </c>
      <c r="B723" s="35">
        <v>45461.727083333331</v>
      </c>
      <c r="C723" s="18">
        <v>45461</v>
      </c>
      <c r="D723" t="s">
        <v>101</v>
      </c>
      <c r="E723" s="32">
        <v>0</v>
      </c>
      <c r="F723" s="32">
        <v>222044</v>
      </c>
      <c r="G723" s="32">
        <v>108063157</v>
      </c>
      <c r="H723" t="s">
        <v>1975</v>
      </c>
    </row>
    <row r="724" spans="1:8" hidden="1" x14ac:dyDescent="0.3">
      <c r="A724" s="28">
        <v>16975</v>
      </c>
      <c r="B724" s="35">
        <v>45461.727083333331</v>
      </c>
      <c r="C724" s="18">
        <v>45461</v>
      </c>
      <c r="D724" t="s">
        <v>101</v>
      </c>
      <c r="E724" s="32">
        <v>0</v>
      </c>
      <c r="F724" s="32">
        <v>226568</v>
      </c>
      <c r="G724" s="32">
        <v>108285201</v>
      </c>
      <c r="H724" t="s">
        <v>1976</v>
      </c>
    </row>
    <row r="725" spans="1:8" hidden="1" x14ac:dyDescent="0.3">
      <c r="A725" s="28">
        <v>16974</v>
      </c>
      <c r="B725" s="35">
        <v>45461.727083333331</v>
      </c>
      <c r="C725" s="18">
        <v>45461</v>
      </c>
      <c r="D725" t="s">
        <v>101</v>
      </c>
      <c r="E725" s="32">
        <v>0</v>
      </c>
      <c r="F725" s="32">
        <v>4871</v>
      </c>
      <c r="G725" s="32">
        <v>108511769</v>
      </c>
      <c r="H725" t="s">
        <v>1977</v>
      </c>
    </row>
    <row r="726" spans="1:8" hidden="1" x14ac:dyDescent="0.3">
      <c r="A726" s="28">
        <v>16973</v>
      </c>
      <c r="B726" s="35">
        <v>45461.663888888892</v>
      </c>
      <c r="C726" s="18">
        <v>45461</v>
      </c>
      <c r="D726" t="s">
        <v>100</v>
      </c>
      <c r="E726" s="32">
        <v>1158300</v>
      </c>
      <c r="F726" s="32">
        <v>0</v>
      </c>
      <c r="G726" s="32">
        <v>108516640</v>
      </c>
      <c r="H726" t="s">
        <v>1978</v>
      </c>
    </row>
    <row r="727" spans="1:8" hidden="1" x14ac:dyDescent="0.3">
      <c r="A727" s="28">
        <v>16971</v>
      </c>
      <c r="B727" s="35">
        <v>45460.840277777781</v>
      </c>
      <c r="C727" s="18">
        <v>45460</v>
      </c>
      <c r="D727" t="s">
        <v>101</v>
      </c>
      <c r="E727" s="32">
        <v>0</v>
      </c>
      <c r="F727" s="32">
        <v>308650</v>
      </c>
      <c r="G727" s="32">
        <v>107358340</v>
      </c>
      <c r="H727" t="s">
        <v>300</v>
      </c>
    </row>
    <row r="728" spans="1:8" hidden="1" x14ac:dyDescent="0.3">
      <c r="A728" s="28">
        <v>16970</v>
      </c>
      <c r="B728" s="35">
        <v>45460.813194444447</v>
      </c>
      <c r="C728" s="18">
        <v>45460</v>
      </c>
      <c r="D728" t="s">
        <v>101</v>
      </c>
      <c r="E728" s="32">
        <v>0</v>
      </c>
      <c r="F728" s="32">
        <v>517090</v>
      </c>
      <c r="G728" s="32">
        <v>107666990</v>
      </c>
      <c r="H728" t="s">
        <v>296</v>
      </c>
    </row>
    <row r="729" spans="1:8" hidden="1" x14ac:dyDescent="0.3">
      <c r="A729" s="28">
        <v>16969</v>
      </c>
      <c r="B729" s="35">
        <v>45460.813194444447</v>
      </c>
      <c r="C729" s="18">
        <v>45460</v>
      </c>
      <c r="D729" t="s">
        <v>101</v>
      </c>
      <c r="E729" s="32">
        <v>0</v>
      </c>
      <c r="F729" s="32">
        <v>156320</v>
      </c>
      <c r="G729" s="32">
        <v>108184080</v>
      </c>
      <c r="H729" t="s">
        <v>296</v>
      </c>
    </row>
    <row r="730" spans="1:8" hidden="1" x14ac:dyDescent="0.3">
      <c r="A730" s="28">
        <v>16968</v>
      </c>
      <c r="B730" s="35">
        <v>45460.813194444447</v>
      </c>
      <c r="C730" s="18">
        <v>45460</v>
      </c>
      <c r="D730" t="s">
        <v>101</v>
      </c>
      <c r="E730" s="32">
        <v>0</v>
      </c>
      <c r="F730" s="32">
        <v>499306</v>
      </c>
      <c r="G730" s="32">
        <v>108340400</v>
      </c>
      <c r="H730" t="s">
        <v>296</v>
      </c>
    </row>
    <row r="731" spans="1:8" hidden="1" x14ac:dyDescent="0.3">
      <c r="A731" s="28">
        <v>16967</v>
      </c>
      <c r="B731" s="35">
        <v>45460.813194444447</v>
      </c>
      <c r="C731" s="18">
        <v>45460</v>
      </c>
      <c r="D731" t="s">
        <v>101</v>
      </c>
      <c r="E731" s="32">
        <v>0</v>
      </c>
      <c r="F731" s="32">
        <v>579960</v>
      </c>
      <c r="G731" s="32">
        <v>108839706</v>
      </c>
      <c r="H731" t="s">
        <v>296</v>
      </c>
    </row>
    <row r="732" spans="1:8" hidden="1" x14ac:dyDescent="0.3">
      <c r="A732" s="28">
        <v>16966</v>
      </c>
      <c r="B732" s="35">
        <v>45460.810416666667</v>
      </c>
      <c r="C732" s="18">
        <v>45460</v>
      </c>
      <c r="D732" t="s">
        <v>101</v>
      </c>
      <c r="E732" s="32">
        <v>0</v>
      </c>
      <c r="F732" s="32">
        <v>99000</v>
      </c>
      <c r="G732" s="32">
        <v>109419666</v>
      </c>
      <c r="H732" t="s">
        <v>301</v>
      </c>
    </row>
    <row r="733" spans="1:8" hidden="1" x14ac:dyDescent="0.3">
      <c r="A733" s="28">
        <v>16965</v>
      </c>
      <c r="B733" s="35">
        <v>45460.801388888889</v>
      </c>
      <c r="C733" s="18">
        <v>45460</v>
      </c>
      <c r="D733" t="s">
        <v>101</v>
      </c>
      <c r="E733" s="32">
        <v>0</v>
      </c>
      <c r="F733" s="32">
        <v>684420</v>
      </c>
      <c r="G733" s="32">
        <v>109518666</v>
      </c>
      <c r="H733" t="s">
        <v>239</v>
      </c>
    </row>
    <row r="734" spans="1:8" hidden="1" x14ac:dyDescent="0.3">
      <c r="A734" s="28">
        <v>16963</v>
      </c>
      <c r="B734" s="35">
        <v>45460.769444444442</v>
      </c>
      <c r="C734" s="18">
        <v>45460</v>
      </c>
      <c r="D734" t="s">
        <v>101</v>
      </c>
      <c r="E734" s="32">
        <v>0</v>
      </c>
      <c r="F734" s="32">
        <v>9731401</v>
      </c>
      <c r="G734" s="32">
        <v>110203086</v>
      </c>
      <c r="H734" t="s">
        <v>303</v>
      </c>
    </row>
    <row r="735" spans="1:8" hidden="1" x14ac:dyDescent="0.3">
      <c r="A735" s="28">
        <v>16962</v>
      </c>
      <c r="B735" s="35">
        <v>45460.661111111112</v>
      </c>
      <c r="C735" s="18">
        <v>45460</v>
      </c>
      <c r="D735" t="s">
        <v>100</v>
      </c>
      <c r="E735" s="32">
        <v>396000</v>
      </c>
      <c r="F735" s="32">
        <v>0</v>
      </c>
      <c r="G735" s="32">
        <v>119934487</v>
      </c>
      <c r="H735" t="s">
        <v>396</v>
      </c>
    </row>
    <row r="736" spans="1:8" hidden="1" x14ac:dyDescent="0.3">
      <c r="A736" s="28">
        <v>16961</v>
      </c>
      <c r="B736" s="35">
        <v>45460.563194444447</v>
      </c>
      <c r="C736" s="18">
        <v>45460</v>
      </c>
      <c r="D736" t="s">
        <v>100</v>
      </c>
      <c r="E736" s="32">
        <v>892100</v>
      </c>
      <c r="F736" s="32">
        <v>0</v>
      </c>
      <c r="G736" s="32">
        <v>119538487</v>
      </c>
      <c r="H736" t="s">
        <v>382</v>
      </c>
    </row>
    <row r="737" spans="1:8" hidden="1" x14ac:dyDescent="0.3">
      <c r="A737" s="28">
        <v>16960</v>
      </c>
      <c r="B737" s="35">
        <v>45460.553472222222</v>
      </c>
      <c r="C737" s="18">
        <v>45460</v>
      </c>
      <c r="D737" t="s">
        <v>100</v>
      </c>
      <c r="E737" s="32">
        <v>92400</v>
      </c>
      <c r="F737" s="32">
        <v>0</v>
      </c>
      <c r="G737" s="32">
        <v>118646387</v>
      </c>
      <c r="H737" t="s">
        <v>365</v>
      </c>
    </row>
    <row r="738" spans="1:8" hidden="1" x14ac:dyDescent="0.3">
      <c r="A738" s="28">
        <v>16957</v>
      </c>
      <c r="B738" s="35">
        <v>45460.451388888891</v>
      </c>
      <c r="C738" s="18">
        <v>45460</v>
      </c>
      <c r="D738" t="s">
        <v>100</v>
      </c>
      <c r="E738" s="32">
        <v>201300</v>
      </c>
      <c r="F738" s="32">
        <v>0</v>
      </c>
      <c r="G738" s="32">
        <v>118553987</v>
      </c>
      <c r="H738" t="s">
        <v>311</v>
      </c>
    </row>
    <row r="739" spans="1:8" hidden="1" x14ac:dyDescent="0.3">
      <c r="A739" s="28">
        <v>16954</v>
      </c>
      <c r="B739" s="35">
        <v>45458.097916666666</v>
      </c>
      <c r="C739" s="18">
        <v>45458</v>
      </c>
      <c r="D739" t="s">
        <v>100</v>
      </c>
      <c r="E739" s="32">
        <v>36323</v>
      </c>
      <c r="F739" s="32">
        <v>0</v>
      </c>
      <c r="G739" s="32">
        <v>118352687</v>
      </c>
      <c r="H739" t="s">
        <v>1979</v>
      </c>
    </row>
    <row r="740" spans="1:8" hidden="1" x14ac:dyDescent="0.3">
      <c r="A740" s="28">
        <v>16953</v>
      </c>
      <c r="B740" s="35">
        <v>45457.805555555555</v>
      </c>
      <c r="C740" s="18">
        <v>45457</v>
      </c>
      <c r="D740" t="s">
        <v>101</v>
      </c>
      <c r="E740" s="32">
        <v>0</v>
      </c>
      <c r="F740" s="32">
        <v>31541</v>
      </c>
      <c r="G740" s="32">
        <v>118316364</v>
      </c>
      <c r="H740" t="s">
        <v>302</v>
      </c>
    </row>
    <row r="741" spans="1:8" hidden="1" x14ac:dyDescent="0.3">
      <c r="A741" s="28">
        <v>16952</v>
      </c>
      <c r="B741" s="35">
        <v>45457.805555555555</v>
      </c>
      <c r="C741" s="18">
        <v>45457</v>
      </c>
      <c r="D741" t="s">
        <v>101</v>
      </c>
      <c r="E741" s="32">
        <v>0</v>
      </c>
      <c r="F741" s="32">
        <v>275319</v>
      </c>
      <c r="G741" s="32">
        <v>118347905</v>
      </c>
      <c r="H741" t="s">
        <v>302</v>
      </c>
    </row>
    <row r="742" spans="1:8" hidden="1" x14ac:dyDescent="0.3">
      <c r="A742" s="28">
        <v>16951</v>
      </c>
      <c r="B742" s="35">
        <v>45457.670138888891</v>
      </c>
      <c r="C742" s="18">
        <v>45457</v>
      </c>
      <c r="D742" t="s">
        <v>101</v>
      </c>
      <c r="E742" s="32">
        <v>0</v>
      </c>
      <c r="F742" s="32">
        <v>248086</v>
      </c>
      <c r="G742" s="32">
        <v>118623224</v>
      </c>
      <c r="H742" t="s">
        <v>221</v>
      </c>
    </row>
    <row r="743" spans="1:8" hidden="1" x14ac:dyDescent="0.3">
      <c r="A743" s="28">
        <v>16950</v>
      </c>
      <c r="B743" s="35">
        <v>45457.569444444445</v>
      </c>
      <c r="C743" s="18">
        <v>45457</v>
      </c>
      <c r="D743" t="s">
        <v>100</v>
      </c>
      <c r="E743" s="32">
        <v>880000</v>
      </c>
      <c r="F743" s="32">
        <v>0</v>
      </c>
      <c r="G743" s="32">
        <v>118871310</v>
      </c>
      <c r="H743" t="s">
        <v>395</v>
      </c>
    </row>
    <row r="744" spans="1:8" hidden="1" x14ac:dyDescent="0.3">
      <c r="A744" s="28">
        <v>16949</v>
      </c>
      <c r="B744" s="35">
        <v>45457.569444444445</v>
      </c>
      <c r="C744" s="18">
        <v>45457</v>
      </c>
      <c r="D744" t="s">
        <v>100</v>
      </c>
      <c r="E744" s="32">
        <v>88000</v>
      </c>
      <c r="F744" s="32">
        <v>0</v>
      </c>
      <c r="G744" s="32">
        <v>117991310</v>
      </c>
      <c r="H744" t="s">
        <v>395</v>
      </c>
    </row>
    <row r="745" spans="1:8" hidden="1" x14ac:dyDescent="0.3">
      <c r="A745" s="28">
        <v>16944</v>
      </c>
      <c r="B745" s="35">
        <v>45457.554861111108</v>
      </c>
      <c r="C745" s="18">
        <v>45457</v>
      </c>
      <c r="D745" t="s">
        <v>100</v>
      </c>
      <c r="E745" s="32">
        <v>1979670</v>
      </c>
      <c r="F745" s="32">
        <v>0</v>
      </c>
      <c r="G745" s="32">
        <v>117903310</v>
      </c>
      <c r="H745" t="s">
        <v>492</v>
      </c>
    </row>
    <row r="746" spans="1:8" hidden="1" x14ac:dyDescent="0.3">
      <c r="A746" s="28">
        <v>16943</v>
      </c>
      <c r="B746" s="35">
        <v>45457.513888888891</v>
      </c>
      <c r="C746" s="18">
        <v>45457</v>
      </c>
      <c r="D746" t="s">
        <v>100</v>
      </c>
      <c r="E746" s="32">
        <v>732600</v>
      </c>
      <c r="F746" s="32">
        <v>0</v>
      </c>
      <c r="G746" s="32">
        <v>115923640</v>
      </c>
      <c r="H746" t="s">
        <v>231</v>
      </c>
    </row>
    <row r="747" spans="1:8" hidden="1" x14ac:dyDescent="0.3">
      <c r="A747" s="28">
        <v>16941</v>
      </c>
      <c r="B747" s="35">
        <v>45457.461111111108</v>
      </c>
      <c r="C747" s="18">
        <v>45457</v>
      </c>
      <c r="D747" t="s">
        <v>100</v>
      </c>
      <c r="E747" s="32">
        <v>482900</v>
      </c>
      <c r="F747" s="32">
        <v>0</v>
      </c>
      <c r="G747" s="32">
        <v>115191040</v>
      </c>
      <c r="H747" t="s">
        <v>365</v>
      </c>
    </row>
    <row r="748" spans="1:8" hidden="1" x14ac:dyDescent="0.3">
      <c r="A748" s="28">
        <v>16940</v>
      </c>
      <c r="B748" s="35">
        <v>45457.406944444447</v>
      </c>
      <c r="C748" s="18">
        <v>45457</v>
      </c>
      <c r="D748" t="s">
        <v>100</v>
      </c>
      <c r="E748" s="32">
        <v>7498700</v>
      </c>
      <c r="F748" s="32">
        <v>0</v>
      </c>
      <c r="G748" s="32">
        <v>114708140</v>
      </c>
      <c r="H748" t="s">
        <v>306</v>
      </c>
    </row>
    <row r="749" spans="1:8" hidden="1" x14ac:dyDescent="0.3">
      <c r="A749" s="28">
        <v>16939</v>
      </c>
      <c r="B749" s="35">
        <v>45456.642361111109</v>
      </c>
      <c r="C749" s="18">
        <v>45456</v>
      </c>
      <c r="D749" t="s">
        <v>100</v>
      </c>
      <c r="E749" s="32">
        <v>1576300</v>
      </c>
      <c r="F749" s="32">
        <v>0</v>
      </c>
      <c r="G749" s="32">
        <v>107209440</v>
      </c>
      <c r="H749" t="s">
        <v>311</v>
      </c>
    </row>
    <row r="750" spans="1:8" hidden="1" x14ac:dyDescent="0.3">
      <c r="A750" s="28">
        <v>16937</v>
      </c>
      <c r="B750" s="35">
        <v>45456.500694444447</v>
      </c>
      <c r="C750" s="18">
        <v>45456</v>
      </c>
      <c r="D750" t="s">
        <v>100</v>
      </c>
      <c r="E750" s="32">
        <v>7449757</v>
      </c>
      <c r="F750" s="32">
        <v>0</v>
      </c>
      <c r="G750" s="32">
        <v>105633140</v>
      </c>
      <c r="H750" t="s">
        <v>370</v>
      </c>
    </row>
    <row r="751" spans="1:8" hidden="1" x14ac:dyDescent="0.3">
      <c r="A751" s="28">
        <v>16936</v>
      </c>
      <c r="B751" s="35">
        <v>45456.500694444447</v>
      </c>
      <c r="C751" s="18">
        <v>45456</v>
      </c>
      <c r="D751" t="s">
        <v>100</v>
      </c>
      <c r="E751" s="32">
        <v>5924479</v>
      </c>
      <c r="F751" s="32">
        <v>0</v>
      </c>
      <c r="G751" s="32">
        <v>98183383</v>
      </c>
      <c r="H751" t="s">
        <v>370</v>
      </c>
    </row>
    <row r="752" spans="1:8" hidden="1" x14ac:dyDescent="0.3">
      <c r="A752" s="28">
        <v>16933</v>
      </c>
      <c r="B752" s="35">
        <v>45455.741666666669</v>
      </c>
      <c r="C752" s="18">
        <v>45455</v>
      </c>
      <c r="D752" t="s">
        <v>100</v>
      </c>
      <c r="E752" s="32">
        <v>842600</v>
      </c>
      <c r="F752" s="32">
        <v>0</v>
      </c>
      <c r="G752" s="32">
        <v>92258904</v>
      </c>
      <c r="H752" t="s">
        <v>1980</v>
      </c>
    </row>
    <row r="753" spans="1:8" hidden="1" x14ac:dyDescent="0.3">
      <c r="A753" s="28">
        <v>16932</v>
      </c>
      <c r="B753" s="35">
        <v>45455.650694444441</v>
      </c>
      <c r="C753" s="18">
        <v>45455</v>
      </c>
      <c r="D753" t="s">
        <v>100</v>
      </c>
      <c r="E753" s="32">
        <v>704000</v>
      </c>
      <c r="F753" s="32">
        <v>0</v>
      </c>
      <c r="G753" s="32">
        <v>91416304</v>
      </c>
      <c r="H753" t="s">
        <v>312</v>
      </c>
    </row>
    <row r="754" spans="1:8" hidden="1" x14ac:dyDescent="0.3">
      <c r="A754" s="28">
        <v>16931</v>
      </c>
      <c r="B754" s="35">
        <v>45455.631249999999</v>
      </c>
      <c r="C754" s="18">
        <v>45455</v>
      </c>
      <c r="D754" t="s">
        <v>100</v>
      </c>
      <c r="E754" s="32">
        <v>61100</v>
      </c>
      <c r="F754" s="32">
        <v>0</v>
      </c>
      <c r="G754" s="32">
        <v>90712304</v>
      </c>
      <c r="H754" t="s">
        <v>1981</v>
      </c>
    </row>
    <row r="755" spans="1:8" hidden="1" x14ac:dyDescent="0.3">
      <c r="A755" s="28">
        <v>16929</v>
      </c>
      <c r="B755" s="35">
        <v>45455.46875</v>
      </c>
      <c r="C755" s="18">
        <v>45455</v>
      </c>
      <c r="D755" t="s">
        <v>100</v>
      </c>
      <c r="E755" s="32">
        <v>611000</v>
      </c>
      <c r="F755" s="32">
        <v>0</v>
      </c>
      <c r="G755" s="32">
        <v>90651204</v>
      </c>
      <c r="H755" t="s">
        <v>1981</v>
      </c>
    </row>
    <row r="756" spans="1:8" hidden="1" x14ac:dyDescent="0.3">
      <c r="A756" s="28">
        <v>16927</v>
      </c>
      <c r="B756" s="35">
        <v>45455.418749999997</v>
      </c>
      <c r="C756" s="18">
        <v>45455</v>
      </c>
      <c r="D756" t="s">
        <v>101</v>
      </c>
      <c r="E756" s="32">
        <v>0</v>
      </c>
      <c r="F756" s="32">
        <v>421815</v>
      </c>
      <c r="G756" s="32">
        <v>90040204</v>
      </c>
      <c r="H756" t="s">
        <v>221</v>
      </c>
    </row>
    <row r="757" spans="1:8" hidden="1" x14ac:dyDescent="0.3">
      <c r="A757" s="28">
        <v>16926</v>
      </c>
      <c r="B757" s="35">
        <v>45455.370138888888</v>
      </c>
      <c r="C757" s="18">
        <v>45455</v>
      </c>
      <c r="D757" t="s">
        <v>101</v>
      </c>
      <c r="E757" s="32">
        <v>0</v>
      </c>
      <c r="F757" s="32">
        <v>880000</v>
      </c>
      <c r="G757" s="32">
        <v>90462019</v>
      </c>
      <c r="H757" t="s">
        <v>1982</v>
      </c>
    </row>
    <row r="758" spans="1:8" hidden="1" x14ac:dyDescent="0.3">
      <c r="A758" s="28">
        <v>16925</v>
      </c>
      <c r="B758" s="35">
        <v>45454.811111111114</v>
      </c>
      <c r="C758" s="18">
        <v>45454</v>
      </c>
      <c r="D758" t="s">
        <v>101</v>
      </c>
      <c r="E758" s="32">
        <v>0</v>
      </c>
      <c r="F758" s="32">
        <v>57500</v>
      </c>
      <c r="G758" s="32">
        <v>91342019</v>
      </c>
      <c r="H758" t="s">
        <v>222</v>
      </c>
    </row>
    <row r="759" spans="1:8" hidden="1" x14ac:dyDescent="0.3">
      <c r="A759" s="28">
        <v>16924</v>
      </c>
      <c r="B759" s="35">
        <v>45454.551388888889</v>
      </c>
      <c r="C759" s="18">
        <v>45454</v>
      </c>
      <c r="D759" t="s">
        <v>100</v>
      </c>
      <c r="E759" s="32">
        <v>354200</v>
      </c>
      <c r="F759" s="32">
        <v>0</v>
      </c>
      <c r="G759" s="32">
        <v>91399519</v>
      </c>
      <c r="H759" t="s">
        <v>311</v>
      </c>
    </row>
    <row r="760" spans="1:8" hidden="1" x14ac:dyDescent="0.3">
      <c r="A760" s="28">
        <v>16923</v>
      </c>
      <c r="B760" s="35">
        <v>45454.551388888889</v>
      </c>
      <c r="C760" s="18">
        <v>45454</v>
      </c>
      <c r="D760" t="s">
        <v>100</v>
      </c>
      <c r="E760" s="32">
        <v>471900</v>
      </c>
      <c r="F760" s="32">
        <v>0</v>
      </c>
      <c r="G760" s="32">
        <v>91045319</v>
      </c>
      <c r="H760" t="s">
        <v>311</v>
      </c>
    </row>
    <row r="761" spans="1:8" hidden="1" x14ac:dyDescent="0.3">
      <c r="A761" s="28">
        <v>16922</v>
      </c>
      <c r="B761" s="35">
        <v>45454.423611111109</v>
      </c>
      <c r="C761" s="18">
        <v>45454</v>
      </c>
      <c r="D761" t="s">
        <v>101</v>
      </c>
      <c r="E761" s="32">
        <v>0</v>
      </c>
      <c r="F761" s="32">
        <v>506337</v>
      </c>
      <c r="G761" s="32">
        <v>90573419</v>
      </c>
      <c r="H761" t="s">
        <v>226</v>
      </c>
    </row>
    <row r="762" spans="1:8" hidden="1" x14ac:dyDescent="0.3">
      <c r="A762" s="28">
        <v>16916</v>
      </c>
      <c r="B762" s="35">
        <v>45453.659722222219</v>
      </c>
      <c r="C762" s="18">
        <v>45453</v>
      </c>
      <c r="D762" t="s">
        <v>100</v>
      </c>
      <c r="E762" s="32">
        <v>5094100</v>
      </c>
      <c r="F762" s="32">
        <v>0</v>
      </c>
      <c r="G762" s="32">
        <v>91079756</v>
      </c>
      <c r="H762" t="s">
        <v>315</v>
      </c>
    </row>
    <row r="763" spans="1:8" hidden="1" x14ac:dyDescent="0.3">
      <c r="A763" s="28">
        <v>16913</v>
      </c>
      <c r="B763" s="35">
        <v>45453.584722222222</v>
      </c>
      <c r="C763" s="18">
        <v>45453</v>
      </c>
      <c r="D763" t="s">
        <v>100</v>
      </c>
      <c r="E763" s="32">
        <v>8955100</v>
      </c>
      <c r="F763" s="32">
        <v>0</v>
      </c>
      <c r="G763" s="32">
        <v>85985656</v>
      </c>
      <c r="H763" t="s">
        <v>236</v>
      </c>
    </row>
    <row r="764" spans="1:8" hidden="1" x14ac:dyDescent="0.3">
      <c r="A764" s="28">
        <v>16912</v>
      </c>
      <c r="B764" s="35">
        <v>45453.564583333333</v>
      </c>
      <c r="C764" s="18">
        <v>45453</v>
      </c>
      <c r="D764" t="s">
        <v>100</v>
      </c>
      <c r="E764" s="32">
        <v>47600</v>
      </c>
      <c r="F764" s="32">
        <v>0</v>
      </c>
      <c r="G764" s="32">
        <v>77030556</v>
      </c>
      <c r="H764" t="s">
        <v>1875</v>
      </c>
    </row>
    <row r="765" spans="1:8" hidden="1" x14ac:dyDescent="0.3">
      <c r="A765" s="28">
        <v>16911</v>
      </c>
      <c r="B765" s="35">
        <v>45453.564583333333</v>
      </c>
      <c r="C765" s="18">
        <v>45453</v>
      </c>
      <c r="D765" t="s">
        <v>100</v>
      </c>
      <c r="E765" s="32">
        <v>476000</v>
      </c>
      <c r="F765" s="32">
        <v>0</v>
      </c>
      <c r="G765" s="32">
        <v>76982956</v>
      </c>
      <c r="H765" t="s">
        <v>1875</v>
      </c>
    </row>
    <row r="766" spans="1:8" hidden="1" x14ac:dyDescent="0.3">
      <c r="A766" s="28">
        <v>16910</v>
      </c>
      <c r="B766" s="35">
        <v>45453.507638888892</v>
      </c>
      <c r="C766" s="18">
        <v>45453</v>
      </c>
      <c r="D766" t="s">
        <v>100</v>
      </c>
      <c r="E766" s="32">
        <v>777700</v>
      </c>
      <c r="F766" s="32">
        <v>0</v>
      </c>
      <c r="G766" s="32">
        <v>76506956</v>
      </c>
      <c r="H766" t="s">
        <v>618</v>
      </c>
    </row>
    <row r="767" spans="1:8" hidden="1" x14ac:dyDescent="0.3">
      <c r="A767" s="28">
        <v>16909</v>
      </c>
      <c r="B767" s="35">
        <v>45453.477083333331</v>
      </c>
      <c r="C767" s="18">
        <v>45453</v>
      </c>
      <c r="D767" t="s">
        <v>100</v>
      </c>
      <c r="E767" s="32">
        <v>1350800</v>
      </c>
      <c r="F767" s="32">
        <v>0</v>
      </c>
      <c r="G767" s="32">
        <v>75729256</v>
      </c>
      <c r="H767" t="s">
        <v>1983</v>
      </c>
    </row>
    <row r="768" spans="1:8" hidden="1" x14ac:dyDescent="0.3">
      <c r="A768" s="28">
        <v>16908</v>
      </c>
      <c r="B768" s="35">
        <v>45453.449305555558</v>
      </c>
      <c r="C768" s="18">
        <v>45453</v>
      </c>
      <c r="D768" t="s">
        <v>100</v>
      </c>
      <c r="E768" s="32">
        <v>1512500</v>
      </c>
      <c r="F768" s="32">
        <v>0</v>
      </c>
      <c r="G768" s="32">
        <v>74378456</v>
      </c>
      <c r="H768" t="s">
        <v>1950</v>
      </c>
    </row>
    <row r="769" spans="1:8" hidden="1" x14ac:dyDescent="0.3">
      <c r="A769" s="28">
        <v>16907</v>
      </c>
      <c r="B769" s="35">
        <v>45453.443749999999</v>
      </c>
      <c r="C769" s="18">
        <v>45453</v>
      </c>
      <c r="D769" t="s">
        <v>100</v>
      </c>
      <c r="E769" s="32">
        <v>356400</v>
      </c>
      <c r="F769" s="32">
        <v>0</v>
      </c>
      <c r="G769" s="32">
        <v>72865956</v>
      </c>
      <c r="H769" t="s">
        <v>292</v>
      </c>
    </row>
    <row r="770" spans="1:8" hidden="1" x14ac:dyDescent="0.3">
      <c r="A770" s="28">
        <v>16905</v>
      </c>
      <c r="B770" s="35">
        <v>45453.43472222222</v>
      </c>
      <c r="C770" s="18">
        <v>45453</v>
      </c>
      <c r="D770" t="s">
        <v>101</v>
      </c>
      <c r="E770" s="32">
        <v>0</v>
      </c>
      <c r="F770" s="32">
        <v>2542420</v>
      </c>
      <c r="G770" s="32">
        <v>72509556</v>
      </c>
      <c r="H770" t="s">
        <v>289</v>
      </c>
    </row>
    <row r="771" spans="1:8" hidden="1" x14ac:dyDescent="0.3">
      <c r="A771" s="28">
        <v>16904</v>
      </c>
      <c r="B771" s="35">
        <v>45453.434027777781</v>
      </c>
      <c r="C771" s="18">
        <v>45453</v>
      </c>
      <c r="D771" t="s">
        <v>101</v>
      </c>
      <c r="E771" s="32">
        <v>0</v>
      </c>
      <c r="F771" s="32">
        <v>2715060</v>
      </c>
      <c r="G771" s="32">
        <v>75051976</v>
      </c>
      <c r="H771" t="s">
        <v>289</v>
      </c>
    </row>
    <row r="772" spans="1:8" hidden="1" x14ac:dyDescent="0.3">
      <c r="A772" s="28">
        <v>16903</v>
      </c>
      <c r="B772" s="35">
        <v>45453.39166666667</v>
      </c>
      <c r="C772" s="18">
        <v>45453</v>
      </c>
      <c r="D772" t="s">
        <v>100</v>
      </c>
      <c r="E772" s="32">
        <v>191400</v>
      </c>
      <c r="F772" s="32">
        <v>0</v>
      </c>
      <c r="G772" s="32">
        <v>77767036</v>
      </c>
      <c r="H772" t="s">
        <v>311</v>
      </c>
    </row>
    <row r="773" spans="1:8" hidden="1" x14ac:dyDescent="0.3">
      <c r="A773" s="28">
        <v>16902</v>
      </c>
      <c r="B773" s="35">
        <v>45450.611111111109</v>
      </c>
      <c r="C773" s="18">
        <v>45450</v>
      </c>
      <c r="D773" t="s">
        <v>101</v>
      </c>
      <c r="E773" s="32">
        <v>0</v>
      </c>
      <c r="F773" s="32">
        <v>158400</v>
      </c>
      <c r="G773" s="32">
        <v>77575636</v>
      </c>
      <c r="H773" t="s">
        <v>293</v>
      </c>
    </row>
    <row r="774" spans="1:8" hidden="1" x14ac:dyDescent="0.3">
      <c r="A774" s="28">
        <v>16901</v>
      </c>
      <c r="B774" s="35">
        <v>45450.585416666669</v>
      </c>
      <c r="C774" s="18">
        <v>45450</v>
      </c>
      <c r="D774" t="s">
        <v>101</v>
      </c>
      <c r="E774" s="32">
        <v>0</v>
      </c>
      <c r="F774" s="32">
        <v>34100</v>
      </c>
      <c r="G774" s="32">
        <v>77734036</v>
      </c>
      <c r="H774" t="s">
        <v>280</v>
      </c>
    </row>
    <row r="775" spans="1:8" hidden="1" x14ac:dyDescent="0.3">
      <c r="A775" s="28">
        <v>16900</v>
      </c>
      <c r="B775" s="35">
        <v>45450.561111111114</v>
      </c>
      <c r="C775" s="18">
        <v>45450</v>
      </c>
      <c r="D775" t="s">
        <v>101</v>
      </c>
      <c r="E775" s="32">
        <v>0</v>
      </c>
      <c r="F775" s="32">
        <v>3938590</v>
      </c>
      <c r="G775" s="32">
        <v>77768136</v>
      </c>
      <c r="H775" t="s">
        <v>294</v>
      </c>
    </row>
    <row r="776" spans="1:8" hidden="1" x14ac:dyDescent="0.3">
      <c r="A776" s="28">
        <v>16897</v>
      </c>
      <c r="B776" s="35">
        <v>45450.486805555556</v>
      </c>
      <c r="C776" s="18">
        <v>45450</v>
      </c>
      <c r="D776" t="s">
        <v>101</v>
      </c>
      <c r="E776" s="32">
        <v>0</v>
      </c>
      <c r="F776" s="32">
        <v>63976</v>
      </c>
      <c r="G776" s="32">
        <v>81706726</v>
      </c>
      <c r="H776" t="s">
        <v>221</v>
      </c>
    </row>
    <row r="777" spans="1:8" hidden="1" x14ac:dyDescent="0.3">
      <c r="A777" s="28">
        <v>16895</v>
      </c>
      <c r="B777" s="35">
        <v>45448.834722222222</v>
      </c>
      <c r="C777" s="18">
        <v>45448</v>
      </c>
      <c r="D777" t="s">
        <v>101</v>
      </c>
      <c r="E777" s="32">
        <v>0</v>
      </c>
      <c r="F777" s="32">
        <v>644490</v>
      </c>
      <c r="G777" s="32">
        <v>81770702</v>
      </c>
      <c r="H777" t="s">
        <v>1984</v>
      </c>
    </row>
    <row r="778" spans="1:8" hidden="1" x14ac:dyDescent="0.3">
      <c r="A778" s="28">
        <v>16894</v>
      </c>
      <c r="B778" s="35">
        <v>45448.811805555553</v>
      </c>
      <c r="C778" s="18">
        <v>45448</v>
      </c>
      <c r="D778" t="s">
        <v>101</v>
      </c>
      <c r="E778" s="32">
        <v>0</v>
      </c>
      <c r="F778" s="32">
        <v>711920</v>
      </c>
      <c r="G778" s="32">
        <v>82415192</v>
      </c>
      <c r="H778" t="s">
        <v>239</v>
      </c>
    </row>
    <row r="779" spans="1:8" hidden="1" x14ac:dyDescent="0.3">
      <c r="A779" s="28">
        <v>16890</v>
      </c>
      <c r="B779" s="35">
        <v>45448.6</v>
      </c>
      <c r="C779" s="18">
        <v>45448</v>
      </c>
      <c r="D779" t="s">
        <v>100</v>
      </c>
      <c r="E779" s="32">
        <v>708400</v>
      </c>
      <c r="F779" s="32">
        <v>0</v>
      </c>
      <c r="G779" s="32">
        <v>83127112</v>
      </c>
      <c r="H779" t="s">
        <v>235</v>
      </c>
    </row>
    <row r="780" spans="1:8" hidden="1" x14ac:dyDescent="0.3">
      <c r="A780" s="28">
        <v>16889</v>
      </c>
      <c r="B780" s="35">
        <v>45448.591666666667</v>
      </c>
      <c r="C780" s="18">
        <v>45448</v>
      </c>
      <c r="D780" t="s">
        <v>101</v>
      </c>
      <c r="E780" s="32">
        <v>0</v>
      </c>
      <c r="F780" s="32">
        <v>518503</v>
      </c>
      <c r="G780" s="32">
        <v>82418712</v>
      </c>
      <c r="H780" t="s">
        <v>221</v>
      </c>
    </row>
    <row r="781" spans="1:8" hidden="1" x14ac:dyDescent="0.3">
      <c r="A781" s="28">
        <v>16884</v>
      </c>
      <c r="B781" s="35">
        <v>45448.365277777775</v>
      </c>
      <c r="C781" s="18">
        <v>45448</v>
      </c>
      <c r="D781" t="s">
        <v>101</v>
      </c>
      <c r="E781" s="32">
        <v>0</v>
      </c>
      <c r="F781" s="32">
        <v>732300</v>
      </c>
      <c r="G781" s="32">
        <v>82937215</v>
      </c>
      <c r="H781" t="s">
        <v>1985</v>
      </c>
    </row>
    <row r="782" spans="1:8" hidden="1" x14ac:dyDescent="0.3">
      <c r="A782" s="28">
        <v>16883</v>
      </c>
      <c r="B782" s="35">
        <v>45448.361111111109</v>
      </c>
      <c r="C782" s="18">
        <v>45448</v>
      </c>
      <c r="D782" t="s">
        <v>101</v>
      </c>
      <c r="E782" s="32">
        <v>0</v>
      </c>
      <c r="F782" s="32">
        <v>216700</v>
      </c>
      <c r="G782" s="32">
        <v>83669515</v>
      </c>
      <c r="H782" t="s">
        <v>280</v>
      </c>
    </row>
    <row r="783" spans="1:8" hidden="1" x14ac:dyDescent="0.3">
      <c r="A783" s="28">
        <v>16882</v>
      </c>
      <c r="B783" s="35">
        <v>45447.703472222223</v>
      </c>
      <c r="C783" s="18">
        <v>45447</v>
      </c>
      <c r="D783" t="s">
        <v>100</v>
      </c>
      <c r="E783" s="32">
        <v>2660900</v>
      </c>
      <c r="F783" s="32">
        <v>0</v>
      </c>
      <c r="G783" s="32">
        <v>83886215</v>
      </c>
      <c r="H783" t="s">
        <v>1885</v>
      </c>
    </row>
    <row r="784" spans="1:8" hidden="1" x14ac:dyDescent="0.3">
      <c r="A784" s="28">
        <v>16880</v>
      </c>
      <c r="B784" s="35">
        <v>45447.424305555556</v>
      </c>
      <c r="C784" s="18">
        <v>45447</v>
      </c>
      <c r="D784" t="s">
        <v>101</v>
      </c>
      <c r="E784" s="32">
        <v>0</v>
      </c>
      <c r="F784" s="32">
        <v>615218</v>
      </c>
      <c r="G784" s="32">
        <v>81225315</v>
      </c>
      <c r="H784" t="s">
        <v>221</v>
      </c>
    </row>
    <row r="785" spans="1:8" hidden="1" x14ac:dyDescent="0.3">
      <c r="A785" s="28">
        <v>16878</v>
      </c>
      <c r="B785" s="35">
        <v>45446.729166666664</v>
      </c>
      <c r="C785" s="18">
        <v>45446</v>
      </c>
      <c r="D785" t="s">
        <v>101</v>
      </c>
      <c r="E785" s="32">
        <v>0</v>
      </c>
      <c r="F785" s="32">
        <v>26070</v>
      </c>
      <c r="G785" s="32">
        <v>81840533</v>
      </c>
      <c r="H785" t="s">
        <v>1986</v>
      </c>
    </row>
    <row r="786" spans="1:8" hidden="1" x14ac:dyDescent="0.3">
      <c r="A786" s="28">
        <v>16877</v>
      </c>
      <c r="B786" s="35">
        <v>45446.64166666667</v>
      </c>
      <c r="C786" s="18">
        <v>45446</v>
      </c>
      <c r="D786" t="s">
        <v>101</v>
      </c>
      <c r="E786" s="32">
        <v>0</v>
      </c>
      <c r="F786" s="32">
        <v>65204</v>
      </c>
      <c r="G786" s="32">
        <v>81866603</v>
      </c>
      <c r="H786" t="s">
        <v>221</v>
      </c>
    </row>
    <row r="787" spans="1:8" hidden="1" x14ac:dyDescent="0.3">
      <c r="A787" s="28">
        <v>16876</v>
      </c>
      <c r="B787" s="35">
        <v>45446.604166666664</v>
      </c>
      <c r="C787" s="18">
        <v>45446</v>
      </c>
      <c r="D787" t="s">
        <v>100</v>
      </c>
      <c r="E787" s="32">
        <v>1333200</v>
      </c>
      <c r="F787" s="32">
        <v>0</v>
      </c>
      <c r="G787" s="32">
        <v>81931807</v>
      </c>
      <c r="H787" t="s">
        <v>1987</v>
      </c>
    </row>
    <row r="788" spans="1:8" hidden="1" x14ac:dyDescent="0.3">
      <c r="A788" s="28">
        <v>16875</v>
      </c>
      <c r="B788" s="35">
        <v>45446.603472222225</v>
      </c>
      <c r="C788" s="18">
        <v>45446</v>
      </c>
      <c r="D788" t="s">
        <v>100</v>
      </c>
      <c r="E788" s="32">
        <v>13147200</v>
      </c>
      <c r="F788" s="32">
        <v>0</v>
      </c>
      <c r="G788" s="32">
        <v>80598607</v>
      </c>
      <c r="H788" t="s">
        <v>1988</v>
      </c>
    </row>
    <row r="789" spans="1:8" hidden="1" x14ac:dyDescent="0.3">
      <c r="A789" s="28">
        <v>16874</v>
      </c>
      <c r="B789" s="35">
        <v>45446.589583333334</v>
      </c>
      <c r="C789" s="18">
        <v>45446</v>
      </c>
      <c r="D789" t="s">
        <v>101</v>
      </c>
      <c r="E789" s="32">
        <v>0</v>
      </c>
      <c r="F789" s="32">
        <v>1425325</v>
      </c>
      <c r="G789" s="32">
        <v>67451407</v>
      </c>
      <c r="H789" t="s">
        <v>221</v>
      </c>
    </row>
    <row r="790" spans="1:8" hidden="1" x14ac:dyDescent="0.3">
      <c r="A790" s="28">
        <v>16873</v>
      </c>
      <c r="B790" s="35">
        <v>45446.581944444442</v>
      </c>
      <c r="C790" s="18">
        <v>45446</v>
      </c>
      <c r="D790" t="s">
        <v>100</v>
      </c>
      <c r="E790" s="32">
        <v>183700</v>
      </c>
      <c r="F790" s="32">
        <v>0</v>
      </c>
      <c r="G790" s="32">
        <v>68876732</v>
      </c>
      <c r="H790" t="s">
        <v>309</v>
      </c>
    </row>
    <row r="791" spans="1:8" hidden="1" x14ac:dyDescent="0.3">
      <c r="A791" s="28">
        <v>16872</v>
      </c>
      <c r="B791" s="35">
        <v>45446.565972222219</v>
      </c>
      <c r="C791" s="18">
        <v>45446</v>
      </c>
      <c r="D791" t="s">
        <v>101</v>
      </c>
      <c r="E791" s="32">
        <v>0</v>
      </c>
      <c r="F791" s="32">
        <v>1805047</v>
      </c>
      <c r="G791" s="32">
        <v>68693032</v>
      </c>
      <c r="H791" t="s">
        <v>221</v>
      </c>
    </row>
    <row r="792" spans="1:8" hidden="1" x14ac:dyDescent="0.3">
      <c r="A792" s="28">
        <v>16871</v>
      </c>
      <c r="B792" s="35">
        <v>45446.500694444447</v>
      </c>
      <c r="C792" s="18">
        <v>45446</v>
      </c>
      <c r="D792" t="s">
        <v>100</v>
      </c>
      <c r="E792" s="32">
        <v>115400</v>
      </c>
      <c r="F792" s="32">
        <v>0</v>
      </c>
      <c r="G792" s="32">
        <v>70498079</v>
      </c>
      <c r="H792" t="s">
        <v>348</v>
      </c>
    </row>
    <row r="793" spans="1:8" hidden="1" x14ac:dyDescent="0.3">
      <c r="A793" s="28">
        <v>16870</v>
      </c>
      <c r="B793" s="35">
        <v>45446.5</v>
      </c>
      <c r="C793" s="18">
        <v>45446</v>
      </c>
      <c r="D793" t="s">
        <v>100</v>
      </c>
      <c r="E793" s="32">
        <v>1154000</v>
      </c>
      <c r="F793" s="32">
        <v>0</v>
      </c>
      <c r="G793" s="32">
        <v>70382679</v>
      </c>
      <c r="H793" t="s">
        <v>349</v>
      </c>
    </row>
    <row r="794" spans="1:8" hidden="1" x14ac:dyDescent="0.3">
      <c r="A794" s="28">
        <v>16868</v>
      </c>
      <c r="B794" s="35">
        <v>45446.430555555555</v>
      </c>
      <c r="C794" s="18">
        <v>45446</v>
      </c>
      <c r="D794" t="s">
        <v>101</v>
      </c>
      <c r="E794" s="32">
        <v>0</v>
      </c>
      <c r="F794" s="32">
        <v>44770</v>
      </c>
      <c r="G794" s="32">
        <v>69228679</v>
      </c>
      <c r="H794" t="s">
        <v>280</v>
      </c>
    </row>
    <row r="795" spans="1:8" hidden="1" x14ac:dyDescent="0.3">
      <c r="A795" s="28">
        <v>16867</v>
      </c>
      <c r="B795" s="35">
        <v>45446.423611111109</v>
      </c>
      <c r="C795" s="18">
        <v>45446</v>
      </c>
      <c r="D795" t="s">
        <v>100</v>
      </c>
      <c r="E795" s="32">
        <v>809000</v>
      </c>
      <c r="F795" s="32">
        <v>0</v>
      </c>
      <c r="G795" s="32">
        <v>69273449</v>
      </c>
      <c r="H795" t="s">
        <v>537</v>
      </c>
    </row>
    <row r="796" spans="1:8" hidden="1" x14ac:dyDescent="0.3">
      <c r="A796" s="28">
        <v>16866</v>
      </c>
      <c r="B796" s="35">
        <v>45443.797222222223</v>
      </c>
      <c r="C796" s="18">
        <v>45443</v>
      </c>
      <c r="D796" t="s">
        <v>101</v>
      </c>
      <c r="E796" s="32">
        <v>0</v>
      </c>
      <c r="F796" s="32">
        <v>400510</v>
      </c>
      <c r="G796" s="32">
        <v>68464449</v>
      </c>
      <c r="H796" t="s">
        <v>239</v>
      </c>
    </row>
    <row r="797" spans="1:8" hidden="1" x14ac:dyDescent="0.3">
      <c r="A797" s="28">
        <v>16865</v>
      </c>
      <c r="B797" s="35">
        <v>45443.695833333331</v>
      </c>
      <c r="C797" s="18">
        <v>45443</v>
      </c>
      <c r="D797" t="s">
        <v>101</v>
      </c>
      <c r="E797" s="32">
        <v>0</v>
      </c>
      <c r="F797" s="32">
        <v>401940</v>
      </c>
      <c r="G797" s="32">
        <v>68864959</v>
      </c>
      <c r="H797" t="s">
        <v>293</v>
      </c>
    </row>
    <row r="798" spans="1:8" hidden="1" x14ac:dyDescent="0.3">
      <c r="A798" s="28">
        <v>16864</v>
      </c>
      <c r="B798" s="35">
        <v>45443.695833333331</v>
      </c>
      <c r="C798" s="18">
        <v>45443</v>
      </c>
      <c r="D798" t="s">
        <v>100</v>
      </c>
      <c r="E798" s="32">
        <v>1908500</v>
      </c>
      <c r="F798" s="32">
        <v>0</v>
      </c>
      <c r="G798" s="32">
        <v>69266899</v>
      </c>
      <c r="H798" t="s">
        <v>1861</v>
      </c>
    </row>
    <row r="799" spans="1:8" hidden="1" x14ac:dyDescent="0.3">
      <c r="A799" s="28">
        <v>16863</v>
      </c>
      <c r="B799" s="35">
        <v>45443.686111111114</v>
      </c>
      <c r="C799" s="18">
        <v>45443</v>
      </c>
      <c r="D799" t="s">
        <v>100</v>
      </c>
      <c r="E799" s="32">
        <v>80900</v>
      </c>
      <c r="F799" s="32">
        <v>0</v>
      </c>
      <c r="G799" s="32">
        <v>67358399</v>
      </c>
      <c r="H799" t="s">
        <v>517</v>
      </c>
    </row>
    <row r="800" spans="1:8" hidden="1" x14ac:dyDescent="0.3">
      <c r="A800" s="28">
        <v>16862</v>
      </c>
      <c r="B800" s="35">
        <v>45443.67291666667</v>
      </c>
      <c r="C800" s="18">
        <v>45443</v>
      </c>
      <c r="D800" t="s">
        <v>100</v>
      </c>
      <c r="E800" s="32">
        <v>2376000</v>
      </c>
      <c r="F800" s="32">
        <v>0</v>
      </c>
      <c r="G800" s="32">
        <v>67277499</v>
      </c>
      <c r="H800" t="s">
        <v>252</v>
      </c>
    </row>
    <row r="801" spans="1:8" hidden="1" x14ac:dyDescent="0.3">
      <c r="A801" s="28">
        <v>16857</v>
      </c>
      <c r="B801" s="35">
        <v>45443.654166666667</v>
      </c>
      <c r="C801" s="18">
        <v>45443</v>
      </c>
      <c r="D801" t="s">
        <v>100</v>
      </c>
      <c r="E801" s="32">
        <v>1819400</v>
      </c>
      <c r="F801" s="32">
        <v>0</v>
      </c>
      <c r="G801" s="32">
        <v>64901499</v>
      </c>
      <c r="H801" t="s">
        <v>248</v>
      </c>
    </row>
    <row r="802" spans="1:8" hidden="1" x14ac:dyDescent="0.3">
      <c r="A802" s="28">
        <v>16856</v>
      </c>
      <c r="B802" s="35">
        <v>45443.616666666669</v>
      </c>
      <c r="C802" s="18">
        <v>45443</v>
      </c>
      <c r="D802" t="s">
        <v>100</v>
      </c>
      <c r="E802" s="32">
        <v>1621400</v>
      </c>
      <c r="F802" s="32">
        <v>0</v>
      </c>
      <c r="G802" s="32">
        <v>63082099</v>
      </c>
      <c r="H802" t="s">
        <v>224</v>
      </c>
    </row>
    <row r="803" spans="1:8" hidden="1" x14ac:dyDescent="0.3">
      <c r="A803" s="28">
        <v>16855</v>
      </c>
      <c r="B803" s="35">
        <v>45443.60833333333</v>
      </c>
      <c r="C803" s="18">
        <v>45443</v>
      </c>
      <c r="D803" t="s">
        <v>100</v>
      </c>
      <c r="E803" s="32">
        <v>2182400</v>
      </c>
      <c r="F803" s="32">
        <v>0</v>
      </c>
      <c r="G803" s="32">
        <v>61460699</v>
      </c>
      <c r="H803" t="s">
        <v>1989</v>
      </c>
    </row>
    <row r="804" spans="1:8" hidden="1" x14ac:dyDescent="0.3">
      <c r="A804" s="28">
        <v>16854</v>
      </c>
      <c r="B804" s="35">
        <v>45443.526388888888</v>
      </c>
      <c r="C804" s="18">
        <v>45443</v>
      </c>
      <c r="D804" t="s">
        <v>100</v>
      </c>
      <c r="E804" s="32">
        <v>803000</v>
      </c>
      <c r="F804" s="32">
        <v>0</v>
      </c>
      <c r="G804" s="32">
        <v>59278299</v>
      </c>
      <c r="H804" t="s">
        <v>254</v>
      </c>
    </row>
    <row r="805" spans="1:8" hidden="1" x14ac:dyDescent="0.3">
      <c r="A805" s="28">
        <v>16853</v>
      </c>
      <c r="B805" s="35">
        <v>45443.526388888888</v>
      </c>
      <c r="C805" s="18">
        <v>45443</v>
      </c>
      <c r="D805" t="s">
        <v>100</v>
      </c>
      <c r="E805" s="32">
        <v>591800</v>
      </c>
      <c r="F805" s="32">
        <v>0</v>
      </c>
      <c r="G805" s="32">
        <v>58475299</v>
      </c>
      <c r="H805" t="s">
        <v>254</v>
      </c>
    </row>
    <row r="806" spans="1:8" hidden="1" x14ac:dyDescent="0.3">
      <c r="A806" s="28">
        <v>16852</v>
      </c>
      <c r="B806" s="35">
        <v>45443.493055555555</v>
      </c>
      <c r="C806" s="18">
        <v>45443</v>
      </c>
      <c r="D806" t="s">
        <v>100</v>
      </c>
      <c r="E806" s="32">
        <v>1754500</v>
      </c>
      <c r="F806" s="32">
        <v>0</v>
      </c>
      <c r="G806" s="32">
        <v>57883499</v>
      </c>
      <c r="H806" t="s">
        <v>504</v>
      </c>
    </row>
    <row r="807" spans="1:8" hidden="1" x14ac:dyDescent="0.3">
      <c r="A807" s="28">
        <v>16851</v>
      </c>
      <c r="B807" s="35">
        <v>45443.468055555553</v>
      </c>
      <c r="C807" s="18">
        <v>45443</v>
      </c>
      <c r="D807" t="s">
        <v>100</v>
      </c>
      <c r="E807" s="32">
        <v>2930400</v>
      </c>
      <c r="F807" s="32">
        <v>0</v>
      </c>
      <c r="G807" s="32">
        <v>56128999</v>
      </c>
      <c r="H807" t="s">
        <v>618</v>
      </c>
    </row>
    <row r="808" spans="1:8" hidden="1" x14ac:dyDescent="0.3">
      <c r="A808" s="28">
        <v>16850</v>
      </c>
      <c r="B808" s="35">
        <v>45443.449305555558</v>
      </c>
      <c r="C808" s="18">
        <v>45443</v>
      </c>
      <c r="D808" t="s">
        <v>100</v>
      </c>
      <c r="E808" s="32">
        <v>30900</v>
      </c>
      <c r="F808" s="32">
        <v>0</v>
      </c>
      <c r="G808" s="32">
        <v>53198599</v>
      </c>
      <c r="H808" t="s">
        <v>313</v>
      </c>
    </row>
    <row r="809" spans="1:8" hidden="1" x14ac:dyDescent="0.3">
      <c r="A809" s="28">
        <v>16849</v>
      </c>
      <c r="B809" s="35">
        <v>45443.449305555558</v>
      </c>
      <c r="C809" s="18">
        <v>45443</v>
      </c>
      <c r="D809" t="s">
        <v>100</v>
      </c>
      <c r="E809" s="32">
        <v>309000</v>
      </c>
      <c r="F809" s="32">
        <v>0</v>
      </c>
      <c r="G809" s="32">
        <v>53167699</v>
      </c>
      <c r="H809" t="s">
        <v>314</v>
      </c>
    </row>
    <row r="810" spans="1:8" hidden="1" x14ac:dyDescent="0.3">
      <c r="A810" s="28">
        <v>16848</v>
      </c>
      <c r="B810" s="35">
        <v>45443.446527777778</v>
      </c>
      <c r="C810" s="18">
        <v>45443</v>
      </c>
      <c r="D810" t="s">
        <v>100</v>
      </c>
      <c r="E810" s="32">
        <v>112400</v>
      </c>
      <c r="F810" s="32">
        <v>0</v>
      </c>
      <c r="G810" s="32">
        <v>52858699</v>
      </c>
      <c r="H810" t="s">
        <v>313</v>
      </c>
    </row>
    <row r="811" spans="1:8" hidden="1" x14ac:dyDescent="0.3">
      <c r="A811" s="28">
        <v>16847</v>
      </c>
      <c r="B811" s="35">
        <v>45443.446527777778</v>
      </c>
      <c r="C811" s="18">
        <v>45443</v>
      </c>
      <c r="D811" t="s">
        <v>100</v>
      </c>
      <c r="E811" s="32">
        <v>1124000</v>
      </c>
      <c r="F811" s="32">
        <v>0</v>
      </c>
      <c r="G811" s="32">
        <v>52746299</v>
      </c>
      <c r="H811" t="s">
        <v>314</v>
      </c>
    </row>
    <row r="812" spans="1:8" hidden="1" x14ac:dyDescent="0.3">
      <c r="A812" s="28">
        <v>16846</v>
      </c>
      <c r="B812" s="35">
        <v>45443.430555555555</v>
      </c>
      <c r="C812" s="18">
        <v>45443</v>
      </c>
      <c r="D812" t="s">
        <v>100</v>
      </c>
      <c r="E812" s="32">
        <v>1811700</v>
      </c>
      <c r="F812" s="32">
        <v>0</v>
      </c>
      <c r="G812" s="32">
        <v>51622299</v>
      </c>
      <c r="H812" t="s">
        <v>329</v>
      </c>
    </row>
    <row r="813" spans="1:8" hidden="1" x14ac:dyDescent="0.3">
      <c r="A813" s="28">
        <v>16845</v>
      </c>
      <c r="B813" s="35">
        <v>45443.37777777778</v>
      </c>
      <c r="C813" s="18">
        <v>45443</v>
      </c>
      <c r="D813" t="s">
        <v>100</v>
      </c>
      <c r="E813" s="32">
        <v>2178000</v>
      </c>
      <c r="F813" s="32">
        <v>0</v>
      </c>
      <c r="G813" s="32">
        <v>49810599</v>
      </c>
      <c r="H813" t="s">
        <v>1990</v>
      </c>
    </row>
    <row r="814" spans="1:8" hidden="1" x14ac:dyDescent="0.3">
      <c r="A814" s="28">
        <v>16844</v>
      </c>
      <c r="B814" s="35">
        <v>45443.37777777778</v>
      </c>
      <c r="C814" s="18">
        <v>45443</v>
      </c>
      <c r="D814" t="s">
        <v>100</v>
      </c>
      <c r="E814" s="32">
        <v>1361800</v>
      </c>
      <c r="F814" s="32">
        <v>0</v>
      </c>
      <c r="G814" s="32">
        <v>47632599</v>
      </c>
      <c r="H814" t="s">
        <v>1990</v>
      </c>
    </row>
    <row r="815" spans="1:8" hidden="1" x14ac:dyDescent="0.3">
      <c r="A815" s="28">
        <v>16843</v>
      </c>
      <c r="B815" s="35">
        <v>45443.37777777778</v>
      </c>
      <c r="C815" s="18">
        <v>45443</v>
      </c>
      <c r="D815" t="s">
        <v>100</v>
      </c>
      <c r="E815" s="32">
        <v>965800</v>
      </c>
      <c r="F815" s="32">
        <v>0</v>
      </c>
      <c r="G815" s="32">
        <v>46270799</v>
      </c>
      <c r="H815" t="s">
        <v>1990</v>
      </c>
    </row>
    <row r="816" spans="1:8" hidden="1" x14ac:dyDescent="0.3">
      <c r="A816" s="28">
        <v>16842</v>
      </c>
      <c r="B816" s="35">
        <v>45443.37777777778</v>
      </c>
      <c r="C816" s="18">
        <v>45443</v>
      </c>
      <c r="D816" t="s">
        <v>100</v>
      </c>
      <c r="E816" s="32">
        <v>1036200</v>
      </c>
      <c r="F816" s="32">
        <v>0</v>
      </c>
      <c r="G816" s="32">
        <v>45304999</v>
      </c>
      <c r="H816" t="s">
        <v>1990</v>
      </c>
    </row>
    <row r="817" spans="1:8" hidden="1" x14ac:dyDescent="0.3">
      <c r="A817" s="28">
        <v>16841</v>
      </c>
      <c r="B817" s="35">
        <v>45443.37777777778</v>
      </c>
      <c r="C817" s="18">
        <v>45443</v>
      </c>
      <c r="D817" t="s">
        <v>100</v>
      </c>
      <c r="E817" s="32">
        <v>999900</v>
      </c>
      <c r="F817" s="32">
        <v>0</v>
      </c>
      <c r="G817" s="32">
        <v>44268799</v>
      </c>
      <c r="H817" t="s">
        <v>1990</v>
      </c>
    </row>
    <row r="818" spans="1:8" hidden="1" x14ac:dyDescent="0.3">
      <c r="A818" s="28">
        <v>16840</v>
      </c>
      <c r="B818" s="35">
        <v>45442.672222222223</v>
      </c>
      <c r="C818" s="18">
        <v>45442</v>
      </c>
      <c r="D818" t="s">
        <v>100</v>
      </c>
      <c r="E818" s="32">
        <v>630300</v>
      </c>
      <c r="F818" s="32">
        <v>0</v>
      </c>
      <c r="G818" s="32">
        <v>43268899</v>
      </c>
      <c r="H818" t="s">
        <v>1955</v>
      </c>
    </row>
    <row r="819" spans="1:8" hidden="1" x14ac:dyDescent="0.3">
      <c r="A819" s="28">
        <v>16839</v>
      </c>
      <c r="B819" s="35">
        <v>45442.661805555559</v>
      </c>
      <c r="C819" s="18">
        <v>45442</v>
      </c>
      <c r="D819" t="s">
        <v>100</v>
      </c>
      <c r="E819" s="32">
        <v>1541100</v>
      </c>
      <c r="F819" s="32">
        <v>0</v>
      </c>
      <c r="G819" s="32">
        <v>42638599</v>
      </c>
      <c r="H819" t="s">
        <v>264</v>
      </c>
    </row>
    <row r="820" spans="1:8" hidden="1" x14ac:dyDescent="0.3">
      <c r="A820" s="28">
        <v>16838</v>
      </c>
      <c r="B820" s="35">
        <v>45442.501388888886</v>
      </c>
      <c r="C820" s="18">
        <v>45442</v>
      </c>
      <c r="D820" t="s">
        <v>100</v>
      </c>
      <c r="E820" s="32">
        <v>1516910</v>
      </c>
      <c r="F820" s="32">
        <v>0</v>
      </c>
      <c r="G820" s="32">
        <v>41097499</v>
      </c>
      <c r="H820" t="s">
        <v>370</v>
      </c>
    </row>
    <row r="821" spans="1:8" hidden="1" x14ac:dyDescent="0.3">
      <c r="A821" s="28">
        <v>16837</v>
      </c>
      <c r="B821" s="35">
        <v>45442.461805555555</v>
      </c>
      <c r="C821" s="18">
        <v>45442</v>
      </c>
      <c r="D821" t="s">
        <v>101</v>
      </c>
      <c r="E821" s="32">
        <v>0</v>
      </c>
      <c r="F821" s="32">
        <v>8000</v>
      </c>
      <c r="G821" s="32">
        <v>39580589</v>
      </c>
      <c r="H821" t="s">
        <v>1991</v>
      </c>
    </row>
    <row r="822" spans="1:8" hidden="1" x14ac:dyDescent="0.3">
      <c r="A822" s="28">
        <v>16836</v>
      </c>
      <c r="B822" s="35">
        <v>45442.461111111108</v>
      </c>
      <c r="C822" s="18">
        <v>45442</v>
      </c>
      <c r="D822" t="s">
        <v>100</v>
      </c>
      <c r="E822" s="32">
        <v>648450</v>
      </c>
      <c r="F822" s="32">
        <v>0</v>
      </c>
      <c r="G822" s="32">
        <v>39588589</v>
      </c>
      <c r="H822" t="s">
        <v>263</v>
      </c>
    </row>
    <row r="823" spans="1:8" hidden="1" x14ac:dyDescent="0.3">
      <c r="A823" s="28">
        <v>16835</v>
      </c>
      <c r="B823" s="35">
        <v>45442.456250000003</v>
      </c>
      <c r="C823" s="18">
        <v>45442</v>
      </c>
      <c r="D823" t="s">
        <v>101</v>
      </c>
      <c r="E823" s="32">
        <v>0</v>
      </c>
      <c r="F823" s="32">
        <v>8000</v>
      </c>
      <c r="G823" s="32">
        <v>38940139</v>
      </c>
      <c r="H823" t="s">
        <v>241</v>
      </c>
    </row>
    <row r="824" spans="1:8" hidden="1" x14ac:dyDescent="0.3">
      <c r="A824" s="28">
        <v>16834</v>
      </c>
      <c r="B824" s="35">
        <v>45442.42291666667</v>
      </c>
      <c r="C824" s="18">
        <v>45442</v>
      </c>
      <c r="D824" t="s">
        <v>100</v>
      </c>
      <c r="E824" s="32">
        <v>69900</v>
      </c>
      <c r="F824" s="32">
        <v>0</v>
      </c>
      <c r="G824" s="32">
        <v>38948139</v>
      </c>
      <c r="H824" t="s">
        <v>507</v>
      </c>
    </row>
    <row r="825" spans="1:8" hidden="1" x14ac:dyDescent="0.3">
      <c r="A825" s="28">
        <v>16833</v>
      </c>
      <c r="B825" s="35">
        <v>45442.421527777777</v>
      </c>
      <c r="C825" s="18">
        <v>45442</v>
      </c>
      <c r="D825" t="s">
        <v>100</v>
      </c>
      <c r="E825" s="32">
        <v>699000</v>
      </c>
      <c r="F825" s="32">
        <v>0</v>
      </c>
      <c r="G825" s="32">
        <v>38878239</v>
      </c>
      <c r="H825" t="s">
        <v>1992</v>
      </c>
    </row>
    <row r="826" spans="1:8" hidden="1" x14ac:dyDescent="0.3">
      <c r="A826" s="28">
        <v>16832</v>
      </c>
      <c r="B826" s="35">
        <v>45442.379166666666</v>
      </c>
      <c r="C826" s="18">
        <v>45442</v>
      </c>
      <c r="D826" t="s">
        <v>100</v>
      </c>
      <c r="E826" s="32">
        <v>190300</v>
      </c>
      <c r="F826" s="32">
        <v>0</v>
      </c>
      <c r="G826" s="32">
        <v>38179239</v>
      </c>
      <c r="H826" t="s">
        <v>327</v>
      </c>
    </row>
    <row r="827" spans="1:8" hidden="1" x14ac:dyDescent="0.3">
      <c r="A827" s="28">
        <v>16830</v>
      </c>
      <c r="B827" s="35">
        <v>45441.589583333334</v>
      </c>
      <c r="C827" s="18">
        <v>45441</v>
      </c>
      <c r="D827" t="s">
        <v>101</v>
      </c>
      <c r="E827" s="32">
        <v>0</v>
      </c>
      <c r="F827" s="32">
        <v>192374</v>
      </c>
      <c r="G827" s="32">
        <v>37988939</v>
      </c>
      <c r="H827" t="s">
        <v>221</v>
      </c>
    </row>
    <row r="828" spans="1:8" hidden="1" x14ac:dyDescent="0.3">
      <c r="A828" s="28">
        <v>16829</v>
      </c>
      <c r="B828" s="35">
        <v>45441.477083333331</v>
      </c>
      <c r="C828" s="18">
        <v>45441</v>
      </c>
      <c r="D828" t="s">
        <v>101</v>
      </c>
      <c r="E828" s="32">
        <v>0</v>
      </c>
      <c r="F828" s="32">
        <v>40600200</v>
      </c>
      <c r="G828" s="32">
        <v>38181313</v>
      </c>
      <c r="H828" t="s">
        <v>242</v>
      </c>
    </row>
    <row r="829" spans="1:8" hidden="1" x14ac:dyDescent="0.3">
      <c r="A829" s="28">
        <v>16828</v>
      </c>
      <c r="B829" s="35">
        <v>45441.474305555559</v>
      </c>
      <c r="C829" s="18">
        <v>45441</v>
      </c>
      <c r="D829" t="s">
        <v>100</v>
      </c>
      <c r="E829" s="32">
        <v>40000000</v>
      </c>
      <c r="F829" s="32">
        <v>0</v>
      </c>
      <c r="G829" s="32">
        <v>78781513</v>
      </c>
      <c r="H829" t="s">
        <v>259</v>
      </c>
    </row>
    <row r="830" spans="1:8" hidden="1" x14ac:dyDescent="0.3">
      <c r="A830" s="28">
        <v>16825</v>
      </c>
      <c r="B830" s="35">
        <v>45441.465277777781</v>
      </c>
      <c r="C830" s="18">
        <v>45441</v>
      </c>
      <c r="D830" t="s">
        <v>100</v>
      </c>
      <c r="E830" s="32">
        <v>378400</v>
      </c>
      <c r="F830" s="32">
        <v>0</v>
      </c>
      <c r="G830" s="32">
        <v>38781513</v>
      </c>
      <c r="H830" t="s">
        <v>1959</v>
      </c>
    </row>
    <row r="831" spans="1:8" hidden="1" x14ac:dyDescent="0.3">
      <c r="A831" s="28">
        <v>16824</v>
      </c>
      <c r="B831" s="35">
        <v>45441.462500000001</v>
      </c>
      <c r="C831" s="18">
        <v>45441</v>
      </c>
      <c r="D831" t="s">
        <v>100</v>
      </c>
      <c r="E831" s="32">
        <v>1659900</v>
      </c>
      <c r="F831" s="32">
        <v>0</v>
      </c>
      <c r="G831" s="32">
        <v>38403113</v>
      </c>
      <c r="H831" t="s">
        <v>1959</v>
      </c>
    </row>
    <row r="832" spans="1:8" hidden="1" x14ac:dyDescent="0.3">
      <c r="A832" s="28">
        <v>16823</v>
      </c>
      <c r="B832" s="35">
        <v>45441.461805555555</v>
      </c>
      <c r="C832" s="18">
        <v>45441</v>
      </c>
      <c r="D832" t="s">
        <v>100</v>
      </c>
      <c r="E832" s="32">
        <v>2896300</v>
      </c>
      <c r="F832" s="32">
        <v>0</v>
      </c>
      <c r="G832" s="32">
        <v>36743213</v>
      </c>
      <c r="H832" t="s">
        <v>1959</v>
      </c>
    </row>
    <row r="833" spans="1:8" hidden="1" x14ac:dyDescent="0.3">
      <c r="A833" s="28">
        <v>16822</v>
      </c>
      <c r="B833" s="35">
        <v>45441.420138888891</v>
      </c>
      <c r="C833" s="18">
        <v>45441</v>
      </c>
      <c r="D833" t="s">
        <v>101</v>
      </c>
      <c r="E833" s="32">
        <v>0</v>
      </c>
      <c r="F833" s="32">
        <v>40885200</v>
      </c>
      <c r="G833" s="32">
        <v>33846913</v>
      </c>
      <c r="H833" t="s">
        <v>1993</v>
      </c>
    </row>
    <row r="834" spans="1:8" hidden="1" x14ac:dyDescent="0.3">
      <c r="A834" s="28">
        <v>16821</v>
      </c>
      <c r="B834" s="35">
        <v>45441.388194444444</v>
      </c>
      <c r="C834" s="18">
        <v>45441</v>
      </c>
      <c r="D834" t="s">
        <v>100</v>
      </c>
      <c r="E834" s="32">
        <v>492800</v>
      </c>
      <c r="F834" s="32">
        <v>0</v>
      </c>
      <c r="G834" s="32">
        <v>74732113</v>
      </c>
      <c r="H834" t="s">
        <v>292</v>
      </c>
    </row>
    <row r="835" spans="1:8" hidden="1" x14ac:dyDescent="0.3">
      <c r="A835" s="28">
        <v>16820</v>
      </c>
      <c r="B835" s="35">
        <v>45441.37222222222</v>
      </c>
      <c r="C835" s="18">
        <v>45441</v>
      </c>
      <c r="D835" t="s">
        <v>101</v>
      </c>
      <c r="E835" s="32">
        <v>0</v>
      </c>
      <c r="F835" s="32">
        <v>505010</v>
      </c>
      <c r="G835" s="32">
        <v>74239313</v>
      </c>
      <c r="H835" t="s">
        <v>280</v>
      </c>
    </row>
    <row r="836" spans="1:8" hidden="1" x14ac:dyDescent="0.3">
      <c r="A836" s="28">
        <v>16819</v>
      </c>
      <c r="B836" s="35">
        <v>45440.674305555556</v>
      </c>
      <c r="C836" s="18">
        <v>45440</v>
      </c>
      <c r="D836" t="s">
        <v>100</v>
      </c>
      <c r="E836" s="32">
        <v>3361600</v>
      </c>
      <c r="F836" s="32">
        <v>0</v>
      </c>
      <c r="G836" s="32">
        <v>74744323</v>
      </c>
      <c r="H836" t="s">
        <v>223</v>
      </c>
    </row>
    <row r="837" spans="1:8" hidden="1" x14ac:dyDescent="0.3">
      <c r="A837" s="28">
        <v>16818</v>
      </c>
      <c r="B837" s="35">
        <v>45440.663888888892</v>
      </c>
      <c r="C837" s="18">
        <v>45440</v>
      </c>
      <c r="D837" t="s">
        <v>101</v>
      </c>
      <c r="E837" s="32">
        <v>0</v>
      </c>
      <c r="F837" s="32">
        <v>4125000</v>
      </c>
      <c r="G837" s="32">
        <v>71382723</v>
      </c>
      <c r="H837" t="s">
        <v>555</v>
      </c>
    </row>
    <row r="838" spans="1:8" hidden="1" x14ac:dyDescent="0.3">
      <c r="A838" s="28">
        <v>16817</v>
      </c>
      <c r="B838" s="35">
        <v>45440.570138888892</v>
      </c>
      <c r="C838" s="18">
        <v>45440</v>
      </c>
      <c r="D838" t="s">
        <v>101</v>
      </c>
      <c r="E838" s="32">
        <v>0</v>
      </c>
      <c r="F838" s="32">
        <v>7700000</v>
      </c>
      <c r="G838" s="32">
        <v>75507723</v>
      </c>
      <c r="H838" t="s">
        <v>1994</v>
      </c>
    </row>
    <row r="839" spans="1:8" hidden="1" x14ac:dyDescent="0.3">
      <c r="A839" s="28">
        <v>16814</v>
      </c>
      <c r="B839" s="35">
        <v>45440.432638888888</v>
      </c>
      <c r="C839" s="18">
        <v>45440</v>
      </c>
      <c r="D839" t="s">
        <v>100</v>
      </c>
      <c r="E839" s="32">
        <v>158400</v>
      </c>
      <c r="F839" s="32">
        <v>0</v>
      </c>
      <c r="G839" s="32">
        <v>83207723</v>
      </c>
      <c r="H839" t="s">
        <v>311</v>
      </c>
    </row>
    <row r="840" spans="1:8" hidden="1" x14ac:dyDescent="0.3">
      <c r="A840" s="28">
        <v>16813</v>
      </c>
      <c r="B840" s="35">
        <v>45440.432638888888</v>
      </c>
      <c r="C840" s="18">
        <v>45440</v>
      </c>
      <c r="D840" t="s">
        <v>100</v>
      </c>
      <c r="E840" s="32">
        <v>79200</v>
      </c>
      <c r="F840" s="32">
        <v>0</v>
      </c>
      <c r="G840" s="32">
        <v>83049323</v>
      </c>
      <c r="H840" t="s">
        <v>311</v>
      </c>
    </row>
    <row r="841" spans="1:8" hidden="1" x14ac:dyDescent="0.3">
      <c r="A841" s="28">
        <v>16811</v>
      </c>
      <c r="B841" s="35">
        <v>45440.355555555558</v>
      </c>
      <c r="C841" s="18">
        <v>45440</v>
      </c>
      <c r="D841" t="s">
        <v>101</v>
      </c>
      <c r="E841" s="32">
        <v>0</v>
      </c>
      <c r="F841" s="32">
        <v>198000</v>
      </c>
      <c r="G841" s="32">
        <v>82970123</v>
      </c>
      <c r="H841" t="s">
        <v>1995</v>
      </c>
    </row>
    <row r="842" spans="1:8" hidden="1" x14ac:dyDescent="0.3">
      <c r="A842" s="28">
        <v>16808</v>
      </c>
      <c r="B842" s="35">
        <v>45439.838888888888</v>
      </c>
      <c r="C842" s="18">
        <v>45439</v>
      </c>
      <c r="D842" t="s">
        <v>101</v>
      </c>
      <c r="E842" s="32">
        <v>0</v>
      </c>
      <c r="F842" s="32">
        <v>440000</v>
      </c>
      <c r="G842" s="32">
        <v>83168123</v>
      </c>
      <c r="H842" t="s">
        <v>271</v>
      </c>
    </row>
    <row r="843" spans="1:8" hidden="1" x14ac:dyDescent="0.3">
      <c r="A843" s="28">
        <v>16805</v>
      </c>
      <c r="B843" s="35">
        <v>45439.643055555556</v>
      </c>
      <c r="C843" s="18">
        <v>45439</v>
      </c>
      <c r="D843" t="s">
        <v>100</v>
      </c>
      <c r="E843" s="32">
        <v>71500</v>
      </c>
      <c r="F843" s="32">
        <v>0</v>
      </c>
      <c r="G843" s="32">
        <v>83608123</v>
      </c>
      <c r="H843" t="s">
        <v>502</v>
      </c>
    </row>
    <row r="844" spans="1:8" hidden="1" x14ac:dyDescent="0.3">
      <c r="A844" s="28">
        <v>16804</v>
      </c>
      <c r="B844" s="35">
        <v>45439.581250000003</v>
      </c>
      <c r="C844" s="18">
        <v>45439</v>
      </c>
      <c r="D844" t="s">
        <v>101</v>
      </c>
      <c r="E844" s="32">
        <v>0</v>
      </c>
      <c r="F844" s="32">
        <v>106291</v>
      </c>
      <c r="G844" s="32">
        <v>83536623</v>
      </c>
      <c r="H844" t="s">
        <v>221</v>
      </c>
    </row>
    <row r="845" spans="1:8" hidden="1" x14ac:dyDescent="0.3">
      <c r="A845" s="28">
        <v>16803</v>
      </c>
      <c r="B845" s="35">
        <v>45439.535416666666</v>
      </c>
      <c r="C845" s="18">
        <v>45439</v>
      </c>
      <c r="D845" t="s">
        <v>100</v>
      </c>
      <c r="E845" s="32">
        <v>2283600</v>
      </c>
      <c r="F845" s="32">
        <v>0</v>
      </c>
      <c r="G845" s="32">
        <v>83642914</v>
      </c>
      <c r="H845" t="s">
        <v>365</v>
      </c>
    </row>
    <row r="846" spans="1:8" hidden="1" x14ac:dyDescent="0.3">
      <c r="A846" s="28">
        <v>16798</v>
      </c>
      <c r="B846" s="35">
        <v>45437.320833333331</v>
      </c>
      <c r="C846" s="18">
        <v>45437</v>
      </c>
      <c r="D846" t="s">
        <v>100</v>
      </c>
      <c r="E846" s="32">
        <v>909700</v>
      </c>
      <c r="F846" s="32">
        <v>0</v>
      </c>
      <c r="G846" s="32">
        <v>81359314</v>
      </c>
      <c r="H846" t="s">
        <v>1996</v>
      </c>
    </row>
    <row r="847" spans="1:8" hidden="1" x14ac:dyDescent="0.3">
      <c r="A847" s="28">
        <v>16797</v>
      </c>
      <c r="B847" s="35">
        <v>45436.790277777778</v>
      </c>
      <c r="C847" s="18">
        <v>45436</v>
      </c>
      <c r="D847" t="s">
        <v>100</v>
      </c>
      <c r="E847" s="32">
        <v>364000</v>
      </c>
      <c r="F847" s="32">
        <v>0</v>
      </c>
      <c r="G847" s="32">
        <v>80449614</v>
      </c>
      <c r="H847" t="s">
        <v>383</v>
      </c>
    </row>
    <row r="848" spans="1:8" hidden="1" x14ac:dyDescent="0.3">
      <c r="A848" s="28">
        <v>16796</v>
      </c>
      <c r="B848" s="35">
        <v>45436.790277777778</v>
      </c>
      <c r="C848" s="18">
        <v>45436</v>
      </c>
      <c r="D848" t="s">
        <v>100</v>
      </c>
      <c r="E848" s="32">
        <v>128000</v>
      </c>
      <c r="F848" s="32">
        <v>0</v>
      </c>
      <c r="G848" s="32">
        <v>80085614</v>
      </c>
      <c r="H848" t="s">
        <v>383</v>
      </c>
    </row>
    <row r="849" spans="1:8" hidden="1" x14ac:dyDescent="0.3">
      <c r="A849" s="28">
        <v>16791</v>
      </c>
      <c r="B849" s="35">
        <v>45436.48541666667</v>
      </c>
      <c r="C849" s="18">
        <v>45436</v>
      </c>
      <c r="D849" t="s">
        <v>101</v>
      </c>
      <c r="E849" s="32">
        <v>0</v>
      </c>
      <c r="F849" s="32">
        <v>83738</v>
      </c>
      <c r="G849" s="32">
        <v>79957614</v>
      </c>
      <c r="H849" t="s">
        <v>221</v>
      </c>
    </row>
    <row r="850" spans="1:8" hidden="1" x14ac:dyDescent="0.3">
      <c r="A850" s="28">
        <v>16790</v>
      </c>
      <c r="B850" s="35">
        <v>45436.418749999997</v>
      </c>
      <c r="C850" s="18">
        <v>45436</v>
      </c>
      <c r="D850" t="s">
        <v>101</v>
      </c>
      <c r="E850" s="32">
        <v>0</v>
      </c>
      <c r="F850" s="32">
        <v>2675770</v>
      </c>
      <c r="G850" s="32">
        <v>80041352</v>
      </c>
      <c r="H850" t="s">
        <v>289</v>
      </c>
    </row>
    <row r="851" spans="1:8" hidden="1" x14ac:dyDescent="0.3">
      <c r="A851" s="28">
        <v>16789</v>
      </c>
      <c r="B851" s="35">
        <v>45436.417361111111</v>
      </c>
      <c r="C851" s="18">
        <v>45436</v>
      </c>
      <c r="D851" t="s">
        <v>101</v>
      </c>
      <c r="E851" s="32">
        <v>0</v>
      </c>
      <c r="F851" s="32">
        <v>130000</v>
      </c>
      <c r="G851" s="32">
        <v>82717122</v>
      </c>
      <c r="H851" t="s">
        <v>1997</v>
      </c>
    </row>
    <row r="852" spans="1:8" hidden="1" x14ac:dyDescent="0.3">
      <c r="A852" s="28">
        <v>16788</v>
      </c>
      <c r="B852" s="35">
        <v>45436.415972222225</v>
      </c>
      <c r="C852" s="18">
        <v>45436</v>
      </c>
      <c r="D852" t="s">
        <v>101</v>
      </c>
      <c r="E852" s="32">
        <v>0</v>
      </c>
      <c r="F852" s="32">
        <v>450000</v>
      </c>
      <c r="G852" s="32">
        <v>82847122</v>
      </c>
      <c r="H852" t="s">
        <v>282</v>
      </c>
    </row>
    <row r="853" spans="1:8" hidden="1" x14ac:dyDescent="0.3">
      <c r="A853" s="28">
        <v>16787</v>
      </c>
      <c r="B853" s="35">
        <v>45436.386111111111</v>
      </c>
      <c r="C853" s="18">
        <v>45436</v>
      </c>
      <c r="D853" t="s">
        <v>100</v>
      </c>
      <c r="E853" s="32">
        <v>49200</v>
      </c>
      <c r="F853" s="32">
        <v>0</v>
      </c>
      <c r="G853" s="32">
        <v>83297122</v>
      </c>
      <c r="H853" t="s">
        <v>384</v>
      </c>
    </row>
    <row r="854" spans="1:8" hidden="1" x14ac:dyDescent="0.3">
      <c r="A854" s="28">
        <v>16785</v>
      </c>
      <c r="B854" s="35">
        <v>45436.300694444442</v>
      </c>
      <c r="C854" s="18">
        <v>45436</v>
      </c>
      <c r="D854" t="s">
        <v>100</v>
      </c>
      <c r="E854" s="32">
        <v>28490</v>
      </c>
      <c r="F854" s="32">
        <v>0</v>
      </c>
      <c r="G854" s="32">
        <v>83247922</v>
      </c>
      <c r="H854" t="s">
        <v>1998</v>
      </c>
    </row>
    <row r="855" spans="1:8" hidden="1" x14ac:dyDescent="0.3">
      <c r="A855" s="28">
        <v>16783</v>
      </c>
      <c r="B855" s="35">
        <v>45435.601388888892</v>
      </c>
      <c r="C855" s="18">
        <v>45435</v>
      </c>
      <c r="D855" t="s">
        <v>101</v>
      </c>
      <c r="E855" s="32">
        <v>0</v>
      </c>
      <c r="F855" s="32">
        <v>340000</v>
      </c>
      <c r="G855" s="32">
        <v>83219432</v>
      </c>
      <c r="H855" t="s">
        <v>1999</v>
      </c>
    </row>
    <row r="856" spans="1:8" hidden="1" x14ac:dyDescent="0.3">
      <c r="A856" s="28">
        <v>16778</v>
      </c>
      <c r="B856" s="35">
        <v>45435.463888888888</v>
      </c>
      <c r="C856" s="18">
        <v>45435</v>
      </c>
      <c r="D856" t="s">
        <v>101</v>
      </c>
      <c r="E856" s="32">
        <v>0</v>
      </c>
      <c r="F856" s="32">
        <v>20000</v>
      </c>
      <c r="G856" s="32">
        <v>83559432</v>
      </c>
      <c r="H856" t="s">
        <v>295</v>
      </c>
    </row>
    <row r="857" spans="1:8" hidden="1" x14ac:dyDescent="0.3">
      <c r="A857" s="28">
        <v>16777</v>
      </c>
      <c r="B857" s="35">
        <v>45435.461805555555</v>
      </c>
      <c r="C857" s="18">
        <v>45435</v>
      </c>
      <c r="D857" t="s">
        <v>101</v>
      </c>
      <c r="E857" s="32">
        <v>0</v>
      </c>
      <c r="F857" s="32">
        <v>2340048</v>
      </c>
      <c r="G857" s="32">
        <v>83579432</v>
      </c>
      <c r="H857" t="s">
        <v>2000</v>
      </c>
    </row>
    <row r="858" spans="1:8" hidden="1" x14ac:dyDescent="0.3">
      <c r="A858" s="28">
        <v>16776</v>
      </c>
      <c r="B858" s="35">
        <v>45435.459722222222</v>
      </c>
      <c r="C858" s="18">
        <v>45435</v>
      </c>
      <c r="D858" t="s">
        <v>101</v>
      </c>
      <c r="E858" s="32">
        <v>0</v>
      </c>
      <c r="F858" s="32">
        <v>4885040</v>
      </c>
      <c r="G858" s="32">
        <v>85919480</v>
      </c>
      <c r="H858" t="s">
        <v>289</v>
      </c>
    </row>
    <row r="859" spans="1:8" hidden="1" x14ac:dyDescent="0.3">
      <c r="A859" s="28">
        <v>16775</v>
      </c>
      <c r="B859" s="35">
        <v>45435.381944444445</v>
      </c>
      <c r="C859" s="18">
        <v>45435</v>
      </c>
      <c r="D859" t="s">
        <v>100</v>
      </c>
      <c r="E859" s="32">
        <v>99000</v>
      </c>
      <c r="F859" s="32">
        <v>0</v>
      </c>
      <c r="G859" s="32">
        <v>90804520</v>
      </c>
      <c r="H859" t="s">
        <v>2001</v>
      </c>
    </row>
    <row r="860" spans="1:8" hidden="1" x14ac:dyDescent="0.3">
      <c r="A860" s="28">
        <v>16774</v>
      </c>
      <c r="B860" s="35">
        <v>45434.496527777781</v>
      </c>
      <c r="C860" s="18">
        <v>45434</v>
      </c>
      <c r="D860" t="s">
        <v>100</v>
      </c>
      <c r="E860" s="32">
        <v>1076900</v>
      </c>
      <c r="F860" s="32">
        <v>0</v>
      </c>
      <c r="G860" s="32">
        <v>90705520</v>
      </c>
      <c r="H860" t="s">
        <v>404</v>
      </c>
    </row>
    <row r="861" spans="1:8" hidden="1" x14ac:dyDescent="0.3">
      <c r="A861" s="28">
        <v>16770</v>
      </c>
      <c r="B861" s="35">
        <v>45434.392361111109</v>
      </c>
      <c r="C861" s="18">
        <v>45434</v>
      </c>
      <c r="D861" t="s">
        <v>101</v>
      </c>
      <c r="E861" s="32">
        <v>0</v>
      </c>
      <c r="F861" s="32">
        <v>26514350</v>
      </c>
      <c r="G861" s="32">
        <v>89628620</v>
      </c>
      <c r="H861" t="s">
        <v>258</v>
      </c>
    </row>
    <row r="862" spans="1:8" hidden="1" x14ac:dyDescent="0.3">
      <c r="A862" s="28">
        <v>16769</v>
      </c>
      <c r="B862" s="35">
        <v>45434.39166666667</v>
      </c>
      <c r="C862" s="18">
        <v>45434</v>
      </c>
      <c r="D862" t="s">
        <v>101</v>
      </c>
      <c r="E862" s="32">
        <v>0</v>
      </c>
      <c r="F862" s="32">
        <v>18837140</v>
      </c>
      <c r="G862" s="32">
        <v>116142970</v>
      </c>
      <c r="H862" t="s">
        <v>258</v>
      </c>
    </row>
    <row r="863" spans="1:8" hidden="1" x14ac:dyDescent="0.3">
      <c r="A863" s="28">
        <v>16767</v>
      </c>
      <c r="B863" s="35">
        <v>45434.369444444441</v>
      </c>
      <c r="C863" s="18">
        <v>45434</v>
      </c>
      <c r="D863" t="s">
        <v>100</v>
      </c>
      <c r="E863" s="32">
        <v>510400</v>
      </c>
      <c r="F863" s="32">
        <v>0</v>
      </c>
      <c r="G863" s="32">
        <v>134980110</v>
      </c>
      <c r="H863" t="s">
        <v>311</v>
      </c>
    </row>
    <row r="864" spans="1:8" hidden="1" x14ac:dyDescent="0.3">
      <c r="A864" s="28">
        <v>16765</v>
      </c>
      <c r="B864" s="35">
        <v>45433.418055555558</v>
      </c>
      <c r="C864" s="18">
        <v>45433</v>
      </c>
      <c r="D864" t="s">
        <v>101</v>
      </c>
      <c r="E864" s="32">
        <v>0</v>
      </c>
      <c r="F864" s="32">
        <v>770240</v>
      </c>
      <c r="G864" s="32">
        <v>134469710</v>
      </c>
      <c r="H864" t="s">
        <v>1906</v>
      </c>
    </row>
    <row r="865" spans="1:8" hidden="1" x14ac:dyDescent="0.3">
      <c r="A865" s="28">
        <v>16764</v>
      </c>
      <c r="B865" s="35">
        <v>45433.402777777781</v>
      </c>
      <c r="C865" s="18">
        <v>45433</v>
      </c>
      <c r="D865" t="s">
        <v>100</v>
      </c>
      <c r="E865" s="32">
        <v>532400</v>
      </c>
      <c r="F865" s="32">
        <v>0</v>
      </c>
      <c r="G865" s="32">
        <v>135239950</v>
      </c>
      <c r="H865" t="s">
        <v>327</v>
      </c>
    </row>
    <row r="866" spans="1:8" hidden="1" x14ac:dyDescent="0.3">
      <c r="A866" s="28">
        <v>16763</v>
      </c>
      <c r="B866" s="35">
        <v>45432.856944444444</v>
      </c>
      <c r="C866" s="18">
        <v>45432</v>
      </c>
      <c r="D866" t="s">
        <v>101</v>
      </c>
      <c r="E866" s="32">
        <v>0</v>
      </c>
      <c r="F866" s="32">
        <v>599530</v>
      </c>
      <c r="G866" s="32">
        <v>134707550</v>
      </c>
      <c r="H866" t="s">
        <v>285</v>
      </c>
    </row>
    <row r="867" spans="1:8" hidden="1" x14ac:dyDescent="0.3">
      <c r="A867" s="28">
        <v>16762</v>
      </c>
      <c r="B867" s="35">
        <v>45432.834027777775</v>
      </c>
      <c r="C867" s="18">
        <v>45432</v>
      </c>
      <c r="D867" t="s">
        <v>101</v>
      </c>
      <c r="E867" s="32">
        <v>0</v>
      </c>
      <c r="F867" s="32">
        <v>293446</v>
      </c>
      <c r="G867" s="32">
        <v>135307080</v>
      </c>
      <c r="H867" t="s">
        <v>286</v>
      </c>
    </row>
    <row r="868" spans="1:8" hidden="1" x14ac:dyDescent="0.3">
      <c r="A868" s="28">
        <v>16761</v>
      </c>
      <c r="B868" s="35">
        <v>45432.820833333331</v>
      </c>
      <c r="C868" s="18">
        <v>45432</v>
      </c>
      <c r="D868" t="s">
        <v>101</v>
      </c>
      <c r="E868" s="32">
        <v>0</v>
      </c>
      <c r="F868" s="32">
        <v>77429</v>
      </c>
      <c r="G868" s="32">
        <v>135600526</v>
      </c>
      <c r="H868" t="s">
        <v>2002</v>
      </c>
    </row>
    <row r="869" spans="1:8" hidden="1" x14ac:dyDescent="0.3">
      <c r="A869" s="28">
        <v>16760</v>
      </c>
      <c r="B869" s="35">
        <v>45432.818055555559</v>
      </c>
      <c r="C869" s="18">
        <v>45432</v>
      </c>
      <c r="D869" t="s">
        <v>101</v>
      </c>
      <c r="E869" s="32">
        <v>0</v>
      </c>
      <c r="F869" s="32">
        <v>1000000</v>
      </c>
      <c r="G869" s="32">
        <v>135677955</v>
      </c>
      <c r="H869" t="s">
        <v>2003</v>
      </c>
    </row>
    <row r="870" spans="1:8" hidden="1" x14ac:dyDescent="0.3">
      <c r="A870" s="28">
        <v>16759</v>
      </c>
      <c r="B870" s="35">
        <v>45432.597916666666</v>
      </c>
      <c r="C870" s="18">
        <v>45432</v>
      </c>
      <c r="D870" t="s">
        <v>100</v>
      </c>
      <c r="E870" s="32">
        <v>880000</v>
      </c>
      <c r="F870" s="32">
        <v>0</v>
      </c>
      <c r="G870" s="32">
        <v>136677955</v>
      </c>
      <c r="H870" t="s">
        <v>315</v>
      </c>
    </row>
    <row r="871" spans="1:8" hidden="1" x14ac:dyDescent="0.3">
      <c r="A871" s="28">
        <v>16757</v>
      </c>
      <c r="B871" s="35">
        <v>45432.435416666667</v>
      </c>
      <c r="C871" s="18">
        <v>45432</v>
      </c>
      <c r="D871" t="s">
        <v>101</v>
      </c>
      <c r="E871" s="32">
        <v>0</v>
      </c>
      <c r="F871" s="32">
        <v>957377</v>
      </c>
      <c r="G871" s="32">
        <v>135797955</v>
      </c>
      <c r="H871" t="s">
        <v>291</v>
      </c>
    </row>
    <row r="872" spans="1:8" hidden="1" x14ac:dyDescent="0.3">
      <c r="A872" s="28">
        <v>16755</v>
      </c>
      <c r="B872" s="35">
        <v>45429.65347222222</v>
      </c>
      <c r="C872" s="18">
        <v>45429</v>
      </c>
      <c r="D872" t="s">
        <v>100</v>
      </c>
      <c r="E872" s="32">
        <v>2915000</v>
      </c>
      <c r="F872" s="32">
        <v>0</v>
      </c>
      <c r="G872" s="32">
        <v>136755332</v>
      </c>
      <c r="H872" t="s">
        <v>1871</v>
      </c>
    </row>
    <row r="873" spans="1:8" hidden="1" x14ac:dyDescent="0.3">
      <c r="A873" s="28">
        <v>16754</v>
      </c>
      <c r="B873" s="35">
        <v>45429.624305555553</v>
      </c>
      <c r="C873" s="18">
        <v>45429</v>
      </c>
      <c r="D873" t="s">
        <v>101</v>
      </c>
      <c r="E873" s="32">
        <v>0</v>
      </c>
      <c r="F873" s="32">
        <v>69850</v>
      </c>
      <c r="G873" s="32">
        <v>133840332</v>
      </c>
      <c r="H873" t="s">
        <v>280</v>
      </c>
    </row>
    <row r="874" spans="1:8" hidden="1" x14ac:dyDescent="0.3">
      <c r="A874" s="28">
        <v>16753</v>
      </c>
      <c r="B874" s="35">
        <v>45429.488194444442</v>
      </c>
      <c r="C874" s="18">
        <v>45429</v>
      </c>
      <c r="D874" t="s">
        <v>101</v>
      </c>
      <c r="E874" s="32">
        <v>0</v>
      </c>
      <c r="F874" s="32">
        <v>2894480</v>
      </c>
      <c r="G874" s="32">
        <v>133910182</v>
      </c>
      <c r="H874" t="s">
        <v>294</v>
      </c>
    </row>
    <row r="875" spans="1:8" hidden="1" x14ac:dyDescent="0.3">
      <c r="A875" s="28">
        <v>16752</v>
      </c>
      <c r="B875" s="35">
        <v>45429.476388888892</v>
      </c>
      <c r="C875" s="18">
        <v>45429</v>
      </c>
      <c r="D875" t="s">
        <v>100</v>
      </c>
      <c r="E875" s="32">
        <v>397100</v>
      </c>
      <c r="F875" s="32">
        <v>0</v>
      </c>
      <c r="G875" s="32">
        <v>136804662</v>
      </c>
      <c r="H875" t="s">
        <v>405</v>
      </c>
    </row>
    <row r="876" spans="1:8" hidden="1" x14ac:dyDescent="0.3">
      <c r="A876" s="28">
        <v>16751</v>
      </c>
      <c r="B876" s="35">
        <v>45429.476388888892</v>
      </c>
      <c r="C876" s="18">
        <v>45429</v>
      </c>
      <c r="D876" t="s">
        <v>100</v>
      </c>
      <c r="E876" s="32">
        <v>150700</v>
      </c>
      <c r="F876" s="32">
        <v>0</v>
      </c>
      <c r="G876" s="32">
        <v>136407562</v>
      </c>
      <c r="H876" t="s">
        <v>405</v>
      </c>
    </row>
    <row r="877" spans="1:8" hidden="1" x14ac:dyDescent="0.3">
      <c r="A877" s="28">
        <v>16750</v>
      </c>
      <c r="B877" s="35">
        <v>45429.476388888892</v>
      </c>
      <c r="C877" s="18">
        <v>45429</v>
      </c>
      <c r="D877" t="s">
        <v>100</v>
      </c>
      <c r="E877" s="32">
        <v>235400</v>
      </c>
      <c r="F877" s="32">
        <v>0</v>
      </c>
      <c r="G877" s="32">
        <v>136256862</v>
      </c>
      <c r="H877" t="s">
        <v>405</v>
      </c>
    </row>
    <row r="878" spans="1:8" hidden="1" x14ac:dyDescent="0.3">
      <c r="A878" s="28">
        <v>16747</v>
      </c>
      <c r="B878" s="35">
        <v>45429.45416666667</v>
      </c>
      <c r="C878" s="18">
        <v>45429</v>
      </c>
      <c r="D878" t="s">
        <v>100</v>
      </c>
      <c r="E878" s="32">
        <v>162800</v>
      </c>
      <c r="F878" s="32">
        <v>0</v>
      </c>
      <c r="G878" s="32">
        <v>136021462</v>
      </c>
      <c r="H878" t="s">
        <v>233</v>
      </c>
    </row>
    <row r="879" spans="1:8" hidden="1" x14ac:dyDescent="0.3">
      <c r="A879" s="28">
        <v>16746</v>
      </c>
      <c r="B879" s="35">
        <v>45429.407638888886</v>
      </c>
      <c r="C879" s="18">
        <v>45429</v>
      </c>
      <c r="D879" t="s">
        <v>100</v>
      </c>
      <c r="E879" s="32">
        <v>1215500</v>
      </c>
      <c r="F879" s="32">
        <v>0</v>
      </c>
      <c r="G879" s="32">
        <v>135858662</v>
      </c>
      <c r="H879" t="s">
        <v>406</v>
      </c>
    </row>
    <row r="880" spans="1:8" hidden="1" x14ac:dyDescent="0.3">
      <c r="A880" s="28">
        <v>16745</v>
      </c>
      <c r="B880" s="35">
        <v>45428.836111111108</v>
      </c>
      <c r="C880" s="18">
        <v>45428</v>
      </c>
      <c r="D880" t="s">
        <v>101</v>
      </c>
      <c r="E880" s="32">
        <v>0</v>
      </c>
      <c r="F880" s="32">
        <v>311400</v>
      </c>
      <c r="G880" s="32">
        <v>134643162</v>
      </c>
      <c r="H880" t="s">
        <v>300</v>
      </c>
    </row>
    <row r="881" spans="1:8" hidden="1" x14ac:dyDescent="0.3">
      <c r="A881" s="28">
        <v>16744</v>
      </c>
      <c r="B881" s="35">
        <v>45428.8125</v>
      </c>
      <c r="C881" s="18">
        <v>45428</v>
      </c>
      <c r="D881" t="s">
        <v>101</v>
      </c>
      <c r="E881" s="32">
        <v>0</v>
      </c>
      <c r="F881" s="32">
        <v>259200</v>
      </c>
      <c r="G881" s="32">
        <v>134954562</v>
      </c>
      <c r="H881" t="s">
        <v>296</v>
      </c>
    </row>
    <row r="882" spans="1:8" hidden="1" x14ac:dyDescent="0.3">
      <c r="A882" s="28">
        <v>16743</v>
      </c>
      <c r="B882" s="35">
        <v>45428.8125</v>
      </c>
      <c r="C882" s="18">
        <v>45428</v>
      </c>
      <c r="D882" t="s">
        <v>101</v>
      </c>
      <c r="E882" s="32">
        <v>0</v>
      </c>
      <c r="F882" s="32">
        <v>177820</v>
      </c>
      <c r="G882" s="32">
        <v>135213762</v>
      </c>
      <c r="H882" t="s">
        <v>296</v>
      </c>
    </row>
    <row r="883" spans="1:8" hidden="1" x14ac:dyDescent="0.3">
      <c r="A883" s="28">
        <v>16742</v>
      </c>
      <c r="B883" s="35">
        <v>45428.8125</v>
      </c>
      <c r="C883" s="18">
        <v>45428</v>
      </c>
      <c r="D883" t="s">
        <v>101</v>
      </c>
      <c r="E883" s="32">
        <v>0</v>
      </c>
      <c r="F883" s="32">
        <v>492160</v>
      </c>
      <c r="G883" s="32">
        <v>135391582</v>
      </c>
      <c r="H883" t="s">
        <v>296</v>
      </c>
    </row>
    <row r="884" spans="1:8" hidden="1" x14ac:dyDescent="0.3">
      <c r="A884" s="28">
        <v>16741</v>
      </c>
      <c r="B884" s="35">
        <v>45428.8125</v>
      </c>
      <c r="C884" s="18">
        <v>45428</v>
      </c>
      <c r="D884" t="s">
        <v>101</v>
      </c>
      <c r="E884" s="32">
        <v>0</v>
      </c>
      <c r="F884" s="32">
        <v>889840</v>
      </c>
      <c r="G884" s="32">
        <v>135883742</v>
      </c>
      <c r="H884" t="s">
        <v>296</v>
      </c>
    </row>
    <row r="885" spans="1:8" hidden="1" x14ac:dyDescent="0.3">
      <c r="A885" s="28">
        <v>16740</v>
      </c>
      <c r="B885" s="35">
        <v>45428.808333333334</v>
      </c>
      <c r="C885" s="18">
        <v>45428</v>
      </c>
      <c r="D885" t="s">
        <v>101</v>
      </c>
      <c r="E885" s="32">
        <v>0</v>
      </c>
      <c r="F885" s="32">
        <v>99000</v>
      </c>
      <c r="G885" s="32">
        <v>136773582</v>
      </c>
      <c r="H885" t="s">
        <v>301</v>
      </c>
    </row>
    <row r="886" spans="1:8" hidden="1" x14ac:dyDescent="0.3">
      <c r="A886" s="28">
        <v>16739</v>
      </c>
      <c r="B886" s="35">
        <v>45428.800694444442</v>
      </c>
      <c r="C886" s="18">
        <v>45428</v>
      </c>
      <c r="D886" t="s">
        <v>101</v>
      </c>
      <c r="E886" s="32">
        <v>0</v>
      </c>
      <c r="F886" s="32">
        <v>684420</v>
      </c>
      <c r="G886" s="32">
        <v>136872582</v>
      </c>
      <c r="H886" t="s">
        <v>239</v>
      </c>
    </row>
    <row r="887" spans="1:8" hidden="1" x14ac:dyDescent="0.3">
      <c r="A887" s="28">
        <v>16737</v>
      </c>
      <c r="B887" s="35">
        <v>45428.765972222223</v>
      </c>
      <c r="C887" s="18">
        <v>45428</v>
      </c>
      <c r="D887" t="s">
        <v>101</v>
      </c>
      <c r="E887" s="32">
        <v>0</v>
      </c>
      <c r="F887" s="32">
        <v>15613284</v>
      </c>
      <c r="G887" s="32">
        <v>137557002</v>
      </c>
      <c r="H887" t="s">
        <v>303</v>
      </c>
    </row>
    <row r="888" spans="1:8" hidden="1" x14ac:dyDescent="0.3">
      <c r="A888" s="28">
        <v>16736</v>
      </c>
      <c r="B888" s="35">
        <v>45428.692361111112</v>
      </c>
      <c r="C888" s="18">
        <v>45428</v>
      </c>
      <c r="D888" t="s">
        <v>100</v>
      </c>
      <c r="E888" s="32">
        <v>90200</v>
      </c>
      <c r="F888" s="32">
        <v>0</v>
      </c>
      <c r="G888" s="32">
        <v>153170286</v>
      </c>
      <c r="H888" t="s">
        <v>365</v>
      </c>
    </row>
    <row r="889" spans="1:8" hidden="1" x14ac:dyDescent="0.3">
      <c r="A889" s="28">
        <v>16735</v>
      </c>
      <c r="B889" s="35">
        <v>45428.679861111108</v>
      </c>
      <c r="C889" s="18">
        <v>45428</v>
      </c>
      <c r="D889" t="s">
        <v>100</v>
      </c>
      <c r="E889" s="32">
        <v>2844600</v>
      </c>
      <c r="F889" s="32">
        <v>0</v>
      </c>
      <c r="G889" s="32">
        <v>153080086</v>
      </c>
      <c r="H889" t="s">
        <v>382</v>
      </c>
    </row>
    <row r="890" spans="1:8" hidden="1" x14ac:dyDescent="0.3">
      <c r="A890" s="28">
        <v>16734</v>
      </c>
      <c r="B890" s="35">
        <v>45428.671527777777</v>
      </c>
      <c r="C890" s="18">
        <v>45428</v>
      </c>
      <c r="D890" t="s">
        <v>100</v>
      </c>
      <c r="E890" s="32">
        <v>1589809</v>
      </c>
      <c r="F890" s="32">
        <v>0</v>
      </c>
      <c r="G890" s="32">
        <v>150235486</v>
      </c>
      <c r="H890" t="s">
        <v>492</v>
      </c>
    </row>
    <row r="891" spans="1:8" hidden="1" x14ac:dyDescent="0.3">
      <c r="A891" s="28">
        <v>16733</v>
      </c>
      <c r="B891" s="35">
        <v>45428.612500000003</v>
      </c>
      <c r="C891" s="18">
        <v>45428</v>
      </c>
      <c r="D891" t="s">
        <v>101</v>
      </c>
      <c r="E891" s="32">
        <v>0</v>
      </c>
      <c r="F891" s="32">
        <v>99000</v>
      </c>
      <c r="G891" s="32">
        <v>148645677</v>
      </c>
      <c r="H891" t="s">
        <v>1873</v>
      </c>
    </row>
    <row r="892" spans="1:8" hidden="1" x14ac:dyDescent="0.3">
      <c r="A892" s="28">
        <v>16732</v>
      </c>
      <c r="B892" s="35">
        <v>45428.602083333331</v>
      </c>
      <c r="C892" s="18">
        <v>45428</v>
      </c>
      <c r="D892" t="s">
        <v>100</v>
      </c>
      <c r="E892" s="32">
        <v>173800</v>
      </c>
      <c r="F892" s="32">
        <v>0</v>
      </c>
      <c r="G892" s="32">
        <v>148744677</v>
      </c>
      <c r="H892" t="s">
        <v>1874</v>
      </c>
    </row>
    <row r="893" spans="1:8" hidden="1" x14ac:dyDescent="0.3">
      <c r="A893" s="28">
        <v>16731</v>
      </c>
      <c r="B893" s="35">
        <v>45428.602083333331</v>
      </c>
      <c r="C893" s="18">
        <v>45428</v>
      </c>
      <c r="D893" t="s">
        <v>100</v>
      </c>
      <c r="E893" s="32">
        <v>776600</v>
      </c>
      <c r="F893" s="32">
        <v>0</v>
      </c>
      <c r="G893" s="32">
        <v>148570877</v>
      </c>
      <c r="H893" t="s">
        <v>1874</v>
      </c>
    </row>
    <row r="894" spans="1:8" hidden="1" x14ac:dyDescent="0.3">
      <c r="A894" s="28">
        <v>16730</v>
      </c>
      <c r="B894" s="35">
        <v>45428.573611111111</v>
      </c>
      <c r="C894" s="18">
        <v>45428</v>
      </c>
      <c r="D894" t="s">
        <v>100</v>
      </c>
      <c r="E894" s="32">
        <v>78900</v>
      </c>
      <c r="F894" s="32">
        <v>0</v>
      </c>
      <c r="G894" s="32">
        <v>147794277</v>
      </c>
      <c r="H894" t="s">
        <v>1875</v>
      </c>
    </row>
    <row r="895" spans="1:8" hidden="1" x14ac:dyDescent="0.3">
      <c r="A895" s="28">
        <v>16729</v>
      </c>
      <c r="B895" s="35">
        <v>45428.573611111111</v>
      </c>
      <c r="C895" s="18">
        <v>45428</v>
      </c>
      <c r="D895" t="s">
        <v>100</v>
      </c>
      <c r="E895" s="32">
        <v>789000</v>
      </c>
      <c r="F895" s="32">
        <v>0</v>
      </c>
      <c r="G895" s="32">
        <v>147715377</v>
      </c>
      <c r="H895" t="s">
        <v>1875</v>
      </c>
    </row>
    <row r="896" spans="1:8" hidden="1" x14ac:dyDescent="0.3">
      <c r="A896" s="28">
        <v>16728</v>
      </c>
      <c r="B896" s="35">
        <v>45428.567361111112</v>
      </c>
      <c r="C896" s="18">
        <v>45428</v>
      </c>
      <c r="D896" t="s">
        <v>100</v>
      </c>
      <c r="E896" s="32">
        <v>522500</v>
      </c>
      <c r="F896" s="32">
        <v>0</v>
      </c>
      <c r="G896" s="32">
        <v>146926377</v>
      </c>
      <c r="H896" t="s">
        <v>1876</v>
      </c>
    </row>
    <row r="897" spans="1:8" hidden="1" x14ac:dyDescent="0.3">
      <c r="A897" s="28">
        <v>16727</v>
      </c>
      <c r="B897" s="35">
        <v>45428.567361111112</v>
      </c>
      <c r="C897" s="18">
        <v>45428</v>
      </c>
      <c r="D897" t="s">
        <v>100</v>
      </c>
      <c r="E897" s="32">
        <v>694100</v>
      </c>
      <c r="F897" s="32">
        <v>0</v>
      </c>
      <c r="G897" s="32">
        <v>146403877</v>
      </c>
      <c r="H897" t="s">
        <v>252</v>
      </c>
    </row>
    <row r="898" spans="1:8" hidden="1" x14ac:dyDescent="0.3">
      <c r="A898" s="28">
        <v>16725</v>
      </c>
      <c r="B898" s="35">
        <v>45428.486805555556</v>
      </c>
      <c r="C898" s="18">
        <v>45428</v>
      </c>
      <c r="D898" t="s">
        <v>100</v>
      </c>
      <c r="E898" s="32">
        <v>547800</v>
      </c>
      <c r="F898" s="32">
        <v>0</v>
      </c>
      <c r="G898" s="32">
        <v>145709777</v>
      </c>
      <c r="H898" t="s">
        <v>230</v>
      </c>
    </row>
    <row r="899" spans="1:8" hidden="1" x14ac:dyDescent="0.3">
      <c r="A899" s="28">
        <v>16721</v>
      </c>
      <c r="B899" s="35">
        <v>45428.239583333336</v>
      </c>
      <c r="C899" s="18">
        <v>45428</v>
      </c>
      <c r="D899" t="s">
        <v>100</v>
      </c>
      <c r="E899" s="32">
        <v>451000</v>
      </c>
      <c r="F899" s="32">
        <v>0</v>
      </c>
      <c r="G899" s="32">
        <v>145161977</v>
      </c>
      <c r="H899" t="s">
        <v>1877</v>
      </c>
    </row>
    <row r="900" spans="1:8" hidden="1" x14ac:dyDescent="0.3">
      <c r="A900" s="28">
        <v>16720</v>
      </c>
      <c r="B900" s="35">
        <v>45426.805555555555</v>
      </c>
      <c r="C900" s="18">
        <v>45426</v>
      </c>
      <c r="D900" t="s">
        <v>101</v>
      </c>
      <c r="E900" s="32">
        <v>0</v>
      </c>
      <c r="F900" s="32">
        <v>323707</v>
      </c>
      <c r="G900" s="32">
        <v>144710977</v>
      </c>
      <c r="H900" t="s">
        <v>302</v>
      </c>
    </row>
    <row r="901" spans="1:8" hidden="1" x14ac:dyDescent="0.3">
      <c r="A901" s="28">
        <v>16719</v>
      </c>
      <c r="B901" s="35">
        <v>45426.73333333333</v>
      </c>
      <c r="C901" s="18">
        <v>45426</v>
      </c>
      <c r="D901" t="s">
        <v>100</v>
      </c>
      <c r="E901" s="32">
        <v>1901900</v>
      </c>
      <c r="F901" s="32">
        <v>0</v>
      </c>
      <c r="G901" s="32">
        <v>145034684</v>
      </c>
      <c r="H901" t="s">
        <v>487</v>
      </c>
    </row>
    <row r="902" spans="1:8" hidden="1" x14ac:dyDescent="0.3">
      <c r="A902" s="28">
        <v>16718</v>
      </c>
      <c r="B902" s="35">
        <v>45426.711805555555</v>
      </c>
      <c r="C902" s="18">
        <v>45426</v>
      </c>
      <c r="D902" t="s">
        <v>100</v>
      </c>
      <c r="E902" s="32">
        <v>1350800</v>
      </c>
      <c r="F902" s="32">
        <v>0</v>
      </c>
      <c r="G902" s="32">
        <v>143132784</v>
      </c>
      <c r="H902" t="s">
        <v>623</v>
      </c>
    </row>
    <row r="903" spans="1:8" hidden="1" x14ac:dyDescent="0.3">
      <c r="A903" s="28">
        <v>16716</v>
      </c>
      <c r="B903" s="35">
        <v>45426.63958333333</v>
      </c>
      <c r="C903" s="18">
        <v>45426</v>
      </c>
      <c r="D903" t="s">
        <v>100</v>
      </c>
      <c r="E903" s="32">
        <v>1688819</v>
      </c>
      <c r="F903" s="32">
        <v>0</v>
      </c>
      <c r="G903" s="32">
        <v>141781984</v>
      </c>
      <c r="H903" t="s">
        <v>370</v>
      </c>
    </row>
    <row r="904" spans="1:8" hidden="1" x14ac:dyDescent="0.3">
      <c r="A904" s="28">
        <v>16715</v>
      </c>
      <c r="B904" s="35">
        <v>45426.623611111114</v>
      </c>
      <c r="C904" s="18">
        <v>45426</v>
      </c>
      <c r="D904" t="s">
        <v>100</v>
      </c>
      <c r="E904" s="32">
        <v>875600</v>
      </c>
      <c r="F904" s="32">
        <v>0</v>
      </c>
      <c r="G904" s="32">
        <v>140093165</v>
      </c>
      <c r="H904" t="s">
        <v>602</v>
      </c>
    </row>
    <row r="905" spans="1:8" hidden="1" x14ac:dyDescent="0.3">
      <c r="A905" s="28">
        <v>16714</v>
      </c>
      <c r="B905" s="35">
        <v>45426.581250000003</v>
      </c>
      <c r="C905" s="18">
        <v>45426</v>
      </c>
      <c r="D905" t="s">
        <v>100</v>
      </c>
      <c r="E905" s="32">
        <v>18397214</v>
      </c>
      <c r="F905" s="32">
        <v>0</v>
      </c>
      <c r="G905" s="32">
        <v>139217565</v>
      </c>
      <c r="H905" t="s">
        <v>1878</v>
      </c>
    </row>
    <row r="906" spans="1:8" hidden="1" x14ac:dyDescent="0.3">
      <c r="A906" s="28">
        <v>16712</v>
      </c>
      <c r="B906" s="35">
        <v>45426.454861111109</v>
      </c>
      <c r="C906" s="18">
        <v>45426</v>
      </c>
      <c r="D906" t="s">
        <v>100</v>
      </c>
      <c r="E906" s="32">
        <v>71500</v>
      </c>
      <c r="F906" s="32">
        <v>0</v>
      </c>
      <c r="G906" s="32">
        <v>120820351</v>
      </c>
      <c r="H906" t="s">
        <v>408</v>
      </c>
    </row>
    <row r="907" spans="1:8" hidden="1" x14ac:dyDescent="0.3">
      <c r="A907" s="28">
        <v>16710</v>
      </c>
      <c r="B907" s="35">
        <v>45426.450694444444</v>
      </c>
      <c r="C907" s="18">
        <v>45426</v>
      </c>
      <c r="D907" t="s">
        <v>100</v>
      </c>
      <c r="E907" s="32">
        <v>10143100</v>
      </c>
      <c r="F907" s="32">
        <v>0</v>
      </c>
      <c r="G907" s="32">
        <v>120748851</v>
      </c>
      <c r="H907" t="s">
        <v>306</v>
      </c>
    </row>
    <row r="908" spans="1:8" hidden="1" x14ac:dyDescent="0.3">
      <c r="A908" s="28">
        <v>16709</v>
      </c>
      <c r="B908" s="35">
        <v>45426.425000000003</v>
      </c>
      <c r="C908" s="18">
        <v>45426</v>
      </c>
      <c r="D908" t="s">
        <v>101</v>
      </c>
      <c r="E908" s="32">
        <v>0</v>
      </c>
      <c r="F908" s="32">
        <v>56430</v>
      </c>
      <c r="G908" s="32">
        <v>110605751</v>
      </c>
      <c r="H908" t="s">
        <v>293</v>
      </c>
    </row>
    <row r="909" spans="1:8" hidden="1" x14ac:dyDescent="0.3">
      <c r="A909" s="28">
        <v>16708</v>
      </c>
      <c r="B909" s="35">
        <v>45426.388194444444</v>
      </c>
      <c r="C909" s="18">
        <v>45426</v>
      </c>
      <c r="D909" t="s">
        <v>100</v>
      </c>
      <c r="E909" s="32">
        <v>2990900</v>
      </c>
      <c r="F909" s="32">
        <v>0</v>
      </c>
      <c r="G909" s="32">
        <v>110662181</v>
      </c>
      <c r="H909" t="s">
        <v>327</v>
      </c>
    </row>
    <row r="910" spans="1:8" hidden="1" x14ac:dyDescent="0.3">
      <c r="A910" s="28">
        <v>16707</v>
      </c>
      <c r="B910" s="35">
        <v>45426.378472222219</v>
      </c>
      <c r="C910" s="18">
        <v>45426</v>
      </c>
      <c r="D910" t="s">
        <v>100</v>
      </c>
      <c r="E910" s="32">
        <v>1339800</v>
      </c>
      <c r="F910" s="32">
        <v>0</v>
      </c>
      <c r="G910" s="32">
        <v>107671281</v>
      </c>
      <c r="H910" t="s">
        <v>311</v>
      </c>
    </row>
    <row r="911" spans="1:8" hidden="1" x14ac:dyDescent="0.3">
      <c r="A911" s="28">
        <v>16705</v>
      </c>
      <c r="B911" s="35">
        <v>45426.376388888886</v>
      </c>
      <c r="C911" s="18">
        <v>45426</v>
      </c>
      <c r="D911" t="s">
        <v>100</v>
      </c>
      <c r="E911" s="32">
        <v>1422300</v>
      </c>
      <c r="F911" s="32">
        <v>0</v>
      </c>
      <c r="G911" s="32">
        <v>106331481</v>
      </c>
      <c r="H911" t="s">
        <v>307</v>
      </c>
    </row>
    <row r="912" spans="1:8" hidden="1" x14ac:dyDescent="0.3">
      <c r="A912" s="28">
        <v>16704</v>
      </c>
      <c r="B912" s="35">
        <v>45426.376388888886</v>
      </c>
      <c r="C912" s="18">
        <v>45426</v>
      </c>
      <c r="D912" t="s">
        <v>100</v>
      </c>
      <c r="E912" s="32">
        <v>657800</v>
      </c>
      <c r="F912" s="32">
        <v>0</v>
      </c>
      <c r="G912" s="32">
        <v>104909181</v>
      </c>
      <c r="H912" t="s">
        <v>307</v>
      </c>
    </row>
    <row r="913" spans="1:8" hidden="1" x14ac:dyDescent="0.3">
      <c r="A913" s="28">
        <v>16703</v>
      </c>
      <c r="B913" s="35">
        <v>45425.822222222225</v>
      </c>
      <c r="C913" s="18">
        <v>45425</v>
      </c>
      <c r="D913" t="s">
        <v>101</v>
      </c>
      <c r="E913" s="32">
        <v>0</v>
      </c>
      <c r="F913" s="32">
        <v>57500</v>
      </c>
      <c r="G913" s="32">
        <v>104251381</v>
      </c>
      <c r="H913" t="s">
        <v>222</v>
      </c>
    </row>
    <row r="914" spans="1:8" hidden="1" x14ac:dyDescent="0.3">
      <c r="A914" s="28">
        <v>16701</v>
      </c>
      <c r="B914" s="35">
        <v>45425.576388888891</v>
      </c>
      <c r="C914" s="18">
        <v>45425</v>
      </c>
      <c r="D914" t="s">
        <v>100</v>
      </c>
      <c r="E914" s="32">
        <v>5150200</v>
      </c>
      <c r="F914" s="32">
        <v>0</v>
      </c>
      <c r="G914" s="32">
        <v>104308881</v>
      </c>
      <c r="H914" t="s">
        <v>1879</v>
      </c>
    </row>
    <row r="915" spans="1:8" hidden="1" x14ac:dyDescent="0.3">
      <c r="A915" s="28">
        <v>16700</v>
      </c>
      <c r="B915" s="35">
        <v>45425.557638888888</v>
      </c>
      <c r="C915" s="18">
        <v>45425</v>
      </c>
      <c r="D915" t="s">
        <v>100</v>
      </c>
      <c r="E915" s="32">
        <v>2124100</v>
      </c>
      <c r="F915" s="32">
        <v>0</v>
      </c>
      <c r="G915" s="32">
        <v>99158681</v>
      </c>
      <c r="H915" t="s">
        <v>311</v>
      </c>
    </row>
    <row r="916" spans="1:8" hidden="1" x14ac:dyDescent="0.3">
      <c r="A916" s="28">
        <v>16699</v>
      </c>
      <c r="B916" s="35">
        <v>45425.54791666667</v>
      </c>
      <c r="C916" s="18">
        <v>45425</v>
      </c>
      <c r="D916" t="s">
        <v>100</v>
      </c>
      <c r="E916" s="32">
        <v>193600</v>
      </c>
      <c r="F916" s="32">
        <v>0</v>
      </c>
      <c r="G916" s="32">
        <v>97034581</v>
      </c>
      <c r="H916" t="s">
        <v>502</v>
      </c>
    </row>
    <row r="917" spans="1:8" hidden="1" x14ac:dyDescent="0.3">
      <c r="A917" s="28">
        <v>16698</v>
      </c>
      <c r="B917" s="35">
        <v>45425.490972222222</v>
      </c>
      <c r="C917" s="18">
        <v>45425</v>
      </c>
      <c r="D917" t="s">
        <v>101</v>
      </c>
      <c r="E917" s="32">
        <v>0</v>
      </c>
      <c r="F917" s="32">
        <v>818953</v>
      </c>
      <c r="G917" s="32">
        <v>96840981</v>
      </c>
      <c r="H917" t="s">
        <v>221</v>
      </c>
    </row>
    <row r="918" spans="1:8" hidden="1" x14ac:dyDescent="0.3">
      <c r="A918" s="28">
        <v>16696</v>
      </c>
      <c r="B918" s="35">
        <v>45425.450694444444</v>
      </c>
      <c r="C918" s="18">
        <v>45425</v>
      </c>
      <c r="D918" t="s">
        <v>100</v>
      </c>
      <c r="E918" s="32">
        <v>82500</v>
      </c>
      <c r="F918" s="32">
        <v>0</v>
      </c>
      <c r="G918" s="32">
        <v>97659934</v>
      </c>
      <c r="H918" t="s">
        <v>233</v>
      </c>
    </row>
    <row r="919" spans="1:8" hidden="1" x14ac:dyDescent="0.3">
      <c r="A919" s="28">
        <v>16695</v>
      </c>
      <c r="B919" s="35">
        <v>45425.428472222222</v>
      </c>
      <c r="C919" s="18">
        <v>45425</v>
      </c>
      <c r="D919" t="s">
        <v>101</v>
      </c>
      <c r="E919" s="32">
        <v>0</v>
      </c>
      <c r="F919" s="32">
        <v>490163</v>
      </c>
      <c r="G919" s="32">
        <v>97577434</v>
      </c>
      <c r="H919" t="s">
        <v>226</v>
      </c>
    </row>
    <row r="920" spans="1:8" hidden="1" x14ac:dyDescent="0.3">
      <c r="A920" s="28">
        <v>16694</v>
      </c>
      <c r="B920" s="35">
        <v>45422.779861111114</v>
      </c>
      <c r="C920" s="18">
        <v>45422</v>
      </c>
      <c r="D920" t="s">
        <v>100</v>
      </c>
      <c r="E920" s="32">
        <v>5203000</v>
      </c>
      <c r="F920" s="32">
        <v>0</v>
      </c>
      <c r="G920" s="32">
        <v>98067597</v>
      </c>
      <c r="H920" t="s">
        <v>297</v>
      </c>
    </row>
    <row r="921" spans="1:8" hidden="1" x14ac:dyDescent="0.3">
      <c r="A921" s="28">
        <v>16693</v>
      </c>
      <c r="B921" s="35">
        <v>45422.768750000003</v>
      </c>
      <c r="C921" s="18">
        <v>45422</v>
      </c>
      <c r="D921" t="s">
        <v>100</v>
      </c>
      <c r="E921" s="32">
        <v>1898600</v>
      </c>
      <c r="F921" s="32">
        <v>0</v>
      </c>
      <c r="G921" s="32">
        <v>92864597</v>
      </c>
      <c r="H921" t="s">
        <v>235</v>
      </c>
    </row>
    <row r="922" spans="1:8" hidden="1" x14ac:dyDescent="0.3">
      <c r="A922" s="28">
        <v>16688</v>
      </c>
      <c r="B922" s="35">
        <v>45422.616666666669</v>
      </c>
      <c r="C922" s="18">
        <v>45422</v>
      </c>
      <c r="D922" t="s">
        <v>100</v>
      </c>
      <c r="E922" s="32">
        <v>223300</v>
      </c>
      <c r="F922" s="32">
        <v>0</v>
      </c>
      <c r="G922" s="32">
        <v>90965997</v>
      </c>
      <c r="H922" t="s">
        <v>315</v>
      </c>
    </row>
    <row r="923" spans="1:8" hidden="1" x14ac:dyDescent="0.3">
      <c r="A923" s="28">
        <v>16687</v>
      </c>
      <c r="B923" s="35">
        <v>45422.572916666664</v>
      </c>
      <c r="C923" s="18">
        <v>45422</v>
      </c>
      <c r="D923" t="s">
        <v>100</v>
      </c>
      <c r="E923" s="32">
        <v>1630125</v>
      </c>
      <c r="F923" s="32">
        <v>0</v>
      </c>
      <c r="G923" s="32">
        <v>90742697</v>
      </c>
      <c r="H923" t="s">
        <v>492</v>
      </c>
    </row>
    <row r="924" spans="1:8" hidden="1" x14ac:dyDescent="0.3">
      <c r="A924" s="28">
        <v>16686</v>
      </c>
      <c r="B924" s="35">
        <v>45422.572916666664</v>
      </c>
      <c r="C924" s="18">
        <v>45422</v>
      </c>
      <c r="D924" t="s">
        <v>100</v>
      </c>
      <c r="E924" s="32">
        <v>214500</v>
      </c>
      <c r="F924" s="32">
        <v>0</v>
      </c>
      <c r="G924" s="32">
        <v>89112572</v>
      </c>
      <c r="H924" t="s">
        <v>492</v>
      </c>
    </row>
    <row r="925" spans="1:8" hidden="1" x14ac:dyDescent="0.3">
      <c r="A925" s="28">
        <v>16685</v>
      </c>
      <c r="B925" s="35">
        <v>45422.571527777778</v>
      </c>
      <c r="C925" s="18">
        <v>45422</v>
      </c>
      <c r="D925" t="s">
        <v>101</v>
      </c>
      <c r="E925" s="32">
        <v>0</v>
      </c>
      <c r="F925" s="32">
        <v>70000</v>
      </c>
      <c r="G925" s="32">
        <v>88898072</v>
      </c>
      <c r="H925" t="s">
        <v>1880</v>
      </c>
    </row>
    <row r="926" spans="1:8" hidden="1" x14ac:dyDescent="0.3">
      <c r="A926" s="28">
        <v>16683</v>
      </c>
      <c r="B926" s="35">
        <v>45422.484027777777</v>
      </c>
      <c r="C926" s="18">
        <v>45422</v>
      </c>
      <c r="D926" t="s">
        <v>101</v>
      </c>
      <c r="E926" s="32">
        <v>0</v>
      </c>
      <c r="F926" s="32">
        <v>4125000</v>
      </c>
      <c r="G926" s="32">
        <v>88968072</v>
      </c>
      <c r="H926" t="s">
        <v>555</v>
      </c>
    </row>
    <row r="927" spans="1:8" hidden="1" x14ac:dyDescent="0.3">
      <c r="A927" s="28">
        <v>16682</v>
      </c>
      <c r="B927" s="35">
        <v>45422.481944444444</v>
      </c>
      <c r="C927" s="18">
        <v>45422</v>
      </c>
      <c r="D927" t="s">
        <v>100</v>
      </c>
      <c r="E927" s="32">
        <v>574200</v>
      </c>
      <c r="F927" s="32">
        <v>0</v>
      </c>
      <c r="G927" s="32">
        <v>93093072</v>
      </c>
      <c r="H927" t="s">
        <v>233</v>
      </c>
    </row>
    <row r="928" spans="1:8" hidden="1" x14ac:dyDescent="0.3">
      <c r="A928" s="28">
        <v>16679</v>
      </c>
      <c r="B928" s="35">
        <v>45421.647222222222</v>
      </c>
      <c r="C928" s="18">
        <v>45421</v>
      </c>
      <c r="D928" t="s">
        <v>100</v>
      </c>
      <c r="E928" s="32">
        <v>800800</v>
      </c>
      <c r="F928" s="32">
        <v>0</v>
      </c>
      <c r="G928" s="32">
        <v>92518872</v>
      </c>
      <c r="H928" t="s">
        <v>1881</v>
      </c>
    </row>
    <row r="929" spans="1:8" hidden="1" x14ac:dyDescent="0.3">
      <c r="A929" s="28">
        <v>16678</v>
      </c>
      <c r="B929" s="35">
        <v>45421.620138888888</v>
      </c>
      <c r="C929" s="18">
        <v>45421</v>
      </c>
      <c r="D929" t="s">
        <v>101</v>
      </c>
      <c r="E929" s="32">
        <v>0</v>
      </c>
      <c r="F929" s="32">
        <v>93500</v>
      </c>
      <c r="G929" s="32">
        <v>91718072</v>
      </c>
      <c r="H929" t="s">
        <v>1882</v>
      </c>
    </row>
    <row r="930" spans="1:8" hidden="1" x14ac:dyDescent="0.3">
      <c r="A930" s="28">
        <v>16677</v>
      </c>
      <c r="B930" s="35">
        <v>45421.550694444442</v>
      </c>
      <c r="C930" s="18">
        <v>45421</v>
      </c>
      <c r="D930" t="s">
        <v>100</v>
      </c>
      <c r="E930" s="32">
        <v>135000</v>
      </c>
      <c r="F930" s="32">
        <v>0</v>
      </c>
      <c r="G930" s="32">
        <v>91811572</v>
      </c>
      <c r="H930" t="s">
        <v>1862</v>
      </c>
    </row>
    <row r="931" spans="1:8" hidden="1" x14ac:dyDescent="0.3">
      <c r="A931" s="28">
        <v>16676</v>
      </c>
      <c r="B931" s="35">
        <v>45421.55</v>
      </c>
      <c r="C931" s="18">
        <v>45421</v>
      </c>
      <c r="D931" t="s">
        <v>100</v>
      </c>
      <c r="E931" s="32">
        <v>13500</v>
      </c>
      <c r="F931" s="32">
        <v>0</v>
      </c>
      <c r="G931" s="32">
        <v>91676572</v>
      </c>
      <c r="H931" t="s">
        <v>507</v>
      </c>
    </row>
    <row r="932" spans="1:8" hidden="1" x14ac:dyDescent="0.3">
      <c r="A932" s="28">
        <v>16673</v>
      </c>
      <c r="B932" s="35">
        <v>45421.344444444447</v>
      </c>
      <c r="C932" s="18">
        <v>45421</v>
      </c>
      <c r="D932" t="s">
        <v>101</v>
      </c>
      <c r="E932" s="32">
        <v>0</v>
      </c>
      <c r="F932" s="32">
        <v>161112</v>
      </c>
      <c r="G932" s="32">
        <v>91663072</v>
      </c>
      <c r="H932" t="s">
        <v>221</v>
      </c>
    </row>
    <row r="933" spans="1:8" hidden="1" x14ac:dyDescent="0.3">
      <c r="A933" s="28">
        <v>16672</v>
      </c>
      <c r="B933" s="35">
        <v>45420.584722222222</v>
      </c>
      <c r="C933" s="18">
        <v>45420</v>
      </c>
      <c r="D933" t="s">
        <v>100</v>
      </c>
      <c r="E933" s="32">
        <v>557700</v>
      </c>
      <c r="F933" s="32">
        <v>0</v>
      </c>
      <c r="G933" s="32">
        <v>91824184</v>
      </c>
      <c r="H933" t="s">
        <v>311</v>
      </c>
    </row>
    <row r="934" spans="1:8" hidden="1" x14ac:dyDescent="0.3">
      <c r="A934" s="28">
        <v>16671</v>
      </c>
      <c r="B934" s="35">
        <v>45420.581944444442</v>
      </c>
      <c r="C934" s="18">
        <v>45420</v>
      </c>
      <c r="D934" t="s">
        <v>100</v>
      </c>
      <c r="E934" s="32">
        <v>886600</v>
      </c>
      <c r="F934" s="32">
        <v>0</v>
      </c>
      <c r="G934" s="32">
        <v>91266484</v>
      </c>
      <c r="H934" t="s">
        <v>318</v>
      </c>
    </row>
    <row r="935" spans="1:8" hidden="1" x14ac:dyDescent="0.3">
      <c r="A935" s="28">
        <v>16670</v>
      </c>
      <c r="B935" s="35">
        <v>45420.564583333333</v>
      </c>
      <c r="C935" s="18">
        <v>45420</v>
      </c>
      <c r="D935" t="s">
        <v>101</v>
      </c>
      <c r="E935" s="32">
        <v>0</v>
      </c>
      <c r="F935" s="32">
        <v>204930</v>
      </c>
      <c r="G935" s="32">
        <v>90379884</v>
      </c>
      <c r="H935" t="s">
        <v>293</v>
      </c>
    </row>
    <row r="936" spans="1:8" hidden="1" x14ac:dyDescent="0.3">
      <c r="A936" s="28">
        <v>16668</v>
      </c>
      <c r="B936" s="35">
        <v>45420.450694444444</v>
      </c>
      <c r="C936" s="18">
        <v>45420</v>
      </c>
      <c r="D936" t="s">
        <v>100</v>
      </c>
      <c r="E936" s="32">
        <v>488400</v>
      </c>
      <c r="F936" s="32">
        <v>0</v>
      </c>
      <c r="G936" s="32">
        <v>90584814</v>
      </c>
      <c r="H936" t="s">
        <v>334</v>
      </c>
    </row>
    <row r="937" spans="1:8" hidden="1" x14ac:dyDescent="0.3">
      <c r="A937" s="28">
        <v>16667</v>
      </c>
      <c r="B937" s="35">
        <v>45420.432638888888</v>
      </c>
      <c r="C937" s="18">
        <v>45420</v>
      </c>
      <c r="D937" t="s">
        <v>100</v>
      </c>
      <c r="E937" s="32">
        <v>481800</v>
      </c>
      <c r="F937" s="32">
        <v>0</v>
      </c>
      <c r="G937" s="32">
        <v>90096414</v>
      </c>
      <c r="H937" t="s">
        <v>292</v>
      </c>
    </row>
    <row r="938" spans="1:8" hidden="1" x14ac:dyDescent="0.3">
      <c r="A938" s="28">
        <v>16666</v>
      </c>
      <c r="B938" s="35">
        <v>45419.84375</v>
      </c>
      <c r="C938" s="18">
        <v>45419</v>
      </c>
      <c r="D938" t="s">
        <v>101</v>
      </c>
      <c r="E938" s="32">
        <v>0</v>
      </c>
      <c r="F938" s="32">
        <v>644490</v>
      </c>
      <c r="G938" s="32">
        <v>89614614</v>
      </c>
      <c r="H938" t="s">
        <v>1883</v>
      </c>
    </row>
    <row r="939" spans="1:8" hidden="1" x14ac:dyDescent="0.3">
      <c r="A939" s="28">
        <v>16665</v>
      </c>
      <c r="B939" s="35">
        <v>45419.820138888892</v>
      </c>
      <c r="C939" s="18">
        <v>45419</v>
      </c>
      <c r="D939" t="s">
        <v>101</v>
      </c>
      <c r="E939" s="32">
        <v>0</v>
      </c>
      <c r="F939" s="32">
        <v>711920</v>
      </c>
      <c r="G939" s="32">
        <v>90259104</v>
      </c>
      <c r="H939" t="s">
        <v>239</v>
      </c>
    </row>
    <row r="940" spans="1:8" hidden="1" x14ac:dyDescent="0.3">
      <c r="A940" s="28">
        <v>16662</v>
      </c>
      <c r="B940" s="35">
        <v>45419.612500000003</v>
      </c>
      <c r="C940" s="18">
        <v>45419</v>
      </c>
      <c r="D940" t="s">
        <v>101</v>
      </c>
      <c r="E940" s="32">
        <v>0</v>
      </c>
      <c r="F940" s="32">
        <v>110000</v>
      </c>
      <c r="G940" s="32">
        <v>90971024</v>
      </c>
      <c r="H940" t="s">
        <v>1884</v>
      </c>
    </row>
    <row r="941" spans="1:8" hidden="1" x14ac:dyDescent="0.3">
      <c r="A941" s="28">
        <v>16661</v>
      </c>
      <c r="B941" s="35">
        <v>45419.565972222219</v>
      </c>
      <c r="C941" s="18">
        <v>45419</v>
      </c>
      <c r="D941" t="s">
        <v>100</v>
      </c>
      <c r="E941" s="32">
        <v>775500</v>
      </c>
      <c r="F941" s="32">
        <v>0</v>
      </c>
      <c r="G941" s="32">
        <v>91081024</v>
      </c>
      <c r="H941" t="s">
        <v>309</v>
      </c>
    </row>
    <row r="942" spans="1:8" hidden="1" x14ac:dyDescent="0.3">
      <c r="A942" s="28">
        <v>16658</v>
      </c>
      <c r="B942" s="35">
        <v>45419.45208333333</v>
      </c>
      <c r="C942" s="18">
        <v>45419</v>
      </c>
      <c r="D942" t="s">
        <v>100</v>
      </c>
      <c r="E942" s="32">
        <v>1609300</v>
      </c>
      <c r="F942" s="32">
        <v>0</v>
      </c>
      <c r="G942" s="32">
        <v>90305524</v>
      </c>
      <c r="H942" t="s">
        <v>311</v>
      </c>
    </row>
    <row r="943" spans="1:8" hidden="1" x14ac:dyDescent="0.3">
      <c r="A943" s="28">
        <v>16657</v>
      </c>
      <c r="B943" s="35">
        <v>45419.436111111114</v>
      </c>
      <c r="C943" s="18">
        <v>45419</v>
      </c>
      <c r="D943" t="s">
        <v>100</v>
      </c>
      <c r="E943" s="32">
        <v>4922500</v>
      </c>
      <c r="F943" s="32">
        <v>0</v>
      </c>
      <c r="G943" s="32">
        <v>88696224</v>
      </c>
      <c r="H943" t="s">
        <v>414</v>
      </c>
    </row>
    <row r="944" spans="1:8" hidden="1" x14ac:dyDescent="0.3">
      <c r="A944" s="28">
        <v>16656</v>
      </c>
      <c r="B944" s="35">
        <v>45419.428472222222</v>
      </c>
      <c r="C944" s="18">
        <v>45419</v>
      </c>
      <c r="D944" t="s">
        <v>100</v>
      </c>
      <c r="E944" s="32">
        <v>370700</v>
      </c>
      <c r="F944" s="32">
        <v>0</v>
      </c>
      <c r="G944" s="32">
        <v>83773724</v>
      </c>
      <c r="H944" t="s">
        <v>1885</v>
      </c>
    </row>
    <row r="945" spans="1:8" hidden="1" x14ac:dyDescent="0.3">
      <c r="A945" s="28">
        <v>16655</v>
      </c>
      <c r="B945" s="35">
        <v>45419.402777777781</v>
      </c>
      <c r="C945" s="18">
        <v>45419</v>
      </c>
      <c r="D945" t="s">
        <v>100</v>
      </c>
      <c r="E945" s="32">
        <v>298100</v>
      </c>
      <c r="F945" s="32">
        <v>0</v>
      </c>
      <c r="G945" s="32">
        <v>83403024</v>
      </c>
      <c r="H945" t="s">
        <v>395</v>
      </c>
    </row>
    <row r="946" spans="1:8" hidden="1" x14ac:dyDescent="0.3">
      <c r="A946" s="28">
        <v>16654</v>
      </c>
      <c r="B946" s="35">
        <v>45419.402083333334</v>
      </c>
      <c r="C946" s="18">
        <v>45419</v>
      </c>
      <c r="D946" t="s">
        <v>100</v>
      </c>
      <c r="E946" s="32">
        <v>224400</v>
      </c>
      <c r="F946" s="32">
        <v>0</v>
      </c>
      <c r="G946" s="32">
        <v>83104924</v>
      </c>
      <c r="H946" t="s">
        <v>395</v>
      </c>
    </row>
    <row r="947" spans="1:8" hidden="1" x14ac:dyDescent="0.3">
      <c r="A947" s="28">
        <v>16653</v>
      </c>
      <c r="B947" s="35">
        <v>45419.402083333334</v>
      </c>
      <c r="C947" s="18">
        <v>45419</v>
      </c>
      <c r="D947" t="s">
        <v>100</v>
      </c>
      <c r="E947" s="32">
        <v>116600</v>
      </c>
      <c r="F947" s="32">
        <v>0</v>
      </c>
      <c r="G947" s="32">
        <v>82880524</v>
      </c>
      <c r="H947" t="s">
        <v>395</v>
      </c>
    </row>
    <row r="948" spans="1:8" hidden="1" x14ac:dyDescent="0.3">
      <c r="A948" s="28">
        <v>16652</v>
      </c>
      <c r="B948" s="35">
        <v>45419.401388888888</v>
      </c>
      <c r="C948" s="18">
        <v>45419</v>
      </c>
      <c r="D948" t="s">
        <v>100</v>
      </c>
      <c r="E948" s="32">
        <v>1632400</v>
      </c>
      <c r="F948" s="32">
        <v>0</v>
      </c>
      <c r="G948" s="32">
        <v>82763924</v>
      </c>
      <c r="H948" t="s">
        <v>395</v>
      </c>
    </row>
    <row r="949" spans="1:8" hidden="1" x14ac:dyDescent="0.3">
      <c r="A949" s="28">
        <v>16651</v>
      </c>
      <c r="B949" s="35">
        <v>45419.401388888888</v>
      </c>
      <c r="C949" s="18">
        <v>45419</v>
      </c>
      <c r="D949" t="s">
        <v>101</v>
      </c>
      <c r="E949" s="32">
        <v>0</v>
      </c>
      <c r="F949" s="32">
        <v>1085400</v>
      </c>
      <c r="G949" s="32">
        <v>81131524</v>
      </c>
      <c r="H949" t="s">
        <v>1886</v>
      </c>
    </row>
    <row r="950" spans="1:8" hidden="1" x14ac:dyDescent="0.3">
      <c r="A950" s="28">
        <v>16650</v>
      </c>
      <c r="B950" s="35">
        <v>45419.400694444441</v>
      </c>
      <c r="C950" s="18">
        <v>45419</v>
      </c>
      <c r="D950" t="s">
        <v>100</v>
      </c>
      <c r="E950" s="32">
        <v>113300</v>
      </c>
      <c r="F950" s="32">
        <v>0</v>
      </c>
      <c r="G950" s="32">
        <v>82216924</v>
      </c>
      <c r="H950" t="s">
        <v>395</v>
      </c>
    </row>
    <row r="951" spans="1:8" hidden="1" x14ac:dyDescent="0.3">
      <c r="A951" s="28">
        <v>16649</v>
      </c>
      <c r="B951" s="35">
        <v>45419.400694444441</v>
      </c>
      <c r="C951" s="18">
        <v>45419</v>
      </c>
      <c r="D951" t="s">
        <v>100</v>
      </c>
      <c r="E951" s="32">
        <v>788700</v>
      </c>
      <c r="F951" s="32">
        <v>0</v>
      </c>
      <c r="G951" s="32">
        <v>82103624</v>
      </c>
      <c r="H951" t="s">
        <v>395</v>
      </c>
    </row>
    <row r="952" spans="1:8" hidden="1" x14ac:dyDescent="0.3">
      <c r="A952" s="28">
        <v>16647</v>
      </c>
      <c r="B952" s="35">
        <v>45415.672222222223</v>
      </c>
      <c r="C952" s="18">
        <v>45415</v>
      </c>
      <c r="D952" t="s">
        <v>100</v>
      </c>
      <c r="E952" s="32">
        <v>1400300</v>
      </c>
      <c r="F952" s="32">
        <v>0</v>
      </c>
      <c r="G952" s="32">
        <v>81314924</v>
      </c>
      <c r="H952" t="s">
        <v>470</v>
      </c>
    </row>
    <row r="953" spans="1:8" hidden="1" x14ac:dyDescent="0.3">
      <c r="A953" s="28">
        <v>16646</v>
      </c>
      <c r="B953" s="35">
        <v>45415.572222222225</v>
      </c>
      <c r="C953" s="18">
        <v>45415</v>
      </c>
      <c r="D953" t="s">
        <v>100</v>
      </c>
      <c r="E953" s="32">
        <v>3242800</v>
      </c>
      <c r="F953" s="32">
        <v>0</v>
      </c>
      <c r="G953" s="32">
        <v>79914624</v>
      </c>
      <c r="H953" t="s">
        <v>403</v>
      </c>
    </row>
    <row r="954" spans="1:8" hidden="1" x14ac:dyDescent="0.3">
      <c r="A954" s="28">
        <v>16645</v>
      </c>
      <c r="B954" s="35">
        <v>45415.55972222222</v>
      </c>
      <c r="C954" s="18">
        <v>45415</v>
      </c>
      <c r="D954" t="s">
        <v>100</v>
      </c>
      <c r="E954" s="32">
        <v>663300</v>
      </c>
      <c r="F954" s="32">
        <v>0</v>
      </c>
      <c r="G954" s="32">
        <v>76671824</v>
      </c>
      <c r="H954" t="s">
        <v>309</v>
      </c>
    </row>
    <row r="955" spans="1:8" hidden="1" x14ac:dyDescent="0.3">
      <c r="A955" s="28">
        <v>16639</v>
      </c>
      <c r="B955" s="35">
        <v>45414.643055555556</v>
      </c>
      <c r="C955" s="18">
        <v>45414</v>
      </c>
      <c r="D955" t="s">
        <v>100</v>
      </c>
      <c r="E955" s="32">
        <v>2864400</v>
      </c>
      <c r="F955" s="32">
        <v>0</v>
      </c>
      <c r="G955" s="32">
        <v>76008524</v>
      </c>
      <c r="H955" t="s">
        <v>376</v>
      </c>
    </row>
    <row r="956" spans="1:8" hidden="1" x14ac:dyDescent="0.3">
      <c r="A956" s="28">
        <v>16638</v>
      </c>
      <c r="B956" s="35">
        <v>45414.620833333334</v>
      </c>
      <c r="C956" s="18">
        <v>45414</v>
      </c>
      <c r="D956" t="s">
        <v>100</v>
      </c>
      <c r="E956" s="32">
        <v>1692900</v>
      </c>
      <c r="F956" s="32">
        <v>0</v>
      </c>
      <c r="G956" s="32">
        <v>73144124</v>
      </c>
      <c r="H956" t="s">
        <v>1887</v>
      </c>
    </row>
    <row r="957" spans="1:8" hidden="1" x14ac:dyDescent="0.3">
      <c r="A957" s="28">
        <v>16637</v>
      </c>
      <c r="B957" s="35">
        <v>45414.611805555556</v>
      </c>
      <c r="C957" s="18">
        <v>45414</v>
      </c>
      <c r="D957" t="s">
        <v>101</v>
      </c>
      <c r="E957" s="32">
        <v>0</v>
      </c>
      <c r="F957" s="32">
        <v>356185</v>
      </c>
      <c r="G957" s="32">
        <v>71451224</v>
      </c>
      <c r="H957" t="s">
        <v>1888</v>
      </c>
    </row>
    <row r="958" spans="1:8" hidden="1" x14ac:dyDescent="0.3">
      <c r="A958" s="28">
        <v>16635</v>
      </c>
      <c r="B958" s="35">
        <v>45414.453472222223</v>
      </c>
      <c r="C958" s="18">
        <v>45414</v>
      </c>
      <c r="D958" t="s">
        <v>100</v>
      </c>
      <c r="E958" s="32">
        <v>242000</v>
      </c>
      <c r="F958" s="32">
        <v>0</v>
      </c>
      <c r="G958" s="32">
        <v>71807409</v>
      </c>
      <c r="H958" t="s">
        <v>233</v>
      </c>
    </row>
    <row r="959" spans="1:8" hidden="1" x14ac:dyDescent="0.3">
      <c r="A959" s="28">
        <v>16634</v>
      </c>
      <c r="B959" s="35">
        <v>45414.450694444444</v>
      </c>
      <c r="C959" s="18">
        <v>45414</v>
      </c>
      <c r="D959" t="s">
        <v>100</v>
      </c>
      <c r="E959" s="32">
        <v>225500</v>
      </c>
      <c r="F959" s="32">
        <v>0</v>
      </c>
      <c r="G959" s="32">
        <v>71565409</v>
      </c>
      <c r="H959" t="s">
        <v>1889</v>
      </c>
    </row>
    <row r="960" spans="1:8" hidden="1" x14ac:dyDescent="0.3">
      <c r="A960" s="28">
        <v>16632</v>
      </c>
      <c r="B960" s="35">
        <v>45412.797222222223</v>
      </c>
      <c r="C960" s="18">
        <v>45412</v>
      </c>
      <c r="D960" t="s">
        <v>101</v>
      </c>
      <c r="E960" s="32">
        <v>0</v>
      </c>
      <c r="F960" s="32">
        <v>400510</v>
      </c>
      <c r="G960" s="32">
        <v>71339909</v>
      </c>
      <c r="H960" t="s">
        <v>239</v>
      </c>
    </row>
    <row r="961" spans="1:8" hidden="1" x14ac:dyDescent="0.3">
      <c r="A961" s="28">
        <v>16631</v>
      </c>
      <c r="B961" s="35">
        <v>45412.788194444445</v>
      </c>
      <c r="C961" s="18">
        <v>45412</v>
      </c>
      <c r="D961" t="s">
        <v>100</v>
      </c>
      <c r="E961" s="32">
        <v>3584900</v>
      </c>
      <c r="F961" s="32">
        <v>0</v>
      </c>
      <c r="G961" s="32">
        <v>71740419</v>
      </c>
      <c r="H961" t="s">
        <v>1861</v>
      </c>
    </row>
    <row r="962" spans="1:8" hidden="1" x14ac:dyDescent="0.3">
      <c r="A962" s="28">
        <v>16630</v>
      </c>
      <c r="B962" s="35">
        <v>45412.746527777781</v>
      </c>
      <c r="C962" s="18">
        <v>45412</v>
      </c>
      <c r="D962" t="s">
        <v>101</v>
      </c>
      <c r="E962" s="32">
        <v>0</v>
      </c>
      <c r="F962" s="32">
        <v>2200000</v>
      </c>
      <c r="G962" s="32">
        <v>68155519</v>
      </c>
      <c r="H962" t="s">
        <v>1890</v>
      </c>
    </row>
    <row r="963" spans="1:8" hidden="1" x14ac:dyDescent="0.3">
      <c r="A963" s="28">
        <v>16629</v>
      </c>
      <c r="B963" s="35">
        <v>45412.739583333336</v>
      </c>
      <c r="C963" s="18">
        <v>45412</v>
      </c>
      <c r="D963" t="s">
        <v>101</v>
      </c>
      <c r="E963" s="32">
        <v>0</v>
      </c>
      <c r="F963" s="32">
        <v>2000000</v>
      </c>
      <c r="G963" s="32">
        <v>70355519</v>
      </c>
      <c r="H963" t="s">
        <v>1891</v>
      </c>
    </row>
    <row r="964" spans="1:8" hidden="1" x14ac:dyDescent="0.3">
      <c r="A964" s="28">
        <v>16628</v>
      </c>
      <c r="B964" s="35">
        <v>45412.696527777778</v>
      </c>
      <c r="C964" s="18">
        <v>45412</v>
      </c>
      <c r="D964" t="s">
        <v>100</v>
      </c>
      <c r="E964" s="32">
        <v>218900</v>
      </c>
      <c r="F964" s="32">
        <v>0</v>
      </c>
      <c r="G964" s="32">
        <v>72355519</v>
      </c>
      <c r="H964" t="s">
        <v>1892</v>
      </c>
    </row>
    <row r="965" spans="1:8" hidden="1" x14ac:dyDescent="0.3">
      <c r="A965" s="28">
        <v>16627</v>
      </c>
      <c r="B965" s="35">
        <v>45412.695833333331</v>
      </c>
      <c r="C965" s="18">
        <v>45412</v>
      </c>
      <c r="D965" t="s">
        <v>100</v>
      </c>
      <c r="E965" s="32">
        <v>2288000</v>
      </c>
      <c r="F965" s="32">
        <v>0</v>
      </c>
      <c r="G965" s="32">
        <v>72136619</v>
      </c>
      <c r="H965" t="s">
        <v>566</v>
      </c>
    </row>
    <row r="966" spans="1:8" hidden="1" x14ac:dyDescent="0.3">
      <c r="A966" s="28">
        <v>16626</v>
      </c>
      <c r="B966" s="35">
        <v>45412.675694444442</v>
      </c>
      <c r="C966" s="18">
        <v>45412</v>
      </c>
      <c r="D966" t="s">
        <v>100</v>
      </c>
      <c r="E966" s="32">
        <v>977900</v>
      </c>
      <c r="F966" s="32">
        <v>0</v>
      </c>
      <c r="G966" s="32">
        <v>69848619</v>
      </c>
      <c r="H966" t="s">
        <v>1893</v>
      </c>
    </row>
    <row r="967" spans="1:8" hidden="1" x14ac:dyDescent="0.3">
      <c r="A967" s="28">
        <v>16625</v>
      </c>
      <c r="B967" s="35">
        <v>45412.67291666667</v>
      </c>
      <c r="C967" s="18">
        <v>45412</v>
      </c>
      <c r="D967" t="s">
        <v>100</v>
      </c>
      <c r="E967" s="32">
        <v>992200</v>
      </c>
      <c r="F967" s="32">
        <v>0</v>
      </c>
      <c r="G967" s="32">
        <v>68870719</v>
      </c>
      <c r="H967" t="s">
        <v>517</v>
      </c>
    </row>
    <row r="968" spans="1:8" hidden="1" x14ac:dyDescent="0.3">
      <c r="A968" s="28">
        <v>16620</v>
      </c>
      <c r="B968" s="35">
        <v>45412.629861111112</v>
      </c>
      <c r="C968" s="18">
        <v>45412</v>
      </c>
      <c r="D968" t="s">
        <v>101</v>
      </c>
      <c r="E968" s="32">
        <v>0</v>
      </c>
      <c r="F968" s="32">
        <v>78155</v>
      </c>
      <c r="G968" s="32">
        <v>67878519</v>
      </c>
      <c r="H968" t="s">
        <v>221</v>
      </c>
    </row>
    <row r="969" spans="1:8" hidden="1" x14ac:dyDescent="0.3">
      <c r="A969" s="28">
        <v>16619</v>
      </c>
      <c r="B969" s="35">
        <v>45412.619444444441</v>
      </c>
      <c r="C969" s="18">
        <v>45412</v>
      </c>
      <c r="D969" t="s">
        <v>100</v>
      </c>
      <c r="E969" s="32">
        <v>899800</v>
      </c>
      <c r="F969" s="32">
        <v>0</v>
      </c>
      <c r="G969" s="32">
        <v>67956674</v>
      </c>
      <c r="H969" t="s">
        <v>248</v>
      </c>
    </row>
    <row r="970" spans="1:8" hidden="1" x14ac:dyDescent="0.3">
      <c r="A970" s="28">
        <v>16618</v>
      </c>
      <c r="B970" s="35">
        <v>45412.61041666667</v>
      </c>
      <c r="C970" s="18">
        <v>45412</v>
      </c>
      <c r="D970" t="s">
        <v>100</v>
      </c>
      <c r="E970" s="32">
        <v>1571900</v>
      </c>
      <c r="F970" s="32">
        <v>0</v>
      </c>
      <c r="G970" s="32">
        <v>67056874</v>
      </c>
      <c r="H970" t="s">
        <v>565</v>
      </c>
    </row>
    <row r="971" spans="1:8" hidden="1" x14ac:dyDescent="0.3">
      <c r="A971" s="28">
        <v>16617</v>
      </c>
      <c r="B971" s="35">
        <v>45412.588888888888</v>
      </c>
      <c r="C971" s="18">
        <v>45412</v>
      </c>
      <c r="D971" t="s">
        <v>100</v>
      </c>
      <c r="E971" s="32">
        <v>2905100</v>
      </c>
      <c r="F971" s="32">
        <v>0</v>
      </c>
      <c r="G971" s="32">
        <v>65484974</v>
      </c>
      <c r="H971" t="s">
        <v>602</v>
      </c>
    </row>
    <row r="972" spans="1:8" hidden="1" x14ac:dyDescent="0.3">
      <c r="A972" s="28">
        <v>16616</v>
      </c>
      <c r="B972" s="35">
        <v>45412.574305555558</v>
      </c>
      <c r="C972" s="18">
        <v>45412</v>
      </c>
      <c r="D972" t="s">
        <v>100</v>
      </c>
      <c r="E972" s="32">
        <v>88100</v>
      </c>
      <c r="F972" s="32">
        <v>0</v>
      </c>
      <c r="G972" s="32">
        <v>62579874</v>
      </c>
      <c r="H972" t="s">
        <v>313</v>
      </c>
    </row>
    <row r="973" spans="1:8" hidden="1" x14ac:dyDescent="0.3">
      <c r="A973" s="28">
        <v>16615</v>
      </c>
      <c r="B973" s="35">
        <v>45412.573611111111</v>
      </c>
      <c r="C973" s="18">
        <v>45412</v>
      </c>
      <c r="D973" t="s">
        <v>100</v>
      </c>
      <c r="E973" s="32">
        <v>881000</v>
      </c>
      <c r="F973" s="32">
        <v>0</v>
      </c>
      <c r="G973" s="32">
        <v>62491774</v>
      </c>
      <c r="H973" t="s">
        <v>314</v>
      </c>
    </row>
    <row r="974" spans="1:8" hidden="1" x14ac:dyDescent="0.3">
      <c r="A974" s="28">
        <v>16614</v>
      </c>
      <c r="B974" s="35">
        <v>45412.572916666664</v>
      </c>
      <c r="C974" s="18">
        <v>45412</v>
      </c>
      <c r="D974" t="s">
        <v>100</v>
      </c>
      <c r="E974" s="32">
        <v>56100</v>
      </c>
      <c r="F974" s="32">
        <v>0</v>
      </c>
      <c r="G974" s="32">
        <v>61610774</v>
      </c>
      <c r="H974" t="s">
        <v>313</v>
      </c>
    </row>
    <row r="975" spans="1:8" hidden="1" x14ac:dyDescent="0.3">
      <c r="A975" s="28">
        <v>16613</v>
      </c>
      <c r="B975" s="35">
        <v>45412.570138888892</v>
      </c>
      <c r="C975" s="18">
        <v>45412</v>
      </c>
      <c r="D975" t="s">
        <v>100</v>
      </c>
      <c r="E975" s="32">
        <v>561000</v>
      </c>
      <c r="F975" s="32">
        <v>0</v>
      </c>
      <c r="G975" s="32">
        <v>61554674</v>
      </c>
      <c r="H975" t="s">
        <v>314</v>
      </c>
    </row>
    <row r="976" spans="1:8" hidden="1" x14ac:dyDescent="0.3">
      <c r="A976" s="28">
        <v>16612</v>
      </c>
      <c r="B976" s="35">
        <v>45412.48541666667</v>
      </c>
      <c r="C976" s="18">
        <v>45412</v>
      </c>
      <c r="D976" t="s">
        <v>101</v>
      </c>
      <c r="E976" s="32">
        <v>0</v>
      </c>
      <c r="F976" s="32">
        <v>198000</v>
      </c>
      <c r="G976" s="32">
        <v>60993674</v>
      </c>
      <c r="H976" t="s">
        <v>1894</v>
      </c>
    </row>
    <row r="977" spans="1:8" hidden="1" x14ac:dyDescent="0.3">
      <c r="A977" s="28">
        <v>16609</v>
      </c>
      <c r="B977" s="35">
        <v>45412.425000000003</v>
      </c>
      <c r="C977" s="18">
        <v>45412</v>
      </c>
      <c r="D977" t="s">
        <v>100</v>
      </c>
      <c r="E977" s="32">
        <v>865700</v>
      </c>
      <c r="F977" s="32">
        <v>0</v>
      </c>
      <c r="G977" s="32">
        <v>61191674</v>
      </c>
      <c r="H977" t="s">
        <v>252</v>
      </c>
    </row>
    <row r="978" spans="1:8" hidden="1" x14ac:dyDescent="0.3">
      <c r="A978" s="28">
        <v>16608</v>
      </c>
      <c r="B978" s="35">
        <v>45412.425000000003</v>
      </c>
      <c r="C978" s="18">
        <v>45412</v>
      </c>
      <c r="D978" t="s">
        <v>100</v>
      </c>
      <c r="E978" s="32">
        <v>430100</v>
      </c>
      <c r="F978" s="32">
        <v>0</v>
      </c>
      <c r="G978" s="32">
        <v>60325974</v>
      </c>
      <c r="H978" t="s">
        <v>252</v>
      </c>
    </row>
    <row r="979" spans="1:8" hidden="1" x14ac:dyDescent="0.3">
      <c r="A979" s="28">
        <v>16607</v>
      </c>
      <c r="B979" s="35">
        <v>45412.419444444444</v>
      </c>
      <c r="C979" s="18">
        <v>45412</v>
      </c>
      <c r="D979" t="s">
        <v>101</v>
      </c>
      <c r="E979" s="32">
        <v>0</v>
      </c>
      <c r="F979" s="32">
        <v>8000</v>
      </c>
      <c r="G979" s="32">
        <v>59895874</v>
      </c>
      <c r="H979" t="s">
        <v>241</v>
      </c>
    </row>
    <row r="980" spans="1:8" hidden="1" x14ac:dyDescent="0.3">
      <c r="A980" s="28">
        <v>16606</v>
      </c>
      <c r="B980" s="35">
        <v>45412.412499999999</v>
      </c>
      <c r="C980" s="18">
        <v>45412</v>
      </c>
      <c r="D980" t="s">
        <v>100</v>
      </c>
      <c r="E980" s="32">
        <v>303600</v>
      </c>
      <c r="F980" s="32">
        <v>0</v>
      </c>
      <c r="G980" s="32">
        <v>59903874</v>
      </c>
      <c r="H980" t="s">
        <v>254</v>
      </c>
    </row>
    <row r="981" spans="1:8" hidden="1" x14ac:dyDescent="0.3">
      <c r="A981" s="28">
        <v>16605</v>
      </c>
      <c r="B981" s="35">
        <v>45412.411805555559</v>
      </c>
      <c r="C981" s="18">
        <v>45412</v>
      </c>
      <c r="D981" t="s">
        <v>100</v>
      </c>
      <c r="E981" s="32">
        <v>3448500</v>
      </c>
      <c r="F981" s="32">
        <v>0</v>
      </c>
      <c r="G981" s="32">
        <v>59600274</v>
      </c>
      <c r="H981" t="s">
        <v>254</v>
      </c>
    </row>
    <row r="982" spans="1:8" hidden="1" x14ac:dyDescent="0.3">
      <c r="A982" s="28">
        <v>16604</v>
      </c>
      <c r="B982" s="35">
        <v>45412.392361111109</v>
      </c>
      <c r="C982" s="18">
        <v>45412</v>
      </c>
      <c r="D982" t="s">
        <v>100</v>
      </c>
      <c r="E982" s="32">
        <v>81400</v>
      </c>
      <c r="F982" s="32">
        <v>0</v>
      </c>
      <c r="G982" s="32">
        <v>56151774</v>
      </c>
      <c r="H982" t="s">
        <v>264</v>
      </c>
    </row>
    <row r="983" spans="1:8" hidden="1" x14ac:dyDescent="0.3">
      <c r="A983" s="28">
        <v>16603</v>
      </c>
      <c r="B983" s="35">
        <v>45412.386805555558</v>
      </c>
      <c r="C983" s="18">
        <v>45412</v>
      </c>
      <c r="D983" t="s">
        <v>101</v>
      </c>
      <c r="E983" s="32">
        <v>0</v>
      </c>
      <c r="F983" s="32">
        <v>41335500</v>
      </c>
      <c r="G983" s="32">
        <v>56070374</v>
      </c>
      <c r="H983" t="s">
        <v>242</v>
      </c>
    </row>
    <row r="984" spans="1:8" hidden="1" x14ac:dyDescent="0.3">
      <c r="A984" s="28">
        <v>16602</v>
      </c>
      <c r="B984" s="35">
        <v>45412.375</v>
      </c>
      <c r="C984" s="18">
        <v>45412</v>
      </c>
      <c r="D984" t="s">
        <v>101</v>
      </c>
      <c r="E984" s="32">
        <v>0</v>
      </c>
      <c r="F984" s="32">
        <v>46777200</v>
      </c>
      <c r="G984" s="32">
        <v>97405874</v>
      </c>
      <c r="H984" t="s">
        <v>1895</v>
      </c>
    </row>
    <row r="985" spans="1:8" hidden="1" x14ac:dyDescent="0.3">
      <c r="A985" s="28">
        <v>16601</v>
      </c>
      <c r="B985" s="35">
        <v>45412.368750000001</v>
      </c>
      <c r="C985" s="18">
        <v>45412</v>
      </c>
      <c r="D985" t="s">
        <v>101</v>
      </c>
      <c r="E985" s="32">
        <v>0</v>
      </c>
      <c r="F985" s="32">
        <v>7700000</v>
      </c>
      <c r="G985" s="32">
        <v>144183074</v>
      </c>
      <c r="H985" t="s">
        <v>1896</v>
      </c>
    </row>
    <row r="986" spans="1:8" hidden="1" x14ac:dyDescent="0.3">
      <c r="A986" s="28">
        <v>16600</v>
      </c>
      <c r="B986" s="35">
        <v>45412.043055555558</v>
      </c>
      <c r="C986" s="18">
        <v>45412</v>
      </c>
      <c r="D986" t="s">
        <v>100</v>
      </c>
      <c r="E986" s="32">
        <v>1813900</v>
      </c>
      <c r="F986" s="32">
        <v>0</v>
      </c>
      <c r="G986" s="32">
        <v>151883074</v>
      </c>
      <c r="H986" t="s">
        <v>223</v>
      </c>
    </row>
    <row r="987" spans="1:8" hidden="1" x14ac:dyDescent="0.3">
      <c r="A987" s="28">
        <v>16594</v>
      </c>
      <c r="B987" s="35">
        <v>45411.581250000003</v>
      </c>
      <c r="C987" s="18">
        <v>45411</v>
      </c>
      <c r="D987" t="s">
        <v>100</v>
      </c>
      <c r="E987" s="32">
        <v>311300</v>
      </c>
      <c r="F987" s="32">
        <v>0</v>
      </c>
      <c r="G987" s="32">
        <v>150069174</v>
      </c>
      <c r="H987" t="s">
        <v>260</v>
      </c>
    </row>
    <row r="988" spans="1:8" hidden="1" x14ac:dyDescent="0.3">
      <c r="A988" s="28">
        <v>16593</v>
      </c>
      <c r="B988" s="35">
        <v>45411.468055555553</v>
      </c>
      <c r="C988" s="18">
        <v>45411</v>
      </c>
      <c r="D988" t="s">
        <v>100</v>
      </c>
      <c r="E988" s="32">
        <v>2253900</v>
      </c>
      <c r="F988" s="32">
        <v>0</v>
      </c>
      <c r="G988" s="32">
        <v>149757874</v>
      </c>
      <c r="H988" t="s">
        <v>404</v>
      </c>
    </row>
    <row r="989" spans="1:8" hidden="1" x14ac:dyDescent="0.3">
      <c r="A989" s="28">
        <v>16592</v>
      </c>
      <c r="B989" s="35">
        <v>45411.463888888888</v>
      </c>
      <c r="C989" s="18">
        <v>45411</v>
      </c>
      <c r="D989" t="s">
        <v>100</v>
      </c>
      <c r="E989" s="32">
        <v>221100</v>
      </c>
      <c r="F989" s="32">
        <v>0</v>
      </c>
      <c r="G989" s="32">
        <v>147503974</v>
      </c>
      <c r="H989" t="s">
        <v>365</v>
      </c>
    </row>
    <row r="990" spans="1:8" hidden="1" x14ac:dyDescent="0.3">
      <c r="A990" s="28">
        <v>16591</v>
      </c>
      <c r="B990" s="35">
        <v>45411.444444444445</v>
      </c>
      <c r="C990" s="18">
        <v>45411</v>
      </c>
      <c r="D990" t="s">
        <v>100</v>
      </c>
      <c r="E990" s="32">
        <v>2513500</v>
      </c>
      <c r="F990" s="32">
        <v>0</v>
      </c>
      <c r="G990" s="32">
        <v>147282874</v>
      </c>
      <c r="H990" t="s">
        <v>263</v>
      </c>
    </row>
    <row r="991" spans="1:8" hidden="1" x14ac:dyDescent="0.3">
      <c r="A991" s="28">
        <v>16589</v>
      </c>
      <c r="B991" s="35">
        <v>45408.661805555559</v>
      </c>
      <c r="C991" s="18">
        <v>45408</v>
      </c>
      <c r="D991" t="s">
        <v>100</v>
      </c>
      <c r="E991" s="32">
        <v>1950000</v>
      </c>
      <c r="F991" s="32">
        <v>0</v>
      </c>
      <c r="G991" s="32">
        <v>144769374</v>
      </c>
      <c r="H991" t="s">
        <v>1897</v>
      </c>
    </row>
    <row r="992" spans="1:8" hidden="1" x14ac:dyDescent="0.3">
      <c r="A992" s="28">
        <v>16588</v>
      </c>
      <c r="B992" s="35">
        <v>45408.62222222222</v>
      </c>
      <c r="C992" s="18">
        <v>45408</v>
      </c>
      <c r="D992" t="s">
        <v>100</v>
      </c>
      <c r="E992" s="32">
        <v>1864500</v>
      </c>
      <c r="F992" s="32">
        <v>0</v>
      </c>
      <c r="G992" s="32">
        <v>142819374</v>
      </c>
      <c r="H992" t="s">
        <v>1850</v>
      </c>
    </row>
    <row r="993" spans="1:8" hidden="1" x14ac:dyDescent="0.3">
      <c r="A993" s="28">
        <v>16587</v>
      </c>
      <c r="B993" s="35">
        <v>45408.621527777781</v>
      </c>
      <c r="C993" s="18">
        <v>45408</v>
      </c>
      <c r="D993" t="s">
        <v>100</v>
      </c>
      <c r="E993" s="32">
        <v>9339000</v>
      </c>
      <c r="F993" s="32">
        <v>0</v>
      </c>
      <c r="G993" s="32">
        <v>140954874</v>
      </c>
      <c r="H993" t="s">
        <v>1850</v>
      </c>
    </row>
    <row r="994" spans="1:8" hidden="1" x14ac:dyDescent="0.3">
      <c r="A994" s="28">
        <v>16586</v>
      </c>
      <c r="B994" s="35">
        <v>45408.621527777781</v>
      </c>
      <c r="C994" s="18">
        <v>45408</v>
      </c>
      <c r="D994" t="s">
        <v>100</v>
      </c>
      <c r="E994" s="32">
        <v>515900</v>
      </c>
      <c r="F994" s="32">
        <v>0</v>
      </c>
      <c r="G994" s="32">
        <v>131615874</v>
      </c>
      <c r="H994" t="s">
        <v>1850</v>
      </c>
    </row>
    <row r="995" spans="1:8" hidden="1" x14ac:dyDescent="0.3">
      <c r="A995" s="28">
        <v>16585</v>
      </c>
      <c r="B995" s="35">
        <v>45408.552083333336</v>
      </c>
      <c r="C995" s="18">
        <v>45408</v>
      </c>
      <c r="D995" t="s">
        <v>100</v>
      </c>
      <c r="E995" s="32">
        <v>170500</v>
      </c>
      <c r="F995" s="32">
        <v>0</v>
      </c>
      <c r="G995" s="32">
        <v>131099974</v>
      </c>
      <c r="H995" t="s">
        <v>309</v>
      </c>
    </row>
    <row r="996" spans="1:8" hidden="1" x14ac:dyDescent="0.3">
      <c r="A996" s="28">
        <v>16583</v>
      </c>
      <c r="B996" s="35">
        <v>45408.418749999997</v>
      </c>
      <c r="C996" s="18">
        <v>45408</v>
      </c>
      <c r="D996" t="s">
        <v>100</v>
      </c>
      <c r="E996" s="32">
        <v>19241200</v>
      </c>
      <c r="F996" s="32">
        <v>0</v>
      </c>
      <c r="G996" s="32">
        <v>130929474</v>
      </c>
      <c r="H996" t="s">
        <v>311</v>
      </c>
    </row>
    <row r="997" spans="1:8" hidden="1" x14ac:dyDescent="0.3">
      <c r="A997" s="28">
        <v>16580</v>
      </c>
      <c r="B997" s="35">
        <v>45407.832638888889</v>
      </c>
      <c r="C997" s="18">
        <v>45407</v>
      </c>
      <c r="D997" t="s">
        <v>101</v>
      </c>
      <c r="E997" s="32">
        <v>0</v>
      </c>
      <c r="F997" s="32">
        <v>440000</v>
      </c>
      <c r="G997" s="32">
        <v>111688274</v>
      </c>
      <c r="H997" t="s">
        <v>271</v>
      </c>
    </row>
    <row r="998" spans="1:8" hidden="1" x14ac:dyDescent="0.3">
      <c r="A998" s="28">
        <v>16577</v>
      </c>
      <c r="B998" s="35">
        <v>45407.664583333331</v>
      </c>
      <c r="C998" s="18">
        <v>45407</v>
      </c>
      <c r="D998" t="s">
        <v>101</v>
      </c>
      <c r="E998" s="32">
        <v>0</v>
      </c>
      <c r="F998" s="32">
        <v>456314</v>
      </c>
      <c r="G998" s="32">
        <v>112128274</v>
      </c>
      <c r="H998" t="s">
        <v>221</v>
      </c>
    </row>
    <row r="999" spans="1:8" hidden="1" x14ac:dyDescent="0.3">
      <c r="A999" s="28">
        <v>16576</v>
      </c>
      <c r="B999" s="35">
        <v>45407.657638888886</v>
      </c>
      <c r="C999" s="18">
        <v>45407</v>
      </c>
      <c r="D999" t="s">
        <v>100</v>
      </c>
      <c r="E999" s="32">
        <v>944900</v>
      </c>
      <c r="F999" s="32">
        <v>0</v>
      </c>
      <c r="G999" s="32">
        <v>112584588</v>
      </c>
      <c r="H999" t="s">
        <v>1898</v>
      </c>
    </row>
    <row r="1000" spans="1:8" hidden="1" x14ac:dyDescent="0.3">
      <c r="A1000" s="28">
        <v>16575</v>
      </c>
      <c r="B1000" s="35">
        <v>45407.651388888888</v>
      </c>
      <c r="C1000" s="18">
        <v>45407</v>
      </c>
      <c r="D1000" t="s">
        <v>100</v>
      </c>
      <c r="E1000" s="32">
        <v>543400</v>
      </c>
      <c r="F1000" s="32">
        <v>0</v>
      </c>
      <c r="G1000" s="32">
        <v>111639688</v>
      </c>
      <c r="H1000" t="s">
        <v>454</v>
      </c>
    </row>
    <row r="1001" spans="1:8" hidden="1" x14ac:dyDescent="0.3">
      <c r="A1001" s="28">
        <v>16574</v>
      </c>
      <c r="B1001" s="35">
        <v>45407.634722222225</v>
      </c>
      <c r="C1001" s="18">
        <v>45407</v>
      </c>
      <c r="D1001" t="s">
        <v>100</v>
      </c>
      <c r="E1001" s="32">
        <v>618200</v>
      </c>
      <c r="F1001" s="32">
        <v>0</v>
      </c>
      <c r="G1001" s="32">
        <v>111096288</v>
      </c>
      <c r="H1001" t="s">
        <v>1899</v>
      </c>
    </row>
    <row r="1002" spans="1:8" hidden="1" x14ac:dyDescent="0.3">
      <c r="A1002" s="28">
        <v>16572</v>
      </c>
      <c r="B1002" s="35">
        <v>45407.618750000001</v>
      </c>
      <c r="C1002" s="18">
        <v>45407</v>
      </c>
      <c r="D1002" t="s">
        <v>100</v>
      </c>
      <c r="E1002" s="32">
        <v>698500</v>
      </c>
      <c r="F1002" s="32">
        <v>0</v>
      </c>
      <c r="G1002" s="32">
        <v>110478088</v>
      </c>
      <c r="H1002" t="s">
        <v>228</v>
      </c>
    </row>
    <row r="1003" spans="1:8" hidden="1" x14ac:dyDescent="0.3">
      <c r="A1003" s="28">
        <v>16571</v>
      </c>
      <c r="B1003" s="35">
        <v>45407.59375</v>
      </c>
      <c r="C1003" s="18">
        <v>45407</v>
      </c>
      <c r="D1003" t="s">
        <v>101</v>
      </c>
      <c r="E1003" s="32">
        <v>0</v>
      </c>
      <c r="F1003" s="32">
        <v>77374</v>
      </c>
      <c r="G1003" s="32">
        <v>109779588</v>
      </c>
      <c r="H1003" t="s">
        <v>221</v>
      </c>
    </row>
    <row r="1004" spans="1:8" hidden="1" x14ac:dyDescent="0.3">
      <c r="A1004" s="28">
        <v>16570</v>
      </c>
      <c r="B1004" s="35">
        <v>45407.561805555553</v>
      </c>
      <c r="C1004" s="18">
        <v>45407</v>
      </c>
      <c r="D1004" t="s">
        <v>100</v>
      </c>
      <c r="E1004" s="32">
        <v>176000</v>
      </c>
      <c r="F1004" s="32">
        <v>0</v>
      </c>
      <c r="G1004" s="32">
        <v>109856962</v>
      </c>
      <c r="H1004" t="s">
        <v>1889</v>
      </c>
    </row>
    <row r="1005" spans="1:8" hidden="1" x14ac:dyDescent="0.3">
      <c r="A1005" s="28">
        <v>16567</v>
      </c>
      <c r="B1005" s="35">
        <v>45407.447222222225</v>
      </c>
      <c r="C1005" s="18">
        <v>45407</v>
      </c>
      <c r="D1005" t="s">
        <v>100</v>
      </c>
      <c r="E1005" s="32">
        <v>6220500</v>
      </c>
      <c r="F1005" s="32">
        <v>0</v>
      </c>
      <c r="G1005" s="32">
        <v>109680962</v>
      </c>
      <c r="H1005" t="s">
        <v>1900</v>
      </c>
    </row>
    <row r="1006" spans="1:8" hidden="1" x14ac:dyDescent="0.3">
      <c r="A1006" s="28">
        <v>16566</v>
      </c>
      <c r="B1006" s="35">
        <v>45407.445833333331</v>
      </c>
      <c r="C1006" s="18">
        <v>45407</v>
      </c>
      <c r="D1006" t="s">
        <v>100</v>
      </c>
      <c r="E1006" s="32">
        <v>50000000</v>
      </c>
      <c r="F1006" s="32">
        <v>0</v>
      </c>
      <c r="G1006" s="32">
        <v>103460462</v>
      </c>
      <c r="H1006" t="s">
        <v>259</v>
      </c>
    </row>
    <row r="1007" spans="1:8" hidden="1" x14ac:dyDescent="0.3">
      <c r="A1007" s="28">
        <v>16562</v>
      </c>
      <c r="B1007" s="35">
        <v>45407.35833333333</v>
      </c>
      <c r="C1007" s="18">
        <v>45407</v>
      </c>
      <c r="D1007" t="s">
        <v>101</v>
      </c>
      <c r="E1007" s="32">
        <v>0</v>
      </c>
      <c r="F1007" s="32">
        <v>184000</v>
      </c>
      <c r="G1007" s="32">
        <v>53460462</v>
      </c>
      <c r="H1007" t="s">
        <v>1901</v>
      </c>
    </row>
    <row r="1008" spans="1:8" hidden="1" x14ac:dyDescent="0.3">
      <c r="A1008" s="28">
        <v>16561</v>
      </c>
      <c r="B1008" s="35">
        <v>45407.339583333334</v>
      </c>
      <c r="C1008" s="18">
        <v>45407</v>
      </c>
      <c r="D1008" t="s">
        <v>101</v>
      </c>
      <c r="E1008" s="32">
        <v>0</v>
      </c>
      <c r="F1008" s="32">
        <v>2482432</v>
      </c>
      <c r="G1008" s="32">
        <v>53644462</v>
      </c>
      <c r="H1008" t="s">
        <v>1902</v>
      </c>
    </row>
    <row r="1009" spans="1:8" hidden="1" x14ac:dyDescent="0.3">
      <c r="A1009" s="28">
        <v>16560</v>
      </c>
      <c r="B1009" s="35">
        <v>45407.338194444441</v>
      </c>
      <c r="C1009" s="18">
        <v>45407</v>
      </c>
      <c r="D1009" t="s">
        <v>101</v>
      </c>
      <c r="E1009" s="32">
        <v>0</v>
      </c>
      <c r="F1009" s="32">
        <v>130000</v>
      </c>
      <c r="G1009" s="32">
        <v>56126894</v>
      </c>
      <c r="H1009" t="s">
        <v>1903</v>
      </c>
    </row>
    <row r="1010" spans="1:8" hidden="1" x14ac:dyDescent="0.3">
      <c r="A1010" s="28">
        <v>16559</v>
      </c>
      <c r="B1010" s="35">
        <v>45407.336805555555</v>
      </c>
      <c r="C1010" s="18">
        <v>45407</v>
      </c>
      <c r="D1010" t="s">
        <v>101</v>
      </c>
      <c r="E1010" s="32">
        <v>0</v>
      </c>
      <c r="F1010" s="32">
        <v>450000</v>
      </c>
      <c r="G1010" s="32">
        <v>56256894</v>
      </c>
      <c r="H1010" t="s">
        <v>282</v>
      </c>
    </row>
    <row r="1011" spans="1:8" hidden="1" x14ac:dyDescent="0.3">
      <c r="A1011" s="28">
        <v>16556</v>
      </c>
      <c r="B1011" s="35">
        <v>45406.556250000001</v>
      </c>
      <c r="C1011" s="18">
        <v>45406</v>
      </c>
      <c r="D1011" t="s">
        <v>101</v>
      </c>
      <c r="E1011" s="32">
        <v>0</v>
      </c>
      <c r="F1011" s="32">
        <v>99000</v>
      </c>
      <c r="G1011" s="32">
        <v>56706894</v>
      </c>
      <c r="H1011" t="s">
        <v>1904</v>
      </c>
    </row>
    <row r="1012" spans="1:8" hidden="1" x14ac:dyDescent="0.3">
      <c r="A1012" s="28">
        <v>16555</v>
      </c>
      <c r="B1012" s="35">
        <v>45406.449305555558</v>
      </c>
      <c r="C1012" s="18">
        <v>45406</v>
      </c>
      <c r="D1012" t="s">
        <v>100</v>
      </c>
      <c r="E1012" s="32">
        <v>1393700</v>
      </c>
      <c r="F1012" s="32">
        <v>0</v>
      </c>
      <c r="G1012" s="32">
        <v>56805894</v>
      </c>
      <c r="H1012" t="s">
        <v>1905</v>
      </c>
    </row>
    <row r="1013" spans="1:8" hidden="1" x14ac:dyDescent="0.3">
      <c r="A1013" s="28">
        <v>16554</v>
      </c>
      <c r="B1013" s="35">
        <v>45406.445833333331</v>
      </c>
      <c r="C1013" s="18">
        <v>45406</v>
      </c>
      <c r="D1013" t="s">
        <v>101</v>
      </c>
      <c r="E1013" s="32">
        <v>0</v>
      </c>
      <c r="F1013" s="32">
        <v>385120</v>
      </c>
      <c r="G1013" s="32">
        <v>55412194</v>
      </c>
      <c r="H1013" t="s">
        <v>1906</v>
      </c>
    </row>
    <row r="1014" spans="1:8" hidden="1" x14ac:dyDescent="0.3">
      <c r="A1014" s="28">
        <v>16553</v>
      </c>
      <c r="B1014" s="35">
        <v>45406.414583333331</v>
      </c>
      <c r="C1014" s="18">
        <v>45406</v>
      </c>
      <c r="D1014" t="s">
        <v>100</v>
      </c>
      <c r="E1014" s="32">
        <v>1485000</v>
      </c>
      <c r="F1014" s="32">
        <v>0</v>
      </c>
      <c r="G1014" s="32">
        <v>55797314</v>
      </c>
      <c r="H1014" t="s">
        <v>1907</v>
      </c>
    </row>
    <row r="1015" spans="1:8" hidden="1" x14ac:dyDescent="0.3">
      <c r="A1015" s="28">
        <v>16552</v>
      </c>
      <c r="B1015" s="35">
        <v>45406.397916666669</v>
      </c>
      <c r="C1015" s="18">
        <v>45406</v>
      </c>
      <c r="D1015" t="s">
        <v>100</v>
      </c>
      <c r="E1015" s="32">
        <v>117000</v>
      </c>
      <c r="F1015" s="32">
        <v>0</v>
      </c>
      <c r="G1015" s="32">
        <v>54312314</v>
      </c>
      <c r="H1015" t="s">
        <v>383</v>
      </c>
    </row>
    <row r="1016" spans="1:8" hidden="1" x14ac:dyDescent="0.3">
      <c r="A1016" s="28">
        <v>16551</v>
      </c>
      <c r="B1016" s="35">
        <v>45406.397916666669</v>
      </c>
      <c r="C1016" s="18">
        <v>45406</v>
      </c>
      <c r="D1016" t="s">
        <v>101</v>
      </c>
      <c r="E1016" s="32">
        <v>0</v>
      </c>
      <c r="F1016" s="32">
        <v>99000</v>
      </c>
      <c r="G1016" s="32">
        <v>54195314</v>
      </c>
      <c r="H1016" t="s">
        <v>1908</v>
      </c>
    </row>
    <row r="1017" spans="1:8" hidden="1" x14ac:dyDescent="0.3">
      <c r="A1017" s="28">
        <v>16550</v>
      </c>
      <c r="B1017" s="35">
        <v>45406.388194444444</v>
      </c>
      <c r="C1017" s="18">
        <v>45406</v>
      </c>
      <c r="D1017" t="s">
        <v>100</v>
      </c>
      <c r="E1017" s="32">
        <v>11700</v>
      </c>
      <c r="F1017" s="32">
        <v>0</v>
      </c>
      <c r="G1017" s="32">
        <v>54294314</v>
      </c>
      <c r="H1017" t="s">
        <v>384</v>
      </c>
    </row>
    <row r="1018" spans="1:8" hidden="1" x14ac:dyDescent="0.3">
      <c r="A1018" s="28">
        <v>16547</v>
      </c>
      <c r="B1018" s="35">
        <v>45405.697222222225</v>
      </c>
      <c r="C1018" s="18">
        <v>45405</v>
      </c>
      <c r="D1018" t="s">
        <v>100</v>
      </c>
      <c r="E1018" s="32">
        <v>2759900</v>
      </c>
      <c r="F1018" s="32">
        <v>0</v>
      </c>
      <c r="G1018" s="32">
        <v>54282614</v>
      </c>
      <c r="H1018" t="s">
        <v>1909</v>
      </c>
    </row>
    <row r="1019" spans="1:8" hidden="1" x14ac:dyDescent="0.3">
      <c r="A1019" s="28">
        <v>16545</v>
      </c>
      <c r="B1019" s="35">
        <v>45405.587500000001</v>
      </c>
      <c r="C1019" s="18">
        <v>45405</v>
      </c>
      <c r="D1019" t="s">
        <v>100</v>
      </c>
      <c r="E1019" s="32">
        <v>1857900</v>
      </c>
      <c r="F1019" s="32">
        <v>0</v>
      </c>
      <c r="G1019" s="32">
        <v>51522714</v>
      </c>
      <c r="H1019" t="s">
        <v>1898</v>
      </c>
    </row>
    <row r="1020" spans="1:8" hidden="1" x14ac:dyDescent="0.3">
      <c r="A1020" s="28">
        <v>16544</v>
      </c>
      <c r="B1020" s="35">
        <v>45405.585416666669</v>
      </c>
      <c r="C1020" s="18">
        <v>45405</v>
      </c>
      <c r="D1020" t="s">
        <v>101</v>
      </c>
      <c r="E1020" s="32">
        <v>0</v>
      </c>
      <c r="F1020" s="32">
        <v>318315</v>
      </c>
      <c r="G1020" s="32">
        <v>49664814</v>
      </c>
      <c r="H1020" t="s">
        <v>221</v>
      </c>
    </row>
    <row r="1021" spans="1:8" hidden="1" x14ac:dyDescent="0.3">
      <c r="A1021" s="28">
        <v>16543</v>
      </c>
      <c r="B1021" s="35">
        <v>45405.53402777778</v>
      </c>
      <c r="C1021" s="18">
        <v>45405</v>
      </c>
      <c r="D1021" t="s">
        <v>100</v>
      </c>
      <c r="E1021" s="32">
        <v>3835700</v>
      </c>
      <c r="F1021" s="32">
        <v>0</v>
      </c>
      <c r="G1021" s="32">
        <v>49983129</v>
      </c>
      <c r="H1021" t="s">
        <v>504</v>
      </c>
    </row>
    <row r="1022" spans="1:8" hidden="1" x14ac:dyDescent="0.3">
      <c r="A1022" s="28">
        <v>16541</v>
      </c>
      <c r="B1022" s="35">
        <v>45405.453472222223</v>
      </c>
      <c r="C1022" s="18">
        <v>45405</v>
      </c>
      <c r="D1022" t="s">
        <v>101</v>
      </c>
      <c r="E1022" s="32">
        <v>0</v>
      </c>
      <c r="F1022" s="32">
        <v>50000000</v>
      </c>
      <c r="G1022" s="32">
        <v>46147429</v>
      </c>
      <c r="H1022" t="s">
        <v>270</v>
      </c>
    </row>
    <row r="1023" spans="1:8" hidden="1" x14ac:dyDescent="0.3">
      <c r="A1023" s="28">
        <v>16539</v>
      </c>
      <c r="B1023" s="35">
        <v>45405.429861111108</v>
      </c>
      <c r="C1023" s="18">
        <v>45405</v>
      </c>
      <c r="D1023" t="s">
        <v>100</v>
      </c>
      <c r="E1023" s="32">
        <v>1006500</v>
      </c>
      <c r="F1023" s="32">
        <v>0</v>
      </c>
      <c r="G1023" s="32">
        <v>96147429</v>
      </c>
      <c r="H1023" t="s">
        <v>223</v>
      </c>
    </row>
    <row r="1024" spans="1:8" hidden="1" x14ac:dyDescent="0.3">
      <c r="A1024" s="28">
        <v>16537</v>
      </c>
      <c r="B1024" s="35">
        <v>45405.363888888889</v>
      </c>
      <c r="C1024" s="18">
        <v>45405</v>
      </c>
      <c r="D1024" t="s">
        <v>100</v>
      </c>
      <c r="E1024" s="32">
        <v>409200</v>
      </c>
      <c r="F1024" s="32">
        <v>0</v>
      </c>
      <c r="G1024" s="32">
        <v>95140929</v>
      </c>
      <c r="H1024" t="s">
        <v>311</v>
      </c>
    </row>
    <row r="1025" spans="1:8" hidden="1" x14ac:dyDescent="0.3">
      <c r="A1025" s="28">
        <v>16536</v>
      </c>
      <c r="B1025" s="35">
        <v>45405.363888888889</v>
      </c>
      <c r="C1025" s="18">
        <v>45405</v>
      </c>
      <c r="D1025" t="s">
        <v>100</v>
      </c>
      <c r="E1025" s="32">
        <v>1785300</v>
      </c>
      <c r="F1025" s="32">
        <v>0</v>
      </c>
      <c r="G1025" s="32">
        <v>94731729</v>
      </c>
      <c r="H1025" t="s">
        <v>311</v>
      </c>
    </row>
    <row r="1026" spans="1:8" hidden="1" x14ac:dyDescent="0.3">
      <c r="A1026" s="28">
        <v>16532</v>
      </c>
      <c r="B1026" s="35">
        <v>45404.879861111112</v>
      </c>
      <c r="C1026" s="18">
        <v>45404</v>
      </c>
      <c r="D1026" t="s">
        <v>101</v>
      </c>
      <c r="E1026" s="32">
        <v>0</v>
      </c>
      <c r="F1026" s="32">
        <v>598530</v>
      </c>
      <c r="G1026" s="32">
        <v>92946429</v>
      </c>
      <c r="H1026" t="s">
        <v>285</v>
      </c>
    </row>
    <row r="1027" spans="1:8" hidden="1" x14ac:dyDescent="0.3">
      <c r="A1027" s="28">
        <v>16531</v>
      </c>
      <c r="B1027" s="35">
        <v>45404.84652777778</v>
      </c>
      <c r="C1027" s="18">
        <v>45404</v>
      </c>
      <c r="D1027" t="s">
        <v>101</v>
      </c>
      <c r="E1027" s="32">
        <v>0</v>
      </c>
      <c r="F1027" s="32">
        <v>292374</v>
      </c>
      <c r="G1027" s="32">
        <v>93544959</v>
      </c>
      <c r="H1027" t="s">
        <v>286</v>
      </c>
    </row>
    <row r="1028" spans="1:8" hidden="1" x14ac:dyDescent="0.3">
      <c r="A1028" s="28">
        <v>16530</v>
      </c>
      <c r="B1028" s="35">
        <v>45404.820833333331</v>
      </c>
      <c r="C1028" s="18">
        <v>45404</v>
      </c>
      <c r="D1028" t="s">
        <v>101</v>
      </c>
      <c r="E1028" s="32">
        <v>0</v>
      </c>
      <c r="F1028" s="32">
        <v>77429</v>
      </c>
      <c r="G1028" s="32">
        <v>93837333</v>
      </c>
      <c r="H1028" t="s">
        <v>1910</v>
      </c>
    </row>
    <row r="1029" spans="1:8" hidden="1" x14ac:dyDescent="0.3">
      <c r="A1029" s="28">
        <v>16529</v>
      </c>
      <c r="B1029" s="35">
        <v>45404.817361111112</v>
      </c>
      <c r="C1029" s="18">
        <v>45404</v>
      </c>
      <c r="D1029" t="s">
        <v>101</v>
      </c>
      <c r="E1029" s="32">
        <v>0</v>
      </c>
      <c r="F1029" s="32">
        <v>1000000</v>
      </c>
      <c r="G1029" s="32">
        <v>93914762</v>
      </c>
      <c r="H1029" t="s">
        <v>1911</v>
      </c>
    </row>
    <row r="1030" spans="1:8" hidden="1" x14ac:dyDescent="0.3">
      <c r="A1030" s="28">
        <v>16527</v>
      </c>
      <c r="B1030" s="35">
        <v>45404.709722222222</v>
      </c>
      <c r="C1030" s="18">
        <v>45404</v>
      </c>
      <c r="D1030" t="s">
        <v>101</v>
      </c>
      <c r="E1030" s="32">
        <v>0</v>
      </c>
      <c r="F1030" s="32">
        <v>80000</v>
      </c>
      <c r="G1030" s="32">
        <v>94914762</v>
      </c>
      <c r="H1030" t="s">
        <v>1912</v>
      </c>
    </row>
    <row r="1031" spans="1:8" hidden="1" x14ac:dyDescent="0.3">
      <c r="A1031" s="28">
        <v>16526</v>
      </c>
      <c r="B1031" s="35">
        <v>45404.631249999999</v>
      </c>
      <c r="C1031" s="18">
        <v>45404</v>
      </c>
      <c r="D1031" t="s">
        <v>101</v>
      </c>
      <c r="E1031" s="32">
        <v>0</v>
      </c>
      <c r="F1031" s="32">
        <v>60850</v>
      </c>
      <c r="G1031" s="32">
        <v>94994762</v>
      </c>
      <c r="H1031" t="s">
        <v>221</v>
      </c>
    </row>
    <row r="1032" spans="1:8" hidden="1" x14ac:dyDescent="0.3">
      <c r="A1032" s="28">
        <v>16524</v>
      </c>
      <c r="B1032" s="35">
        <v>45404.567361111112</v>
      </c>
      <c r="C1032" s="18">
        <v>45404</v>
      </c>
      <c r="D1032" t="s">
        <v>100</v>
      </c>
      <c r="E1032" s="32">
        <v>181500</v>
      </c>
      <c r="F1032" s="32">
        <v>0</v>
      </c>
      <c r="G1032" s="32">
        <v>95055612</v>
      </c>
      <c r="H1032" t="s">
        <v>365</v>
      </c>
    </row>
    <row r="1033" spans="1:8" hidden="1" x14ac:dyDescent="0.3">
      <c r="A1033" s="28">
        <v>16523</v>
      </c>
      <c r="B1033" s="35">
        <v>45404.5625</v>
      </c>
      <c r="C1033" s="18">
        <v>45404</v>
      </c>
      <c r="D1033" t="s">
        <v>101</v>
      </c>
      <c r="E1033" s="32">
        <v>0</v>
      </c>
      <c r="F1033" s="32">
        <v>364761</v>
      </c>
      <c r="G1033" s="32">
        <v>94874112</v>
      </c>
      <c r="H1033" t="s">
        <v>221</v>
      </c>
    </row>
    <row r="1034" spans="1:8" hidden="1" x14ac:dyDescent="0.3">
      <c r="A1034" s="28">
        <v>16521</v>
      </c>
      <c r="B1034" s="35">
        <v>45404.454861111109</v>
      </c>
      <c r="C1034" s="18">
        <v>45404</v>
      </c>
      <c r="D1034" t="s">
        <v>101</v>
      </c>
      <c r="E1034" s="32">
        <v>0</v>
      </c>
      <c r="F1034" s="32">
        <v>72260</v>
      </c>
      <c r="G1034" s="32">
        <v>95238873</v>
      </c>
      <c r="H1034" t="s">
        <v>1913</v>
      </c>
    </row>
    <row r="1035" spans="1:8" hidden="1" x14ac:dyDescent="0.3">
      <c r="A1035" s="28">
        <v>16520</v>
      </c>
      <c r="B1035" s="35">
        <v>45404.434027777781</v>
      </c>
      <c r="C1035" s="18">
        <v>45404</v>
      </c>
      <c r="D1035" t="s">
        <v>101</v>
      </c>
      <c r="E1035" s="32">
        <v>0</v>
      </c>
      <c r="F1035" s="32">
        <v>989289</v>
      </c>
      <c r="G1035" s="32">
        <v>95311133</v>
      </c>
      <c r="H1035" t="s">
        <v>291</v>
      </c>
    </row>
    <row r="1036" spans="1:8" hidden="1" x14ac:dyDescent="0.3">
      <c r="A1036" s="28">
        <v>16519</v>
      </c>
      <c r="B1036" s="35">
        <v>45404.433333333334</v>
      </c>
      <c r="C1036" s="18">
        <v>45404</v>
      </c>
      <c r="D1036" t="s">
        <v>101</v>
      </c>
      <c r="E1036" s="32">
        <v>0</v>
      </c>
      <c r="F1036" s="32">
        <v>3290050</v>
      </c>
      <c r="G1036" s="32">
        <v>96300422</v>
      </c>
      <c r="H1036" t="s">
        <v>294</v>
      </c>
    </row>
    <row r="1037" spans="1:8" hidden="1" x14ac:dyDescent="0.3">
      <c r="A1037" s="28">
        <v>16516</v>
      </c>
      <c r="B1037" s="35">
        <v>45401.620138888888</v>
      </c>
      <c r="C1037" s="18">
        <v>45401</v>
      </c>
      <c r="D1037" t="s">
        <v>101</v>
      </c>
      <c r="E1037" s="32">
        <v>0</v>
      </c>
      <c r="F1037" s="32">
        <v>15300760</v>
      </c>
      <c r="G1037" s="32">
        <v>99590472</v>
      </c>
      <c r="H1037" t="s">
        <v>356</v>
      </c>
    </row>
    <row r="1038" spans="1:8" hidden="1" x14ac:dyDescent="0.3">
      <c r="A1038" s="28">
        <v>16515</v>
      </c>
      <c r="B1038" s="35">
        <v>45401.563888888886</v>
      </c>
      <c r="C1038" s="18">
        <v>45401</v>
      </c>
      <c r="D1038" t="s">
        <v>101</v>
      </c>
      <c r="E1038" s="32">
        <v>0</v>
      </c>
      <c r="F1038" s="32">
        <v>20000</v>
      </c>
      <c r="G1038" s="32">
        <v>114891232</v>
      </c>
      <c r="H1038" t="s">
        <v>295</v>
      </c>
    </row>
    <row r="1039" spans="1:8" hidden="1" x14ac:dyDescent="0.3">
      <c r="A1039" s="28">
        <v>16514</v>
      </c>
      <c r="B1039" s="35">
        <v>45401.5625</v>
      </c>
      <c r="C1039" s="18">
        <v>45401</v>
      </c>
      <c r="D1039" t="s">
        <v>101</v>
      </c>
      <c r="E1039" s="32">
        <v>0</v>
      </c>
      <c r="F1039" s="32">
        <v>3223170</v>
      </c>
      <c r="G1039" s="32">
        <v>114911232</v>
      </c>
      <c r="H1039" t="s">
        <v>289</v>
      </c>
    </row>
    <row r="1040" spans="1:8" hidden="1" x14ac:dyDescent="0.3">
      <c r="A1040" s="28">
        <v>16513</v>
      </c>
      <c r="B1040" s="35">
        <v>45401.561111111114</v>
      </c>
      <c r="C1040" s="18">
        <v>45401</v>
      </c>
      <c r="D1040" t="s">
        <v>101</v>
      </c>
      <c r="E1040" s="32">
        <v>0</v>
      </c>
      <c r="F1040" s="32">
        <v>4226310</v>
      </c>
      <c r="G1040" s="32">
        <v>118134402</v>
      </c>
      <c r="H1040" t="s">
        <v>289</v>
      </c>
    </row>
    <row r="1041" spans="1:8" hidden="1" x14ac:dyDescent="0.3">
      <c r="A1041" s="28">
        <v>16511</v>
      </c>
      <c r="B1041" s="35">
        <v>45401.355555555558</v>
      </c>
      <c r="C1041" s="18">
        <v>45401</v>
      </c>
      <c r="D1041" t="s">
        <v>100</v>
      </c>
      <c r="E1041" s="32">
        <v>71500</v>
      </c>
      <c r="F1041" s="32">
        <v>0</v>
      </c>
      <c r="G1041" s="32">
        <v>122360712</v>
      </c>
      <c r="H1041" t="s">
        <v>1914</v>
      </c>
    </row>
    <row r="1042" spans="1:8" hidden="1" x14ac:dyDescent="0.3">
      <c r="A1042" s="28">
        <v>16510</v>
      </c>
      <c r="B1042" s="35">
        <v>45400.839583333334</v>
      </c>
      <c r="C1042" s="18">
        <v>45400</v>
      </c>
      <c r="D1042" t="s">
        <v>100</v>
      </c>
      <c r="E1042" s="32">
        <v>2802800</v>
      </c>
      <c r="F1042" s="32">
        <v>0</v>
      </c>
      <c r="G1042" s="32">
        <v>122289212</v>
      </c>
      <c r="H1042" t="s">
        <v>223</v>
      </c>
    </row>
    <row r="1043" spans="1:8" hidden="1" x14ac:dyDescent="0.3">
      <c r="A1043" s="28">
        <v>16509</v>
      </c>
      <c r="B1043" s="35">
        <v>45400.705555555556</v>
      </c>
      <c r="C1043" s="18">
        <v>45400</v>
      </c>
      <c r="D1043" t="s">
        <v>100</v>
      </c>
      <c r="E1043" s="32">
        <v>3455100</v>
      </c>
      <c r="F1043" s="32">
        <v>0</v>
      </c>
      <c r="G1043" s="32">
        <v>119486412</v>
      </c>
      <c r="H1043" t="s">
        <v>1909</v>
      </c>
    </row>
    <row r="1044" spans="1:8" hidden="1" x14ac:dyDescent="0.3">
      <c r="A1044" s="28">
        <v>16508</v>
      </c>
      <c r="B1044" s="35">
        <v>45400.677777777775</v>
      </c>
      <c r="C1044" s="18">
        <v>45400</v>
      </c>
      <c r="D1044" t="s">
        <v>100</v>
      </c>
      <c r="E1044" s="32">
        <v>5305300</v>
      </c>
      <c r="F1044" s="32">
        <v>0</v>
      </c>
      <c r="G1044" s="32">
        <v>116031312</v>
      </c>
      <c r="H1044" t="s">
        <v>1915</v>
      </c>
    </row>
    <row r="1045" spans="1:8" hidden="1" x14ac:dyDescent="0.3">
      <c r="A1045" s="28">
        <v>16507</v>
      </c>
      <c r="B1045" s="35">
        <v>45400.630555555559</v>
      </c>
      <c r="C1045" s="18">
        <v>45400</v>
      </c>
      <c r="D1045" t="s">
        <v>100</v>
      </c>
      <c r="E1045" s="32">
        <v>2696100</v>
      </c>
      <c r="F1045" s="32">
        <v>0</v>
      </c>
      <c r="G1045" s="32">
        <v>110726012</v>
      </c>
      <c r="H1045" t="s">
        <v>311</v>
      </c>
    </row>
    <row r="1046" spans="1:8" hidden="1" x14ac:dyDescent="0.3">
      <c r="A1046" s="28">
        <v>16506</v>
      </c>
      <c r="B1046" s="35">
        <v>45400.629861111112</v>
      </c>
      <c r="C1046" s="18">
        <v>45400</v>
      </c>
      <c r="D1046" t="s">
        <v>100</v>
      </c>
      <c r="E1046" s="32">
        <v>877800</v>
      </c>
      <c r="F1046" s="32">
        <v>0</v>
      </c>
      <c r="G1046" s="32">
        <v>108029912</v>
      </c>
      <c r="H1046" t="s">
        <v>311</v>
      </c>
    </row>
    <row r="1047" spans="1:8" hidden="1" x14ac:dyDescent="0.3">
      <c r="A1047" s="28">
        <v>16505</v>
      </c>
      <c r="B1047" s="35">
        <v>45400.488888888889</v>
      </c>
      <c r="C1047" s="18">
        <v>45400</v>
      </c>
      <c r="D1047" t="s">
        <v>100</v>
      </c>
      <c r="E1047" s="32">
        <v>147400</v>
      </c>
      <c r="F1047" s="32">
        <v>0</v>
      </c>
      <c r="G1047" s="32">
        <v>107152112</v>
      </c>
      <c r="H1047" t="s">
        <v>648</v>
      </c>
    </row>
    <row r="1048" spans="1:8" hidden="1" x14ac:dyDescent="0.3">
      <c r="A1048" s="28">
        <v>16503</v>
      </c>
      <c r="B1048" s="35">
        <v>45399.463888888888</v>
      </c>
      <c r="C1048" s="18">
        <v>45399</v>
      </c>
      <c r="D1048" t="s">
        <v>100</v>
      </c>
      <c r="E1048" s="32">
        <v>376200</v>
      </c>
      <c r="F1048" s="32">
        <v>0</v>
      </c>
      <c r="G1048" s="32">
        <v>107004712</v>
      </c>
      <c r="H1048" t="s">
        <v>329</v>
      </c>
    </row>
    <row r="1049" spans="1:8" hidden="1" x14ac:dyDescent="0.3">
      <c r="A1049" s="28">
        <v>16501</v>
      </c>
      <c r="B1049" s="35">
        <v>45399.40347222222</v>
      </c>
      <c r="C1049" s="18">
        <v>45399</v>
      </c>
      <c r="D1049" t="s">
        <v>101</v>
      </c>
      <c r="E1049" s="32">
        <v>0</v>
      </c>
      <c r="F1049" s="32">
        <v>27257540</v>
      </c>
      <c r="G1049" s="32">
        <v>106628512</v>
      </c>
      <c r="H1049" t="s">
        <v>258</v>
      </c>
    </row>
    <row r="1050" spans="1:8" hidden="1" x14ac:dyDescent="0.3">
      <c r="A1050" s="28">
        <v>16500</v>
      </c>
      <c r="B1050" s="35">
        <v>45399.402777777781</v>
      </c>
      <c r="C1050" s="18">
        <v>45399</v>
      </c>
      <c r="D1050" t="s">
        <v>101</v>
      </c>
      <c r="E1050" s="32">
        <v>0</v>
      </c>
      <c r="F1050" s="32">
        <v>18231410</v>
      </c>
      <c r="G1050" s="32">
        <v>133886052</v>
      </c>
      <c r="H1050" t="s">
        <v>258</v>
      </c>
    </row>
    <row r="1051" spans="1:8" hidden="1" x14ac:dyDescent="0.3">
      <c r="A1051" s="28">
        <v>16495</v>
      </c>
      <c r="B1051" s="35">
        <v>45398.793055555558</v>
      </c>
      <c r="C1051" s="18">
        <v>45398</v>
      </c>
      <c r="D1051" t="s">
        <v>101</v>
      </c>
      <c r="E1051" s="32">
        <v>0</v>
      </c>
      <c r="F1051" s="32">
        <v>401770</v>
      </c>
      <c r="G1051" s="32">
        <v>152117462</v>
      </c>
      <c r="H1051" t="s">
        <v>296</v>
      </c>
    </row>
    <row r="1052" spans="1:8" hidden="1" x14ac:dyDescent="0.3">
      <c r="A1052" s="28">
        <v>16494</v>
      </c>
      <c r="B1052" s="35">
        <v>45398.793055555558</v>
      </c>
      <c r="C1052" s="18">
        <v>45398</v>
      </c>
      <c r="D1052" t="s">
        <v>101</v>
      </c>
      <c r="E1052" s="32">
        <v>0</v>
      </c>
      <c r="F1052" s="32">
        <v>369820</v>
      </c>
      <c r="G1052" s="32">
        <v>152519232</v>
      </c>
      <c r="H1052" t="s">
        <v>296</v>
      </c>
    </row>
    <row r="1053" spans="1:8" hidden="1" x14ac:dyDescent="0.3">
      <c r="A1053" s="28">
        <v>16493</v>
      </c>
      <c r="B1053" s="35">
        <v>45398.793055555558</v>
      </c>
      <c r="C1053" s="18">
        <v>45398</v>
      </c>
      <c r="D1053" t="s">
        <v>101</v>
      </c>
      <c r="E1053" s="32">
        <v>0</v>
      </c>
      <c r="F1053" s="32">
        <v>500000</v>
      </c>
      <c r="G1053" s="32">
        <v>152889052</v>
      </c>
      <c r="H1053" t="s">
        <v>296</v>
      </c>
    </row>
    <row r="1054" spans="1:8" hidden="1" x14ac:dyDescent="0.3">
      <c r="A1054" s="28">
        <v>16492</v>
      </c>
      <c r="B1054" s="35">
        <v>45398.793055555558</v>
      </c>
      <c r="C1054" s="18">
        <v>45398</v>
      </c>
      <c r="D1054" t="s">
        <v>101</v>
      </c>
      <c r="E1054" s="32">
        <v>0</v>
      </c>
      <c r="F1054" s="32">
        <v>872690</v>
      </c>
      <c r="G1054" s="32">
        <v>153389052</v>
      </c>
      <c r="H1054" t="s">
        <v>296</v>
      </c>
    </row>
    <row r="1055" spans="1:8" hidden="1" x14ac:dyDescent="0.3">
      <c r="A1055" s="28">
        <v>16491</v>
      </c>
      <c r="B1055" s="35">
        <v>45398.640972222223</v>
      </c>
      <c r="C1055" s="18">
        <v>45398</v>
      </c>
      <c r="D1055" t="s">
        <v>100</v>
      </c>
      <c r="E1055" s="32">
        <v>210100</v>
      </c>
      <c r="F1055" s="32">
        <v>0</v>
      </c>
      <c r="G1055" s="32">
        <v>154261742</v>
      </c>
      <c r="H1055" t="s">
        <v>1916</v>
      </c>
    </row>
    <row r="1056" spans="1:8" hidden="1" x14ac:dyDescent="0.3">
      <c r="A1056" s="28">
        <v>16489</v>
      </c>
      <c r="B1056" s="35">
        <v>45398.611111111109</v>
      </c>
      <c r="C1056" s="18">
        <v>45398</v>
      </c>
      <c r="D1056" t="s">
        <v>100</v>
      </c>
      <c r="E1056" s="32">
        <v>9869200</v>
      </c>
      <c r="F1056" s="32">
        <v>0</v>
      </c>
      <c r="G1056" s="32">
        <v>154051642</v>
      </c>
      <c r="H1056" t="s">
        <v>374</v>
      </c>
    </row>
    <row r="1057" spans="1:8" hidden="1" x14ac:dyDescent="0.3">
      <c r="A1057" s="28">
        <v>16486</v>
      </c>
      <c r="B1057" s="35">
        <v>45398.377083333333</v>
      </c>
      <c r="C1057" s="18">
        <v>45398</v>
      </c>
      <c r="D1057" t="s">
        <v>100</v>
      </c>
      <c r="E1057" s="32">
        <v>478500</v>
      </c>
      <c r="F1057" s="32">
        <v>0</v>
      </c>
      <c r="G1057" s="32">
        <v>144182442</v>
      </c>
      <c r="H1057" t="s">
        <v>1917</v>
      </c>
    </row>
    <row r="1058" spans="1:8" hidden="1" x14ac:dyDescent="0.3">
      <c r="A1058" s="28">
        <v>16485</v>
      </c>
      <c r="B1058" s="35">
        <v>45398.374305555553</v>
      </c>
      <c r="C1058" s="18">
        <v>45398</v>
      </c>
      <c r="D1058" t="s">
        <v>100</v>
      </c>
      <c r="E1058" s="32">
        <v>290400</v>
      </c>
      <c r="F1058" s="32">
        <v>0</v>
      </c>
      <c r="G1058" s="32">
        <v>143703942</v>
      </c>
      <c r="H1058" t="s">
        <v>311</v>
      </c>
    </row>
    <row r="1059" spans="1:8" hidden="1" x14ac:dyDescent="0.3">
      <c r="A1059" s="28">
        <v>16484</v>
      </c>
      <c r="B1059" s="35">
        <v>45398.374305555553</v>
      </c>
      <c r="C1059" s="18">
        <v>45398</v>
      </c>
      <c r="D1059" t="s">
        <v>100</v>
      </c>
      <c r="E1059" s="32">
        <v>1387100</v>
      </c>
      <c r="F1059" s="32">
        <v>0</v>
      </c>
      <c r="G1059" s="32">
        <v>143413542</v>
      </c>
      <c r="H1059" t="s">
        <v>311</v>
      </c>
    </row>
    <row r="1060" spans="1:8" hidden="1" x14ac:dyDescent="0.3">
      <c r="A1060" s="28">
        <v>16483</v>
      </c>
      <c r="B1060" s="35">
        <v>45397.863888888889</v>
      </c>
      <c r="C1060" s="18">
        <v>45397</v>
      </c>
      <c r="D1060" t="s">
        <v>101</v>
      </c>
      <c r="E1060" s="32">
        <v>0</v>
      </c>
      <c r="F1060" s="32">
        <v>276600</v>
      </c>
      <c r="G1060" s="32">
        <v>142026442</v>
      </c>
      <c r="H1060" t="s">
        <v>300</v>
      </c>
    </row>
    <row r="1061" spans="1:8" hidden="1" x14ac:dyDescent="0.3">
      <c r="A1061" s="28">
        <v>16482</v>
      </c>
      <c r="B1061" s="35">
        <v>45397.80972222222</v>
      </c>
      <c r="C1061" s="18">
        <v>45397</v>
      </c>
      <c r="D1061" t="s">
        <v>101</v>
      </c>
      <c r="E1061" s="32">
        <v>0</v>
      </c>
      <c r="F1061" s="32">
        <v>99000</v>
      </c>
      <c r="G1061" s="32">
        <v>142303042</v>
      </c>
      <c r="H1061" t="s">
        <v>301</v>
      </c>
    </row>
    <row r="1062" spans="1:8" hidden="1" x14ac:dyDescent="0.3">
      <c r="A1062" s="28">
        <v>16481</v>
      </c>
      <c r="B1062" s="35">
        <v>45397.806250000001</v>
      </c>
      <c r="C1062" s="18">
        <v>45397</v>
      </c>
      <c r="D1062" t="s">
        <v>101</v>
      </c>
      <c r="E1062" s="32">
        <v>0</v>
      </c>
      <c r="F1062" s="32">
        <v>352912</v>
      </c>
      <c r="G1062" s="32">
        <v>142402042</v>
      </c>
      <c r="H1062" t="s">
        <v>302</v>
      </c>
    </row>
    <row r="1063" spans="1:8" hidden="1" x14ac:dyDescent="0.3">
      <c r="A1063" s="28">
        <v>16480</v>
      </c>
      <c r="B1063" s="35">
        <v>45397.801388888889</v>
      </c>
      <c r="C1063" s="18">
        <v>45397</v>
      </c>
      <c r="D1063" t="s">
        <v>101</v>
      </c>
      <c r="E1063" s="32">
        <v>0</v>
      </c>
      <c r="F1063" s="32">
        <v>684420</v>
      </c>
      <c r="G1063" s="32">
        <v>142754954</v>
      </c>
      <c r="H1063" t="s">
        <v>239</v>
      </c>
    </row>
    <row r="1064" spans="1:8" hidden="1" x14ac:dyDescent="0.3">
      <c r="A1064" s="28">
        <v>16478</v>
      </c>
      <c r="B1064" s="35">
        <v>45397.779166666667</v>
      </c>
      <c r="C1064" s="18">
        <v>45397</v>
      </c>
      <c r="D1064" t="s">
        <v>101</v>
      </c>
      <c r="E1064" s="32">
        <v>0</v>
      </c>
      <c r="F1064" s="32">
        <v>19586850</v>
      </c>
      <c r="G1064" s="32">
        <v>143439374</v>
      </c>
      <c r="H1064" t="s">
        <v>303</v>
      </c>
    </row>
    <row r="1065" spans="1:8" hidden="1" x14ac:dyDescent="0.3">
      <c r="A1065" s="28">
        <v>16477</v>
      </c>
      <c r="B1065" s="35">
        <v>45397.732638888891</v>
      </c>
      <c r="C1065" s="18">
        <v>45397</v>
      </c>
      <c r="D1065" t="s">
        <v>101</v>
      </c>
      <c r="E1065" s="32">
        <v>0</v>
      </c>
      <c r="F1065" s="32">
        <v>1815000</v>
      </c>
      <c r="G1065" s="32">
        <v>163026224</v>
      </c>
      <c r="H1065" t="s">
        <v>1918</v>
      </c>
    </row>
    <row r="1066" spans="1:8" hidden="1" x14ac:dyDescent="0.3">
      <c r="A1066" s="28">
        <v>16476</v>
      </c>
      <c r="B1066" s="35">
        <v>45397.727083333331</v>
      </c>
      <c r="C1066" s="18">
        <v>45397</v>
      </c>
      <c r="D1066" t="s">
        <v>100</v>
      </c>
      <c r="E1066" s="32">
        <v>7323800</v>
      </c>
      <c r="F1066" s="32">
        <v>0</v>
      </c>
      <c r="G1066" s="32">
        <v>164841224</v>
      </c>
      <c r="H1066" t="s">
        <v>297</v>
      </c>
    </row>
    <row r="1067" spans="1:8" hidden="1" x14ac:dyDescent="0.3">
      <c r="A1067" s="28">
        <v>16475</v>
      </c>
      <c r="B1067" s="35">
        <v>45397.722916666666</v>
      </c>
      <c r="C1067" s="18">
        <v>45397</v>
      </c>
      <c r="D1067" t="s">
        <v>100</v>
      </c>
      <c r="E1067" s="32">
        <v>1250700</v>
      </c>
      <c r="F1067" s="32">
        <v>0</v>
      </c>
      <c r="G1067" s="32">
        <v>157517424</v>
      </c>
      <c r="H1067" t="s">
        <v>382</v>
      </c>
    </row>
    <row r="1068" spans="1:8" hidden="1" x14ac:dyDescent="0.3">
      <c r="A1068" s="28">
        <v>16474</v>
      </c>
      <c r="B1068" s="35">
        <v>45397.63958333333</v>
      </c>
      <c r="C1068" s="18">
        <v>45397</v>
      </c>
      <c r="D1068" t="s">
        <v>100</v>
      </c>
      <c r="E1068" s="32">
        <v>1212200</v>
      </c>
      <c r="F1068" s="32">
        <v>0</v>
      </c>
      <c r="G1068" s="32">
        <v>156266724</v>
      </c>
      <c r="H1068" t="s">
        <v>610</v>
      </c>
    </row>
    <row r="1069" spans="1:8" hidden="1" x14ac:dyDescent="0.3">
      <c r="A1069" s="28">
        <v>16473</v>
      </c>
      <c r="B1069" s="35">
        <v>45397.613888888889</v>
      </c>
      <c r="C1069" s="18">
        <v>45397</v>
      </c>
      <c r="D1069" t="s">
        <v>100</v>
      </c>
      <c r="E1069" s="32">
        <v>194700</v>
      </c>
      <c r="F1069" s="32">
        <v>0</v>
      </c>
      <c r="G1069" s="32">
        <v>155054524</v>
      </c>
      <c r="H1069" t="s">
        <v>252</v>
      </c>
    </row>
    <row r="1070" spans="1:8" hidden="1" x14ac:dyDescent="0.3">
      <c r="A1070" s="28">
        <v>16467</v>
      </c>
      <c r="B1070" s="35">
        <v>45397.479166666664</v>
      </c>
      <c r="C1070" s="18">
        <v>45397</v>
      </c>
      <c r="D1070" t="s">
        <v>100</v>
      </c>
      <c r="E1070" s="32">
        <v>99000</v>
      </c>
      <c r="F1070" s="32">
        <v>0</v>
      </c>
      <c r="G1070" s="32">
        <v>154859824</v>
      </c>
      <c r="H1070" t="s">
        <v>365</v>
      </c>
    </row>
    <row r="1071" spans="1:8" hidden="1" x14ac:dyDescent="0.3">
      <c r="A1071" s="28">
        <v>16466</v>
      </c>
      <c r="B1071" s="35">
        <v>45397.468055555553</v>
      </c>
      <c r="C1071" s="18">
        <v>45397</v>
      </c>
      <c r="D1071" t="s">
        <v>100</v>
      </c>
      <c r="E1071" s="32">
        <v>127600</v>
      </c>
      <c r="F1071" s="32">
        <v>0</v>
      </c>
      <c r="G1071" s="32">
        <v>154760824</v>
      </c>
      <c r="H1071" t="s">
        <v>539</v>
      </c>
    </row>
    <row r="1072" spans="1:8" hidden="1" x14ac:dyDescent="0.3">
      <c r="A1072" s="28">
        <v>16462</v>
      </c>
      <c r="B1072" s="35">
        <v>45397.431944444441</v>
      </c>
      <c r="C1072" s="18">
        <v>45397</v>
      </c>
      <c r="D1072" t="s">
        <v>100</v>
      </c>
      <c r="E1072" s="32">
        <v>7752800</v>
      </c>
      <c r="F1072" s="32">
        <v>0</v>
      </c>
      <c r="G1072" s="32">
        <v>154633224</v>
      </c>
      <c r="H1072" t="s">
        <v>306</v>
      </c>
    </row>
    <row r="1073" spans="1:8" hidden="1" x14ac:dyDescent="0.3">
      <c r="A1073" s="28">
        <v>16461</v>
      </c>
      <c r="B1073" s="35">
        <v>45397.376388888886</v>
      </c>
      <c r="C1073" s="18">
        <v>45397</v>
      </c>
      <c r="D1073" t="s">
        <v>100</v>
      </c>
      <c r="E1073" s="32">
        <v>1052700</v>
      </c>
      <c r="F1073" s="32">
        <v>0</v>
      </c>
      <c r="G1073" s="32">
        <v>146880424</v>
      </c>
      <c r="H1073" t="s">
        <v>307</v>
      </c>
    </row>
    <row r="1074" spans="1:8" hidden="1" x14ac:dyDescent="0.3">
      <c r="A1074" s="28">
        <v>16460</v>
      </c>
      <c r="B1074" s="35">
        <v>45394.681944444441</v>
      </c>
      <c r="C1074" s="18">
        <v>45394</v>
      </c>
      <c r="D1074" t="s">
        <v>101</v>
      </c>
      <c r="E1074" s="32">
        <v>0</v>
      </c>
      <c r="F1074" s="32">
        <v>572765</v>
      </c>
      <c r="G1074" s="32">
        <v>145827724</v>
      </c>
      <c r="H1074" t="s">
        <v>221</v>
      </c>
    </row>
    <row r="1075" spans="1:8" hidden="1" x14ac:dyDescent="0.3">
      <c r="A1075" s="28">
        <v>16459</v>
      </c>
      <c r="B1075" s="35">
        <v>45394.664583333331</v>
      </c>
      <c r="C1075" s="18">
        <v>45394</v>
      </c>
      <c r="D1075" t="s">
        <v>101</v>
      </c>
      <c r="E1075" s="32">
        <v>0</v>
      </c>
      <c r="F1075" s="32">
        <v>521407</v>
      </c>
      <c r="G1075" s="32">
        <v>146400489</v>
      </c>
      <c r="H1075" t="s">
        <v>221</v>
      </c>
    </row>
    <row r="1076" spans="1:8" hidden="1" x14ac:dyDescent="0.3">
      <c r="A1076" s="28">
        <v>16458</v>
      </c>
      <c r="B1076" s="35">
        <v>45394.590277777781</v>
      </c>
      <c r="C1076" s="18">
        <v>45394</v>
      </c>
      <c r="D1076" t="s">
        <v>100</v>
      </c>
      <c r="E1076" s="32">
        <v>1167100</v>
      </c>
      <c r="F1076" s="32">
        <v>0</v>
      </c>
      <c r="G1076" s="32">
        <v>146921896</v>
      </c>
      <c r="H1076" t="s">
        <v>309</v>
      </c>
    </row>
    <row r="1077" spans="1:8" hidden="1" x14ac:dyDescent="0.3">
      <c r="A1077" s="28">
        <v>16457</v>
      </c>
      <c r="B1077" s="35">
        <v>45394.496527777781</v>
      </c>
      <c r="C1077" s="18">
        <v>45394</v>
      </c>
      <c r="D1077" t="s">
        <v>100</v>
      </c>
      <c r="E1077" s="32">
        <v>2645500</v>
      </c>
      <c r="F1077" s="32">
        <v>0</v>
      </c>
      <c r="G1077" s="32">
        <v>145754796</v>
      </c>
      <c r="H1077" t="s">
        <v>1919</v>
      </c>
    </row>
    <row r="1078" spans="1:8" hidden="1" x14ac:dyDescent="0.3">
      <c r="A1078" s="28">
        <v>16456</v>
      </c>
      <c r="B1078" s="35">
        <v>45394.447222222225</v>
      </c>
      <c r="C1078" s="18">
        <v>45394</v>
      </c>
      <c r="D1078" t="s">
        <v>100</v>
      </c>
      <c r="E1078" s="32">
        <v>3952300</v>
      </c>
      <c r="F1078" s="32">
        <v>0</v>
      </c>
      <c r="G1078" s="32">
        <v>143109296</v>
      </c>
      <c r="H1078" t="s">
        <v>311</v>
      </c>
    </row>
    <row r="1079" spans="1:8" hidden="1" x14ac:dyDescent="0.3">
      <c r="A1079" s="28">
        <v>16455</v>
      </c>
      <c r="B1079" s="35">
        <v>45394.438888888886</v>
      </c>
      <c r="C1079" s="18">
        <v>45394</v>
      </c>
      <c r="D1079" t="s">
        <v>101</v>
      </c>
      <c r="E1079" s="32">
        <v>0</v>
      </c>
      <c r="F1079" s="32">
        <v>83500</v>
      </c>
      <c r="G1079" s="32">
        <v>139156996</v>
      </c>
      <c r="H1079" t="s">
        <v>1920</v>
      </c>
    </row>
    <row r="1080" spans="1:8" hidden="1" x14ac:dyDescent="0.3">
      <c r="A1080" s="28">
        <v>16454</v>
      </c>
      <c r="B1080" s="35">
        <v>45394.415277777778</v>
      </c>
      <c r="C1080" s="18">
        <v>45394</v>
      </c>
      <c r="D1080" t="s">
        <v>100</v>
      </c>
      <c r="E1080" s="32">
        <v>996600</v>
      </c>
      <c r="F1080" s="32">
        <v>0</v>
      </c>
      <c r="G1080" s="32">
        <v>139240496</v>
      </c>
      <c r="H1080" t="s">
        <v>395</v>
      </c>
    </row>
    <row r="1081" spans="1:8" hidden="1" x14ac:dyDescent="0.3">
      <c r="A1081" s="28">
        <v>16453</v>
      </c>
      <c r="B1081" s="35">
        <v>45393.834722222222</v>
      </c>
      <c r="C1081" s="18">
        <v>45393</v>
      </c>
      <c r="D1081" t="s">
        <v>101</v>
      </c>
      <c r="E1081" s="32">
        <v>0</v>
      </c>
      <c r="F1081" s="32">
        <v>57500</v>
      </c>
      <c r="G1081" s="32">
        <v>138243896</v>
      </c>
      <c r="H1081" t="s">
        <v>222</v>
      </c>
    </row>
    <row r="1082" spans="1:8" hidden="1" x14ac:dyDescent="0.3">
      <c r="A1082" s="28">
        <v>16448</v>
      </c>
      <c r="B1082" s="35">
        <v>45393.695138888892</v>
      </c>
      <c r="C1082" s="18">
        <v>45393</v>
      </c>
      <c r="D1082" t="s">
        <v>100</v>
      </c>
      <c r="E1082" s="32">
        <v>2861100</v>
      </c>
      <c r="F1082" s="32">
        <v>0</v>
      </c>
      <c r="G1082" s="32">
        <v>138301396</v>
      </c>
      <c r="H1082" t="s">
        <v>1871</v>
      </c>
    </row>
    <row r="1083" spans="1:8" hidden="1" x14ac:dyDescent="0.3">
      <c r="A1083" s="28">
        <v>16447</v>
      </c>
      <c r="B1083" s="35">
        <v>45393.695138888892</v>
      </c>
      <c r="C1083" s="18">
        <v>45393</v>
      </c>
      <c r="D1083" t="s">
        <v>100</v>
      </c>
      <c r="E1083" s="32">
        <v>617100</v>
      </c>
      <c r="F1083" s="32">
        <v>0</v>
      </c>
      <c r="G1083" s="32">
        <v>135440296</v>
      </c>
      <c r="H1083" t="s">
        <v>1871</v>
      </c>
    </row>
    <row r="1084" spans="1:8" hidden="1" x14ac:dyDescent="0.3">
      <c r="A1084" s="28">
        <v>16446</v>
      </c>
      <c r="B1084" s="35">
        <v>45393.695138888892</v>
      </c>
      <c r="C1084" s="18">
        <v>45393</v>
      </c>
      <c r="D1084" t="s">
        <v>100</v>
      </c>
      <c r="E1084" s="32">
        <v>1541100</v>
      </c>
      <c r="F1084" s="32">
        <v>0</v>
      </c>
      <c r="G1084" s="32">
        <v>134823196</v>
      </c>
      <c r="H1084" t="s">
        <v>1871</v>
      </c>
    </row>
    <row r="1085" spans="1:8" hidden="1" x14ac:dyDescent="0.3">
      <c r="A1085" s="28">
        <v>16445</v>
      </c>
      <c r="B1085" s="35">
        <v>45393.65347222222</v>
      </c>
      <c r="C1085" s="18">
        <v>45393</v>
      </c>
      <c r="D1085" t="s">
        <v>100</v>
      </c>
      <c r="E1085" s="32">
        <v>35010</v>
      </c>
      <c r="F1085" s="32">
        <v>0</v>
      </c>
      <c r="G1085" s="32">
        <v>133282096</v>
      </c>
      <c r="H1085" t="s">
        <v>1921</v>
      </c>
    </row>
    <row r="1086" spans="1:8" hidden="1" x14ac:dyDescent="0.3">
      <c r="A1086" s="28">
        <v>16443</v>
      </c>
      <c r="B1086" s="35">
        <v>45393.507638888892</v>
      </c>
      <c r="C1086" s="18">
        <v>45393</v>
      </c>
      <c r="D1086" t="s">
        <v>100</v>
      </c>
      <c r="E1086" s="32">
        <v>26389790</v>
      </c>
      <c r="F1086" s="32">
        <v>0</v>
      </c>
      <c r="G1086" s="32">
        <v>133247086</v>
      </c>
      <c r="H1086" t="s">
        <v>284</v>
      </c>
    </row>
    <row r="1087" spans="1:8" hidden="1" x14ac:dyDescent="0.3">
      <c r="A1087" s="28">
        <v>16441</v>
      </c>
      <c r="B1087" s="35">
        <v>45393.431944444441</v>
      </c>
      <c r="C1087" s="18">
        <v>45393</v>
      </c>
      <c r="D1087" t="s">
        <v>101</v>
      </c>
      <c r="E1087" s="32">
        <v>0</v>
      </c>
      <c r="F1087" s="32">
        <v>506502</v>
      </c>
      <c r="G1087" s="32">
        <v>106857296</v>
      </c>
      <c r="H1087" t="s">
        <v>226</v>
      </c>
    </row>
    <row r="1088" spans="1:8" hidden="1" x14ac:dyDescent="0.3">
      <c r="A1088" s="28">
        <v>16440</v>
      </c>
      <c r="B1088" s="35">
        <v>45392.501388888886</v>
      </c>
      <c r="C1088" s="18">
        <v>45392</v>
      </c>
      <c r="D1088" t="s">
        <v>100</v>
      </c>
      <c r="E1088" s="32">
        <v>1157200</v>
      </c>
      <c r="F1088" s="32">
        <v>0</v>
      </c>
      <c r="G1088" s="32">
        <v>107363798</v>
      </c>
      <c r="H1088" t="s">
        <v>223</v>
      </c>
    </row>
    <row r="1089" spans="1:8" hidden="1" x14ac:dyDescent="0.3">
      <c r="A1089" s="28">
        <v>16439</v>
      </c>
      <c r="B1089" s="35">
        <v>45391.695138888892</v>
      </c>
      <c r="C1089" s="18">
        <v>45391</v>
      </c>
      <c r="D1089" t="s">
        <v>101</v>
      </c>
      <c r="E1089" s="32">
        <v>0</v>
      </c>
      <c r="F1089" s="32">
        <v>99000</v>
      </c>
      <c r="G1089" s="32">
        <v>106206598</v>
      </c>
      <c r="H1089" t="s">
        <v>1922</v>
      </c>
    </row>
    <row r="1090" spans="1:8" hidden="1" x14ac:dyDescent="0.3">
      <c r="A1090" s="28">
        <v>16438</v>
      </c>
      <c r="B1090" s="35">
        <v>45391.595138888886</v>
      </c>
      <c r="C1090" s="18">
        <v>45391</v>
      </c>
      <c r="D1090" t="s">
        <v>100</v>
      </c>
      <c r="E1090" s="32">
        <v>2797300</v>
      </c>
      <c r="F1090" s="32">
        <v>0</v>
      </c>
      <c r="G1090" s="32">
        <v>106305598</v>
      </c>
      <c r="H1090" t="s">
        <v>602</v>
      </c>
    </row>
    <row r="1091" spans="1:8" hidden="1" x14ac:dyDescent="0.3">
      <c r="A1091" s="28">
        <v>16437</v>
      </c>
      <c r="B1091" s="35">
        <v>45391.593055555553</v>
      </c>
      <c r="C1091" s="18">
        <v>45391</v>
      </c>
      <c r="D1091" t="s">
        <v>100</v>
      </c>
      <c r="E1091" s="32">
        <v>727100</v>
      </c>
      <c r="F1091" s="32">
        <v>0</v>
      </c>
      <c r="G1091" s="32">
        <v>103508298</v>
      </c>
      <c r="H1091" t="s">
        <v>1914</v>
      </c>
    </row>
    <row r="1092" spans="1:8" hidden="1" x14ac:dyDescent="0.3">
      <c r="A1092" s="28">
        <v>16436</v>
      </c>
      <c r="B1092" s="35">
        <v>45391.589583333334</v>
      </c>
      <c r="C1092" s="18">
        <v>45391</v>
      </c>
      <c r="D1092" t="s">
        <v>101</v>
      </c>
      <c r="E1092" s="32">
        <v>0</v>
      </c>
      <c r="F1092" s="32">
        <v>32230</v>
      </c>
      <c r="G1092" s="32">
        <v>102781198</v>
      </c>
      <c r="H1092" t="s">
        <v>280</v>
      </c>
    </row>
    <row r="1093" spans="1:8" hidden="1" x14ac:dyDescent="0.3">
      <c r="A1093" s="28">
        <v>16435</v>
      </c>
      <c r="B1093" s="35">
        <v>45391.572222222225</v>
      </c>
      <c r="C1093" s="18">
        <v>45391</v>
      </c>
      <c r="D1093" t="s">
        <v>101</v>
      </c>
      <c r="E1093" s="32">
        <v>0</v>
      </c>
      <c r="F1093" s="32">
        <v>20000</v>
      </c>
      <c r="G1093" s="32">
        <v>102813428</v>
      </c>
      <c r="H1093" t="s">
        <v>1923</v>
      </c>
    </row>
    <row r="1094" spans="1:8" hidden="1" x14ac:dyDescent="0.3">
      <c r="A1094" s="28">
        <v>16434</v>
      </c>
      <c r="B1094" s="35">
        <v>45391.472916666666</v>
      </c>
      <c r="C1094" s="18">
        <v>45391</v>
      </c>
      <c r="D1094" t="s">
        <v>101</v>
      </c>
      <c r="E1094" s="32">
        <v>0</v>
      </c>
      <c r="F1094" s="32">
        <v>55440</v>
      </c>
      <c r="G1094" s="32">
        <v>102833428</v>
      </c>
      <c r="H1094" t="s">
        <v>293</v>
      </c>
    </row>
    <row r="1095" spans="1:8" hidden="1" x14ac:dyDescent="0.3">
      <c r="A1095" s="28">
        <v>16431</v>
      </c>
      <c r="B1095" s="35">
        <v>45390.722916666666</v>
      </c>
      <c r="C1095" s="18">
        <v>45390</v>
      </c>
      <c r="D1095" t="s">
        <v>101</v>
      </c>
      <c r="E1095" s="32">
        <v>0</v>
      </c>
      <c r="F1095" s="32">
        <v>71890</v>
      </c>
      <c r="G1095" s="32">
        <v>102888868</v>
      </c>
      <c r="H1095" t="s">
        <v>1924</v>
      </c>
    </row>
    <row r="1096" spans="1:8" hidden="1" x14ac:dyDescent="0.3">
      <c r="A1096" s="28">
        <v>16430</v>
      </c>
      <c r="B1096" s="35">
        <v>45390.679166666669</v>
      </c>
      <c r="C1096" s="18">
        <v>45390</v>
      </c>
      <c r="D1096" t="s">
        <v>101</v>
      </c>
      <c r="E1096" s="32">
        <v>0</v>
      </c>
      <c r="F1096" s="32">
        <v>48240</v>
      </c>
      <c r="G1096" s="32">
        <v>102960758</v>
      </c>
      <c r="H1096" t="s">
        <v>385</v>
      </c>
    </row>
    <row r="1097" spans="1:8" hidden="1" x14ac:dyDescent="0.3">
      <c r="A1097" s="28">
        <v>16429</v>
      </c>
      <c r="B1097" s="35">
        <v>45390.633333333331</v>
      </c>
      <c r="C1097" s="18">
        <v>45390</v>
      </c>
      <c r="D1097" t="s">
        <v>100</v>
      </c>
      <c r="E1097" s="32">
        <v>200200</v>
      </c>
      <c r="F1097" s="32">
        <v>0</v>
      </c>
      <c r="G1097" s="32">
        <v>103008998</v>
      </c>
      <c r="H1097" t="s">
        <v>409</v>
      </c>
    </row>
    <row r="1098" spans="1:8" hidden="1" x14ac:dyDescent="0.3">
      <c r="A1098" s="28">
        <v>16428</v>
      </c>
      <c r="B1098" s="35">
        <v>45390.579861111109</v>
      </c>
      <c r="C1098" s="18">
        <v>45390</v>
      </c>
      <c r="D1098" t="s">
        <v>100</v>
      </c>
      <c r="E1098" s="32">
        <v>284900</v>
      </c>
      <c r="F1098" s="32">
        <v>0</v>
      </c>
      <c r="G1098" s="32">
        <v>102808798</v>
      </c>
      <c r="H1098" t="s">
        <v>365</v>
      </c>
    </row>
    <row r="1099" spans="1:8" hidden="1" x14ac:dyDescent="0.3">
      <c r="A1099" s="28">
        <v>16426</v>
      </c>
      <c r="B1099" s="35">
        <v>45387.831944444442</v>
      </c>
      <c r="C1099" s="18">
        <v>45387</v>
      </c>
      <c r="D1099" t="s">
        <v>101</v>
      </c>
      <c r="E1099" s="32">
        <v>0</v>
      </c>
      <c r="F1099" s="32">
        <v>626472</v>
      </c>
      <c r="G1099" s="32">
        <v>102523898</v>
      </c>
      <c r="H1099" t="s">
        <v>1925</v>
      </c>
    </row>
    <row r="1100" spans="1:8" hidden="1" x14ac:dyDescent="0.3">
      <c r="A1100" s="28">
        <v>16425</v>
      </c>
      <c r="B1100" s="35">
        <v>45387.79791666667</v>
      </c>
      <c r="C1100" s="18">
        <v>45387</v>
      </c>
      <c r="D1100" t="s">
        <v>101</v>
      </c>
      <c r="E1100" s="32">
        <v>0</v>
      </c>
      <c r="F1100" s="32">
        <v>711920</v>
      </c>
      <c r="G1100" s="32">
        <v>103150370</v>
      </c>
      <c r="H1100" t="s">
        <v>239</v>
      </c>
    </row>
    <row r="1101" spans="1:8" hidden="1" x14ac:dyDescent="0.3">
      <c r="A1101" s="28">
        <v>16423</v>
      </c>
      <c r="B1101" s="35">
        <v>45387.693055555559</v>
      </c>
      <c r="C1101" s="18">
        <v>45387</v>
      </c>
      <c r="D1101" t="s">
        <v>100</v>
      </c>
      <c r="E1101" s="32">
        <v>2218700</v>
      </c>
      <c r="F1101" s="32">
        <v>0</v>
      </c>
      <c r="G1101" s="32">
        <v>103862290</v>
      </c>
      <c r="H1101" t="s">
        <v>297</v>
      </c>
    </row>
    <row r="1102" spans="1:8" hidden="1" x14ac:dyDescent="0.3">
      <c r="A1102" s="28">
        <v>16422</v>
      </c>
      <c r="B1102" s="35">
        <v>45387.664583333331</v>
      </c>
      <c r="C1102" s="18">
        <v>45387</v>
      </c>
      <c r="D1102" t="s">
        <v>101</v>
      </c>
      <c r="E1102" s="32">
        <v>0</v>
      </c>
      <c r="F1102" s="32">
        <v>1290940</v>
      </c>
      <c r="G1102" s="32">
        <v>101643590</v>
      </c>
      <c r="H1102" t="s">
        <v>319</v>
      </c>
    </row>
    <row r="1103" spans="1:8" hidden="1" x14ac:dyDescent="0.3">
      <c r="A1103" s="28">
        <v>16421</v>
      </c>
      <c r="B1103" s="35">
        <v>45387.62222222222</v>
      </c>
      <c r="C1103" s="18">
        <v>45387</v>
      </c>
      <c r="D1103" t="s">
        <v>100</v>
      </c>
      <c r="E1103" s="32">
        <v>408100</v>
      </c>
      <c r="F1103" s="32">
        <v>0</v>
      </c>
      <c r="G1103" s="32">
        <v>102934530</v>
      </c>
      <c r="H1103" t="s">
        <v>318</v>
      </c>
    </row>
    <row r="1104" spans="1:8" hidden="1" x14ac:dyDescent="0.3">
      <c r="A1104" s="28">
        <v>16419</v>
      </c>
      <c r="B1104" s="35">
        <v>45387.554166666669</v>
      </c>
      <c r="C1104" s="18">
        <v>45387</v>
      </c>
      <c r="D1104" t="s">
        <v>100</v>
      </c>
      <c r="E1104" s="32">
        <v>221100</v>
      </c>
      <c r="F1104" s="32">
        <v>0</v>
      </c>
      <c r="G1104" s="32">
        <v>102526430</v>
      </c>
      <c r="H1104" t="s">
        <v>365</v>
      </c>
    </row>
    <row r="1105" spans="1:8" hidden="1" x14ac:dyDescent="0.3">
      <c r="A1105" s="28">
        <v>16417</v>
      </c>
      <c r="B1105" s="35">
        <v>45387.459722222222</v>
      </c>
      <c r="C1105" s="18">
        <v>45387</v>
      </c>
      <c r="D1105" t="s">
        <v>100</v>
      </c>
      <c r="E1105" s="32">
        <v>172700</v>
      </c>
      <c r="F1105" s="32">
        <v>0</v>
      </c>
      <c r="G1105" s="32">
        <v>102305330</v>
      </c>
      <c r="H1105" t="s">
        <v>329</v>
      </c>
    </row>
    <row r="1106" spans="1:8" hidden="1" x14ac:dyDescent="0.3">
      <c r="A1106" s="28">
        <v>16416</v>
      </c>
      <c r="B1106" s="35">
        <v>45387.418749999997</v>
      </c>
      <c r="C1106" s="18">
        <v>45387</v>
      </c>
      <c r="D1106" t="s">
        <v>100</v>
      </c>
      <c r="E1106" s="32">
        <v>4247100</v>
      </c>
      <c r="F1106" s="32">
        <v>0</v>
      </c>
      <c r="G1106" s="32">
        <v>102132630</v>
      </c>
      <c r="H1106" t="s">
        <v>1926</v>
      </c>
    </row>
    <row r="1107" spans="1:8" hidden="1" x14ac:dyDescent="0.3">
      <c r="A1107" s="28">
        <v>16415</v>
      </c>
      <c r="B1107" s="35">
        <v>45387.379861111112</v>
      </c>
      <c r="C1107" s="18">
        <v>45387</v>
      </c>
      <c r="D1107" t="s">
        <v>100</v>
      </c>
      <c r="E1107" s="32">
        <v>766700</v>
      </c>
      <c r="F1107" s="32">
        <v>0</v>
      </c>
      <c r="G1107" s="32">
        <v>97885530</v>
      </c>
      <c r="H1107" t="s">
        <v>327</v>
      </c>
    </row>
    <row r="1108" spans="1:8" hidden="1" x14ac:dyDescent="0.3">
      <c r="A1108" s="28">
        <v>16414</v>
      </c>
      <c r="B1108" s="35">
        <v>45386.597222222219</v>
      </c>
      <c r="C1108" s="18">
        <v>45386</v>
      </c>
      <c r="D1108" t="s">
        <v>100</v>
      </c>
      <c r="E1108" s="32">
        <v>184800</v>
      </c>
      <c r="F1108" s="32">
        <v>0</v>
      </c>
      <c r="G1108" s="32">
        <v>97118830</v>
      </c>
      <c r="H1108" t="s">
        <v>223</v>
      </c>
    </row>
    <row r="1109" spans="1:8" hidden="1" x14ac:dyDescent="0.3">
      <c r="A1109" s="28">
        <v>16413</v>
      </c>
      <c r="B1109" s="35">
        <v>45386.589583333334</v>
      </c>
      <c r="C1109" s="18">
        <v>45386</v>
      </c>
      <c r="D1109" t="s">
        <v>101</v>
      </c>
      <c r="E1109" s="32">
        <v>0</v>
      </c>
      <c r="F1109" s="32">
        <v>349688</v>
      </c>
      <c r="G1109" s="32">
        <v>96934030</v>
      </c>
      <c r="H1109" t="s">
        <v>221</v>
      </c>
    </row>
    <row r="1110" spans="1:8" hidden="1" x14ac:dyDescent="0.3">
      <c r="A1110" s="28">
        <v>16412</v>
      </c>
      <c r="B1110" s="35">
        <v>45386.553472222222</v>
      </c>
      <c r="C1110" s="18">
        <v>45386</v>
      </c>
      <c r="D1110" t="s">
        <v>100</v>
      </c>
      <c r="E1110" s="32">
        <v>2071300</v>
      </c>
      <c r="F1110" s="32">
        <v>0</v>
      </c>
      <c r="G1110" s="32">
        <v>97283718</v>
      </c>
      <c r="H1110" t="s">
        <v>311</v>
      </c>
    </row>
    <row r="1111" spans="1:8" hidden="1" x14ac:dyDescent="0.3">
      <c r="A1111" s="28">
        <v>16411</v>
      </c>
      <c r="B1111" s="35">
        <v>45386.553472222222</v>
      </c>
      <c r="C1111" s="18">
        <v>45386</v>
      </c>
      <c r="D1111" t="s">
        <v>100</v>
      </c>
      <c r="E1111" s="32">
        <v>713900</v>
      </c>
      <c r="F1111" s="32">
        <v>0</v>
      </c>
      <c r="G1111" s="32">
        <v>95212418</v>
      </c>
      <c r="H1111" t="s">
        <v>311</v>
      </c>
    </row>
    <row r="1112" spans="1:8" hidden="1" x14ac:dyDescent="0.3">
      <c r="A1112" s="28">
        <v>16410</v>
      </c>
      <c r="B1112" s="35">
        <v>45386.553472222222</v>
      </c>
      <c r="C1112" s="18">
        <v>45386</v>
      </c>
      <c r="D1112" t="s">
        <v>100</v>
      </c>
      <c r="E1112" s="32">
        <v>706200</v>
      </c>
      <c r="F1112" s="32">
        <v>0</v>
      </c>
      <c r="G1112" s="32">
        <v>94498518</v>
      </c>
      <c r="H1112" t="s">
        <v>311</v>
      </c>
    </row>
    <row r="1113" spans="1:8" hidden="1" x14ac:dyDescent="0.3">
      <c r="A1113" s="28">
        <v>16409</v>
      </c>
      <c r="B1113" s="35">
        <v>45386.552777777775</v>
      </c>
      <c r="C1113" s="18">
        <v>45386</v>
      </c>
      <c r="D1113" t="s">
        <v>100</v>
      </c>
      <c r="E1113" s="32">
        <v>266200</v>
      </c>
      <c r="F1113" s="32">
        <v>0</v>
      </c>
      <c r="G1113" s="32">
        <v>93792318</v>
      </c>
      <c r="H1113" t="s">
        <v>589</v>
      </c>
    </row>
    <row r="1114" spans="1:8" hidden="1" x14ac:dyDescent="0.3">
      <c r="A1114" s="28">
        <v>16405</v>
      </c>
      <c r="B1114" s="35">
        <v>45385.640972222223</v>
      </c>
      <c r="C1114" s="18">
        <v>45385</v>
      </c>
      <c r="D1114" t="s">
        <v>100</v>
      </c>
      <c r="E1114" s="32">
        <v>523600</v>
      </c>
      <c r="F1114" s="32">
        <v>0</v>
      </c>
      <c r="G1114" s="32">
        <v>93526118</v>
      </c>
      <c r="H1114" t="s">
        <v>1927</v>
      </c>
    </row>
    <row r="1115" spans="1:8" hidden="1" x14ac:dyDescent="0.3">
      <c r="A1115" s="28">
        <v>16400</v>
      </c>
      <c r="B1115" s="35">
        <v>45385.42291666667</v>
      </c>
      <c r="C1115" s="18">
        <v>45385</v>
      </c>
      <c r="D1115" t="s">
        <v>100</v>
      </c>
      <c r="E1115" s="32">
        <v>403700</v>
      </c>
      <c r="F1115" s="32">
        <v>0</v>
      </c>
      <c r="G1115" s="32">
        <v>93002518</v>
      </c>
      <c r="H1115" t="s">
        <v>309</v>
      </c>
    </row>
    <row r="1116" spans="1:8" hidden="1" x14ac:dyDescent="0.3">
      <c r="A1116" s="28">
        <v>16399</v>
      </c>
      <c r="B1116" s="35">
        <v>45385.386805555558</v>
      </c>
      <c r="C1116" s="18">
        <v>45385</v>
      </c>
      <c r="D1116" t="s">
        <v>101</v>
      </c>
      <c r="E1116" s="32">
        <v>0</v>
      </c>
      <c r="F1116" s="32">
        <v>835000</v>
      </c>
      <c r="G1116" s="32">
        <v>92598818</v>
      </c>
      <c r="H1116" t="s">
        <v>1928</v>
      </c>
    </row>
    <row r="1117" spans="1:8" hidden="1" x14ac:dyDescent="0.3">
      <c r="A1117" s="28">
        <v>16397</v>
      </c>
      <c r="B1117" s="35">
        <v>45385.375</v>
      </c>
      <c r="C1117" s="18">
        <v>45385</v>
      </c>
      <c r="D1117" t="s">
        <v>101</v>
      </c>
      <c r="E1117" s="32">
        <v>0</v>
      </c>
      <c r="F1117" s="32">
        <v>8000</v>
      </c>
      <c r="G1117" s="32">
        <v>93433818</v>
      </c>
      <c r="H1117" t="s">
        <v>241</v>
      </c>
    </row>
    <row r="1118" spans="1:8" hidden="1" x14ac:dyDescent="0.3">
      <c r="A1118" s="28">
        <v>16396</v>
      </c>
      <c r="B1118" s="35">
        <v>45384.654166666667</v>
      </c>
      <c r="C1118" s="18">
        <v>45384</v>
      </c>
      <c r="D1118" t="s">
        <v>101</v>
      </c>
      <c r="E1118" s="32">
        <v>0</v>
      </c>
      <c r="F1118" s="32">
        <v>18000</v>
      </c>
      <c r="G1118" s="32">
        <v>93441818</v>
      </c>
      <c r="H1118" t="s">
        <v>385</v>
      </c>
    </row>
    <row r="1119" spans="1:8" hidden="1" x14ac:dyDescent="0.3">
      <c r="A1119" s="28">
        <v>16395</v>
      </c>
      <c r="B1119" s="35">
        <v>45384.654166666667</v>
      </c>
      <c r="C1119" s="18">
        <v>45384</v>
      </c>
      <c r="D1119" t="s">
        <v>101</v>
      </c>
      <c r="E1119" s="32">
        <v>0</v>
      </c>
      <c r="F1119" s="32">
        <v>18000</v>
      </c>
      <c r="G1119" s="32">
        <v>93459818</v>
      </c>
      <c r="H1119" t="s">
        <v>385</v>
      </c>
    </row>
    <row r="1120" spans="1:8" hidden="1" x14ac:dyDescent="0.3">
      <c r="A1120" s="28">
        <v>16394</v>
      </c>
      <c r="B1120" s="35">
        <v>45384.654166666667</v>
      </c>
      <c r="C1120" s="18">
        <v>45384</v>
      </c>
      <c r="D1120" t="s">
        <v>101</v>
      </c>
      <c r="E1120" s="32">
        <v>0</v>
      </c>
      <c r="F1120" s="32">
        <v>18000</v>
      </c>
      <c r="G1120" s="32">
        <v>93477818</v>
      </c>
      <c r="H1120" t="s">
        <v>385</v>
      </c>
    </row>
    <row r="1121" spans="1:8" hidden="1" x14ac:dyDescent="0.3">
      <c r="A1121" s="28">
        <v>16393</v>
      </c>
      <c r="B1121" s="35">
        <v>45384.464583333334</v>
      </c>
      <c r="C1121" s="18">
        <v>45384</v>
      </c>
      <c r="D1121" t="s">
        <v>100</v>
      </c>
      <c r="E1121" s="32">
        <v>752400</v>
      </c>
      <c r="F1121" s="32">
        <v>0</v>
      </c>
      <c r="G1121" s="32">
        <v>93495818</v>
      </c>
      <c r="H1121" t="s">
        <v>618</v>
      </c>
    </row>
    <row r="1122" spans="1:8" hidden="1" x14ac:dyDescent="0.3">
      <c r="A1122" s="28">
        <v>16392</v>
      </c>
      <c r="B1122" s="35">
        <v>45384.426388888889</v>
      </c>
      <c r="C1122" s="18">
        <v>45384</v>
      </c>
      <c r="D1122" t="s">
        <v>101</v>
      </c>
      <c r="E1122" s="32">
        <v>0</v>
      </c>
      <c r="F1122" s="32">
        <v>561000</v>
      </c>
      <c r="G1122" s="32">
        <v>92743418</v>
      </c>
      <c r="H1122" t="s">
        <v>1929</v>
      </c>
    </row>
    <row r="1123" spans="1:8" hidden="1" x14ac:dyDescent="0.3">
      <c r="A1123" s="28">
        <v>16391</v>
      </c>
      <c r="B1123" s="35">
        <v>45383.79791666667</v>
      </c>
      <c r="C1123" s="18">
        <v>45383</v>
      </c>
      <c r="D1123" t="s">
        <v>101</v>
      </c>
      <c r="E1123" s="32">
        <v>0</v>
      </c>
      <c r="F1123" s="32">
        <v>400510</v>
      </c>
      <c r="G1123" s="32">
        <v>93304418</v>
      </c>
      <c r="H1123" t="s">
        <v>239</v>
      </c>
    </row>
    <row r="1124" spans="1:8" hidden="1" x14ac:dyDescent="0.3">
      <c r="A1124" s="28">
        <v>16390</v>
      </c>
      <c r="B1124" s="35">
        <v>45383.737500000003</v>
      </c>
      <c r="C1124" s="18">
        <v>45383</v>
      </c>
      <c r="D1124" t="s">
        <v>100</v>
      </c>
      <c r="E1124" s="32">
        <v>268400</v>
      </c>
      <c r="F1124" s="32">
        <v>0</v>
      </c>
      <c r="G1124" s="32">
        <v>93704928</v>
      </c>
      <c r="H1124" t="s">
        <v>1930</v>
      </c>
    </row>
    <row r="1125" spans="1:8" hidden="1" x14ac:dyDescent="0.3">
      <c r="A1125" s="28">
        <v>16389</v>
      </c>
      <c r="B1125" s="35">
        <v>45383.495138888888</v>
      </c>
      <c r="C1125" s="18">
        <v>45383</v>
      </c>
      <c r="D1125" t="s">
        <v>100</v>
      </c>
      <c r="E1125" s="32">
        <v>3357200</v>
      </c>
      <c r="F1125" s="32">
        <v>0</v>
      </c>
      <c r="G1125" s="32">
        <v>93436528</v>
      </c>
      <c r="H1125" t="s">
        <v>414</v>
      </c>
    </row>
    <row r="1126" spans="1:8" hidden="1" x14ac:dyDescent="0.3">
      <c r="A1126" s="28">
        <v>16388</v>
      </c>
      <c r="B1126" s="35">
        <v>45383.489583333336</v>
      </c>
      <c r="C1126" s="18">
        <v>45383</v>
      </c>
      <c r="D1126" t="s">
        <v>100</v>
      </c>
      <c r="E1126" s="32">
        <v>575300</v>
      </c>
      <c r="F1126" s="32">
        <v>0</v>
      </c>
      <c r="G1126" s="32">
        <v>90079328</v>
      </c>
      <c r="H1126" t="s">
        <v>415</v>
      </c>
    </row>
    <row r="1127" spans="1:8" hidden="1" x14ac:dyDescent="0.3">
      <c r="A1127" s="28">
        <v>16386</v>
      </c>
      <c r="B1127" s="35">
        <v>45383.423611111109</v>
      </c>
      <c r="C1127" s="18">
        <v>45383</v>
      </c>
      <c r="D1127" t="s">
        <v>100</v>
      </c>
      <c r="E1127" s="32">
        <v>2365000</v>
      </c>
      <c r="F1127" s="32">
        <v>0</v>
      </c>
      <c r="G1127" s="32">
        <v>89504028</v>
      </c>
      <c r="H1127" t="s">
        <v>220</v>
      </c>
    </row>
    <row r="1128" spans="1:8" hidden="1" x14ac:dyDescent="0.3">
      <c r="A1128" s="28">
        <v>16385</v>
      </c>
      <c r="B1128" s="35">
        <v>45383.402777777781</v>
      </c>
      <c r="C1128" s="18">
        <v>45383</v>
      </c>
      <c r="D1128" t="s">
        <v>101</v>
      </c>
      <c r="E1128" s="32">
        <v>0</v>
      </c>
      <c r="F1128" s="32">
        <v>39437400</v>
      </c>
      <c r="G1128" s="32">
        <v>87139028</v>
      </c>
      <c r="H1128" t="s">
        <v>242</v>
      </c>
    </row>
    <row r="1129" spans="1:8" hidden="1" x14ac:dyDescent="0.3">
      <c r="A1129" s="28">
        <v>16384</v>
      </c>
      <c r="B1129" s="35">
        <v>45383.402083333334</v>
      </c>
      <c r="C1129" s="18">
        <v>45383</v>
      </c>
      <c r="D1129" t="s">
        <v>101</v>
      </c>
      <c r="E1129" s="32">
        <v>0</v>
      </c>
      <c r="F1129" s="32">
        <v>39340500</v>
      </c>
      <c r="G1129" s="32">
        <v>126576428</v>
      </c>
      <c r="H1129" t="s">
        <v>242</v>
      </c>
    </row>
    <row r="1130" spans="1:8" hidden="1" x14ac:dyDescent="0.3">
      <c r="A1130" s="28">
        <v>16383</v>
      </c>
      <c r="B1130" s="35">
        <v>45383.400694444441</v>
      </c>
      <c r="C1130" s="18">
        <v>45383</v>
      </c>
      <c r="D1130" t="s">
        <v>100</v>
      </c>
      <c r="E1130" s="32">
        <v>100000000</v>
      </c>
      <c r="F1130" s="32">
        <v>0</v>
      </c>
      <c r="G1130" s="32">
        <v>165916928</v>
      </c>
      <c r="H1130" t="s">
        <v>259</v>
      </c>
    </row>
    <row r="1131" spans="1:8" hidden="1" x14ac:dyDescent="0.3">
      <c r="A1131" s="28">
        <v>16381</v>
      </c>
      <c r="B1131" s="35">
        <v>45383.386111111111</v>
      </c>
      <c r="C1131" s="18">
        <v>45383</v>
      </c>
      <c r="D1131" t="s">
        <v>101</v>
      </c>
      <c r="E1131" s="32">
        <v>0</v>
      </c>
      <c r="F1131" s="32">
        <v>26904000</v>
      </c>
      <c r="G1131" s="32">
        <v>65916928</v>
      </c>
      <c r="H1131" t="s">
        <v>1931</v>
      </c>
    </row>
    <row r="1132" spans="1:8" hidden="1" x14ac:dyDescent="0.3">
      <c r="A1132" s="28">
        <v>16379</v>
      </c>
      <c r="B1132" s="35">
        <v>45383.368055555555</v>
      </c>
      <c r="C1132" s="18">
        <v>45383</v>
      </c>
      <c r="D1132" t="s">
        <v>101</v>
      </c>
      <c r="E1132" s="32">
        <v>0</v>
      </c>
      <c r="F1132" s="32">
        <v>260700</v>
      </c>
      <c r="G1132" s="32">
        <v>92820928</v>
      </c>
      <c r="H1132" t="s">
        <v>1932</v>
      </c>
    </row>
    <row r="1133" spans="1:8" hidden="1" x14ac:dyDescent="0.3">
      <c r="A1133" s="28">
        <v>16378</v>
      </c>
      <c r="B1133" s="35">
        <v>45380.703472222223</v>
      </c>
      <c r="C1133" s="18">
        <v>45380</v>
      </c>
      <c r="D1133" t="s">
        <v>100</v>
      </c>
      <c r="E1133" s="32">
        <v>1756700</v>
      </c>
      <c r="F1133" s="32">
        <v>0</v>
      </c>
      <c r="G1133" s="32">
        <v>93081628</v>
      </c>
      <c r="H1133" t="s">
        <v>248</v>
      </c>
    </row>
    <row r="1134" spans="1:8" hidden="1" x14ac:dyDescent="0.3">
      <c r="A1134" s="28">
        <v>16377</v>
      </c>
      <c r="B1134" s="35">
        <v>45380.693055555559</v>
      </c>
      <c r="C1134" s="18">
        <v>45380</v>
      </c>
      <c r="D1134" t="s">
        <v>100</v>
      </c>
      <c r="E1134" s="32">
        <v>3060200</v>
      </c>
      <c r="F1134" s="32">
        <v>0</v>
      </c>
      <c r="G1134" s="32">
        <v>91324928</v>
      </c>
      <c r="H1134" t="s">
        <v>251</v>
      </c>
    </row>
    <row r="1135" spans="1:8" hidden="1" x14ac:dyDescent="0.3">
      <c r="A1135" s="28">
        <v>16376</v>
      </c>
      <c r="B1135" s="35">
        <v>45380.691666666666</v>
      </c>
      <c r="C1135" s="18">
        <v>45380</v>
      </c>
      <c r="D1135" t="s">
        <v>100</v>
      </c>
      <c r="E1135" s="32">
        <v>965800</v>
      </c>
      <c r="F1135" s="32">
        <v>0</v>
      </c>
      <c r="G1135" s="32">
        <v>88264728</v>
      </c>
      <c r="H1135" t="s">
        <v>1861</v>
      </c>
    </row>
    <row r="1136" spans="1:8" hidden="1" x14ac:dyDescent="0.3">
      <c r="A1136" s="28">
        <v>16375</v>
      </c>
      <c r="B1136" s="35">
        <v>45380.643750000003</v>
      </c>
      <c r="C1136" s="18">
        <v>45380</v>
      </c>
      <c r="D1136" t="s">
        <v>100</v>
      </c>
      <c r="E1136" s="32">
        <v>1395900</v>
      </c>
      <c r="F1136" s="32">
        <v>0</v>
      </c>
      <c r="G1136" s="32">
        <v>87298928</v>
      </c>
      <c r="H1136" t="s">
        <v>255</v>
      </c>
    </row>
    <row r="1137" spans="1:8" hidden="1" x14ac:dyDescent="0.3">
      <c r="A1137" s="28">
        <v>16371</v>
      </c>
      <c r="B1137" s="35">
        <v>45380.583333333336</v>
      </c>
      <c r="C1137" s="18">
        <v>45380</v>
      </c>
      <c r="D1137" t="s">
        <v>100</v>
      </c>
      <c r="E1137" s="32">
        <v>298100</v>
      </c>
      <c r="F1137" s="32">
        <v>0</v>
      </c>
      <c r="G1137" s="32">
        <v>85903028</v>
      </c>
      <c r="H1137" t="s">
        <v>250</v>
      </c>
    </row>
    <row r="1138" spans="1:8" hidden="1" x14ac:dyDescent="0.3">
      <c r="A1138" s="28">
        <v>16370</v>
      </c>
      <c r="B1138" s="35">
        <v>45380.581250000003</v>
      </c>
      <c r="C1138" s="18">
        <v>45380</v>
      </c>
      <c r="D1138" t="s">
        <v>100</v>
      </c>
      <c r="E1138" s="32">
        <v>90700</v>
      </c>
      <c r="F1138" s="32">
        <v>0</v>
      </c>
      <c r="G1138" s="32">
        <v>85604928</v>
      </c>
      <c r="H1138" t="s">
        <v>348</v>
      </c>
    </row>
    <row r="1139" spans="1:8" hidden="1" x14ac:dyDescent="0.3">
      <c r="A1139" s="28">
        <v>16369</v>
      </c>
      <c r="B1139" s="35">
        <v>45380.579861111109</v>
      </c>
      <c r="C1139" s="18">
        <v>45380</v>
      </c>
      <c r="D1139" t="s">
        <v>100</v>
      </c>
      <c r="E1139" s="32">
        <v>907000</v>
      </c>
      <c r="F1139" s="32">
        <v>0</v>
      </c>
      <c r="G1139" s="32">
        <v>85514228</v>
      </c>
      <c r="H1139" t="s">
        <v>349</v>
      </c>
    </row>
    <row r="1140" spans="1:8" hidden="1" x14ac:dyDescent="0.3">
      <c r="A1140" s="28">
        <v>16368</v>
      </c>
      <c r="B1140" s="35">
        <v>45380.575694444444</v>
      </c>
      <c r="C1140" s="18">
        <v>45380</v>
      </c>
      <c r="D1140" t="s">
        <v>100</v>
      </c>
      <c r="E1140" s="32">
        <v>1061500</v>
      </c>
      <c r="F1140" s="32">
        <v>0</v>
      </c>
      <c r="G1140" s="32">
        <v>84607228</v>
      </c>
      <c r="H1140" t="s">
        <v>470</v>
      </c>
    </row>
    <row r="1141" spans="1:8" hidden="1" x14ac:dyDescent="0.3">
      <c r="A1141" s="28">
        <v>16367</v>
      </c>
      <c r="B1141" s="35">
        <v>45380.552083333336</v>
      </c>
      <c r="C1141" s="18">
        <v>45380</v>
      </c>
      <c r="D1141" t="s">
        <v>101</v>
      </c>
      <c r="E1141" s="32">
        <v>0</v>
      </c>
      <c r="F1141" s="32">
        <v>506668</v>
      </c>
      <c r="G1141" s="32">
        <v>83545728</v>
      </c>
      <c r="H1141" t="s">
        <v>221</v>
      </c>
    </row>
    <row r="1142" spans="1:8" hidden="1" x14ac:dyDescent="0.3">
      <c r="A1142" s="28">
        <v>16366</v>
      </c>
      <c r="B1142" s="35">
        <v>45380.499305555553</v>
      </c>
      <c r="C1142" s="18">
        <v>45380</v>
      </c>
      <c r="D1142" t="s">
        <v>100</v>
      </c>
      <c r="E1142" s="32">
        <v>1976700</v>
      </c>
      <c r="F1142" s="32">
        <v>0</v>
      </c>
      <c r="G1142" s="32">
        <v>84052396</v>
      </c>
      <c r="H1142" t="s">
        <v>254</v>
      </c>
    </row>
    <row r="1143" spans="1:8" hidden="1" x14ac:dyDescent="0.3">
      <c r="A1143" s="28">
        <v>16365</v>
      </c>
      <c r="B1143" s="35">
        <v>45380.499305555553</v>
      </c>
      <c r="C1143" s="18">
        <v>45380</v>
      </c>
      <c r="D1143" t="s">
        <v>100</v>
      </c>
      <c r="E1143" s="32">
        <v>2999700</v>
      </c>
      <c r="F1143" s="32">
        <v>0</v>
      </c>
      <c r="G1143" s="32">
        <v>82075696</v>
      </c>
      <c r="H1143" t="s">
        <v>254</v>
      </c>
    </row>
    <row r="1144" spans="1:8" hidden="1" x14ac:dyDescent="0.3">
      <c r="A1144" s="28">
        <v>16364</v>
      </c>
      <c r="B1144" s="35">
        <v>45380.499305555553</v>
      </c>
      <c r="C1144" s="18">
        <v>45380</v>
      </c>
      <c r="D1144" t="s">
        <v>100</v>
      </c>
      <c r="E1144" s="32">
        <v>856900</v>
      </c>
      <c r="F1144" s="32">
        <v>0</v>
      </c>
      <c r="G1144" s="32">
        <v>79075996</v>
      </c>
      <c r="H1144" t="s">
        <v>254</v>
      </c>
    </row>
    <row r="1145" spans="1:8" hidden="1" x14ac:dyDescent="0.3">
      <c r="A1145" s="28">
        <v>16362</v>
      </c>
      <c r="B1145" s="35">
        <v>45380.480555555558</v>
      </c>
      <c r="C1145" s="18">
        <v>45380</v>
      </c>
      <c r="D1145" t="s">
        <v>100</v>
      </c>
      <c r="E1145" s="32">
        <v>343200</v>
      </c>
      <c r="F1145" s="32">
        <v>0</v>
      </c>
      <c r="G1145" s="32">
        <v>78219096</v>
      </c>
      <c r="H1145" t="s">
        <v>307</v>
      </c>
    </row>
    <row r="1146" spans="1:8" hidden="1" x14ac:dyDescent="0.3">
      <c r="A1146" s="28">
        <v>16361</v>
      </c>
      <c r="B1146" s="35">
        <v>45380.472916666666</v>
      </c>
      <c r="C1146" s="18">
        <v>45380</v>
      </c>
      <c r="D1146" t="s">
        <v>100</v>
      </c>
      <c r="E1146" s="32">
        <v>9100</v>
      </c>
      <c r="F1146" s="32">
        <v>0</v>
      </c>
      <c r="G1146" s="32">
        <v>77875896</v>
      </c>
      <c r="H1146" t="s">
        <v>313</v>
      </c>
    </row>
    <row r="1147" spans="1:8" hidden="1" x14ac:dyDescent="0.3">
      <c r="A1147" s="28">
        <v>16360</v>
      </c>
      <c r="B1147" s="35">
        <v>45380.47152777778</v>
      </c>
      <c r="C1147" s="18">
        <v>45380</v>
      </c>
      <c r="D1147" t="s">
        <v>100</v>
      </c>
      <c r="E1147" s="32">
        <v>91000</v>
      </c>
      <c r="F1147" s="32">
        <v>0</v>
      </c>
      <c r="G1147" s="32">
        <v>77866796</v>
      </c>
      <c r="H1147" t="s">
        <v>314</v>
      </c>
    </row>
    <row r="1148" spans="1:8" hidden="1" x14ac:dyDescent="0.3">
      <c r="A1148" s="28">
        <v>16359</v>
      </c>
      <c r="B1148" s="35">
        <v>45380.47152777778</v>
      </c>
      <c r="C1148" s="18">
        <v>45380</v>
      </c>
      <c r="D1148" t="s">
        <v>100</v>
      </c>
      <c r="E1148" s="32">
        <v>124300</v>
      </c>
      <c r="F1148" s="32">
        <v>0</v>
      </c>
      <c r="G1148" s="32">
        <v>77775796</v>
      </c>
      <c r="H1148" t="s">
        <v>313</v>
      </c>
    </row>
    <row r="1149" spans="1:8" hidden="1" x14ac:dyDescent="0.3">
      <c r="A1149" s="28">
        <v>16358</v>
      </c>
      <c r="B1149" s="35">
        <v>45380.470833333333</v>
      </c>
      <c r="C1149" s="18">
        <v>45380</v>
      </c>
      <c r="D1149" t="s">
        <v>100</v>
      </c>
      <c r="E1149" s="32">
        <v>1243000</v>
      </c>
      <c r="F1149" s="32">
        <v>0</v>
      </c>
      <c r="G1149" s="32">
        <v>77651496</v>
      </c>
      <c r="H1149" t="s">
        <v>314</v>
      </c>
    </row>
    <row r="1150" spans="1:8" hidden="1" x14ac:dyDescent="0.3">
      <c r="A1150" s="28">
        <v>16357</v>
      </c>
      <c r="B1150" s="35">
        <v>45380.470138888886</v>
      </c>
      <c r="C1150" s="18">
        <v>45380</v>
      </c>
      <c r="D1150" t="s">
        <v>100</v>
      </c>
      <c r="E1150" s="32">
        <v>38400</v>
      </c>
      <c r="F1150" s="32">
        <v>0</v>
      </c>
      <c r="G1150" s="32">
        <v>76408496</v>
      </c>
      <c r="H1150" t="s">
        <v>313</v>
      </c>
    </row>
    <row r="1151" spans="1:8" hidden="1" x14ac:dyDescent="0.3">
      <c r="A1151" s="28">
        <v>16356</v>
      </c>
      <c r="B1151" s="35">
        <v>45380.469444444447</v>
      </c>
      <c r="C1151" s="18">
        <v>45380</v>
      </c>
      <c r="D1151" t="s">
        <v>100</v>
      </c>
      <c r="E1151" s="32">
        <v>384000</v>
      </c>
      <c r="F1151" s="32">
        <v>0</v>
      </c>
      <c r="G1151" s="32">
        <v>76370096</v>
      </c>
      <c r="H1151" t="s">
        <v>314</v>
      </c>
    </row>
    <row r="1152" spans="1:8" hidden="1" x14ac:dyDescent="0.3">
      <c r="A1152" s="28">
        <v>16355</v>
      </c>
      <c r="B1152" s="35">
        <v>45380.46875</v>
      </c>
      <c r="C1152" s="18">
        <v>45380</v>
      </c>
      <c r="D1152" t="s">
        <v>100</v>
      </c>
      <c r="E1152" s="32">
        <v>120400</v>
      </c>
      <c r="F1152" s="32">
        <v>0</v>
      </c>
      <c r="G1152" s="32">
        <v>75986096</v>
      </c>
      <c r="H1152" t="s">
        <v>313</v>
      </c>
    </row>
    <row r="1153" spans="1:8" hidden="1" x14ac:dyDescent="0.3">
      <c r="A1153" s="28">
        <v>16354</v>
      </c>
      <c r="B1153" s="35">
        <v>45380.468055555553</v>
      </c>
      <c r="C1153" s="18">
        <v>45380</v>
      </c>
      <c r="D1153" t="s">
        <v>100</v>
      </c>
      <c r="E1153" s="32">
        <v>1204000</v>
      </c>
      <c r="F1153" s="32">
        <v>0</v>
      </c>
      <c r="G1153" s="32">
        <v>75865696</v>
      </c>
      <c r="H1153" t="s">
        <v>314</v>
      </c>
    </row>
    <row r="1154" spans="1:8" hidden="1" x14ac:dyDescent="0.3">
      <c r="A1154" s="28">
        <v>16353</v>
      </c>
      <c r="B1154" s="35">
        <v>45380.462500000001</v>
      </c>
      <c r="C1154" s="18">
        <v>45380</v>
      </c>
      <c r="D1154" t="s">
        <v>100</v>
      </c>
      <c r="E1154" s="32">
        <v>255200</v>
      </c>
      <c r="F1154" s="32">
        <v>0</v>
      </c>
      <c r="G1154" s="32">
        <v>74661696</v>
      </c>
      <c r="H1154" t="s">
        <v>252</v>
      </c>
    </row>
    <row r="1155" spans="1:8" hidden="1" x14ac:dyDescent="0.3">
      <c r="A1155" s="28">
        <v>16352</v>
      </c>
      <c r="B1155" s="35">
        <v>45380.427777777775</v>
      </c>
      <c r="C1155" s="18">
        <v>45380</v>
      </c>
      <c r="D1155" t="s">
        <v>100</v>
      </c>
      <c r="E1155" s="32">
        <v>459800</v>
      </c>
      <c r="F1155" s="32">
        <v>0</v>
      </c>
      <c r="G1155" s="32">
        <v>74406496</v>
      </c>
      <c r="H1155" t="s">
        <v>264</v>
      </c>
    </row>
    <row r="1156" spans="1:8" hidden="1" x14ac:dyDescent="0.3">
      <c r="A1156" s="28">
        <v>16351</v>
      </c>
      <c r="B1156" s="35">
        <v>45380.418749999997</v>
      </c>
      <c r="C1156" s="18">
        <v>45380</v>
      </c>
      <c r="D1156" t="s">
        <v>100</v>
      </c>
      <c r="E1156" s="32">
        <v>303600</v>
      </c>
      <c r="F1156" s="32">
        <v>0</v>
      </c>
      <c r="G1156" s="32">
        <v>73946696</v>
      </c>
      <c r="H1156" t="s">
        <v>334</v>
      </c>
    </row>
    <row r="1157" spans="1:8" hidden="1" x14ac:dyDescent="0.3">
      <c r="A1157" s="28">
        <v>16350</v>
      </c>
      <c r="B1157" s="35">
        <v>45379.787499999999</v>
      </c>
      <c r="C1157" s="18">
        <v>45379</v>
      </c>
      <c r="D1157" t="s">
        <v>100</v>
      </c>
      <c r="E1157" s="32">
        <v>221100</v>
      </c>
      <c r="F1157" s="32">
        <v>0</v>
      </c>
      <c r="G1157" s="32">
        <v>73643096</v>
      </c>
      <c r="H1157" t="s">
        <v>260</v>
      </c>
    </row>
    <row r="1158" spans="1:8" hidden="1" x14ac:dyDescent="0.3">
      <c r="A1158" s="28">
        <v>16347</v>
      </c>
      <c r="B1158" s="35">
        <v>45379.583333333336</v>
      </c>
      <c r="C1158" s="18">
        <v>45379</v>
      </c>
      <c r="D1158" t="s">
        <v>100</v>
      </c>
      <c r="E1158" s="32">
        <v>1619200</v>
      </c>
      <c r="F1158" s="32">
        <v>0</v>
      </c>
      <c r="G1158" s="32">
        <v>73421996</v>
      </c>
      <c r="H1158" t="s">
        <v>263</v>
      </c>
    </row>
    <row r="1159" spans="1:8" hidden="1" x14ac:dyDescent="0.3">
      <c r="A1159" s="28">
        <v>16346</v>
      </c>
      <c r="B1159" s="35">
        <v>45379.572916666664</v>
      </c>
      <c r="C1159" s="18">
        <v>45379</v>
      </c>
      <c r="D1159" t="s">
        <v>100</v>
      </c>
      <c r="E1159" s="32">
        <v>18931725</v>
      </c>
      <c r="F1159" s="32">
        <v>0</v>
      </c>
      <c r="G1159" s="32">
        <v>71802796</v>
      </c>
      <c r="H1159" t="s">
        <v>492</v>
      </c>
    </row>
    <row r="1160" spans="1:8" hidden="1" x14ac:dyDescent="0.3">
      <c r="A1160" s="28">
        <v>16345</v>
      </c>
      <c r="B1160" s="35">
        <v>45379.489583333336</v>
      </c>
      <c r="C1160" s="18">
        <v>45379</v>
      </c>
      <c r="D1160" t="s">
        <v>101</v>
      </c>
      <c r="E1160" s="32">
        <v>0</v>
      </c>
      <c r="F1160" s="32">
        <v>366994</v>
      </c>
      <c r="G1160" s="32">
        <v>52871071</v>
      </c>
      <c r="H1160" t="s">
        <v>221</v>
      </c>
    </row>
    <row r="1161" spans="1:8" hidden="1" x14ac:dyDescent="0.3">
      <c r="A1161" s="28">
        <v>16342</v>
      </c>
      <c r="B1161" s="35">
        <v>45379.42083333333</v>
      </c>
      <c r="C1161" s="18">
        <v>45379</v>
      </c>
      <c r="D1161" t="s">
        <v>100</v>
      </c>
      <c r="E1161" s="32">
        <v>2248000</v>
      </c>
      <c r="F1161" s="32">
        <v>0</v>
      </c>
      <c r="G1161" s="32">
        <v>53238065</v>
      </c>
      <c r="H1161" t="s">
        <v>1862</v>
      </c>
    </row>
    <row r="1162" spans="1:8" hidden="1" x14ac:dyDescent="0.3">
      <c r="A1162" s="28">
        <v>16341</v>
      </c>
      <c r="B1162" s="35">
        <v>45379.419444444444</v>
      </c>
      <c r="C1162" s="18">
        <v>45379</v>
      </c>
      <c r="D1162" t="s">
        <v>100</v>
      </c>
      <c r="E1162" s="32">
        <v>224800</v>
      </c>
      <c r="F1162" s="32">
        <v>0</v>
      </c>
      <c r="G1162" s="32">
        <v>50990065</v>
      </c>
      <c r="H1162" t="s">
        <v>507</v>
      </c>
    </row>
    <row r="1163" spans="1:8" hidden="1" x14ac:dyDescent="0.3">
      <c r="A1163" s="28">
        <v>16338</v>
      </c>
      <c r="B1163" s="35">
        <v>45378.710416666669</v>
      </c>
      <c r="C1163" s="18">
        <v>45378</v>
      </c>
      <c r="D1163" t="s">
        <v>100</v>
      </c>
      <c r="E1163" s="32">
        <v>1370600</v>
      </c>
      <c r="F1163" s="32">
        <v>0</v>
      </c>
      <c r="G1163" s="32">
        <v>50765265</v>
      </c>
      <c r="H1163" t="s">
        <v>231</v>
      </c>
    </row>
    <row r="1164" spans="1:8" hidden="1" x14ac:dyDescent="0.3">
      <c r="A1164" s="28">
        <v>16337</v>
      </c>
      <c r="B1164" s="35">
        <v>45378.620833333334</v>
      </c>
      <c r="C1164" s="18">
        <v>45378</v>
      </c>
      <c r="D1164" t="s">
        <v>100</v>
      </c>
      <c r="E1164" s="32">
        <v>1544400</v>
      </c>
      <c r="F1164" s="32">
        <v>0</v>
      </c>
      <c r="G1164" s="32">
        <v>49394665</v>
      </c>
      <c r="H1164" t="s">
        <v>1850</v>
      </c>
    </row>
    <row r="1165" spans="1:8" hidden="1" x14ac:dyDescent="0.3">
      <c r="A1165" s="28">
        <v>16336</v>
      </c>
      <c r="B1165" s="35">
        <v>45378.588194444441</v>
      </c>
      <c r="C1165" s="18">
        <v>45378</v>
      </c>
      <c r="D1165" t="s">
        <v>100</v>
      </c>
      <c r="E1165" s="32">
        <v>232100</v>
      </c>
      <c r="F1165" s="32">
        <v>0</v>
      </c>
      <c r="G1165" s="32">
        <v>47850265</v>
      </c>
      <c r="H1165" t="s">
        <v>448</v>
      </c>
    </row>
    <row r="1166" spans="1:8" hidden="1" x14ac:dyDescent="0.3">
      <c r="A1166" s="28">
        <v>16335</v>
      </c>
      <c r="B1166" s="35">
        <v>45378.588194444441</v>
      </c>
      <c r="C1166" s="18">
        <v>45378</v>
      </c>
      <c r="D1166" t="s">
        <v>100</v>
      </c>
      <c r="E1166" s="32">
        <v>500500</v>
      </c>
      <c r="F1166" s="32">
        <v>0</v>
      </c>
      <c r="G1166" s="32">
        <v>47618165</v>
      </c>
      <c r="H1166" t="s">
        <v>448</v>
      </c>
    </row>
    <row r="1167" spans="1:8" hidden="1" x14ac:dyDescent="0.3">
      <c r="A1167" s="28">
        <v>16332</v>
      </c>
      <c r="B1167" s="35">
        <v>45378.427083333336</v>
      </c>
      <c r="C1167" s="18">
        <v>45378</v>
      </c>
      <c r="D1167" t="s">
        <v>101</v>
      </c>
      <c r="E1167" s="32">
        <v>0</v>
      </c>
      <c r="F1167" s="32">
        <v>7150000</v>
      </c>
      <c r="G1167" s="32">
        <v>47117665</v>
      </c>
      <c r="H1167" t="s">
        <v>1851</v>
      </c>
    </row>
    <row r="1168" spans="1:8" hidden="1" x14ac:dyDescent="0.3">
      <c r="A1168" s="28">
        <v>16331</v>
      </c>
      <c r="B1168" s="35">
        <v>45378.409722222219</v>
      </c>
      <c r="C1168" s="18">
        <v>45378</v>
      </c>
      <c r="D1168" t="s">
        <v>100</v>
      </c>
      <c r="E1168" s="32">
        <v>4678300</v>
      </c>
      <c r="F1168" s="32">
        <v>0</v>
      </c>
      <c r="G1168" s="32">
        <v>54267665</v>
      </c>
      <c r="H1168" t="s">
        <v>1852</v>
      </c>
    </row>
    <row r="1169" spans="1:8" hidden="1" x14ac:dyDescent="0.3">
      <c r="A1169" s="28">
        <v>16330</v>
      </c>
      <c r="B1169" s="35">
        <v>45378.396527777775</v>
      </c>
      <c r="C1169" s="18">
        <v>45378</v>
      </c>
      <c r="D1169" t="s">
        <v>100</v>
      </c>
      <c r="E1169" s="32">
        <v>397100</v>
      </c>
      <c r="F1169" s="32">
        <v>0</v>
      </c>
      <c r="G1169" s="32">
        <v>49589365</v>
      </c>
      <c r="H1169" t="s">
        <v>525</v>
      </c>
    </row>
    <row r="1170" spans="1:8" hidden="1" x14ac:dyDescent="0.3">
      <c r="A1170" s="28">
        <v>16329</v>
      </c>
      <c r="B1170" s="35">
        <v>45378.381249999999</v>
      </c>
      <c r="C1170" s="18">
        <v>45378</v>
      </c>
      <c r="D1170" t="s">
        <v>101</v>
      </c>
      <c r="E1170" s="32">
        <v>0</v>
      </c>
      <c r="F1170" s="32">
        <v>600000</v>
      </c>
      <c r="G1170" s="32">
        <v>49192265</v>
      </c>
      <c r="H1170" t="s">
        <v>460</v>
      </c>
    </row>
    <row r="1171" spans="1:8" hidden="1" x14ac:dyDescent="0.3">
      <c r="A1171" s="28">
        <v>16328</v>
      </c>
      <c r="B1171" s="35">
        <v>45377.827777777777</v>
      </c>
      <c r="C1171" s="18">
        <v>45377</v>
      </c>
      <c r="D1171" t="s">
        <v>100</v>
      </c>
      <c r="E1171" s="32">
        <v>108790</v>
      </c>
      <c r="F1171" s="32">
        <v>0</v>
      </c>
      <c r="G1171" s="32">
        <v>49792265</v>
      </c>
      <c r="H1171" t="s">
        <v>323</v>
      </c>
    </row>
    <row r="1172" spans="1:8" hidden="1" x14ac:dyDescent="0.3">
      <c r="A1172" s="28">
        <v>16327</v>
      </c>
      <c r="B1172" s="35">
        <v>45377.715277777781</v>
      </c>
      <c r="C1172" s="18">
        <v>45377</v>
      </c>
      <c r="D1172" t="s">
        <v>100</v>
      </c>
      <c r="E1172" s="32">
        <v>99000</v>
      </c>
      <c r="F1172" s="32">
        <v>0</v>
      </c>
      <c r="G1172" s="32">
        <v>49683475</v>
      </c>
      <c r="H1172" t="s">
        <v>408</v>
      </c>
    </row>
    <row r="1173" spans="1:8" hidden="1" x14ac:dyDescent="0.3">
      <c r="A1173" s="28">
        <v>16326</v>
      </c>
      <c r="B1173" s="35">
        <v>45377.714583333334</v>
      </c>
      <c r="C1173" s="18">
        <v>45377</v>
      </c>
      <c r="D1173" t="s">
        <v>100</v>
      </c>
      <c r="E1173" s="32">
        <v>893200</v>
      </c>
      <c r="F1173" s="32">
        <v>0</v>
      </c>
      <c r="G1173" s="32">
        <v>49584475</v>
      </c>
      <c r="H1173" t="s">
        <v>1853</v>
      </c>
    </row>
    <row r="1174" spans="1:8" hidden="1" x14ac:dyDescent="0.3">
      <c r="A1174" s="28">
        <v>16325</v>
      </c>
      <c r="B1174" s="35">
        <v>45377.684027777781</v>
      </c>
      <c r="C1174" s="18">
        <v>45377</v>
      </c>
      <c r="D1174" t="s">
        <v>100</v>
      </c>
      <c r="E1174" s="32">
        <v>405900</v>
      </c>
      <c r="F1174" s="32">
        <v>0</v>
      </c>
      <c r="G1174" s="32">
        <v>48691275</v>
      </c>
      <c r="H1174" t="s">
        <v>275</v>
      </c>
    </row>
    <row r="1175" spans="1:8" hidden="1" x14ac:dyDescent="0.3">
      <c r="A1175" s="28">
        <v>16324</v>
      </c>
      <c r="B1175" s="35">
        <v>45377.684027777781</v>
      </c>
      <c r="C1175" s="18">
        <v>45377</v>
      </c>
      <c r="D1175" t="s">
        <v>100</v>
      </c>
      <c r="E1175" s="32">
        <v>1897500</v>
      </c>
      <c r="F1175" s="32">
        <v>0</v>
      </c>
      <c r="G1175" s="32">
        <v>48285375</v>
      </c>
      <c r="H1175" t="s">
        <v>275</v>
      </c>
    </row>
    <row r="1176" spans="1:8" hidden="1" x14ac:dyDescent="0.3">
      <c r="A1176" s="28">
        <v>16323</v>
      </c>
      <c r="B1176" s="35">
        <v>45377.682638888888</v>
      </c>
      <c r="C1176" s="18">
        <v>45377</v>
      </c>
      <c r="D1176" t="s">
        <v>100</v>
      </c>
      <c r="E1176" s="32">
        <v>247500</v>
      </c>
      <c r="F1176" s="32">
        <v>0</v>
      </c>
      <c r="G1176" s="32">
        <v>46387875</v>
      </c>
      <c r="H1176" t="s">
        <v>275</v>
      </c>
    </row>
    <row r="1177" spans="1:8" hidden="1" x14ac:dyDescent="0.3">
      <c r="A1177" s="28">
        <v>16322</v>
      </c>
      <c r="B1177" s="35">
        <v>45377.55972222222</v>
      </c>
      <c r="C1177" s="18">
        <v>45377</v>
      </c>
      <c r="D1177" t="s">
        <v>101</v>
      </c>
      <c r="E1177" s="32">
        <v>0</v>
      </c>
      <c r="F1177" s="32">
        <v>99000</v>
      </c>
      <c r="G1177" s="32">
        <v>46140375</v>
      </c>
      <c r="H1177" t="s">
        <v>1854</v>
      </c>
    </row>
    <row r="1178" spans="1:8" hidden="1" x14ac:dyDescent="0.3">
      <c r="A1178" s="28">
        <v>16321</v>
      </c>
      <c r="B1178" s="35">
        <v>45377.555555555555</v>
      </c>
      <c r="C1178" s="18">
        <v>45377</v>
      </c>
      <c r="D1178" t="s">
        <v>101</v>
      </c>
      <c r="E1178" s="32">
        <v>0</v>
      </c>
      <c r="F1178" s="32">
        <v>63864</v>
      </c>
      <c r="G1178" s="32">
        <v>46239375</v>
      </c>
      <c r="H1178" t="s">
        <v>221</v>
      </c>
    </row>
    <row r="1179" spans="1:8" hidden="1" x14ac:dyDescent="0.3">
      <c r="A1179" s="28">
        <v>16320</v>
      </c>
      <c r="B1179" s="35">
        <v>45377.553472222222</v>
      </c>
      <c r="C1179" s="18">
        <v>45377</v>
      </c>
      <c r="D1179" t="s">
        <v>101</v>
      </c>
      <c r="E1179" s="32">
        <v>0</v>
      </c>
      <c r="F1179" s="32">
        <v>275243</v>
      </c>
      <c r="G1179" s="32">
        <v>46303239</v>
      </c>
      <c r="H1179" t="s">
        <v>221</v>
      </c>
    </row>
    <row r="1180" spans="1:8" hidden="1" x14ac:dyDescent="0.3">
      <c r="A1180" s="28">
        <v>16319</v>
      </c>
      <c r="B1180" s="35">
        <v>45377.477083333331</v>
      </c>
      <c r="C1180" s="18">
        <v>45377</v>
      </c>
      <c r="D1180" t="s">
        <v>100</v>
      </c>
      <c r="E1180" s="32">
        <v>419100</v>
      </c>
      <c r="F1180" s="32">
        <v>0</v>
      </c>
      <c r="G1180" s="32">
        <v>46578482</v>
      </c>
      <c r="H1180" t="s">
        <v>648</v>
      </c>
    </row>
    <row r="1181" spans="1:8" hidden="1" x14ac:dyDescent="0.3">
      <c r="A1181" s="28">
        <v>16315</v>
      </c>
      <c r="B1181" s="35">
        <v>45376.84375</v>
      </c>
      <c r="C1181" s="18">
        <v>45376</v>
      </c>
      <c r="D1181" t="s">
        <v>101</v>
      </c>
      <c r="E1181" s="32">
        <v>0</v>
      </c>
      <c r="F1181" s="32">
        <v>440000</v>
      </c>
      <c r="G1181" s="32">
        <v>46159382</v>
      </c>
      <c r="H1181" t="s">
        <v>271</v>
      </c>
    </row>
    <row r="1182" spans="1:8" hidden="1" x14ac:dyDescent="0.3">
      <c r="A1182" s="28">
        <v>16312</v>
      </c>
      <c r="B1182" s="35">
        <v>45376.734027777777</v>
      </c>
      <c r="C1182" s="18">
        <v>45376</v>
      </c>
      <c r="D1182" t="s">
        <v>101</v>
      </c>
      <c r="E1182" s="32">
        <v>0</v>
      </c>
      <c r="F1182" s="32">
        <v>198000</v>
      </c>
      <c r="G1182" s="32">
        <v>46599382</v>
      </c>
      <c r="H1182" t="s">
        <v>1847</v>
      </c>
    </row>
    <row r="1183" spans="1:8" hidden="1" x14ac:dyDescent="0.3">
      <c r="A1183" s="28">
        <v>16311</v>
      </c>
      <c r="B1183" s="35">
        <v>45376.543749999997</v>
      </c>
      <c r="C1183" s="18">
        <v>45376</v>
      </c>
      <c r="D1183" t="s">
        <v>101</v>
      </c>
      <c r="E1183" s="32">
        <v>0</v>
      </c>
      <c r="F1183" s="32">
        <v>65000</v>
      </c>
      <c r="G1183" s="32">
        <v>46797382</v>
      </c>
      <c r="H1183" t="s">
        <v>1848</v>
      </c>
    </row>
    <row r="1184" spans="1:8" hidden="1" x14ac:dyDescent="0.3">
      <c r="A1184" s="28">
        <v>16310</v>
      </c>
      <c r="B1184" s="35">
        <v>45376.482638888891</v>
      </c>
      <c r="C1184" s="18">
        <v>45376</v>
      </c>
      <c r="D1184" t="s">
        <v>101</v>
      </c>
      <c r="E1184" s="32">
        <v>0</v>
      </c>
      <c r="F1184" s="32">
        <v>86417</v>
      </c>
      <c r="G1184" s="32">
        <v>46862382</v>
      </c>
      <c r="H1184" t="s">
        <v>221</v>
      </c>
    </row>
    <row r="1185" spans="1:8" hidden="1" x14ac:dyDescent="0.3">
      <c r="A1185" s="28">
        <v>16308</v>
      </c>
      <c r="B1185" s="35">
        <v>45376.35</v>
      </c>
      <c r="C1185" s="18">
        <v>45376</v>
      </c>
      <c r="D1185" t="s">
        <v>101</v>
      </c>
      <c r="E1185" s="32">
        <v>0</v>
      </c>
      <c r="F1185" s="32">
        <v>7205000</v>
      </c>
      <c r="G1185" s="32">
        <v>46948799</v>
      </c>
      <c r="H1185" t="s">
        <v>261</v>
      </c>
    </row>
    <row r="1186" spans="1:8" hidden="1" x14ac:dyDescent="0.3">
      <c r="A1186" s="28">
        <v>16307</v>
      </c>
      <c r="B1186" s="35">
        <v>45376.345833333333</v>
      </c>
      <c r="C1186" s="18">
        <v>45376</v>
      </c>
      <c r="D1186" t="s">
        <v>101</v>
      </c>
      <c r="E1186" s="32">
        <v>0</v>
      </c>
      <c r="F1186" s="32">
        <v>2546392</v>
      </c>
      <c r="G1186" s="32">
        <v>54153799</v>
      </c>
      <c r="H1186" t="s">
        <v>1842</v>
      </c>
    </row>
    <row r="1187" spans="1:8" hidden="1" x14ac:dyDescent="0.3">
      <c r="A1187" s="28">
        <v>16306</v>
      </c>
      <c r="B1187" s="35">
        <v>45376.34097222222</v>
      </c>
      <c r="C1187" s="18">
        <v>45376</v>
      </c>
      <c r="D1187" t="s">
        <v>101</v>
      </c>
      <c r="E1187" s="32">
        <v>0</v>
      </c>
      <c r="F1187" s="32">
        <v>130000</v>
      </c>
      <c r="G1187" s="32">
        <v>56700191</v>
      </c>
      <c r="H1187" t="s">
        <v>1843</v>
      </c>
    </row>
    <row r="1188" spans="1:8" hidden="1" x14ac:dyDescent="0.3">
      <c r="A1188" s="28">
        <v>16305</v>
      </c>
      <c r="B1188" s="35">
        <v>45376.339583333334</v>
      </c>
      <c r="C1188" s="18">
        <v>45376</v>
      </c>
      <c r="D1188" t="s">
        <v>101</v>
      </c>
      <c r="E1188" s="32">
        <v>0</v>
      </c>
      <c r="F1188" s="32">
        <v>20000</v>
      </c>
      <c r="G1188" s="32">
        <v>56830191</v>
      </c>
      <c r="H1188" t="s">
        <v>295</v>
      </c>
    </row>
    <row r="1189" spans="1:8" hidden="1" x14ac:dyDescent="0.3">
      <c r="A1189" s="28">
        <v>16304</v>
      </c>
      <c r="B1189" s="35">
        <v>45376.338194444441</v>
      </c>
      <c r="C1189" s="18">
        <v>45376</v>
      </c>
      <c r="D1189" t="s">
        <v>101</v>
      </c>
      <c r="E1189" s="32">
        <v>0</v>
      </c>
      <c r="F1189" s="32">
        <v>450000</v>
      </c>
      <c r="G1189" s="32">
        <v>56850191</v>
      </c>
      <c r="H1189" t="s">
        <v>282</v>
      </c>
    </row>
    <row r="1190" spans="1:8" hidden="1" x14ac:dyDescent="0.3">
      <c r="A1190" s="28">
        <v>16303</v>
      </c>
      <c r="B1190" s="35">
        <v>45373.599999999999</v>
      </c>
      <c r="C1190" s="18">
        <v>45373</v>
      </c>
      <c r="D1190" t="s">
        <v>101</v>
      </c>
      <c r="E1190" s="32">
        <v>0</v>
      </c>
      <c r="F1190" s="32">
        <v>111427</v>
      </c>
      <c r="G1190" s="32">
        <v>57300191</v>
      </c>
      <c r="H1190" t="s">
        <v>221</v>
      </c>
    </row>
    <row r="1191" spans="1:8" hidden="1" x14ac:dyDescent="0.3">
      <c r="A1191" s="28">
        <v>16300</v>
      </c>
      <c r="B1191" s="35">
        <v>45373.567361111112</v>
      </c>
      <c r="C1191" s="18">
        <v>45373</v>
      </c>
      <c r="D1191" t="s">
        <v>100</v>
      </c>
      <c r="E1191" s="32">
        <v>1334300</v>
      </c>
      <c r="F1191" s="32">
        <v>0</v>
      </c>
      <c r="G1191" s="32">
        <v>57411618</v>
      </c>
      <c r="H1191" t="s">
        <v>620</v>
      </c>
    </row>
    <row r="1192" spans="1:8" hidden="1" x14ac:dyDescent="0.3">
      <c r="A1192" s="28">
        <v>16297</v>
      </c>
      <c r="B1192" s="35">
        <v>45373.454861111109</v>
      </c>
      <c r="C1192" s="18">
        <v>45373</v>
      </c>
      <c r="D1192" t="s">
        <v>100</v>
      </c>
      <c r="E1192" s="32">
        <v>702900</v>
      </c>
      <c r="F1192" s="32">
        <v>0</v>
      </c>
      <c r="G1192" s="32">
        <v>56077318</v>
      </c>
      <c r="H1192" t="s">
        <v>309</v>
      </c>
    </row>
    <row r="1193" spans="1:8" hidden="1" x14ac:dyDescent="0.3">
      <c r="A1193" s="28">
        <v>16296</v>
      </c>
      <c r="B1193" s="35">
        <v>45373.454861111109</v>
      </c>
      <c r="C1193" s="18">
        <v>45373</v>
      </c>
      <c r="D1193" t="s">
        <v>100</v>
      </c>
      <c r="E1193" s="32">
        <v>564300</v>
      </c>
      <c r="F1193" s="32">
        <v>0</v>
      </c>
      <c r="G1193" s="32">
        <v>55374418</v>
      </c>
      <c r="H1193" t="s">
        <v>309</v>
      </c>
    </row>
    <row r="1194" spans="1:8" hidden="1" x14ac:dyDescent="0.3">
      <c r="A1194" s="28">
        <v>16295</v>
      </c>
      <c r="B1194" s="35">
        <v>45373.363888888889</v>
      </c>
      <c r="C1194" s="18">
        <v>45373</v>
      </c>
      <c r="D1194" t="s">
        <v>100</v>
      </c>
      <c r="E1194" s="32">
        <v>973500</v>
      </c>
      <c r="F1194" s="32">
        <v>0</v>
      </c>
      <c r="G1194" s="32">
        <v>54810118</v>
      </c>
      <c r="H1194" t="s">
        <v>220</v>
      </c>
    </row>
    <row r="1195" spans="1:8" hidden="1" x14ac:dyDescent="0.3">
      <c r="A1195" s="28">
        <v>16294</v>
      </c>
      <c r="B1195" s="35">
        <v>45373.343055555553</v>
      </c>
      <c r="C1195" s="18">
        <v>45373</v>
      </c>
      <c r="D1195" t="s">
        <v>101</v>
      </c>
      <c r="E1195" s="32">
        <v>0</v>
      </c>
      <c r="F1195" s="32">
        <v>272985</v>
      </c>
      <c r="G1195" s="32">
        <v>53836618</v>
      </c>
      <c r="H1195" t="s">
        <v>221</v>
      </c>
    </row>
    <row r="1196" spans="1:8" hidden="1" x14ac:dyDescent="0.3">
      <c r="A1196" s="28">
        <v>16291</v>
      </c>
      <c r="B1196" s="35">
        <v>45372.693055555559</v>
      </c>
      <c r="C1196" s="18">
        <v>45372</v>
      </c>
      <c r="D1196" t="s">
        <v>100</v>
      </c>
      <c r="E1196" s="32">
        <v>694100</v>
      </c>
      <c r="F1196" s="32">
        <v>0</v>
      </c>
      <c r="G1196" s="32">
        <v>54109603</v>
      </c>
      <c r="H1196" t="s">
        <v>365</v>
      </c>
    </row>
    <row r="1197" spans="1:8" hidden="1" x14ac:dyDescent="0.3">
      <c r="A1197" s="28">
        <v>16290</v>
      </c>
      <c r="B1197" s="35">
        <v>45372.686805555553</v>
      </c>
      <c r="C1197" s="18">
        <v>45372</v>
      </c>
      <c r="D1197" t="s">
        <v>101</v>
      </c>
      <c r="E1197" s="32">
        <v>0</v>
      </c>
      <c r="F1197" s="32">
        <v>66000</v>
      </c>
      <c r="G1197" s="32">
        <v>53415503</v>
      </c>
      <c r="H1197" t="s">
        <v>1830</v>
      </c>
    </row>
    <row r="1198" spans="1:8" hidden="1" x14ac:dyDescent="0.3">
      <c r="A1198" s="28">
        <v>16289</v>
      </c>
      <c r="B1198" s="35">
        <v>45372.593055555553</v>
      </c>
      <c r="C1198" s="18">
        <v>45372</v>
      </c>
      <c r="D1198" t="s">
        <v>101</v>
      </c>
      <c r="E1198" s="32">
        <v>0</v>
      </c>
      <c r="F1198" s="32">
        <v>272873</v>
      </c>
      <c r="G1198" s="32">
        <v>53481503</v>
      </c>
      <c r="H1198" t="s">
        <v>221</v>
      </c>
    </row>
    <row r="1199" spans="1:8" hidden="1" x14ac:dyDescent="0.3">
      <c r="A1199" s="28">
        <v>16286</v>
      </c>
      <c r="B1199" s="35">
        <v>45372.472916666666</v>
      </c>
      <c r="C1199" s="18">
        <v>45372</v>
      </c>
      <c r="D1199" t="s">
        <v>100</v>
      </c>
      <c r="E1199" s="32">
        <v>515900</v>
      </c>
      <c r="F1199" s="32">
        <v>0</v>
      </c>
      <c r="G1199" s="32">
        <v>53754376</v>
      </c>
      <c r="H1199" t="s">
        <v>329</v>
      </c>
    </row>
    <row r="1200" spans="1:8" hidden="1" x14ac:dyDescent="0.3">
      <c r="A1200" s="28">
        <v>16281</v>
      </c>
      <c r="B1200" s="35">
        <v>45372.440972222219</v>
      </c>
      <c r="C1200" s="18">
        <v>45372</v>
      </c>
      <c r="D1200" t="s">
        <v>100</v>
      </c>
      <c r="E1200" s="32">
        <v>42000000</v>
      </c>
      <c r="F1200" s="32">
        <v>0</v>
      </c>
      <c r="G1200" s="32">
        <v>53238476</v>
      </c>
      <c r="H1200" t="s">
        <v>534</v>
      </c>
    </row>
    <row r="1201" spans="1:8" hidden="1" x14ac:dyDescent="0.3">
      <c r="A1201" s="28">
        <v>16279</v>
      </c>
      <c r="B1201" s="35">
        <v>45371.852083333331</v>
      </c>
      <c r="C1201" s="18">
        <v>45371</v>
      </c>
      <c r="D1201" t="s">
        <v>101</v>
      </c>
      <c r="E1201" s="32">
        <v>0</v>
      </c>
      <c r="F1201" s="32">
        <v>598530</v>
      </c>
      <c r="G1201" s="32">
        <v>11238476</v>
      </c>
      <c r="H1201" t="s">
        <v>285</v>
      </c>
    </row>
    <row r="1202" spans="1:8" hidden="1" x14ac:dyDescent="0.3">
      <c r="A1202" s="28">
        <v>16278</v>
      </c>
      <c r="B1202" s="35">
        <v>45371.829861111109</v>
      </c>
      <c r="C1202" s="18">
        <v>45371</v>
      </c>
      <c r="D1202" t="s">
        <v>101</v>
      </c>
      <c r="E1202" s="32">
        <v>0</v>
      </c>
      <c r="F1202" s="32">
        <v>284184</v>
      </c>
      <c r="G1202" s="32">
        <v>11837006</v>
      </c>
      <c r="H1202" t="s">
        <v>286</v>
      </c>
    </row>
    <row r="1203" spans="1:8" hidden="1" x14ac:dyDescent="0.3">
      <c r="A1203" s="28">
        <v>16277</v>
      </c>
      <c r="B1203" s="35">
        <v>45371.821527777778</v>
      </c>
      <c r="C1203" s="18">
        <v>45371</v>
      </c>
      <c r="D1203" t="s">
        <v>101</v>
      </c>
      <c r="E1203" s="32">
        <v>0</v>
      </c>
      <c r="F1203" s="32">
        <v>77429</v>
      </c>
      <c r="G1203" s="32">
        <v>12121190</v>
      </c>
      <c r="H1203" t="s">
        <v>1824</v>
      </c>
    </row>
    <row r="1204" spans="1:8" hidden="1" x14ac:dyDescent="0.3">
      <c r="A1204" s="28">
        <v>16276</v>
      </c>
      <c r="B1204" s="35">
        <v>45371.817361111112</v>
      </c>
      <c r="C1204" s="18">
        <v>45371</v>
      </c>
      <c r="D1204" t="s">
        <v>101</v>
      </c>
      <c r="E1204" s="32">
        <v>0</v>
      </c>
      <c r="F1204" s="32">
        <v>1000000</v>
      </c>
      <c r="G1204" s="32">
        <v>12198619</v>
      </c>
      <c r="H1204" t="s">
        <v>1825</v>
      </c>
    </row>
    <row r="1205" spans="1:8" hidden="1" x14ac:dyDescent="0.3">
      <c r="A1205" s="28">
        <v>16275</v>
      </c>
      <c r="B1205" s="35">
        <v>45371.56527777778</v>
      </c>
      <c r="C1205" s="18">
        <v>45371</v>
      </c>
      <c r="D1205" t="s">
        <v>100</v>
      </c>
      <c r="E1205" s="32">
        <v>496100</v>
      </c>
      <c r="F1205" s="32">
        <v>0</v>
      </c>
      <c r="G1205" s="32">
        <v>13198619</v>
      </c>
      <c r="H1205" t="s">
        <v>220</v>
      </c>
    </row>
    <row r="1206" spans="1:8" hidden="1" x14ac:dyDescent="0.3">
      <c r="A1206" s="28">
        <v>16274</v>
      </c>
      <c r="B1206" s="35">
        <v>45371.56527777778</v>
      </c>
      <c r="C1206" s="18">
        <v>45371</v>
      </c>
      <c r="D1206" t="s">
        <v>100</v>
      </c>
      <c r="E1206" s="32">
        <v>381700</v>
      </c>
      <c r="F1206" s="32">
        <v>0</v>
      </c>
      <c r="G1206" s="32">
        <v>12702519</v>
      </c>
      <c r="H1206" t="s">
        <v>220</v>
      </c>
    </row>
    <row r="1207" spans="1:8" hidden="1" x14ac:dyDescent="0.3">
      <c r="A1207" s="28">
        <v>16273</v>
      </c>
      <c r="B1207" s="35">
        <v>45371.489583333336</v>
      </c>
      <c r="C1207" s="18">
        <v>45371</v>
      </c>
      <c r="D1207" t="s">
        <v>100</v>
      </c>
      <c r="E1207" s="32">
        <v>121000</v>
      </c>
      <c r="F1207" s="32">
        <v>0</v>
      </c>
      <c r="G1207" s="32">
        <v>12320819</v>
      </c>
      <c r="H1207" t="s">
        <v>310</v>
      </c>
    </row>
    <row r="1208" spans="1:8" hidden="1" x14ac:dyDescent="0.3">
      <c r="A1208" s="28">
        <v>16272</v>
      </c>
      <c r="B1208" s="35">
        <v>45371.430555555555</v>
      </c>
      <c r="C1208" s="18">
        <v>45371</v>
      </c>
      <c r="D1208" t="s">
        <v>101</v>
      </c>
      <c r="E1208" s="32">
        <v>0</v>
      </c>
      <c r="F1208" s="32">
        <v>925464</v>
      </c>
      <c r="G1208" s="32">
        <v>12199819</v>
      </c>
      <c r="H1208" t="s">
        <v>291</v>
      </c>
    </row>
    <row r="1209" spans="1:8" hidden="1" x14ac:dyDescent="0.3">
      <c r="A1209" s="28">
        <v>16271</v>
      </c>
      <c r="B1209" s="35">
        <v>45370.489583333336</v>
      </c>
      <c r="C1209" s="18">
        <v>45370</v>
      </c>
      <c r="D1209" t="s">
        <v>101</v>
      </c>
      <c r="E1209" s="32">
        <v>0</v>
      </c>
      <c r="F1209" s="32">
        <v>1008561</v>
      </c>
      <c r="G1209" s="32">
        <v>13125283</v>
      </c>
      <c r="H1209" t="s">
        <v>221</v>
      </c>
    </row>
    <row r="1210" spans="1:8" hidden="1" x14ac:dyDescent="0.3">
      <c r="A1210" s="28">
        <v>16268</v>
      </c>
      <c r="B1210" s="35">
        <v>45370.397916666669</v>
      </c>
      <c r="C1210" s="18">
        <v>45370</v>
      </c>
      <c r="D1210" t="s">
        <v>101</v>
      </c>
      <c r="E1210" s="32">
        <v>0</v>
      </c>
      <c r="F1210" s="32">
        <v>1835720</v>
      </c>
      <c r="G1210" s="32">
        <v>14133844</v>
      </c>
      <c r="H1210" t="s">
        <v>294</v>
      </c>
    </row>
    <row r="1211" spans="1:8" hidden="1" x14ac:dyDescent="0.3">
      <c r="A1211" s="28">
        <v>16267</v>
      </c>
      <c r="B1211" s="35">
        <v>45369.794444444444</v>
      </c>
      <c r="C1211" s="18">
        <v>45369</v>
      </c>
      <c r="D1211" t="s">
        <v>101</v>
      </c>
      <c r="E1211" s="32">
        <v>0</v>
      </c>
      <c r="F1211" s="32">
        <v>153060</v>
      </c>
      <c r="G1211" s="32">
        <v>15969564</v>
      </c>
      <c r="H1211" t="s">
        <v>296</v>
      </c>
    </row>
    <row r="1212" spans="1:8" hidden="1" x14ac:dyDescent="0.3">
      <c r="A1212" s="28">
        <v>16266</v>
      </c>
      <c r="B1212" s="35">
        <v>45369.794444444444</v>
      </c>
      <c r="C1212" s="18">
        <v>45369</v>
      </c>
      <c r="D1212" t="s">
        <v>101</v>
      </c>
      <c r="E1212" s="32">
        <v>0</v>
      </c>
      <c r="F1212" s="32">
        <v>199320</v>
      </c>
      <c r="G1212" s="32">
        <v>16122624</v>
      </c>
      <c r="H1212" t="s">
        <v>296</v>
      </c>
    </row>
    <row r="1213" spans="1:8" hidden="1" x14ac:dyDescent="0.3">
      <c r="A1213" s="28">
        <v>16265</v>
      </c>
      <c r="B1213" s="35">
        <v>45369.794444444444</v>
      </c>
      <c r="C1213" s="18">
        <v>45369</v>
      </c>
      <c r="D1213" t="s">
        <v>101</v>
      </c>
      <c r="E1213" s="32">
        <v>0</v>
      </c>
      <c r="F1213" s="32">
        <v>500000</v>
      </c>
      <c r="G1213" s="32">
        <v>16321944</v>
      </c>
      <c r="H1213" t="s">
        <v>296</v>
      </c>
    </row>
    <row r="1214" spans="1:8" hidden="1" x14ac:dyDescent="0.3">
      <c r="A1214" s="28">
        <v>16264</v>
      </c>
      <c r="B1214" s="35">
        <v>45369.794444444444</v>
      </c>
      <c r="C1214" s="18">
        <v>45369</v>
      </c>
      <c r="D1214" t="s">
        <v>101</v>
      </c>
      <c r="E1214" s="32">
        <v>0</v>
      </c>
      <c r="F1214" s="32">
        <v>968760</v>
      </c>
      <c r="G1214" s="32">
        <v>16821944</v>
      </c>
      <c r="H1214" t="s">
        <v>296</v>
      </c>
    </row>
    <row r="1215" spans="1:8" hidden="1" x14ac:dyDescent="0.3">
      <c r="A1215" s="28">
        <v>16263</v>
      </c>
      <c r="B1215" s="35">
        <v>45369.672222222223</v>
      </c>
      <c r="C1215" s="18">
        <v>45369</v>
      </c>
      <c r="D1215" t="s">
        <v>101</v>
      </c>
      <c r="E1215" s="32">
        <v>0</v>
      </c>
      <c r="F1215" s="32">
        <v>36824940</v>
      </c>
      <c r="G1215" s="32">
        <v>17790704</v>
      </c>
      <c r="H1215" t="s">
        <v>258</v>
      </c>
    </row>
    <row r="1216" spans="1:8" hidden="1" x14ac:dyDescent="0.3">
      <c r="A1216" s="28">
        <v>16262</v>
      </c>
      <c r="B1216" s="35">
        <v>45369.671527777777</v>
      </c>
      <c r="C1216" s="18">
        <v>45369</v>
      </c>
      <c r="D1216" t="s">
        <v>101</v>
      </c>
      <c r="E1216" s="32">
        <v>0</v>
      </c>
      <c r="F1216" s="32">
        <v>11578320</v>
      </c>
      <c r="G1216" s="32">
        <v>54615644</v>
      </c>
      <c r="H1216" t="s">
        <v>258</v>
      </c>
    </row>
    <row r="1217" spans="1:8" hidden="1" x14ac:dyDescent="0.3">
      <c r="A1217" s="28">
        <v>16261</v>
      </c>
      <c r="B1217" s="35">
        <v>45369.652083333334</v>
      </c>
      <c r="C1217" s="18">
        <v>45369</v>
      </c>
      <c r="D1217" t="s">
        <v>100</v>
      </c>
      <c r="E1217" s="32">
        <v>4416500</v>
      </c>
      <c r="F1217" s="32">
        <v>0</v>
      </c>
      <c r="G1217" s="32">
        <v>66193964</v>
      </c>
      <c r="H1217" t="s">
        <v>223</v>
      </c>
    </row>
    <row r="1218" spans="1:8" hidden="1" x14ac:dyDescent="0.3">
      <c r="A1218" s="28">
        <v>16260</v>
      </c>
      <c r="B1218" s="35">
        <v>45369.618055555555</v>
      </c>
      <c r="C1218" s="18">
        <v>45369</v>
      </c>
      <c r="D1218" t="s">
        <v>101</v>
      </c>
      <c r="E1218" s="32">
        <v>0</v>
      </c>
      <c r="F1218" s="32">
        <v>1772710</v>
      </c>
      <c r="G1218" s="32">
        <v>61777464</v>
      </c>
      <c r="H1218" t="s">
        <v>289</v>
      </c>
    </row>
    <row r="1219" spans="1:8" hidden="1" x14ac:dyDescent="0.3">
      <c r="A1219" s="28">
        <v>16259</v>
      </c>
      <c r="B1219" s="35">
        <v>45369.615277777775</v>
      </c>
      <c r="C1219" s="18">
        <v>45369</v>
      </c>
      <c r="D1219" t="s">
        <v>101</v>
      </c>
      <c r="E1219" s="32">
        <v>0</v>
      </c>
      <c r="F1219" s="32">
        <v>4340980</v>
      </c>
      <c r="G1219" s="32">
        <v>63550174</v>
      </c>
      <c r="H1219" t="s">
        <v>289</v>
      </c>
    </row>
    <row r="1220" spans="1:8" hidden="1" x14ac:dyDescent="0.3">
      <c r="A1220" s="28">
        <v>16258</v>
      </c>
      <c r="B1220" s="35">
        <v>45369.54791666667</v>
      </c>
      <c r="C1220" s="18">
        <v>45369</v>
      </c>
      <c r="D1220" t="s">
        <v>101</v>
      </c>
      <c r="E1220" s="32">
        <v>0</v>
      </c>
      <c r="F1220" s="32">
        <v>488804</v>
      </c>
      <c r="G1220" s="32">
        <v>67891154</v>
      </c>
      <c r="H1220" t="s">
        <v>221</v>
      </c>
    </row>
    <row r="1221" spans="1:8" hidden="1" x14ac:dyDescent="0.3">
      <c r="A1221" s="28">
        <v>16256</v>
      </c>
      <c r="B1221" s="35">
        <v>45369.457638888889</v>
      </c>
      <c r="C1221" s="18">
        <v>45369</v>
      </c>
      <c r="D1221" t="s">
        <v>100</v>
      </c>
      <c r="E1221" s="32">
        <v>5869600</v>
      </c>
      <c r="F1221" s="32">
        <v>0</v>
      </c>
      <c r="G1221" s="32">
        <v>68379958</v>
      </c>
      <c r="H1221" t="s">
        <v>279</v>
      </c>
    </row>
    <row r="1222" spans="1:8" hidden="1" x14ac:dyDescent="0.3">
      <c r="A1222" s="28">
        <v>16255</v>
      </c>
      <c r="B1222" s="35">
        <v>45369.439583333333</v>
      </c>
      <c r="C1222" s="18">
        <v>45369</v>
      </c>
      <c r="D1222" t="s">
        <v>100</v>
      </c>
      <c r="E1222" s="32">
        <v>561000</v>
      </c>
      <c r="F1222" s="32">
        <v>0</v>
      </c>
      <c r="G1222" s="32">
        <v>62510358</v>
      </c>
      <c r="H1222" t="s">
        <v>220</v>
      </c>
    </row>
    <row r="1223" spans="1:8" hidden="1" x14ac:dyDescent="0.3">
      <c r="A1223" s="28">
        <v>16252</v>
      </c>
      <c r="B1223" s="35">
        <v>45366.834722222222</v>
      </c>
      <c r="C1223" s="18">
        <v>45366</v>
      </c>
      <c r="D1223" t="s">
        <v>101</v>
      </c>
      <c r="E1223" s="32">
        <v>0</v>
      </c>
      <c r="F1223" s="32">
        <v>298400</v>
      </c>
      <c r="G1223" s="32">
        <v>61949358</v>
      </c>
      <c r="H1223" t="s">
        <v>300</v>
      </c>
    </row>
    <row r="1224" spans="1:8" hidden="1" x14ac:dyDescent="0.3">
      <c r="A1224" s="28">
        <v>16251</v>
      </c>
      <c r="B1224" s="35">
        <v>45366.809027777781</v>
      </c>
      <c r="C1224" s="18">
        <v>45366</v>
      </c>
      <c r="D1224" t="s">
        <v>101</v>
      </c>
      <c r="E1224" s="32">
        <v>0</v>
      </c>
      <c r="F1224" s="32">
        <v>99000</v>
      </c>
      <c r="G1224" s="32">
        <v>62247758</v>
      </c>
      <c r="H1224" t="s">
        <v>301</v>
      </c>
    </row>
    <row r="1225" spans="1:8" hidden="1" x14ac:dyDescent="0.3">
      <c r="A1225" s="28">
        <v>16250</v>
      </c>
      <c r="B1225" s="35">
        <v>45366.806944444441</v>
      </c>
      <c r="C1225" s="18">
        <v>45366</v>
      </c>
      <c r="D1225" t="s">
        <v>101</v>
      </c>
      <c r="E1225" s="32">
        <v>0</v>
      </c>
      <c r="F1225" s="32">
        <v>344457</v>
      </c>
      <c r="G1225" s="32">
        <v>62346758</v>
      </c>
      <c r="H1225" t="s">
        <v>302</v>
      </c>
    </row>
    <row r="1226" spans="1:8" hidden="1" x14ac:dyDescent="0.3">
      <c r="A1226" s="28">
        <v>16249</v>
      </c>
      <c r="B1226" s="35">
        <v>45366.800694444442</v>
      </c>
      <c r="C1226" s="18">
        <v>45366</v>
      </c>
      <c r="D1226" t="s">
        <v>101</v>
      </c>
      <c r="E1226" s="32">
        <v>0</v>
      </c>
      <c r="F1226" s="32">
        <v>684420</v>
      </c>
      <c r="G1226" s="32">
        <v>62691215</v>
      </c>
      <c r="H1226" t="s">
        <v>239</v>
      </c>
    </row>
    <row r="1227" spans="1:8" hidden="1" x14ac:dyDescent="0.3">
      <c r="A1227" s="28">
        <v>16247</v>
      </c>
      <c r="B1227" s="35">
        <v>45366.761111111111</v>
      </c>
      <c r="C1227" s="18">
        <v>45366</v>
      </c>
      <c r="D1227" t="s">
        <v>101</v>
      </c>
      <c r="E1227" s="32">
        <v>0</v>
      </c>
      <c r="F1227" s="32">
        <v>17021570</v>
      </c>
      <c r="G1227" s="32">
        <v>63375635</v>
      </c>
      <c r="H1227" t="s">
        <v>303</v>
      </c>
    </row>
    <row r="1228" spans="1:8" hidden="1" x14ac:dyDescent="0.3">
      <c r="A1228" s="28">
        <v>16246</v>
      </c>
      <c r="B1228" s="35">
        <v>45366.726388888892</v>
      </c>
      <c r="C1228" s="18">
        <v>45366</v>
      </c>
      <c r="D1228" t="s">
        <v>100</v>
      </c>
      <c r="E1228" s="32">
        <v>1402500</v>
      </c>
      <c r="F1228" s="32">
        <v>0</v>
      </c>
      <c r="G1228" s="32">
        <v>80397205</v>
      </c>
      <c r="H1228" t="s">
        <v>382</v>
      </c>
    </row>
    <row r="1229" spans="1:8" hidden="1" x14ac:dyDescent="0.3">
      <c r="A1229" s="28">
        <v>16245</v>
      </c>
      <c r="B1229" s="35">
        <v>45366.676388888889</v>
      </c>
      <c r="C1229" s="18">
        <v>45366</v>
      </c>
      <c r="D1229" t="s">
        <v>100</v>
      </c>
      <c r="E1229" s="32">
        <v>180400</v>
      </c>
      <c r="F1229" s="32">
        <v>0</v>
      </c>
      <c r="G1229" s="32">
        <v>78994705</v>
      </c>
      <c r="H1229" t="s">
        <v>406</v>
      </c>
    </row>
    <row r="1230" spans="1:8" hidden="1" x14ac:dyDescent="0.3">
      <c r="A1230" s="28">
        <v>16243</v>
      </c>
      <c r="B1230" s="35">
        <v>45366.633333333331</v>
      </c>
      <c r="C1230" s="18">
        <v>45366</v>
      </c>
      <c r="D1230" t="s">
        <v>100</v>
      </c>
      <c r="E1230" s="32">
        <v>508200</v>
      </c>
      <c r="F1230" s="32">
        <v>0</v>
      </c>
      <c r="G1230" s="32">
        <v>78814305</v>
      </c>
      <c r="H1230" t="s">
        <v>252</v>
      </c>
    </row>
    <row r="1231" spans="1:8" hidden="1" x14ac:dyDescent="0.3">
      <c r="A1231" s="28">
        <v>16242</v>
      </c>
      <c r="B1231" s="35">
        <v>45366.633333333331</v>
      </c>
      <c r="C1231" s="18">
        <v>45366</v>
      </c>
      <c r="D1231" t="s">
        <v>100</v>
      </c>
      <c r="E1231" s="32">
        <v>233200</v>
      </c>
      <c r="F1231" s="32">
        <v>0</v>
      </c>
      <c r="G1231" s="32">
        <v>78306105</v>
      </c>
      <c r="H1231" t="s">
        <v>252</v>
      </c>
    </row>
    <row r="1232" spans="1:8" hidden="1" x14ac:dyDescent="0.3">
      <c r="A1232" s="28">
        <v>16241</v>
      </c>
      <c r="B1232" s="35">
        <v>45366.615277777775</v>
      </c>
      <c r="C1232" s="18">
        <v>45366</v>
      </c>
      <c r="D1232" t="s">
        <v>100</v>
      </c>
      <c r="E1232" s="32">
        <v>459800</v>
      </c>
      <c r="F1232" s="32">
        <v>0</v>
      </c>
      <c r="G1232" s="32">
        <v>78072905</v>
      </c>
      <c r="H1232" t="s">
        <v>396</v>
      </c>
    </row>
    <row r="1233" spans="1:8" hidden="1" x14ac:dyDescent="0.3">
      <c r="A1233" s="28">
        <v>16236</v>
      </c>
      <c r="B1233" s="35">
        <v>45366.587500000001</v>
      </c>
      <c r="C1233" s="18">
        <v>45366</v>
      </c>
      <c r="D1233" t="s">
        <v>101</v>
      </c>
      <c r="E1233" s="32">
        <v>0</v>
      </c>
      <c r="F1233" s="32">
        <v>2429616</v>
      </c>
      <c r="G1233" s="32">
        <v>77613105</v>
      </c>
      <c r="H1233" t="s">
        <v>221</v>
      </c>
    </row>
    <row r="1234" spans="1:8" hidden="1" x14ac:dyDescent="0.3">
      <c r="A1234" s="28">
        <v>16235</v>
      </c>
      <c r="B1234" s="35">
        <v>45366.584722222222</v>
      </c>
      <c r="C1234" s="18">
        <v>45366</v>
      </c>
      <c r="D1234" t="s">
        <v>101</v>
      </c>
      <c r="E1234" s="32">
        <v>0</v>
      </c>
      <c r="F1234" s="32">
        <v>99592</v>
      </c>
      <c r="G1234" s="32">
        <v>80042721</v>
      </c>
      <c r="H1234" t="s">
        <v>221</v>
      </c>
    </row>
    <row r="1235" spans="1:8" hidden="1" x14ac:dyDescent="0.3">
      <c r="A1235" s="28">
        <v>16234</v>
      </c>
      <c r="B1235" s="35">
        <v>45366.573611111111</v>
      </c>
      <c r="C1235" s="18">
        <v>45366</v>
      </c>
      <c r="D1235" t="s">
        <v>100</v>
      </c>
      <c r="E1235" s="32">
        <v>811800</v>
      </c>
      <c r="F1235" s="32">
        <v>0</v>
      </c>
      <c r="G1235" s="32">
        <v>80142313</v>
      </c>
      <c r="H1235" t="s">
        <v>307</v>
      </c>
    </row>
    <row r="1236" spans="1:8" hidden="1" x14ac:dyDescent="0.3">
      <c r="A1236" s="28">
        <v>16233</v>
      </c>
      <c r="B1236" s="35">
        <v>45366.573611111111</v>
      </c>
      <c r="C1236" s="18">
        <v>45366</v>
      </c>
      <c r="D1236" t="s">
        <v>100</v>
      </c>
      <c r="E1236" s="32">
        <v>1113200</v>
      </c>
      <c r="F1236" s="32">
        <v>0</v>
      </c>
      <c r="G1236" s="32">
        <v>79330513</v>
      </c>
      <c r="H1236" t="s">
        <v>307</v>
      </c>
    </row>
    <row r="1237" spans="1:8" hidden="1" x14ac:dyDescent="0.3">
      <c r="A1237" s="28">
        <v>16232</v>
      </c>
      <c r="B1237" s="35">
        <v>45366.573611111111</v>
      </c>
      <c r="C1237" s="18">
        <v>45366</v>
      </c>
      <c r="D1237" t="s">
        <v>100</v>
      </c>
      <c r="E1237" s="32">
        <v>757900</v>
      </c>
      <c r="F1237" s="32">
        <v>0</v>
      </c>
      <c r="G1237" s="32">
        <v>78217313</v>
      </c>
      <c r="H1237" t="s">
        <v>307</v>
      </c>
    </row>
    <row r="1238" spans="1:8" hidden="1" x14ac:dyDescent="0.3">
      <c r="A1238" s="28">
        <v>16231</v>
      </c>
      <c r="B1238" s="35">
        <v>45366.572916666664</v>
      </c>
      <c r="C1238" s="18">
        <v>45366</v>
      </c>
      <c r="D1238" t="s">
        <v>100</v>
      </c>
      <c r="E1238" s="32">
        <v>2251700</v>
      </c>
      <c r="F1238" s="32">
        <v>0</v>
      </c>
      <c r="G1238" s="32">
        <v>77459413</v>
      </c>
      <c r="H1238" t="s">
        <v>307</v>
      </c>
    </row>
    <row r="1239" spans="1:8" hidden="1" x14ac:dyDescent="0.3">
      <c r="A1239" s="28">
        <v>16230</v>
      </c>
      <c r="B1239" s="35">
        <v>45366.572916666664</v>
      </c>
      <c r="C1239" s="18">
        <v>45366</v>
      </c>
      <c r="D1239" t="s">
        <v>100</v>
      </c>
      <c r="E1239" s="32">
        <v>585200</v>
      </c>
      <c r="F1239" s="32">
        <v>0</v>
      </c>
      <c r="G1239" s="32">
        <v>75207713</v>
      </c>
      <c r="H1239" t="s">
        <v>307</v>
      </c>
    </row>
    <row r="1240" spans="1:8" hidden="1" x14ac:dyDescent="0.3">
      <c r="A1240" s="28">
        <v>16229</v>
      </c>
      <c r="B1240" s="35">
        <v>45366.572916666664</v>
      </c>
      <c r="C1240" s="18">
        <v>45366</v>
      </c>
      <c r="D1240" t="s">
        <v>100</v>
      </c>
      <c r="E1240" s="32">
        <v>853600</v>
      </c>
      <c r="F1240" s="32">
        <v>0</v>
      </c>
      <c r="G1240" s="32">
        <v>74622513</v>
      </c>
      <c r="H1240" t="s">
        <v>307</v>
      </c>
    </row>
    <row r="1241" spans="1:8" hidden="1" x14ac:dyDescent="0.3">
      <c r="A1241" s="28">
        <v>16228</v>
      </c>
      <c r="B1241" s="35">
        <v>45366.572916666664</v>
      </c>
      <c r="C1241" s="18">
        <v>45366</v>
      </c>
      <c r="D1241" t="s">
        <v>100</v>
      </c>
      <c r="E1241" s="32">
        <v>344300</v>
      </c>
      <c r="F1241" s="32">
        <v>0</v>
      </c>
      <c r="G1241" s="32">
        <v>73768913</v>
      </c>
      <c r="H1241" t="s">
        <v>307</v>
      </c>
    </row>
    <row r="1242" spans="1:8" hidden="1" x14ac:dyDescent="0.3">
      <c r="A1242" s="28">
        <v>16227</v>
      </c>
      <c r="B1242" s="35">
        <v>45366.481944444444</v>
      </c>
      <c r="C1242" s="18">
        <v>45366</v>
      </c>
      <c r="D1242" t="s">
        <v>100</v>
      </c>
      <c r="E1242" s="32">
        <v>3155900</v>
      </c>
      <c r="F1242" s="32">
        <v>0</v>
      </c>
      <c r="G1242" s="32">
        <v>73424613</v>
      </c>
      <c r="H1242" t="s">
        <v>1629</v>
      </c>
    </row>
    <row r="1243" spans="1:8" hidden="1" x14ac:dyDescent="0.3">
      <c r="A1243" s="28">
        <v>16226</v>
      </c>
      <c r="B1243" s="35">
        <v>45366.481944444444</v>
      </c>
      <c r="C1243" s="18">
        <v>45366</v>
      </c>
      <c r="D1243" t="s">
        <v>100</v>
      </c>
      <c r="E1243" s="32">
        <v>3007400</v>
      </c>
      <c r="F1243" s="32">
        <v>0</v>
      </c>
      <c r="G1243" s="32">
        <v>70268713</v>
      </c>
      <c r="H1243" t="s">
        <v>1629</v>
      </c>
    </row>
    <row r="1244" spans="1:8" hidden="1" x14ac:dyDescent="0.3">
      <c r="A1244" s="28">
        <v>16225</v>
      </c>
      <c r="B1244" s="35">
        <v>45366.481944444444</v>
      </c>
      <c r="C1244" s="18">
        <v>45366</v>
      </c>
      <c r="D1244" t="s">
        <v>100</v>
      </c>
      <c r="E1244" s="32">
        <v>3313200</v>
      </c>
      <c r="F1244" s="32">
        <v>0</v>
      </c>
      <c r="G1244" s="32">
        <v>67261313</v>
      </c>
      <c r="H1244" t="s">
        <v>1629</v>
      </c>
    </row>
    <row r="1245" spans="1:8" hidden="1" x14ac:dyDescent="0.3">
      <c r="A1245" s="28">
        <v>16224</v>
      </c>
      <c r="B1245" s="35">
        <v>45366.464583333334</v>
      </c>
      <c r="C1245" s="18">
        <v>45366</v>
      </c>
      <c r="D1245" t="s">
        <v>100</v>
      </c>
      <c r="E1245" s="32">
        <v>7403000</v>
      </c>
      <c r="F1245" s="32">
        <v>0</v>
      </c>
      <c r="G1245" s="32">
        <v>63948113</v>
      </c>
      <c r="H1245" t="s">
        <v>436</v>
      </c>
    </row>
    <row r="1246" spans="1:8" hidden="1" x14ac:dyDescent="0.3">
      <c r="A1246" s="28">
        <v>16223</v>
      </c>
      <c r="B1246" s="35">
        <v>45366.418055555558</v>
      </c>
      <c r="C1246" s="18">
        <v>45366</v>
      </c>
      <c r="D1246" t="s">
        <v>100</v>
      </c>
      <c r="E1246" s="32">
        <v>2905100</v>
      </c>
      <c r="F1246" s="32">
        <v>0</v>
      </c>
      <c r="G1246" s="32">
        <v>56545113</v>
      </c>
      <c r="H1246" t="s">
        <v>306</v>
      </c>
    </row>
    <row r="1247" spans="1:8" hidden="1" x14ac:dyDescent="0.3">
      <c r="A1247" s="28">
        <v>16222</v>
      </c>
      <c r="B1247" s="35">
        <v>45365.666666666664</v>
      </c>
      <c r="C1247" s="18">
        <v>45365</v>
      </c>
      <c r="D1247" t="s">
        <v>101</v>
      </c>
      <c r="E1247" s="32">
        <v>0</v>
      </c>
      <c r="F1247" s="32">
        <v>60000</v>
      </c>
      <c r="G1247" s="32">
        <v>53640013</v>
      </c>
      <c r="H1247" t="s">
        <v>710</v>
      </c>
    </row>
    <row r="1248" spans="1:8" hidden="1" x14ac:dyDescent="0.3">
      <c r="A1248" s="28">
        <v>16220</v>
      </c>
      <c r="B1248" s="35">
        <v>45365.45</v>
      </c>
      <c r="C1248" s="18">
        <v>45365</v>
      </c>
      <c r="D1248" t="s">
        <v>100</v>
      </c>
      <c r="E1248" s="32">
        <v>293700</v>
      </c>
      <c r="F1248" s="32">
        <v>0</v>
      </c>
      <c r="G1248" s="32">
        <v>53700013</v>
      </c>
      <c r="H1248" t="s">
        <v>91</v>
      </c>
    </row>
    <row r="1249" spans="1:8" hidden="1" x14ac:dyDescent="0.3">
      <c r="A1249" s="28">
        <v>16218</v>
      </c>
      <c r="B1249" s="35">
        <v>45364.711111111108</v>
      </c>
      <c r="C1249" s="18">
        <v>45364</v>
      </c>
      <c r="D1249" t="s">
        <v>100</v>
      </c>
      <c r="E1249" s="32">
        <v>346500</v>
      </c>
      <c r="F1249" s="32">
        <v>0</v>
      </c>
      <c r="G1249" s="32">
        <v>53406313</v>
      </c>
      <c r="H1249" t="s">
        <v>218</v>
      </c>
    </row>
    <row r="1250" spans="1:8" hidden="1" x14ac:dyDescent="0.3">
      <c r="A1250" s="28">
        <v>16214</v>
      </c>
      <c r="B1250" s="35">
        <v>45364.5625</v>
      </c>
      <c r="C1250" s="18">
        <v>45364</v>
      </c>
      <c r="D1250" t="s">
        <v>101</v>
      </c>
      <c r="E1250" s="32">
        <v>0</v>
      </c>
      <c r="F1250" s="32">
        <v>11010000</v>
      </c>
      <c r="G1250" s="32">
        <v>53059813</v>
      </c>
      <c r="H1250" t="s">
        <v>219</v>
      </c>
    </row>
    <row r="1251" spans="1:8" hidden="1" x14ac:dyDescent="0.3">
      <c r="A1251" s="28">
        <v>16213</v>
      </c>
      <c r="B1251" s="35">
        <v>45364.559027777781</v>
      </c>
      <c r="C1251" s="18">
        <v>45364</v>
      </c>
      <c r="D1251" t="s">
        <v>100</v>
      </c>
      <c r="E1251" s="32">
        <v>376200</v>
      </c>
      <c r="F1251" s="32">
        <v>0</v>
      </c>
      <c r="G1251" s="32">
        <v>64069813</v>
      </c>
      <c r="H1251" t="s">
        <v>220</v>
      </c>
    </row>
    <row r="1252" spans="1:8" hidden="1" x14ac:dyDescent="0.3">
      <c r="A1252" s="28">
        <v>16212</v>
      </c>
      <c r="B1252" s="35">
        <v>45364.493750000001</v>
      </c>
      <c r="C1252" s="18">
        <v>45364</v>
      </c>
      <c r="D1252" t="s">
        <v>101</v>
      </c>
      <c r="E1252" s="32">
        <v>0</v>
      </c>
      <c r="F1252" s="32">
        <v>933394</v>
      </c>
      <c r="G1252" s="32">
        <v>63693613</v>
      </c>
      <c r="H1252" t="s">
        <v>221</v>
      </c>
    </row>
    <row r="1253" spans="1:8" hidden="1" x14ac:dyDescent="0.3">
      <c r="A1253" s="28">
        <v>16208</v>
      </c>
      <c r="B1253" s="35">
        <v>45363.57708333333</v>
      </c>
      <c r="C1253" s="18">
        <v>45363</v>
      </c>
      <c r="D1253" t="s">
        <v>100</v>
      </c>
      <c r="E1253" s="32">
        <v>255200</v>
      </c>
      <c r="F1253" s="32">
        <v>0</v>
      </c>
      <c r="G1253" s="32">
        <v>64627007</v>
      </c>
      <c r="H1253" t="s">
        <v>91</v>
      </c>
    </row>
    <row r="1254" spans="1:8" hidden="1" x14ac:dyDescent="0.3">
      <c r="A1254" s="28">
        <v>16206</v>
      </c>
      <c r="B1254" s="35">
        <v>45363.37777777778</v>
      </c>
      <c r="C1254" s="18">
        <v>45363</v>
      </c>
      <c r="D1254" t="s">
        <v>101</v>
      </c>
      <c r="E1254" s="32">
        <v>0</v>
      </c>
      <c r="F1254" s="32">
        <v>125048</v>
      </c>
      <c r="G1254" s="32">
        <v>64371807</v>
      </c>
      <c r="H1254" t="s">
        <v>221</v>
      </c>
    </row>
    <row r="1255" spans="1:8" hidden="1" x14ac:dyDescent="0.3">
      <c r="A1255" s="28">
        <v>16205</v>
      </c>
      <c r="B1255" s="35">
        <v>45362.836805555555</v>
      </c>
      <c r="C1255" s="18">
        <v>45362</v>
      </c>
      <c r="D1255" t="s">
        <v>101</v>
      </c>
      <c r="E1255" s="32">
        <v>0</v>
      </c>
      <c r="F1255" s="32">
        <v>57500</v>
      </c>
      <c r="G1255" s="32">
        <v>64496855</v>
      </c>
      <c r="H1255" t="s">
        <v>222</v>
      </c>
    </row>
    <row r="1256" spans="1:8" hidden="1" x14ac:dyDescent="0.3">
      <c r="A1256" s="28">
        <v>16200</v>
      </c>
      <c r="B1256" s="35">
        <v>45362.737500000003</v>
      </c>
      <c r="C1256" s="18">
        <v>45362</v>
      </c>
      <c r="D1256" t="s">
        <v>100</v>
      </c>
      <c r="E1256" s="32">
        <v>174900</v>
      </c>
      <c r="F1256" s="32">
        <v>0</v>
      </c>
      <c r="G1256" s="32">
        <v>64554355</v>
      </c>
      <c r="H1256" t="s">
        <v>223</v>
      </c>
    </row>
    <row r="1257" spans="1:8" hidden="1" x14ac:dyDescent="0.3">
      <c r="A1257" s="28">
        <v>16199</v>
      </c>
      <c r="B1257" s="35">
        <v>45362.713888888888</v>
      </c>
      <c r="C1257" s="18">
        <v>45362</v>
      </c>
      <c r="D1257" t="s">
        <v>100</v>
      </c>
      <c r="E1257" s="32">
        <v>8184000</v>
      </c>
      <c r="F1257" s="32">
        <v>0</v>
      </c>
      <c r="G1257" s="32">
        <v>64379455</v>
      </c>
      <c r="H1257" t="s">
        <v>224</v>
      </c>
    </row>
    <row r="1258" spans="1:8" hidden="1" x14ac:dyDescent="0.3">
      <c r="A1258" s="28">
        <v>16198</v>
      </c>
      <c r="B1258" s="35">
        <v>45362.706944444442</v>
      </c>
      <c r="C1258" s="18">
        <v>45362</v>
      </c>
      <c r="D1258" t="s">
        <v>101</v>
      </c>
      <c r="E1258" s="32">
        <v>0</v>
      </c>
      <c r="F1258" s="32">
        <v>198000</v>
      </c>
      <c r="G1258" s="32">
        <v>56195455</v>
      </c>
      <c r="H1258" t="s">
        <v>225</v>
      </c>
    </row>
    <row r="1259" spans="1:8" hidden="1" x14ac:dyDescent="0.3">
      <c r="A1259" s="28">
        <v>16196</v>
      </c>
      <c r="B1259" s="35">
        <v>45362.434027777781</v>
      </c>
      <c r="C1259" s="18">
        <v>45362</v>
      </c>
      <c r="D1259" t="s">
        <v>101</v>
      </c>
      <c r="E1259" s="32">
        <v>0</v>
      </c>
      <c r="F1259" s="32">
        <v>473825</v>
      </c>
      <c r="G1259" s="32">
        <v>56393455</v>
      </c>
      <c r="H1259" t="s">
        <v>226</v>
      </c>
    </row>
    <row r="1260" spans="1:8" hidden="1" x14ac:dyDescent="0.3">
      <c r="A1260" s="28">
        <v>16194</v>
      </c>
      <c r="B1260" s="35">
        <v>45362.37777777778</v>
      </c>
      <c r="C1260" s="18">
        <v>45362</v>
      </c>
      <c r="D1260" t="s">
        <v>101</v>
      </c>
      <c r="E1260" s="32">
        <v>0</v>
      </c>
      <c r="F1260" s="32">
        <v>156533</v>
      </c>
      <c r="G1260" s="32">
        <v>56867280</v>
      </c>
      <c r="H1260" t="s">
        <v>221</v>
      </c>
    </row>
    <row r="1261" spans="1:8" hidden="1" x14ac:dyDescent="0.3">
      <c r="A1261" s="28">
        <v>16193</v>
      </c>
      <c r="B1261" s="35">
        <v>45359.678472222222</v>
      </c>
      <c r="C1261" s="18">
        <v>45359</v>
      </c>
      <c r="D1261" t="s">
        <v>101</v>
      </c>
      <c r="E1261" s="32">
        <v>0</v>
      </c>
      <c r="F1261" s="32">
        <v>394500</v>
      </c>
      <c r="G1261" s="32">
        <v>57023813</v>
      </c>
      <c r="H1261" t="s">
        <v>227</v>
      </c>
    </row>
    <row r="1262" spans="1:8" hidden="1" x14ac:dyDescent="0.3">
      <c r="A1262" s="28">
        <v>16192</v>
      </c>
      <c r="B1262" s="35">
        <v>45359.611805555556</v>
      </c>
      <c r="C1262" s="18">
        <v>45359</v>
      </c>
      <c r="D1262" t="s">
        <v>100</v>
      </c>
      <c r="E1262" s="32">
        <v>427900</v>
      </c>
      <c r="F1262" s="32">
        <v>0</v>
      </c>
      <c r="G1262" s="32">
        <v>57418313</v>
      </c>
      <c r="H1262" t="s">
        <v>228</v>
      </c>
    </row>
    <row r="1263" spans="1:8" hidden="1" x14ac:dyDescent="0.3">
      <c r="A1263" s="28">
        <v>16191</v>
      </c>
      <c r="B1263" s="35">
        <v>45359.59375</v>
      </c>
      <c r="C1263" s="18">
        <v>45359</v>
      </c>
      <c r="D1263" t="s">
        <v>100</v>
      </c>
      <c r="E1263" s="32">
        <v>733700</v>
      </c>
      <c r="F1263" s="32">
        <v>0</v>
      </c>
      <c r="G1263" s="32">
        <v>56990413</v>
      </c>
      <c r="H1263" t="s">
        <v>229</v>
      </c>
    </row>
    <row r="1264" spans="1:8" hidden="1" x14ac:dyDescent="0.3">
      <c r="A1264" s="28">
        <v>16190</v>
      </c>
      <c r="B1264" s="35">
        <v>45358.65902777778</v>
      </c>
      <c r="C1264" s="18">
        <v>45358</v>
      </c>
      <c r="D1264" t="s">
        <v>100</v>
      </c>
      <c r="E1264" s="32">
        <v>372900</v>
      </c>
      <c r="F1264" s="32">
        <v>0</v>
      </c>
      <c r="G1264" s="32">
        <v>56256713</v>
      </c>
      <c r="H1264" t="s">
        <v>230</v>
      </c>
    </row>
    <row r="1265" spans="1:8" hidden="1" x14ac:dyDescent="0.3">
      <c r="A1265" s="28">
        <v>16189</v>
      </c>
      <c r="B1265" s="35">
        <v>45358.658333333333</v>
      </c>
      <c r="C1265" s="18">
        <v>45358</v>
      </c>
      <c r="D1265" t="s">
        <v>100</v>
      </c>
      <c r="E1265" s="32">
        <v>696300</v>
      </c>
      <c r="F1265" s="32">
        <v>0</v>
      </c>
      <c r="G1265" s="32">
        <v>55883813</v>
      </c>
      <c r="H1265" t="s">
        <v>231</v>
      </c>
    </row>
    <row r="1266" spans="1:8" hidden="1" x14ac:dyDescent="0.3">
      <c r="A1266" s="28">
        <v>16188</v>
      </c>
      <c r="B1266" s="35">
        <v>45358.629166666666</v>
      </c>
      <c r="C1266" s="18">
        <v>45358</v>
      </c>
      <c r="D1266" t="s">
        <v>100</v>
      </c>
      <c r="E1266" s="32">
        <v>1444300</v>
      </c>
      <c r="F1266" s="32">
        <v>0</v>
      </c>
      <c r="G1266" s="32">
        <v>55187513</v>
      </c>
      <c r="H1266" t="s">
        <v>232</v>
      </c>
    </row>
    <row r="1267" spans="1:8" hidden="1" x14ac:dyDescent="0.3">
      <c r="A1267" s="28">
        <v>16187</v>
      </c>
      <c r="B1267" s="35">
        <v>45358.449305555558</v>
      </c>
      <c r="C1267" s="18">
        <v>45358</v>
      </c>
      <c r="D1267" t="s">
        <v>100</v>
      </c>
      <c r="E1267" s="32">
        <v>3047000</v>
      </c>
      <c r="F1267" s="32">
        <v>0</v>
      </c>
      <c r="G1267" s="32">
        <v>53743213</v>
      </c>
      <c r="H1267" t="s">
        <v>233</v>
      </c>
    </row>
    <row r="1268" spans="1:8" hidden="1" x14ac:dyDescent="0.3">
      <c r="A1268" s="28">
        <v>16186</v>
      </c>
      <c r="B1268" s="35">
        <v>45358.425000000003</v>
      </c>
      <c r="C1268" s="18">
        <v>45358</v>
      </c>
      <c r="D1268" t="s">
        <v>100</v>
      </c>
      <c r="E1268" s="32">
        <v>3056900</v>
      </c>
      <c r="F1268" s="32">
        <v>0</v>
      </c>
      <c r="G1268" s="32">
        <v>50696213</v>
      </c>
      <c r="H1268" t="s">
        <v>234</v>
      </c>
    </row>
    <row r="1269" spans="1:8" hidden="1" x14ac:dyDescent="0.3">
      <c r="A1269" s="28">
        <v>16185</v>
      </c>
      <c r="B1269" s="35">
        <v>45358.372916666667</v>
      </c>
      <c r="C1269" s="18">
        <v>45358</v>
      </c>
      <c r="D1269" t="s">
        <v>101</v>
      </c>
      <c r="E1269" s="32">
        <v>0</v>
      </c>
      <c r="F1269" s="32">
        <v>153743</v>
      </c>
      <c r="G1269" s="32">
        <v>47639313</v>
      </c>
      <c r="H1269" t="s">
        <v>221</v>
      </c>
    </row>
    <row r="1270" spans="1:8" hidden="1" x14ac:dyDescent="0.3">
      <c r="A1270" s="28">
        <v>16184</v>
      </c>
      <c r="B1270" s="35">
        <v>45357.620138888888</v>
      </c>
      <c r="C1270" s="18">
        <v>45357</v>
      </c>
      <c r="D1270" t="s">
        <v>100</v>
      </c>
      <c r="E1270" s="32">
        <v>674300</v>
      </c>
      <c r="F1270" s="32">
        <v>0</v>
      </c>
      <c r="G1270" s="32">
        <v>47793056</v>
      </c>
      <c r="H1270" t="s">
        <v>235</v>
      </c>
    </row>
    <row r="1271" spans="1:8" hidden="1" x14ac:dyDescent="0.3">
      <c r="A1271" s="28">
        <v>16183</v>
      </c>
      <c r="B1271" s="35">
        <v>45357.595833333333</v>
      </c>
      <c r="C1271" s="18">
        <v>45357</v>
      </c>
      <c r="D1271" t="s">
        <v>100</v>
      </c>
      <c r="E1271" s="32">
        <v>3634400</v>
      </c>
      <c r="F1271" s="32">
        <v>0</v>
      </c>
      <c r="G1271" s="32">
        <v>47118756</v>
      </c>
      <c r="H1271" t="s">
        <v>236</v>
      </c>
    </row>
    <row r="1272" spans="1:8" hidden="1" x14ac:dyDescent="0.3">
      <c r="A1272" s="28">
        <v>16182</v>
      </c>
      <c r="B1272" s="35">
        <v>45357.490972222222</v>
      </c>
      <c r="C1272" s="18">
        <v>45357</v>
      </c>
      <c r="D1272" t="s">
        <v>101</v>
      </c>
      <c r="E1272" s="32">
        <v>0</v>
      </c>
      <c r="F1272" s="32">
        <v>2357516</v>
      </c>
      <c r="G1272" s="32">
        <v>43484356</v>
      </c>
      <c r="H1272" t="s">
        <v>221</v>
      </c>
    </row>
    <row r="1273" spans="1:8" hidden="1" x14ac:dyDescent="0.3">
      <c r="A1273" s="28">
        <v>16179</v>
      </c>
      <c r="B1273" s="35">
        <v>45357.409722222219</v>
      </c>
      <c r="C1273" s="18">
        <v>45357</v>
      </c>
      <c r="D1273" t="s">
        <v>101</v>
      </c>
      <c r="E1273" s="32">
        <v>0</v>
      </c>
      <c r="F1273" s="32">
        <v>862300</v>
      </c>
      <c r="G1273" s="32">
        <v>45841872</v>
      </c>
      <c r="H1273" t="s">
        <v>237</v>
      </c>
    </row>
    <row r="1274" spans="1:8" hidden="1" x14ac:dyDescent="0.3">
      <c r="A1274" s="28">
        <v>16178</v>
      </c>
      <c r="B1274" s="35">
        <v>45356.832638888889</v>
      </c>
      <c r="C1274" s="18">
        <v>45356</v>
      </c>
      <c r="D1274" t="s">
        <v>101</v>
      </c>
      <c r="E1274" s="32">
        <v>0</v>
      </c>
      <c r="F1274" s="32">
        <v>626472</v>
      </c>
      <c r="G1274" s="32">
        <v>46704172</v>
      </c>
      <c r="H1274" t="s">
        <v>238</v>
      </c>
    </row>
    <row r="1275" spans="1:8" hidden="1" x14ac:dyDescent="0.3">
      <c r="A1275" s="28">
        <v>16177</v>
      </c>
      <c r="B1275" s="35">
        <v>45356.79791666667</v>
      </c>
      <c r="C1275" s="18">
        <v>45356</v>
      </c>
      <c r="D1275" t="s">
        <v>101</v>
      </c>
      <c r="E1275" s="32">
        <v>0</v>
      </c>
      <c r="F1275" s="32">
        <v>711920</v>
      </c>
      <c r="G1275" s="32">
        <v>47330644</v>
      </c>
      <c r="H1275" t="s">
        <v>239</v>
      </c>
    </row>
    <row r="1276" spans="1:8" hidden="1" x14ac:dyDescent="0.3">
      <c r="A1276" s="28">
        <v>16175</v>
      </c>
      <c r="B1276" s="35">
        <v>45356.619444444441</v>
      </c>
      <c r="C1276" s="18">
        <v>45356</v>
      </c>
      <c r="D1276" t="s">
        <v>100</v>
      </c>
      <c r="E1276" s="32">
        <v>825000</v>
      </c>
      <c r="F1276" s="32">
        <v>0</v>
      </c>
      <c r="G1276" s="32">
        <v>48042564</v>
      </c>
      <c r="H1276" t="s">
        <v>230</v>
      </c>
    </row>
    <row r="1277" spans="1:8" hidden="1" x14ac:dyDescent="0.3">
      <c r="A1277" s="28">
        <v>16174</v>
      </c>
      <c r="B1277" s="35">
        <v>45356.588888888888</v>
      </c>
      <c r="C1277" s="18">
        <v>45356</v>
      </c>
      <c r="D1277" t="s">
        <v>100</v>
      </c>
      <c r="E1277" s="32">
        <v>479600</v>
      </c>
      <c r="F1277" s="32">
        <v>0</v>
      </c>
      <c r="G1277" s="32">
        <v>47217564</v>
      </c>
      <c r="H1277" t="s">
        <v>223</v>
      </c>
    </row>
    <row r="1278" spans="1:8" hidden="1" x14ac:dyDescent="0.3">
      <c r="A1278" s="28">
        <v>16170</v>
      </c>
      <c r="B1278" s="35">
        <v>45356.522916666669</v>
      </c>
      <c r="C1278" s="18">
        <v>45356</v>
      </c>
      <c r="D1278" t="s">
        <v>100</v>
      </c>
      <c r="E1278" s="32">
        <v>1107700</v>
      </c>
      <c r="F1278" s="32">
        <v>0</v>
      </c>
      <c r="G1278" s="32">
        <v>46737964</v>
      </c>
      <c r="H1278" t="s">
        <v>240</v>
      </c>
    </row>
    <row r="1279" spans="1:8" hidden="1" x14ac:dyDescent="0.3">
      <c r="A1279" s="28">
        <v>16168</v>
      </c>
      <c r="B1279" s="35">
        <v>45356.393750000003</v>
      </c>
      <c r="C1279" s="18">
        <v>45356</v>
      </c>
      <c r="D1279" t="s">
        <v>101</v>
      </c>
      <c r="E1279" s="32">
        <v>0</v>
      </c>
      <c r="F1279" s="32">
        <v>8000</v>
      </c>
      <c r="G1279" s="32">
        <v>45630264</v>
      </c>
      <c r="H1279" t="s">
        <v>241</v>
      </c>
    </row>
    <row r="1280" spans="1:8" hidden="1" x14ac:dyDescent="0.3">
      <c r="A1280" s="28">
        <v>16167</v>
      </c>
      <c r="B1280" s="35">
        <v>45356.392361111109</v>
      </c>
      <c r="C1280" s="18">
        <v>45356</v>
      </c>
      <c r="D1280" t="s">
        <v>100</v>
      </c>
      <c r="E1280" s="32">
        <v>392700</v>
      </c>
      <c r="F1280" s="32">
        <v>0</v>
      </c>
      <c r="G1280" s="32">
        <v>45638264</v>
      </c>
      <c r="H1280" t="s">
        <v>220</v>
      </c>
    </row>
    <row r="1281" spans="1:8" hidden="1" x14ac:dyDescent="0.3">
      <c r="A1281" s="28">
        <v>16166</v>
      </c>
      <c r="B1281" s="35">
        <v>45356.392361111109</v>
      </c>
      <c r="C1281" s="18">
        <v>45356</v>
      </c>
      <c r="D1281" t="s">
        <v>100</v>
      </c>
      <c r="E1281" s="32">
        <v>541200</v>
      </c>
      <c r="F1281" s="32">
        <v>0</v>
      </c>
      <c r="G1281" s="32">
        <v>45245564</v>
      </c>
      <c r="H1281" t="s">
        <v>220</v>
      </c>
    </row>
    <row r="1282" spans="1:8" hidden="1" x14ac:dyDescent="0.3">
      <c r="A1282" s="28">
        <v>16165</v>
      </c>
      <c r="B1282" s="35">
        <v>45356.392361111109</v>
      </c>
      <c r="C1282" s="18">
        <v>45356</v>
      </c>
      <c r="D1282" t="s">
        <v>100</v>
      </c>
      <c r="E1282" s="32">
        <v>1959100</v>
      </c>
      <c r="F1282" s="32">
        <v>0</v>
      </c>
      <c r="G1282" s="32">
        <v>44704364</v>
      </c>
      <c r="H1282" t="s">
        <v>220</v>
      </c>
    </row>
    <row r="1283" spans="1:8" hidden="1" x14ac:dyDescent="0.3">
      <c r="A1283" s="28">
        <v>16161</v>
      </c>
      <c r="B1283" s="35">
        <v>45355.390972222223</v>
      </c>
      <c r="C1283" s="18">
        <v>45355</v>
      </c>
      <c r="D1283" t="s">
        <v>101</v>
      </c>
      <c r="E1283" s="32">
        <v>0</v>
      </c>
      <c r="F1283" s="32">
        <v>39887400</v>
      </c>
      <c r="G1283" s="32">
        <v>42745264</v>
      </c>
      <c r="H1283" t="s">
        <v>242</v>
      </c>
    </row>
    <row r="1284" spans="1:8" hidden="1" x14ac:dyDescent="0.3">
      <c r="A1284" s="28">
        <v>16160</v>
      </c>
      <c r="B1284" s="35">
        <v>45355.390277777777</v>
      </c>
      <c r="C1284" s="18">
        <v>45355</v>
      </c>
      <c r="D1284" t="s">
        <v>101</v>
      </c>
      <c r="E1284" s="32">
        <v>0</v>
      </c>
      <c r="F1284" s="32">
        <v>363645</v>
      </c>
      <c r="G1284" s="32">
        <v>82632664</v>
      </c>
      <c r="H1284" t="s">
        <v>221</v>
      </c>
    </row>
    <row r="1285" spans="1:8" hidden="1" x14ac:dyDescent="0.3">
      <c r="A1285" s="28">
        <v>16159</v>
      </c>
      <c r="B1285" s="35">
        <v>45355.390277777777</v>
      </c>
      <c r="C1285" s="18">
        <v>45355</v>
      </c>
      <c r="D1285" t="s">
        <v>101</v>
      </c>
      <c r="E1285" s="32">
        <v>0</v>
      </c>
      <c r="F1285" s="32">
        <v>26592000</v>
      </c>
      <c r="G1285" s="32">
        <v>82996309</v>
      </c>
      <c r="H1285" t="s">
        <v>243</v>
      </c>
    </row>
    <row r="1286" spans="1:8" hidden="1" x14ac:dyDescent="0.3">
      <c r="A1286" s="28">
        <v>16158</v>
      </c>
      <c r="B1286" s="35">
        <v>45355.38958333333</v>
      </c>
      <c r="C1286" s="18">
        <v>45355</v>
      </c>
      <c r="D1286" t="s">
        <v>101</v>
      </c>
      <c r="E1286" s="32">
        <v>0</v>
      </c>
      <c r="F1286" s="32">
        <v>26598000</v>
      </c>
      <c r="G1286" s="32">
        <v>109588309</v>
      </c>
      <c r="H1286" t="s">
        <v>244</v>
      </c>
    </row>
    <row r="1287" spans="1:8" hidden="1" x14ac:dyDescent="0.3">
      <c r="A1287" s="28">
        <v>16157</v>
      </c>
      <c r="B1287" s="35">
        <v>45351.796527777777</v>
      </c>
      <c r="C1287" s="18">
        <v>45351</v>
      </c>
      <c r="D1287" t="s">
        <v>101</v>
      </c>
      <c r="E1287" s="32">
        <v>0</v>
      </c>
      <c r="F1287" s="32">
        <v>400510</v>
      </c>
      <c r="G1287" s="32">
        <v>136186309</v>
      </c>
      <c r="H1287" t="s">
        <v>239</v>
      </c>
    </row>
    <row r="1288" spans="1:8" hidden="1" x14ac:dyDescent="0.3">
      <c r="A1288" s="28">
        <v>16156</v>
      </c>
      <c r="B1288" s="35">
        <v>45351.731944444444</v>
      </c>
      <c r="C1288" s="18">
        <v>45351</v>
      </c>
      <c r="D1288" t="s">
        <v>100</v>
      </c>
      <c r="E1288" s="32">
        <v>490600</v>
      </c>
      <c r="F1288" s="32">
        <v>0</v>
      </c>
      <c r="G1288" s="32">
        <v>136586819</v>
      </c>
      <c r="H1288" t="s">
        <v>245</v>
      </c>
    </row>
    <row r="1289" spans="1:8" hidden="1" x14ac:dyDescent="0.3">
      <c r="A1289" s="28">
        <v>16155</v>
      </c>
      <c r="B1289" s="35">
        <v>45351.702777777777</v>
      </c>
      <c r="C1289" s="18">
        <v>45351</v>
      </c>
      <c r="D1289" t="s">
        <v>100</v>
      </c>
      <c r="E1289" s="32">
        <v>949000</v>
      </c>
      <c r="F1289" s="32">
        <v>0</v>
      </c>
      <c r="G1289" s="32">
        <v>136096219</v>
      </c>
      <c r="H1289" t="s">
        <v>246</v>
      </c>
    </row>
    <row r="1290" spans="1:8" hidden="1" x14ac:dyDescent="0.3">
      <c r="A1290" s="28">
        <v>16154</v>
      </c>
      <c r="B1290" s="35">
        <v>45351.654166666667</v>
      </c>
      <c r="C1290" s="18">
        <v>45351</v>
      </c>
      <c r="D1290" t="s">
        <v>100</v>
      </c>
      <c r="E1290" s="32">
        <v>94900</v>
      </c>
      <c r="F1290" s="32">
        <v>0</v>
      </c>
      <c r="G1290" s="32">
        <v>135147219</v>
      </c>
      <c r="H1290" t="s">
        <v>247</v>
      </c>
    </row>
    <row r="1291" spans="1:8" hidden="1" x14ac:dyDescent="0.3">
      <c r="A1291" s="28">
        <v>16149</v>
      </c>
      <c r="B1291" s="35">
        <v>45351.611111111109</v>
      </c>
      <c r="C1291" s="18">
        <v>45351</v>
      </c>
      <c r="D1291" t="s">
        <v>100</v>
      </c>
      <c r="E1291" s="32">
        <v>198000</v>
      </c>
      <c r="F1291" s="32">
        <v>0</v>
      </c>
      <c r="G1291" s="32">
        <v>135052319</v>
      </c>
      <c r="H1291" t="s">
        <v>248</v>
      </c>
    </row>
    <row r="1292" spans="1:8" hidden="1" x14ac:dyDescent="0.3">
      <c r="A1292" s="28">
        <v>16148</v>
      </c>
      <c r="B1292" s="35">
        <v>45351.593055555553</v>
      </c>
      <c r="C1292" s="18">
        <v>45351</v>
      </c>
      <c r="D1292" t="s">
        <v>100</v>
      </c>
      <c r="E1292" s="32">
        <v>5229400</v>
      </c>
      <c r="F1292" s="32">
        <v>0</v>
      </c>
      <c r="G1292" s="32">
        <v>134854319</v>
      </c>
      <c r="H1292" t="s">
        <v>249</v>
      </c>
    </row>
    <row r="1293" spans="1:8" hidden="1" x14ac:dyDescent="0.3">
      <c r="A1293" s="28">
        <v>16147</v>
      </c>
      <c r="B1293" s="35">
        <v>45351.579861111109</v>
      </c>
      <c r="C1293" s="18">
        <v>45351</v>
      </c>
      <c r="D1293" t="s">
        <v>100</v>
      </c>
      <c r="E1293" s="32">
        <v>1491600</v>
      </c>
      <c r="F1293" s="32">
        <v>0</v>
      </c>
      <c r="G1293" s="32">
        <v>129624919</v>
      </c>
      <c r="H1293" t="s">
        <v>250</v>
      </c>
    </row>
    <row r="1294" spans="1:8" hidden="1" x14ac:dyDescent="0.3">
      <c r="A1294" s="28">
        <v>16146</v>
      </c>
      <c r="B1294" s="35">
        <v>45351.573611111111</v>
      </c>
      <c r="C1294" s="18">
        <v>45351</v>
      </c>
      <c r="D1294" t="s">
        <v>100</v>
      </c>
      <c r="E1294" s="32">
        <v>1457500</v>
      </c>
      <c r="F1294" s="32">
        <v>0</v>
      </c>
      <c r="G1294" s="32">
        <v>128133319</v>
      </c>
      <c r="H1294" t="s">
        <v>251</v>
      </c>
    </row>
    <row r="1295" spans="1:8" hidden="1" x14ac:dyDescent="0.3">
      <c r="A1295" s="28">
        <v>16145</v>
      </c>
      <c r="B1295" s="35">
        <v>45351.555555555555</v>
      </c>
      <c r="C1295" s="18">
        <v>45351</v>
      </c>
      <c r="D1295" t="s">
        <v>100</v>
      </c>
      <c r="E1295" s="32">
        <v>160600</v>
      </c>
      <c r="F1295" s="32">
        <v>0</v>
      </c>
      <c r="G1295" s="32">
        <v>126675819</v>
      </c>
      <c r="H1295" t="s">
        <v>252</v>
      </c>
    </row>
    <row r="1296" spans="1:8" hidden="1" x14ac:dyDescent="0.3">
      <c r="A1296" s="28">
        <v>16144</v>
      </c>
      <c r="B1296" s="35">
        <v>45351.555555555555</v>
      </c>
      <c r="C1296" s="18">
        <v>45351</v>
      </c>
      <c r="D1296" t="s">
        <v>100</v>
      </c>
      <c r="E1296" s="32">
        <v>182600</v>
      </c>
      <c r="F1296" s="32">
        <v>0</v>
      </c>
      <c r="G1296" s="32">
        <v>126515219</v>
      </c>
      <c r="H1296" t="s">
        <v>252</v>
      </c>
    </row>
    <row r="1297" spans="1:8" hidden="1" x14ac:dyDescent="0.3">
      <c r="A1297" s="28">
        <v>16143</v>
      </c>
      <c r="B1297" s="35">
        <v>45351.555555555555</v>
      </c>
      <c r="C1297" s="18">
        <v>45351</v>
      </c>
      <c r="D1297" t="s">
        <v>100</v>
      </c>
      <c r="E1297" s="32">
        <v>232100</v>
      </c>
      <c r="F1297" s="32">
        <v>0</v>
      </c>
      <c r="G1297" s="32">
        <v>126332619</v>
      </c>
      <c r="H1297" t="s">
        <v>252</v>
      </c>
    </row>
    <row r="1298" spans="1:8" hidden="1" x14ac:dyDescent="0.3">
      <c r="A1298" s="28">
        <v>16140</v>
      </c>
      <c r="B1298" s="35">
        <v>45351.47152777778</v>
      </c>
      <c r="C1298" s="18">
        <v>45351</v>
      </c>
      <c r="D1298" t="s">
        <v>100</v>
      </c>
      <c r="E1298" s="32">
        <v>222200</v>
      </c>
      <c r="F1298" s="32">
        <v>0</v>
      </c>
      <c r="G1298" s="32">
        <v>126100519</v>
      </c>
      <c r="H1298" t="s">
        <v>253</v>
      </c>
    </row>
    <row r="1299" spans="1:8" hidden="1" x14ac:dyDescent="0.3">
      <c r="A1299" s="28">
        <v>16139</v>
      </c>
      <c r="B1299" s="35">
        <v>45351.46597222222</v>
      </c>
      <c r="C1299" s="18">
        <v>45351</v>
      </c>
      <c r="D1299" t="s">
        <v>100</v>
      </c>
      <c r="E1299" s="32">
        <v>2071300</v>
      </c>
      <c r="F1299" s="32">
        <v>0</v>
      </c>
      <c r="G1299" s="32">
        <v>125878319</v>
      </c>
      <c r="H1299" t="s">
        <v>254</v>
      </c>
    </row>
    <row r="1300" spans="1:8" hidden="1" x14ac:dyDescent="0.3">
      <c r="A1300" s="28">
        <v>16138</v>
      </c>
      <c r="B1300" s="35">
        <v>45351.46597222222</v>
      </c>
      <c r="C1300" s="18">
        <v>45351</v>
      </c>
      <c r="D1300" t="s">
        <v>100</v>
      </c>
      <c r="E1300" s="32">
        <v>1652200</v>
      </c>
      <c r="F1300" s="32">
        <v>0</v>
      </c>
      <c r="G1300" s="32">
        <v>123807019</v>
      </c>
      <c r="H1300" t="s">
        <v>254</v>
      </c>
    </row>
    <row r="1301" spans="1:8" hidden="1" x14ac:dyDescent="0.3">
      <c r="A1301" s="28">
        <v>16137</v>
      </c>
      <c r="B1301" s="35">
        <v>45351.465277777781</v>
      </c>
      <c r="C1301" s="18">
        <v>45351</v>
      </c>
      <c r="D1301" t="s">
        <v>100</v>
      </c>
      <c r="E1301" s="32">
        <v>328900</v>
      </c>
      <c r="F1301" s="32">
        <v>0</v>
      </c>
      <c r="G1301" s="32">
        <v>122154819</v>
      </c>
      <c r="H1301" t="s">
        <v>254</v>
      </c>
    </row>
    <row r="1302" spans="1:8" hidden="1" x14ac:dyDescent="0.3">
      <c r="A1302" s="28">
        <v>16136</v>
      </c>
      <c r="B1302" s="35">
        <v>45351.464583333334</v>
      </c>
      <c r="C1302" s="18">
        <v>45351</v>
      </c>
      <c r="D1302" t="s">
        <v>100</v>
      </c>
      <c r="E1302" s="32">
        <v>5045700</v>
      </c>
      <c r="F1302" s="32">
        <v>0</v>
      </c>
      <c r="G1302" s="32">
        <v>121825919</v>
      </c>
      <c r="H1302" t="s">
        <v>255</v>
      </c>
    </row>
    <row r="1303" spans="1:8" hidden="1" x14ac:dyDescent="0.3">
      <c r="A1303" s="28">
        <v>16135</v>
      </c>
      <c r="B1303" s="35">
        <v>45351.445833333331</v>
      </c>
      <c r="C1303" s="18">
        <v>45351</v>
      </c>
      <c r="D1303" t="s">
        <v>100</v>
      </c>
      <c r="E1303" s="32">
        <v>367400</v>
      </c>
      <c r="F1303" s="32">
        <v>0</v>
      </c>
      <c r="G1303" s="32">
        <v>116780219</v>
      </c>
      <c r="H1303" t="s">
        <v>256</v>
      </c>
    </row>
    <row r="1304" spans="1:8" hidden="1" x14ac:dyDescent="0.3">
      <c r="A1304" s="28">
        <v>16134</v>
      </c>
      <c r="B1304" s="35">
        <v>45351.379166666666</v>
      </c>
      <c r="C1304" s="18">
        <v>45351</v>
      </c>
      <c r="D1304" t="s">
        <v>100</v>
      </c>
      <c r="E1304" s="32">
        <v>1093400</v>
      </c>
      <c r="F1304" s="32">
        <v>0</v>
      </c>
      <c r="G1304" s="32">
        <v>116412819</v>
      </c>
      <c r="H1304" t="s">
        <v>257</v>
      </c>
    </row>
    <row r="1305" spans="1:8" hidden="1" x14ac:dyDescent="0.3">
      <c r="A1305" s="28">
        <v>16133</v>
      </c>
      <c r="B1305" s="35">
        <v>45351.354861111111</v>
      </c>
      <c r="C1305" s="18">
        <v>45351</v>
      </c>
      <c r="D1305" t="s">
        <v>101</v>
      </c>
      <c r="E1305" s="32">
        <v>0</v>
      </c>
      <c r="F1305" s="32">
        <v>23477200</v>
      </c>
      <c r="G1305" s="32">
        <v>115319419</v>
      </c>
      <c r="H1305" t="s">
        <v>258</v>
      </c>
    </row>
    <row r="1306" spans="1:8" hidden="1" x14ac:dyDescent="0.3">
      <c r="A1306" s="28">
        <v>16132</v>
      </c>
      <c r="B1306" s="35">
        <v>45351.354861111111</v>
      </c>
      <c r="C1306" s="18">
        <v>45351</v>
      </c>
      <c r="D1306" t="s">
        <v>101</v>
      </c>
      <c r="E1306" s="32">
        <v>0</v>
      </c>
      <c r="F1306" s="32">
        <v>11483570</v>
      </c>
      <c r="G1306" s="32">
        <v>138796619</v>
      </c>
      <c r="H1306" t="s">
        <v>258</v>
      </c>
    </row>
    <row r="1307" spans="1:8" hidden="1" x14ac:dyDescent="0.3">
      <c r="A1307" s="28">
        <v>16131</v>
      </c>
      <c r="B1307" s="35">
        <v>45350.708333333336</v>
      </c>
      <c r="C1307" s="18">
        <v>45350</v>
      </c>
      <c r="D1307" t="s">
        <v>100</v>
      </c>
      <c r="E1307" s="32">
        <v>100000000</v>
      </c>
      <c r="F1307" s="32">
        <v>0</v>
      </c>
      <c r="G1307" s="32">
        <v>150280189</v>
      </c>
      <c r="H1307" t="s">
        <v>259</v>
      </c>
    </row>
    <row r="1308" spans="1:8" hidden="1" x14ac:dyDescent="0.3">
      <c r="A1308" s="28">
        <v>16129</v>
      </c>
      <c r="B1308" s="35">
        <v>45350.685416666667</v>
      </c>
      <c r="C1308" s="18">
        <v>45350</v>
      </c>
      <c r="D1308" t="s">
        <v>100</v>
      </c>
      <c r="E1308" s="32">
        <v>662200</v>
      </c>
      <c r="F1308" s="32">
        <v>0</v>
      </c>
      <c r="G1308" s="32">
        <v>50280189</v>
      </c>
      <c r="H1308" t="s">
        <v>260</v>
      </c>
    </row>
    <row r="1309" spans="1:8" hidden="1" x14ac:dyDescent="0.3">
      <c r="A1309" s="28">
        <v>16127</v>
      </c>
      <c r="B1309" s="35">
        <v>45350.616666666669</v>
      </c>
      <c r="C1309" s="18">
        <v>45350</v>
      </c>
      <c r="D1309" t="s">
        <v>101</v>
      </c>
      <c r="E1309" s="32">
        <v>0</v>
      </c>
      <c r="F1309" s="32">
        <v>1980000</v>
      </c>
      <c r="G1309" s="32">
        <v>49617989</v>
      </c>
      <c r="H1309" t="s">
        <v>261</v>
      </c>
    </row>
    <row r="1310" spans="1:8" hidden="1" x14ac:dyDescent="0.3">
      <c r="A1310" s="28">
        <v>16126</v>
      </c>
      <c r="B1310" s="35">
        <v>45350.585416666669</v>
      </c>
      <c r="C1310" s="18">
        <v>45350</v>
      </c>
      <c r="D1310" t="s">
        <v>101</v>
      </c>
      <c r="E1310" s="32">
        <v>0</v>
      </c>
      <c r="F1310" s="32">
        <v>48240</v>
      </c>
      <c r="G1310" s="32">
        <v>51597989</v>
      </c>
      <c r="H1310" t="s">
        <v>262</v>
      </c>
    </row>
    <row r="1311" spans="1:8" hidden="1" x14ac:dyDescent="0.3">
      <c r="A1311" s="28">
        <v>16125</v>
      </c>
      <c r="B1311" s="35">
        <v>45350.577777777777</v>
      </c>
      <c r="C1311" s="18">
        <v>45350</v>
      </c>
      <c r="D1311" t="s">
        <v>100</v>
      </c>
      <c r="E1311" s="32">
        <v>1446500</v>
      </c>
      <c r="F1311" s="32">
        <v>0</v>
      </c>
      <c r="G1311" s="32">
        <v>51646229</v>
      </c>
      <c r="H1311" t="s">
        <v>263</v>
      </c>
    </row>
    <row r="1312" spans="1:8" hidden="1" x14ac:dyDescent="0.3">
      <c r="A1312" s="28">
        <v>16124</v>
      </c>
      <c r="B1312" s="35">
        <v>45350.46875</v>
      </c>
      <c r="C1312" s="18">
        <v>45350</v>
      </c>
      <c r="D1312" t="s">
        <v>100</v>
      </c>
      <c r="E1312" s="32">
        <v>567600</v>
      </c>
      <c r="F1312" s="32">
        <v>0</v>
      </c>
      <c r="G1312" s="32">
        <v>50199729</v>
      </c>
      <c r="H1312" t="s">
        <v>264</v>
      </c>
    </row>
    <row r="1313" spans="1:8" hidden="1" x14ac:dyDescent="0.3">
      <c r="A1313" s="28">
        <v>16122</v>
      </c>
      <c r="B1313" s="35">
        <v>45350.45</v>
      </c>
      <c r="C1313" s="18">
        <v>45350</v>
      </c>
      <c r="D1313" t="s">
        <v>101</v>
      </c>
      <c r="E1313" s="32">
        <v>0</v>
      </c>
      <c r="F1313" s="32">
        <v>240000</v>
      </c>
      <c r="G1313" s="32">
        <v>49632129</v>
      </c>
      <c r="H1313" t="s">
        <v>265</v>
      </c>
    </row>
    <row r="1314" spans="1:8" hidden="1" x14ac:dyDescent="0.3">
      <c r="A1314" s="28">
        <v>16121</v>
      </c>
      <c r="B1314" s="35">
        <v>45350.447222222225</v>
      </c>
      <c r="C1314" s="18">
        <v>45350</v>
      </c>
      <c r="D1314" t="s">
        <v>100</v>
      </c>
      <c r="E1314" s="32">
        <v>446600</v>
      </c>
      <c r="F1314" s="32">
        <v>0</v>
      </c>
      <c r="G1314" s="32">
        <v>49872129</v>
      </c>
      <c r="H1314" t="s">
        <v>266</v>
      </c>
    </row>
    <row r="1315" spans="1:8" hidden="1" x14ac:dyDescent="0.3">
      <c r="A1315" s="28">
        <v>16120</v>
      </c>
      <c r="B1315" s="35">
        <v>45350.40902777778</v>
      </c>
      <c r="C1315" s="18">
        <v>45350</v>
      </c>
      <c r="D1315" t="s">
        <v>100</v>
      </c>
      <c r="E1315" s="32">
        <v>3005200</v>
      </c>
      <c r="F1315" s="32">
        <v>0</v>
      </c>
      <c r="G1315" s="32">
        <v>49425529</v>
      </c>
      <c r="H1315" t="s">
        <v>254</v>
      </c>
    </row>
    <row r="1316" spans="1:8" hidden="1" x14ac:dyDescent="0.3">
      <c r="A1316" s="28">
        <v>16117</v>
      </c>
      <c r="B1316" s="35">
        <v>45349.816666666666</v>
      </c>
      <c r="C1316" s="18">
        <v>45349</v>
      </c>
      <c r="D1316" t="s">
        <v>100</v>
      </c>
      <c r="E1316" s="32">
        <v>315700</v>
      </c>
      <c r="F1316" s="32">
        <v>0</v>
      </c>
      <c r="G1316" s="32">
        <v>46420329</v>
      </c>
      <c r="H1316" t="s">
        <v>267</v>
      </c>
    </row>
    <row r="1317" spans="1:8" hidden="1" x14ac:dyDescent="0.3">
      <c r="A1317" s="28">
        <v>16116</v>
      </c>
      <c r="B1317" s="35">
        <v>45349.697916666664</v>
      </c>
      <c r="C1317" s="18">
        <v>45349</v>
      </c>
      <c r="D1317" t="s">
        <v>100</v>
      </c>
      <c r="E1317" s="32">
        <v>694100</v>
      </c>
      <c r="F1317" s="32">
        <v>0</v>
      </c>
      <c r="G1317" s="32">
        <v>46104629</v>
      </c>
      <c r="H1317" t="s">
        <v>223</v>
      </c>
    </row>
    <row r="1318" spans="1:8" hidden="1" x14ac:dyDescent="0.3">
      <c r="A1318" s="28">
        <v>16115</v>
      </c>
      <c r="B1318" s="35">
        <v>45349.670138888891</v>
      </c>
      <c r="C1318" s="18">
        <v>45349</v>
      </c>
      <c r="D1318" t="s">
        <v>101</v>
      </c>
      <c r="E1318" s="32">
        <v>0</v>
      </c>
      <c r="F1318" s="32">
        <v>123820</v>
      </c>
      <c r="G1318" s="32">
        <v>45410529</v>
      </c>
      <c r="H1318" t="s">
        <v>221</v>
      </c>
    </row>
    <row r="1319" spans="1:8" hidden="1" x14ac:dyDescent="0.3">
      <c r="A1319" s="28">
        <v>16114</v>
      </c>
      <c r="B1319" s="35">
        <v>45349.603472222225</v>
      </c>
      <c r="C1319" s="18">
        <v>45349</v>
      </c>
      <c r="D1319" t="s">
        <v>100</v>
      </c>
      <c r="E1319" s="32">
        <v>6082000</v>
      </c>
      <c r="F1319" s="32">
        <v>0</v>
      </c>
      <c r="G1319" s="32">
        <v>45534349</v>
      </c>
      <c r="H1319" t="s">
        <v>268</v>
      </c>
    </row>
    <row r="1320" spans="1:8" hidden="1" x14ac:dyDescent="0.3">
      <c r="A1320" s="28">
        <v>16113</v>
      </c>
      <c r="B1320" s="35">
        <v>45349.603472222225</v>
      </c>
      <c r="C1320" s="18">
        <v>45349</v>
      </c>
      <c r="D1320" t="s">
        <v>100</v>
      </c>
      <c r="E1320" s="32">
        <v>10000000</v>
      </c>
      <c r="F1320" s="32">
        <v>0</v>
      </c>
      <c r="G1320" s="32">
        <v>39452349</v>
      </c>
      <c r="H1320" t="s">
        <v>268</v>
      </c>
    </row>
    <row r="1321" spans="1:8" hidden="1" x14ac:dyDescent="0.3">
      <c r="A1321" s="28">
        <v>16112</v>
      </c>
      <c r="B1321" s="35">
        <v>45349.468055555553</v>
      </c>
      <c r="C1321" s="18">
        <v>45349</v>
      </c>
      <c r="D1321" t="s">
        <v>100</v>
      </c>
      <c r="E1321" s="32">
        <v>666600</v>
      </c>
      <c r="F1321" s="32">
        <v>0</v>
      </c>
      <c r="G1321" s="32">
        <v>29452349</v>
      </c>
      <c r="H1321" t="s">
        <v>269</v>
      </c>
    </row>
    <row r="1322" spans="1:8" hidden="1" x14ac:dyDescent="0.3">
      <c r="A1322" s="28">
        <v>16110</v>
      </c>
      <c r="B1322" s="35">
        <v>45349.461111111108</v>
      </c>
      <c r="C1322" s="18">
        <v>45349</v>
      </c>
      <c r="D1322" t="s">
        <v>101</v>
      </c>
      <c r="E1322" s="32">
        <v>0</v>
      </c>
      <c r="F1322" s="32">
        <v>40000000</v>
      </c>
      <c r="G1322" s="32">
        <v>28785749</v>
      </c>
      <c r="H1322" t="s">
        <v>270</v>
      </c>
    </row>
    <row r="1323" spans="1:8" hidden="1" x14ac:dyDescent="0.3">
      <c r="A1323" s="28">
        <v>16108</v>
      </c>
      <c r="B1323" s="35">
        <v>45348.838194444441</v>
      </c>
      <c r="C1323" s="18">
        <v>45348</v>
      </c>
      <c r="D1323" t="s">
        <v>101</v>
      </c>
      <c r="E1323" s="32">
        <v>0</v>
      </c>
      <c r="F1323" s="32">
        <v>440000</v>
      </c>
      <c r="G1323" s="32">
        <v>68785749</v>
      </c>
      <c r="H1323" t="s">
        <v>271</v>
      </c>
    </row>
    <row r="1324" spans="1:8" hidden="1" x14ac:dyDescent="0.3">
      <c r="A1324" s="28">
        <v>16105</v>
      </c>
      <c r="B1324" s="35">
        <v>45348.706944444442</v>
      </c>
      <c r="C1324" s="18">
        <v>45348</v>
      </c>
      <c r="D1324" t="s">
        <v>100</v>
      </c>
      <c r="E1324" s="32">
        <v>2697200</v>
      </c>
      <c r="F1324" s="32">
        <v>0</v>
      </c>
      <c r="G1324" s="32">
        <v>69225749</v>
      </c>
      <c r="H1324" t="s">
        <v>272</v>
      </c>
    </row>
    <row r="1325" spans="1:8" hidden="1" x14ac:dyDescent="0.3">
      <c r="A1325" s="28">
        <v>16104</v>
      </c>
      <c r="B1325" s="35">
        <v>45348.696527777778</v>
      </c>
      <c r="C1325" s="18">
        <v>45348</v>
      </c>
      <c r="D1325" t="s">
        <v>100</v>
      </c>
      <c r="E1325" s="32">
        <v>649000</v>
      </c>
      <c r="F1325" s="32">
        <v>0</v>
      </c>
      <c r="G1325" s="32">
        <v>66528549</v>
      </c>
      <c r="H1325" t="s">
        <v>231</v>
      </c>
    </row>
    <row r="1326" spans="1:8" hidden="1" x14ac:dyDescent="0.3">
      <c r="A1326" s="28">
        <v>16103</v>
      </c>
      <c r="B1326" s="35">
        <v>45348.670138888891</v>
      </c>
      <c r="C1326" s="18">
        <v>45348</v>
      </c>
      <c r="D1326" t="s">
        <v>100</v>
      </c>
      <c r="E1326" s="32">
        <v>2090000</v>
      </c>
      <c r="F1326" s="32">
        <v>0</v>
      </c>
      <c r="G1326" s="32">
        <v>65879549</v>
      </c>
      <c r="H1326" t="s">
        <v>273</v>
      </c>
    </row>
    <row r="1327" spans="1:8" hidden="1" x14ac:dyDescent="0.3">
      <c r="A1327" s="28">
        <v>16102</v>
      </c>
      <c r="B1327" s="35">
        <v>45348.668749999997</v>
      </c>
      <c r="C1327" s="18">
        <v>45348</v>
      </c>
      <c r="D1327" t="s">
        <v>100</v>
      </c>
      <c r="E1327" s="32">
        <v>2000000</v>
      </c>
      <c r="F1327" s="32">
        <v>0</v>
      </c>
      <c r="G1327" s="32">
        <v>63789549</v>
      </c>
      <c r="H1327" t="s">
        <v>273</v>
      </c>
    </row>
    <row r="1328" spans="1:8" hidden="1" x14ac:dyDescent="0.3">
      <c r="A1328" s="28">
        <v>16101</v>
      </c>
      <c r="B1328" s="35">
        <v>45348.660416666666</v>
      </c>
      <c r="C1328" s="18">
        <v>45348</v>
      </c>
      <c r="D1328" t="s">
        <v>100</v>
      </c>
      <c r="E1328" s="32">
        <v>28594500</v>
      </c>
      <c r="F1328" s="32">
        <v>0</v>
      </c>
      <c r="G1328" s="32">
        <v>61789549</v>
      </c>
      <c r="H1328" t="s">
        <v>274</v>
      </c>
    </row>
    <row r="1329" spans="1:8" hidden="1" x14ac:dyDescent="0.3">
      <c r="A1329" s="28">
        <v>16100</v>
      </c>
      <c r="B1329" s="35">
        <v>45348.657638888886</v>
      </c>
      <c r="C1329" s="18">
        <v>45348</v>
      </c>
      <c r="D1329" t="s">
        <v>100</v>
      </c>
      <c r="E1329" s="32">
        <v>2068000</v>
      </c>
      <c r="F1329" s="32">
        <v>0</v>
      </c>
      <c r="G1329" s="32">
        <v>33195049</v>
      </c>
      <c r="H1329" t="s">
        <v>275</v>
      </c>
    </row>
    <row r="1330" spans="1:8" hidden="1" x14ac:dyDescent="0.3">
      <c r="A1330" s="28">
        <v>16099</v>
      </c>
      <c r="B1330" s="35">
        <v>45348.620833333334</v>
      </c>
      <c r="C1330" s="18">
        <v>45348</v>
      </c>
      <c r="D1330" t="s">
        <v>101</v>
      </c>
      <c r="E1330" s="32">
        <v>0</v>
      </c>
      <c r="F1330" s="32">
        <v>12000</v>
      </c>
      <c r="G1330" s="32">
        <v>31127049</v>
      </c>
      <c r="H1330" t="s">
        <v>276</v>
      </c>
    </row>
    <row r="1331" spans="1:8" hidden="1" x14ac:dyDescent="0.3">
      <c r="A1331" s="28">
        <v>16098</v>
      </c>
      <c r="B1331" s="35">
        <v>45348.607638888891</v>
      </c>
      <c r="C1331" s="18">
        <v>45348</v>
      </c>
      <c r="D1331" t="s">
        <v>100</v>
      </c>
      <c r="E1331" s="32">
        <v>212300</v>
      </c>
      <c r="F1331" s="32">
        <v>0</v>
      </c>
      <c r="G1331" s="32">
        <v>31139049</v>
      </c>
      <c r="H1331" t="s">
        <v>220</v>
      </c>
    </row>
    <row r="1332" spans="1:8" hidden="1" x14ac:dyDescent="0.3">
      <c r="A1332" s="28">
        <v>16097</v>
      </c>
      <c r="B1332" s="35">
        <v>45348.607638888891</v>
      </c>
      <c r="C1332" s="18">
        <v>45348</v>
      </c>
      <c r="D1332" t="s">
        <v>100</v>
      </c>
      <c r="E1332" s="32">
        <v>1490500</v>
      </c>
      <c r="F1332" s="32">
        <v>0</v>
      </c>
      <c r="G1332" s="32">
        <v>30926749</v>
      </c>
      <c r="H1332" t="s">
        <v>220</v>
      </c>
    </row>
    <row r="1333" spans="1:8" hidden="1" x14ac:dyDescent="0.3">
      <c r="A1333" s="28">
        <v>16096</v>
      </c>
      <c r="B1333" s="35">
        <v>45348.599305555559</v>
      </c>
      <c r="C1333" s="18">
        <v>45348</v>
      </c>
      <c r="D1333" t="s">
        <v>101</v>
      </c>
      <c r="E1333" s="32">
        <v>0</v>
      </c>
      <c r="F1333" s="32">
        <v>130000</v>
      </c>
      <c r="G1333" s="32">
        <v>29436249</v>
      </c>
      <c r="H1333" t="s">
        <v>277</v>
      </c>
    </row>
    <row r="1334" spans="1:8" hidden="1" x14ac:dyDescent="0.3">
      <c r="A1334" s="28">
        <v>16095</v>
      </c>
      <c r="B1334" s="35">
        <v>45348.598611111112</v>
      </c>
      <c r="C1334" s="18">
        <v>45348</v>
      </c>
      <c r="D1334" t="s">
        <v>101</v>
      </c>
      <c r="E1334" s="32">
        <v>0</v>
      </c>
      <c r="F1334" s="32">
        <v>6600000</v>
      </c>
      <c r="G1334" s="32">
        <v>29566249</v>
      </c>
      <c r="H1334" t="s">
        <v>278</v>
      </c>
    </row>
    <row r="1335" spans="1:8" hidden="1" x14ac:dyDescent="0.3">
      <c r="A1335" s="28">
        <v>16094</v>
      </c>
      <c r="B1335" s="35">
        <v>45348.588888888888</v>
      </c>
      <c r="C1335" s="18">
        <v>45348</v>
      </c>
      <c r="D1335" t="s">
        <v>100</v>
      </c>
      <c r="E1335" s="32">
        <v>2059200</v>
      </c>
      <c r="F1335" s="32">
        <v>0</v>
      </c>
      <c r="G1335" s="32">
        <v>36166249</v>
      </c>
      <c r="H1335" t="s">
        <v>279</v>
      </c>
    </row>
    <row r="1336" spans="1:8" hidden="1" x14ac:dyDescent="0.3">
      <c r="A1336" s="28">
        <v>16093</v>
      </c>
      <c r="B1336" s="35">
        <v>45348.584027777775</v>
      </c>
      <c r="C1336" s="18">
        <v>45348</v>
      </c>
      <c r="D1336" t="s">
        <v>101</v>
      </c>
      <c r="E1336" s="32">
        <v>0</v>
      </c>
      <c r="F1336" s="32">
        <v>444290</v>
      </c>
      <c r="G1336" s="32">
        <v>34107049</v>
      </c>
      <c r="H1336" t="s">
        <v>280</v>
      </c>
    </row>
    <row r="1337" spans="1:8" hidden="1" x14ac:dyDescent="0.3">
      <c r="A1337" s="28">
        <v>16088</v>
      </c>
      <c r="B1337" s="35">
        <v>45345.481249999997</v>
      </c>
      <c r="C1337" s="18">
        <v>45345</v>
      </c>
      <c r="D1337" t="s">
        <v>101</v>
      </c>
      <c r="E1337" s="32">
        <v>0</v>
      </c>
      <c r="F1337" s="32">
        <v>514483</v>
      </c>
      <c r="G1337" s="32">
        <v>34551339</v>
      </c>
      <c r="H1337" t="s">
        <v>221</v>
      </c>
    </row>
    <row r="1338" spans="1:8" hidden="1" x14ac:dyDescent="0.3">
      <c r="A1338" s="28">
        <v>16087</v>
      </c>
      <c r="B1338" s="35">
        <v>45345.478472222225</v>
      </c>
      <c r="C1338" s="18">
        <v>45345</v>
      </c>
      <c r="D1338" t="s">
        <v>101</v>
      </c>
      <c r="E1338" s="32">
        <v>0</v>
      </c>
      <c r="F1338" s="32">
        <v>103277</v>
      </c>
      <c r="G1338" s="32">
        <v>35065822</v>
      </c>
      <c r="H1338" t="s">
        <v>221</v>
      </c>
    </row>
    <row r="1339" spans="1:8" hidden="1" x14ac:dyDescent="0.3">
      <c r="A1339" s="28">
        <v>16086</v>
      </c>
      <c r="B1339" s="35">
        <v>45345.423611111109</v>
      </c>
      <c r="C1339" s="18">
        <v>45345</v>
      </c>
      <c r="D1339" t="s">
        <v>101</v>
      </c>
      <c r="E1339" s="32">
        <v>0</v>
      </c>
      <c r="F1339" s="32">
        <v>2792869</v>
      </c>
      <c r="G1339" s="32">
        <v>35169099</v>
      </c>
      <c r="H1339" t="s">
        <v>281</v>
      </c>
    </row>
    <row r="1340" spans="1:8" hidden="1" x14ac:dyDescent="0.3">
      <c r="A1340" s="28">
        <v>16085</v>
      </c>
      <c r="B1340" s="35">
        <v>45345.422222222223</v>
      </c>
      <c r="C1340" s="18">
        <v>45345</v>
      </c>
      <c r="D1340" t="s">
        <v>101</v>
      </c>
      <c r="E1340" s="32">
        <v>0</v>
      </c>
      <c r="F1340" s="32">
        <v>450000</v>
      </c>
      <c r="G1340" s="32">
        <v>37961968</v>
      </c>
      <c r="H1340" t="s">
        <v>282</v>
      </c>
    </row>
    <row r="1341" spans="1:8" hidden="1" x14ac:dyDescent="0.3">
      <c r="A1341" s="28">
        <v>16084</v>
      </c>
      <c r="B1341" s="35">
        <v>45345.42083333333</v>
      </c>
      <c r="C1341" s="18">
        <v>45345</v>
      </c>
      <c r="D1341" t="s">
        <v>101</v>
      </c>
      <c r="E1341" s="32">
        <v>0</v>
      </c>
      <c r="F1341" s="32">
        <v>33110</v>
      </c>
      <c r="G1341" s="32">
        <v>38411968</v>
      </c>
      <c r="H1341" t="s">
        <v>280</v>
      </c>
    </row>
    <row r="1342" spans="1:8" hidden="1" x14ac:dyDescent="0.3">
      <c r="A1342" s="28">
        <v>16083</v>
      </c>
      <c r="B1342" s="35">
        <v>45344.706944444442</v>
      </c>
      <c r="C1342" s="18">
        <v>45344</v>
      </c>
      <c r="D1342" t="s">
        <v>101</v>
      </c>
      <c r="E1342" s="32">
        <v>0</v>
      </c>
      <c r="F1342" s="32">
        <v>66220</v>
      </c>
      <c r="G1342" s="32">
        <v>38445078</v>
      </c>
      <c r="H1342" t="s">
        <v>280</v>
      </c>
    </row>
    <row r="1343" spans="1:8" hidden="1" x14ac:dyDescent="0.3">
      <c r="A1343" s="28">
        <v>16080</v>
      </c>
      <c r="B1343" s="35">
        <v>45344.573611111111</v>
      </c>
      <c r="C1343" s="18">
        <v>45344</v>
      </c>
      <c r="D1343" t="s">
        <v>100</v>
      </c>
      <c r="E1343" s="32">
        <v>150700</v>
      </c>
      <c r="F1343" s="32">
        <v>0</v>
      </c>
      <c r="G1343" s="32">
        <v>38511298</v>
      </c>
      <c r="H1343" t="s">
        <v>283</v>
      </c>
    </row>
    <row r="1344" spans="1:8" hidden="1" x14ac:dyDescent="0.3">
      <c r="A1344" s="28">
        <v>16079</v>
      </c>
      <c r="B1344" s="35">
        <v>45344.506944444445</v>
      </c>
      <c r="C1344" s="18">
        <v>45344</v>
      </c>
      <c r="D1344" t="s">
        <v>100</v>
      </c>
      <c r="E1344" s="32">
        <v>264120</v>
      </c>
      <c r="F1344" s="32">
        <v>0</v>
      </c>
      <c r="G1344" s="32">
        <v>38360598</v>
      </c>
      <c r="H1344" t="s">
        <v>284</v>
      </c>
    </row>
    <row r="1345" spans="1:8" hidden="1" x14ac:dyDescent="0.3">
      <c r="A1345" s="28">
        <v>16077</v>
      </c>
      <c r="B1345" s="35">
        <v>45342.852083333331</v>
      </c>
      <c r="C1345" s="18">
        <v>45342</v>
      </c>
      <c r="D1345" t="s">
        <v>101</v>
      </c>
      <c r="E1345" s="32">
        <v>0</v>
      </c>
      <c r="F1345" s="32">
        <v>598530</v>
      </c>
      <c r="G1345" s="32">
        <v>38096478</v>
      </c>
      <c r="H1345" t="s">
        <v>285</v>
      </c>
    </row>
    <row r="1346" spans="1:8" hidden="1" x14ac:dyDescent="0.3">
      <c r="A1346" s="28">
        <v>16076</v>
      </c>
      <c r="B1346" s="35">
        <v>45342.830555555556</v>
      </c>
      <c r="C1346" s="18">
        <v>45342</v>
      </c>
      <c r="D1346" t="s">
        <v>101</v>
      </c>
      <c r="E1346" s="32">
        <v>0</v>
      </c>
      <c r="F1346" s="32">
        <v>287875</v>
      </c>
      <c r="G1346" s="32">
        <v>38695008</v>
      </c>
      <c r="H1346" t="s">
        <v>286</v>
      </c>
    </row>
    <row r="1347" spans="1:8" hidden="1" x14ac:dyDescent="0.3">
      <c r="A1347" s="28">
        <v>16075</v>
      </c>
      <c r="B1347" s="35">
        <v>45342.820833333331</v>
      </c>
      <c r="C1347" s="18">
        <v>45342</v>
      </c>
      <c r="D1347" t="s">
        <v>101</v>
      </c>
      <c r="E1347" s="32">
        <v>0</v>
      </c>
      <c r="F1347" s="32">
        <v>77429</v>
      </c>
      <c r="G1347" s="32">
        <v>38982883</v>
      </c>
      <c r="H1347" t="s">
        <v>287</v>
      </c>
    </row>
    <row r="1348" spans="1:8" hidden="1" x14ac:dyDescent="0.3">
      <c r="A1348" s="28">
        <v>16074</v>
      </c>
      <c r="B1348" s="35">
        <v>45342.817361111112</v>
      </c>
      <c r="C1348" s="18">
        <v>45342</v>
      </c>
      <c r="D1348" t="s">
        <v>101</v>
      </c>
      <c r="E1348" s="32">
        <v>0</v>
      </c>
      <c r="F1348" s="32">
        <v>1000000</v>
      </c>
      <c r="G1348" s="32">
        <v>39060312</v>
      </c>
      <c r="H1348" t="s">
        <v>288</v>
      </c>
    </row>
    <row r="1349" spans="1:8" hidden="1" x14ac:dyDescent="0.3">
      <c r="A1349" s="28">
        <v>16073</v>
      </c>
      <c r="B1349" s="35">
        <v>45342.693749999999</v>
      </c>
      <c r="C1349" s="18">
        <v>45342</v>
      </c>
      <c r="D1349" t="s">
        <v>101</v>
      </c>
      <c r="E1349" s="32">
        <v>0</v>
      </c>
      <c r="F1349" s="32">
        <v>1293400</v>
      </c>
      <c r="G1349" s="32">
        <v>40060312</v>
      </c>
      <c r="H1349" t="s">
        <v>289</v>
      </c>
    </row>
    <row r="1350" spans="1:8" hidden="1" x14ac:dyDescent="0.3">
      <c r="A1350" s="28">
        <v>16071</v>
      </c>
      <c r="B1350" s="35">
        <v>45342.442361111112</v>
      </c>
      <c r="C1350" s="18">
        <v>45342</v>
      </c>
      <c r="D1350" t="s">
        <v>101</v>
      </c>
      <c r="E1350" s="32">
        <v>0</v>
      </c>
      <c r="F1350" s="32">
        <v>99000</v>
      </c>
      <c r="G1350" s="32">
        <v>41353712</v>
      </c>
      <c r="H1350" t="s">
        <v>290</v>
      </c>
    </row>
    <row r="1351" spans="1:8" hidden="1" x14ac:dyDescent="0.3">
      <c r="A1351" s="28">
        <v>16070</v>
      </c>
      <c r="B1351" s="35">
        <v>45342.429861111108</v>
      </c>
      <c r="C1351" s="18">
        <v>45342</v>
      </c>
      <c r="D1351" t="s">
        <v>101</v>
      </c>
      <c r="E1351" s="32">
        <v>0</v>
      </c>
      <c r="F1351" s="32">
        <v>989289</v>
      </c>
      <c r="G1351" s="32">
        <v>41452712</v>
      </c>
      <c r="H1351" t="s">
        <v>291</v>
      </c>
    </row>
    <row r="1352" spans="1:8" hidden="1" x14ac:dyDescent="0.3">
      <c r="A1352" s="28">
        <v>16069</v>
      </c>
      <c r="B1352" s="35">
        <v>45342.390972222223</v>
      </c>
      <c r="C1352" s="18">
        <v>45342</v>
      </c>
      <c r="D1352" t="s">
        <v>101</v>
      </c>
      <c r="E1352" s="32">
        <v>0</v>
      </c>
      <c r="F1352" s="32">
        <v>6614100</v>
      </c>
      <c r="G1352" s="32">
        <v>42442001</v>
      </c>
      <c r="H1352" t="s">
        <v>289</v>
      </c>
    </row>
    <row r="1353" spans="1:8" hidden="1" x14ac:dyDescent="0.3">
      <c r="A1353" s="28">
        <v>16068</v>
      </c>
      <c r="B1353" s="35">
        <v>45342.388888888891</v>
      </c>
      <c r="C1353" s="18">
        <v>45342</v>
      </c>
      <c r="D1353" t="s">
        <v>101</v>
      </c>
      <c r="E1353" s="32">
        <v>0</v>
      </c>
      <c r="F1353" s="32">
        <v>472230</v>
      </c>
      <c r="G1353" s="32">
        <v>49056101</v>
      </c>
      <c r="H1353" t="s">
        <v>280</v>
      </c>
    </row>
    <row r="1354" spans="1:8" hidden="1" x14ac:dyDescent="0.3">
      <c r="A1354" s="28">
        <v>16067</v>
      </c>
      <c r="B1354" s="35">
        <v>45342.386111111111</v>
      </c>
      <c r="C1354" s="18">
        <v>45342</v>
      </c>
      <c r="D1354" t="s">
        <v>101</v>
      </c>
      <c r="E1354" s="32">
        <v>0</v>
      </c>
      <c r="F1354" s="32">
        <v>98029</v>
      </c>
      <c r="G1354" s="32">
        <v>49528331</v>
      </c>
      <c r="H1354" t="s">
        <v>221</v>
      </c>
    </row>
    <row r="1355" spans="1:8" hidden="1" x14ac:dyDescent="0.3">
      <c r="A1355" s="28">
        <v>16066</v>
      </c>
      <c r="B1355" s="35">
        <v>45341.724305555559</v>
      </c>
      <c r="C1355" s="18">
        <v>45341</v>
      </c>
      <c r="D1355" t="s">
        <v>100</v>
      </c>
      <c r="E1355" s="32">
        <v>840400</v>
      </c>
      <c r="F1355" s="32">
        <v>0</v>
      </c>
      <c r="G1355" s="32">
        <v>49626360</v>
      </c>
      <c r="H1355" t="s">
        <v>223</v>
      </c>
    </row>
    <row r="1356" spans="1:8" hidden="1" x14ac:dyDescent="0.3">
      <c r="A1356" s="28">
        <v>16065</v>
      </c>
      <c r="B1356" s="35">
        <v>45341.572222222225</v>
      </c>
      <c r="C1356" s="18">
        <v>45341</v>
      </c>
      <c r="D1356" t="s">
        <v>100</v>
      </c>
      <c r="E1356" s="32">
        <v>1150600</v>
      </c>
      <c r="F1356" s="32">
        <v>0</v>
      </c>
      <c r="G1356" s="32">
        <v>48785960</v>
      </c>
      <c r="H1356" t="s">
        <v>220</v>
      </c>
    </row>
    <row r="1357" spans="1:8" hidden="1" x14ac:dyDescent="0.3">
      <c r="A1357" s="28">
        <v>16064</v>
      </c>
      <c r="B1357" s="35">
        <v>45341.495138888888</v>
      </c>
      <c r="C1357" s="18">
        <v>45341</v>
      </c>
      <c r="D1357" t="s">
        <v>100</v>
      </c>
      <c r="E1357" s="32">
        <v>379500</v>
      </c>
      <c r="F1357" s="32">
        <v>0</v>
      </c>
      <c r="G1357" s="32">
        <v>47635360</v>
      </c>
      <c r="H1357" t="s">
        <v>292</v>
      </c>
    </row>
    <row r="1358" spans="1:8" hidden="1" x14ac:dyDescent="0.3">
      <c r="A1358" s="28">
        <v>16063</v>
      </c>
      <c r="B1358" s="35">
        <v>45341.435416666667</v>
      </c>
      <c r="C1358" s="18">
        <v>45341</v>
      </c>
      <c r="D1358" t="s">
        <v>101</v>
      </c>
      <c r="E1358" s="32">
        <v>0</v>
      </c>
      <c r="F1358" s="32">
        <v>366300</v>
      </c>
      <c r="G1358" s="32">
        <v>47255860</v>
      </c>
      <c r="H1358" t="s">
        <v>293</v>
      </c>
    </row>
    <row r="1359" spans="1:8" hidden="1" x14ac:dyDescent="0.3">
      <c r="A1359" s="28">
        <v>16062</v>
      </c>
      <c r="B1359" s="35">
        <v>45341.431250000001</v>
      </c>
      <c r="C1359" s="18">
        <v>45341</v>
      </c>
      <c r="D1359" t="s">
        <v>101</v>
      </c>
      <c r="E1359" s="32">
        <v>0</v>
      </c>
      <c r="F1359" s="32">
        <v>1678880</v>
      </c>
      <c r="G1359" s="32">
        <v>47622160</v>
      </c>
      <c r="H1359" t="s">
        <v>294</v>
      </c>
    </row>
    <row r="1360" spans="1:8" hidden="1" x14ac:dyDescent="0.3">
      <c r="A1360" s="28">
        <v>16061</v>
      </c>
      <c r="B1360" s="35">
        <v>45341.428472222222</v>
      </c>
      <c r="C1360" s="18">
        <v>45341</v>
      </c>
      <c r="D1360" t="s">
        <v>101</v>
      </c>
      <c r="E1360" s="32">
        <v>0</v>
      </c>
      <c r="F1360" s="32">
        <v>20000</v>
      </c>
      <c r="G1360" s="32">
        <v>49301040</v>
      </c>
      <c r="H1360" t="s">
        <v>295</v>
      </c>
    </row>
    <row r="1361" spans="1:8" hidden="1" x14ac:dyDescent="0.3">
      <c r="A1361" s="28">
        <v>16060</v>
      </c>
      <c r="B1361" s="35">
        <v>45341.427777777775</v>
      </c>
      <c r="C1361" s="18">
        <v>45341</v>
      </c>
      <c r="D1361" t="s">
        <v>101</v>
      </c>
      <c r="E1361" s="32">
        <v>0</v>
      </c>
      <c r="F1361" s="32">
        <v>48840</v>
      </c>
      <c r="G1361" s="32">
        <v>49321040</v>
      </c>
      <c r="H1361" t="s">
        <v>280</v>
      </c>
    </row>
    <row r="1362" spans="1:8" hidden="1" x14ac:dyDescent="0.3">
      <c r="A1362" s="28">
        <v>16058</v>
      </c>
      <c r="B1362" s="35">
        <v>45338.792361111111</v>
      </c>
      <c r="C1362" s="18">
        <v>45338</v>
      </c>
      <c r="D1362" t="s">
        <v>101</v>
      </c>
      <c r="E1362" s="32">
        <v>0</v>
      </c>
      <c r="F1362" s="32">
        <v>410550</v>
      </c>
      <c r="G1362" s="32">
        <v>49369880</v>
      </c>
      <c r="H1362" t="s">
        <v>296</v>
      </c>
    </row>
    <row r="1363" spans="1:8" hidden="1" x14ac:dyDescent="0.3">
      <c r="A1363" s="28">
        <v>16057</v>
      </c>
      <c r="B1363" s="35">
        <v>45338.792361111111</v>
      </c>
      <c r="C1363" s="18">
        <v>45338</v>
      </c>
      <c r="D1363" t="s">
        <v>101</v>
      </c>
      <c r="E1363" s="32">
        <v>0</v>
      </c>
      <c r="F1363" s="32">
        <v>770227</v>
      </c>
      <c r="G1363" s="32">
        <v>49780430</v>
      </c>
      <c r="H1363" t="s">
        <v>296</v>
      </c>
    </row>
    <row r="1364" spans="1:8" hidden="1" x14ac:dyDescent="0.3">
      <c r="A1364" s="28">
        <v>16056</v>
      </c>
      <c r="B1364" s="35">
        <v>45338.792361111111</v>
      </c>
      <c r="C1364" s="18">
        <v>45338</v>
      </c>
      <c r="D1364" t="s">
        <v>101</v>
      </c>
      <c r="E1364" s="32">
        <v>0</v>
      </c>
      <c r="F1364" s="32">
        <v>1000000</v>
      </c>
      <c r="G1364" s="32">
        <v>50550657</v>
      </c>
      <c r="H1364" t="s">
        <v>296</v>
      </c>
    </row>
    <row r="1365" spans="1:8" hidden="1" x14ac:dyDescent="0.3">
      <c r="A1365" s="28">
        <v>16055</v>
      </c>
      <c r="B1365" s="35">
        <v>45338.792361111111</v>
      </c>
      <c r="C1365" s="18">
        <v>45338</v>
      </c>
      <c r="D1365" t="s">
        <v>101</v>
      </c>
      <c r="E1365" s="32">
        <v>0</v>
      </c>
      <c r="F1365" s="32">
        <v>811690</v>
      </c>
      <c r="G1365" s="32">
        <v>51550657</v>
      </c>
      <c r="H1365" t="s">
        <v>296</v>
      </c>
    </row>
    <row r="1366" spans="1:8" hidden="1" x14ac:dyDescent="0.3">
      <c r="A1366" s="28">
        <v>16054</v>
      </c>
      <c r="B1366" s="35">
        <v>45338.708333333336</v>
      </c>
      <c r="C1366" s="18">
        <v>45338</v>
      </c>
      <c r="D1366" t="s">
        <v>100</v>
      </c>
      <c r="E1366" s="32">
        <v>496100</v>
      </c>
      <c r="F1366" s="32">
        <v>0</v>
      </c>
      <c r="G1366" s="32">
        <v>52362347</v>
      </c>
      <c r="H1366" t="s">
        <v>297</v>
      </c>
    </row>
    <row r="1367" spans="1:8" hidden="1" x14ac:dyDescent="0.3">
      <c r="A1367" s="28">
        <v>16053</v>
      </c>
      <c r="B1367" s="35">
        <v>45338.65</v>
      </c>
      <c r="C1367" s="18">
        <v>45338</v>
      </c>
      <c r="D1367" t="s">
        <v>101</v>
      </c>
      <c r="E1367" s="32">
        <v>0</v>
      </c>
      <c r="F1367" s="32">
        <v>452430</v>
      </c>
      <c r="G1367" s="32">
        <v>51866247</v>
      </c>
      <c r="H1367" t="s">
        <v>293</v>
      </c>
    </row>
    <row r="1368" spans="1:8" hidden="1" x14ac:dyDescent="0.3">
      <c r="A1368" s="28">
        <v>16051</v>
      </c>
      <c r="B1368" s="35">
        <v>45338.568749999999</v>
      </c>
      <c r="C1368" s="18">
        <v>45338</v>
      </c>
      <c r="D1368" t="s">
        <v>100</v>
      </c>
      <c r="E1368" s="32">
        <v>335500</v>
      </c>
      <c r="F1368" s="32">
        <v>0</v>
      </c>
      <c r="G1368" s="32">
        <v>52318677</v>
      </c>
      <c r="H1368" t="s">
        <v>298</v>
      </c>
    </row>
    <row r="1369" spans="1:8" hidden="1" x14ac:dyDescent="0.3">
      <c r="A1369" s="28">
        <v>16050</v>
      </c>
      <c r="B1369" s="35">
        <v>45338.476388888892</v>
      </c>
      <c r="C1369" s="18">
        <v>45338</v>
      </c>
      <c r="D1369" t="s">
        <v>101</v>
      </c>
      <c r="E1369" s="32">
        <v>0</v>
      </c>
      <c r="F1369" s="32">
        <v>177412</v>
      </c>
      <c r="G1369" s="32">
        <v>51983177</v>
      </c>
      <c r="H1369" t="s">
        <v>221</v>
      </c>
    </row>
    <row r="1370" spans="1:8" hidden="1" x14ac:dyDescent="0.3">
      <c r="A1370" s="28">
        <v>16047</v>
      </c>
      <c r="B1370" s="35">
        <v>45338.434027777781</v>
      </c>
      <c r="C1370" s="18">
        <v>45338</v>
      </c>
      <c r="D1370" t="s">
        <v>100</v>
      </c>
      <c r="E1370" s="32">
        <v>727100</v>
      </c>
      <c r="F1370" s="32">
        <v>0</v>
      </c>
      <c r="G1370" s="32">
        <v>52160589</v>
      </c>
      <c r="H1370" t="s">
        <v>299</v>
      </c>
    </row>
    <row r="1371" spans="1:8" hidden="1" x14ac:dyDescent="0.3">
      <c r="A1371" s="28">
        <v>16046</v>
      </c>
      <c r="B1371" s="35">
        <v>45337.835416666669</v>
      </c>
      <c r="C1371" s="18">
        <v>45337</v>
      </c>
      <c r="D1371" t="s">
        <v>101</v>
      </c>
      <c r="E1371" s="32">
        <v>0</v>
      </c>
      <c r="F1371" s="32">
        <v>439661</v>
      </c>
      <c r="G1371" s="32">
        <v>51433489</v>
      </c>
      <c r="H1371" t="s">
        <v>300</v>
      </c>
    </row>
    <row r="1372" spans="1:8" hidden="1" x14ac:dyDescent="0.3">
      <c r="A1372" s="28">
        <v>16045</v>
      </c>
      <c r="B1372" s="35">
        <v>45337.808333333334</v>
      </c>
      <c r="C1372" s="18">
        <v>45337</v>
      </c>
      <c r="D1372" t="s">
        <v>101</v>
      </c>
      <c r="E1372" s="32">
        <v>0</v>
      </c>
      <c r="F1372" s="32">
        <v>99000</v>
      </c>
      <c r="G1372" s="32">
        <v>51873150</v>
      </c>
      <c r="H1372" t="s">
        <v>301</v>
      </c>
    </row>
    <row r="1373" spans="1:8" hidden="1" x14ac:dyDescent="0.3">
      <c r="A1373" s="28">
        <v>16044</v>
      </c>
      <c r="B1373" s="35">
        <v>45337.806250000001</v>
      </c>
      <c r="C1373" s="18">
        <v>45337</v>
      </c>
      <c r="D1373" t="s">
        <v>101</v>
      </c>
      <c r="E1373" s="32">
        <v>0</v>
      </c>
      <c r="F1373" s="32">
        <v>5719</v>
      </c>
      <c r="G1373" s="32">
        <v>51972150</v>
      </c>
      <c r="H1373" t="s">
        <v>302</v>
      </c>
    </row>
    <row r="1374" spans="1:8" hidden="1" x14ac:dyDescent="0.3">
      <c r="A1374" s="28">
        <v>16043</v>
      </c>
      <c r="B1374" s="35">
        <v>45337.806250000001</v>
      </c>
      <c r="C1374" s="18">
        <v>45337</v>
      </c>
      <c r="D1374" t="s">
        <v>101</v>
      </c>
      <c r="E1374" s="32">
        <v>0</v>
      </c>
      <c r="F1374" s="32">
        <v>723337</v>
      </c>
      <c r="G1374" s="32">
        <v>51977869</v>
      </c>
      <c r="H1374" t="s">
        <v>302</v>
      </c>
    </row>
    <row r="1375" spans="1:8" hidden="1" x14ac:dyDescent="0.3">
      <c r="A1375" s="28">
        <v>16042</v>
      </c>
      <c r="B1375" s="35">
        <v>45337.800694444442</v>
      </c>
      <c r="C1375" s="18">
        <v>45337</v>
      </c>
      <c r="D1375" t="s">
        <v>101</v>
      </c>
      <c r="E1375" s="32">
        <v>0</v>
      </c>
      <c r="F1375" s="32">
        <v>684420</v>
      </c>
      <c r="G1375" s="32">
        <v>52701206</v>
      </c>
      <c r="H1375" t="s">
        <v>239</v>
      </c>
    </row>
    <row r="1376" spans="1:8" hidden="1" x14ac:dyDescent="0.3">
      <c r="A1376" s="28">
        <v>16040</v>
      </c>
      <c r="B1376" s="35">
        <v>45337.762499999997</v>
      </c>
      <c r="C1376" s="18">
        <v>45337</v>
      </c>
      <c r="D1376" t="s">
        <v>101</v>
      </c>
      <c r="E1376" s="32">
        <v>0</v>
      </c>
      <c r="F1376" s="32">
        <v>15872983</v>
      </c>
      <c r="G1376" s="32">
        <v>53385626</v>
      </c>
      <c r="H1376" t="s">
        <v>303</v>
      </c>
    </row>
    <row r="1377" spans="1:8" hidden="1" x14ac:dyDescent="0.3">
      <c r="A1377" s="28">
        <v>16038</v>
      </c>
      <c r="B1377" s="35">
        <v>45337.705555555556</v>
      </c>
      <c r="C1377" s="18">
        <v>45337</v>
      </c>
      <c r="D1377" t="s">
        <v>100</v>
      </c>
      <c r="E1377" s="32">
        <v>1178100</v>
      </c>
      <c r="F1377" s="32">
        <v>0</v>
      </c>
      <c r="G1377" s="32">
        <v>69258609</v>
      </c>
      <c r="H1377" t="s">
        <v>304</v>
      </c>
    </row>
    <row r="1378" spans="1:8" hidden="1" x14ac:dyDescent="0.3">
      <c r="A1378" s="28">
        <v>16032</v>
      </c>
      <c r="B1378" s="35">
        <v>45337.629166666666</v>
      </c>
      <c r="C1378" s="18">
        <v>45337</v>
      </c>
      <c r="D1378" t="s">
        <v>100</v>
      </c>
      <c r="E1378" s="32">
        <v>536800</v>
      </c>
      <c r="F1378" s="32">
        <v>0</v>
      </c>
      <c r="G1378" s="32">
        <v>68080509</v>
      </c>
      <c r="H1378" t="s">
        <v>305</v>
      </c>
    </row>
    <row r="1379" spans="1:8" hidden="1" x14ac:dyDescent="0.3">
      <c r="A1379" s="28">
        <v>16031</v>
      </c>
      <c r="B1379" s="35">
        <v>45337.614583333336</v>
      </c>
      <c r="C1379" s="18">
        <v>45337</v>
      </c>
      <c r="D1379" t="s">
        <v>100</v>
      </c>
      <c r="E1379" s="32">
        <v>699600</v>
      </c>
      <c r="F1379" s="32">
        <v>0</v>
      </c>
      <c r="G1379" s="32">
        <v>67543709</v>
      </c>
      <c r="H1379" t="s">
        <v>252</v>
      </c>
    </row>
    <row r="1380" spans="1:8" hidden="1" x14ac:dyDescent="0.3">
      <c r="A1380" s="28">
        <v>16028</v>
      </c>
      <c r="B1380" s="35">
        <v>45337.425000000003</v>
      </c>
      <c r="C1380" s="18">
        <v>45337</v>
      </c>
      <c r="D1380" t="s">
        <v>100</v>
      </c>
      <c r="E1380" s="32">
        <v>13753300</v>
      </c>
      <c r="F1380" s="32">
        <v>0</v>
      </c>
      <c r="G1380" s="32">
        <v>66844109</v>
      </c>
      <c r="H1380" t="s">
        <v>306</v>
      </c>
    </row>
    <row r="1381" spans="1:8" hidden="1" x14ac:dyDescent="0.3">
      <c r="A1381" s="28">
        <v>16027</v>
      </c>
      <c r="B1381" s="35">
        <v>45337.376388888886</v>
      </c>
      <c r="C1381" s="18">
        <v>45337</v>
      </c>
      <c r="D1381" t="s">
        <v>100</v>
      </c>
      <c r="E1381" s="32">
        <v>712800</v>
      </c>
      <c r="F1381" s="32">
        <v>0</v>
      </c>
      <c r="G1381" s="32">
        <v>53090809</v>
      </c>
      <c r="H1381" t="s">
        <v>307</v>
      </c>
    </row>
    <row r="1382" spans="1:8" hidden="1" x14ac:dyDescent="0.3">
      <c r="A1382" s="28">
        <v>16026</v>
      </c>
      <c r="B1382" s="35">
        <v>45337.376388888886</v>
      </c>
      <c r="C1382" s="18">
        <v>45337</v>
      </c>
      <c r="D1382" t="s">
        <v>100</v>
      </c>
      <c r="E1382" s="32">
        <v>412500</v>
      </c>
      <c r="F1382" s="32">
        <v>0</v>
      </c>
      <c r="G1382" s="32">
        <v>52378009</v>
      </c>
      <c r="H1382" t="s">
        <v>307</v>
      </c>
    </row>
    <row r="1383" spans="1:8" hidden="1" x14ac:dyDescent="0.3">
      <c r="A1383" s="28">
        <v>16025</v>
      </c>
      <c r="B1383" s="35">
        <v>45337.376388888886</v>
      </c>
      <c r="C1383" s="18">
        <v>45337</v>
      </c>
      <c r="D1383" t="s">
        <v>100</v>
      </c>
      <c r="E1383" s="32">
        <v>638000</v>
      </c>
      <c r="F1383" s="32">
        <v>0</v>
      </c>
      <c r="G1383" s="32">
        <v>51965509</v>
      </c>
      <c r="H1383" t="s">
        <v>307</v>
      </c>
    </row>
    <row r="1384" spans="1:8" hidden="1" x14ac:dyDescent="0.3">
      <c r="A1384" s="28">
        <v>16024</v>
      </c>
      <c r="B1384" s="35">
        <v>45336.984027777777</v>
      </c>
      <c r="C1384" s="18">
        <v>45336</v>
      </c>
      <c r="D1384" t="s">
        <v>100</v>
      </c>
      <c r="E1384" s="32">
        <v>707300</v>
      </c>
      <c r="F1384" s="32">
        <v>0</v>
      </c>
      <c r="G1384" s="32">
        <v>51327509</v>
      </c>
      <c r="H1384" t="s">
        <v>308</v>
      </c>
    </row>
    <row r="1385" spans="1:8" hidden="1" x14ac:dyDescent="0.3">
      <c r="A1385" s="28">
        <v>16023</v>
      </c>
      <c r="B1385" s="35">
        <v>45336.599305555559</v>
      </c>
      <c r="C1385" s="18">
        <v>45336</v>
      </c>
      <c r="D1385" t="s">
        <v>100</v>
      </c>
      <c r="E1385" s="32">
        <v>180400</v>
      </c>
      <c r="F1385" s="32">
        <v>0</v>
      </c>
      <c r="G1385" s="32">
        <v>50620209</v>
      </c>
      <c r="H1385" t="s">
        <v>309</v>
      </c>
    </row>
    <row r="1386" spans="1:8" hidden="1" x14ac:dyDescent="0.3">
      <c r="A1386" s="28">
        <v>16022</v>
      </c>
      <c r="B1386" s="35">
        <v>45336.599305555559</v>
      </c>
      <c r="C1386" s="18">
        <v>45336</v>
      </c>
      <c r="D1386" t="s">
        <v>100</v>
      </c>
      <c r="E1386" s="32">
        <v>422400</v>
      </c>
      <c r="F1386" s="32">
        <v>0</v>
      </c>
      <c r="G1386" s="32">
        <v>50439809</v>
      </c>
      <c r="H1386" t="s">
        <v>309</v>
      </c>
    </row>
    <row r="1387" spans="1:8" hidden="1" x14ac:dyDescent="0.3">
      <c r="A1387" s="28">
        <v>16021</v>
      </c>
      <c r="B1387" s="35">
        <v>45336.481944444444</v>
      </c>
      <c r="C1387" s="18">
        <v>45336</v>
      </c>
      <c r="D1387" t="s">
        <v>100</v>
      </c>
      <c r="E1387" s="32">
        <v>79200</v>
      </c>
      <c r="F1387" s="32">
        <v>0</v>
      </c>
      <c r="G1387" s="32">
        <v>50017409</v>
      </c>
      <c r="H1387" t="s">
        <v>310</v>
      </c>
    </row>
    <row r="1388" spans="1:8" hidden="1" x14ac:dyDescent="0.3">
      <c r="A1388" s="28">
        <v>16019</v>
      </c>
      <c r="B1388" s="35">
        <v>45336.44027777778</v>
      </c>
      <c r="C1388" s="18">
        <v>45336</v>
      </c>
      <c r="D1388" t="s">
        <v>100</v>
      </c>
      <c r="E1388" s="32">
        <v>2407900</v>
      </c>
      <c r="F1388" s="32">
        <v>0</v>
      </c>
      <c r="G1388" s="32">
        <v>49938209</v>
      </c>
      <c r="H1388" t="s">
        <v>311</v>
      </c>
    </row>
    <row r="1389" spans="1:8" hidden="1" x14ac:dyDescent="0.3">
      <c r="A1389" s="28">
        <v>16018</v>
      </c>
      <c r="B1389" s="35">
        <v>45336.411111111112</v>
      </c>
      <c r="C1389" s="18">
        <v>45336</v>
      </c>
      <c r="D1389" t="s">
        <v>100</v>
      </c>
      <c r="E1389" s="32">
        <v>281600</v>
      </c>
      <c r="F1389" s="32">
        <v>0</v>
      </c>
      <c r="G1389" s="32">
        <v>47530309</v>
      </c>
      <c r="H1389" t="s">
        <v>312</v>
      </c>
    </row>
    <row r="1390" spans="1:8" hidden="1" x14ac:dyDescent="0.3">
      <c r="A1390" s="28">
        <v>16017</v>
      </c>
      <c r="B1390" s="35">
        <v>45335.845833333333</v>
      </c>
      <c r="C1390" s="18">
        <v>45335</v>
      </c>
      <c r="D1390" t="s">
        <v>101</v>
      </c>
      <c r="E1390" s="32">
        <v>0</v>
      </c>
      <c r="F1390" s="32">
        <v>57500</v>
      </c>
      <c r="G1390" s="32">
        <v>47248709</v>
      </c>
      <c r="H1390" t="s">
        <v>222</v>
      </c>
    </row>
    <row r="1391" spans="1:8" hidden="1" x14ac:dyDescent="0.3">
      <c r="A1391" s="28">
        <v>16012</v>
      </c>
      <c r="B1391" s="35">
        <v>45335.759027777778</v>
      </c>
      <c r="C1391" s="18">
        <v>45335</v>
      </c>
      <c r="D1391" t="s">
        <v>100</v>
      </c>
      <c r="E1391" s="32">
        <v>993300</v>
      </c>
      <c r="F1391" s="32">
        <v>0</v>
      </c>
      <c r="G1391" s="32">
        <v>47306209</v>
      </c>
      <c r="H1391" t="s">
        <v>223</v>
      </c>
    </row>
    <row r="1392" spans="1:8" hidden="1" x14ac:dyDescent="0.3">
      <c r="A1392" s="28">
        <v>16009</v>
      </c>
      <c r="B1392" s="35">
        <v>45335.606249999997</v>
      </c>
      <c r="C1392" s="18">
        <v>45335</v>
      </c>
      <c r="D1392" t="s">
        <v>100</v>
      </c>
      <c r="E1392" s="32">
        <v>37300</v>
      </c>
      <c r="F1392" s="32">
        <v>0</v>
      </c>
      <c r="G1392" s="32">
        <v>46312909</v>
      </c>
      <c r="H1392" t="s">
        <v>313</v>
      </c>
    </row>
    <row r="1393" spans="1:8" hidden="1" x14ac:dyDescent="0.3">
      <c r="A1393" s="28">
        <v>16008</v>
      </c>
      <c r="B1393" s="35">
        <v>45335.605555555558</v>
      </c>
      <c r="C1393" s="18">
        <v>45335</v>
      </c>
      <c r="D1393" t="s">
        <v>100</v>
      </c>
      <c r="E1393" s="32">
        <v>373000</v>
      </c>
      <c r="F1393" s="32">
        <v>0</v>
      </c>
      <c r="G1393" s="32">
        <v>46275609</v>
      </c>
      <c r="H1393" t="s">
        <v>314</v>
      </c>
    </row>
    <row r="1394" spans="1:8" hidden="1" x14ac:dyDescent="0.3">
      <c r="A1394" s="28">
        <v>16007</v>
      </c>
      <c r="B1394" s="35">
        <v>45335.604861111111</v>
      </c>
      <c r="C1394" s="18">
        <v>45335</v>
      </c>
      <c r="D1394" t="s">
        <v>100</v>
      </c>
      <c r="E1394" s="32">
        <v>110600</v>
      </c>
      <c r="F1394" s="32">
        <v>0</v>
      </c>
      <c r="G1394" s="32">
        <v>45902609</v>
      </c>
      <c r="H1394" t="s">
        <v>313</v>
      </c>
    </row>
    <row r="1395" spans="1:8" hidden="1" x14ac:dyDescent="0.3">
      <c r="A1395" s="28">
        <v>16006</v>
      </c>
      <c r="B1395" s="35">
        <v>45335.604166666664</v>
      </c>
      <c r="C1395" s="18">
        <v>45335</v>
      </c>
      <c r="D1395" t="s">
        <v>100</v>
      </c>
      <c r="E1395" s="32">
        <v>1106000</v>
      </c>
      <c r="F1395" s="32">
        <v>0</v>
      </c>
      <c r="G1395" s="32">
        <v>45792009</v>
      </c>
      <c r="H1395" t="s">
        <v>314</v>
      </c>
    </row>
    <row r="1396" spans="1:8" hidden="1" x14ac:dyDescent="0.3">
      <c r="A1396" s="28">
        <v>15998</v>
      </c>
      <c r="B1396" s="35">
        <v>45335.522916666669</v>
      </c>
      <c r="C1396" s="18">
        <v>45335</v>
      </c>
      <c r="D1396" t="s">
        <v>100</v>
      </c>
      <c r="E1396" s="32">
        <v>319000</v>
      </c>
      <c r="F1396" s="32">
        <v>0</v>
      </c>
      <c r="G1396" s="32">
        <v>44686009</v>
      </c>
      <c r="H1396" t="s">
        <v>240</v>
      </c>
    </row>
    <row r="1397" spans="1:8" hidden="1" x14ac:dyDescent="0.3">
      <c r="A1397" s="28">
        <v>15997</v>
      </c>
      <c r="B1397" s="35">
        <v>45335.436805555553</v>
      </c>
      <c r="C1397" s="18">
        <v>45335</v>
      </c>
      <c r="D1397" t="s">
        <v>101</v>
      </c>
      <c r="E1397" s="32">
        <v>0</v>
      </c>
      <c r="F1397" s="32">
        <v>506502</v>
      </c>
      <c r="G1397" s="32">
        <v>44367009</v>
      </c>
      <c r="H1397" t="s">
        <v>226</v>
      </c>
    </row>
    <row r="1398" spans="1:8" hidden="1" x14ac:dyDescent="0.3">
      <c r="A1398" s="28">
        <v>15995</v>
      </c>
      <c r="B1398" s="35">
        <v>45330.589583333334</v>
      </c>
      <c r="C1398" s="18">
        <v>45330</v>
      </c>
      <c r="D1398" t="s">
        <v>100</v>
      </c>
      <c r="E1398" s="32">
        <v>466400</v>
      </c>
      <c r="F1398" s="32">
        <v>0</v>
      </c>
      <c r="G1398" s="32">
        <v>44873511</v>
      </c>
      <c r="H1398" t="s">
        <v>315</v>
      </c>
    </row>
    <row r="1399" spans="1:8" hidden="1" x14ac:dyDescent="0.3">
      <c r="A1399" s="28">
        <v>15994</v>
      </c>
      <c r="B1399" s="35">
        <v>45330.5625</v>
      </c>
      <c r="C1399" s="18">
        <v>45330</v>
      </c>
      <c r="D1399" t="s">
        <v>100</v>
      </c>
      <c r="E1399" s="32">
        <v>311300</v>
      </c>
      <c r="F1399" s="32">
        <v>0</v>
      </c>
      <c r="G1399" s="32">
        <v>44407111</v>
      </c>
      <c r="H1399" t="s">
        <v>316</v>
      </c>
    </row>
    <row r="1400" spans="1:8" hidden="1" x14ac:dyDescent="0.3">
      <c r="A1400" s="28">
        <v>15993</v>
      </c>
      <c r="B1400" s="35">
        <v>45330.538194444445</v>
      </c>
      <c r="C1400" s="18">
        <v>45330</v>
      </c>
      <c r="D1400" t="s">
        <v>100</v>
      </c>
      <c r="E1400" s="32">
        <v>277200</v>
      </c>
      <c r="F1400" s="32">
        <v>0</v>
      </c>
      <c r="G1400" s="32">
        <v>44095811</v>
      </c>
      <c r="H1400" t="s">
        <v>317</v>
      </c>
    </row>
    <row r="1401" spans="1:8" hidden="1" x14ac:dyDescent="0.3">
      <c r="A1401" s="28">
        <v>15990</v>
      </c>
      <c r="B1401" s="35">
        <v>45330.445138888892</v>
      </c>
      <c r="C1401" s="18">
        <v>45330</v>
      </c>
      <c r="D1401" t="s">
        <v>100</v>
      </c>
      <c r="E1401" s="32">
        <v>5165600</v>
      </c>
      <c r="F1401" s="32">
        <v>0</v>
      </c>
      <c r="G1401" s="32">
        <v>43818611</v>
      </c>
      <c r="H1401" t="s">
        <v>234</v>
      </c>
    </row>
    <row r="1402" spans="1:8" hidden="1" x14ac:dyDescent="0.3">
      <c r="A1402" s="28">
        <v>15989</v>
      </c>
      <c r="B1402" s="35">
        <v>45330.37777777778</v>
      </c>
      <c r="C1402" s="18">
        <v>45330</v>
      </c>
      <c r="D1402" t="s">
        <v>101</v>
      </c>
      <c r="E1402" s="32">
        <v>0</v>
      </c>
      <c r="F1402" s="32">
        <v>8000</v>
      </c>
      <c r="G1402" s="32">
        <v>38653011</v>
      </c>
      <c r="H1402" t="s">
        <v>241</v>
      </c>
    </row>
    <row r="1403" spans="1:8" hidden="1" x14ac:dyDescent="0.3">
      <c r="A1403" s="28">
        <v>15988</v>
      </c>
      <c r="B1403" s="35">
        <v>45329.71875</v>
      </c>
      <c r="C1403" s="18">
        <v>45329</v>
      </c>
      <c r="D1403" t="s">
        <v>100</v>
      </c>
      <c r="E1403" s="32">
        <v>30000000</v>
      </c>
      <c r="F1403" s="32">
        <v>0</v>
      </c>
      <c r="G1403" s="32">
        <v>38661011</v>
      </c>
      <c r="H1403" t="s">
        <v>259</v>
      </c>
    </row>
    <row r="1404" spans="1:8" hidden="1" x14ac:dyDescent="0.3">
      <c r="A1404" s="28">
        <v>15986</v>
      </c>
      <c r="B1404" s="35">
        <v>45329.695138888892</v>
      </c>
      <c r="C1404" s="18">
        <v>45329</v>
      </c>
      <c r="D1404" t="s">
        <v>100</v>
      </c>
      <c r="E1404" s="32">
        <v>2480500</v>
      </c>
      <c r="F1404" s="32">
        <v>0</v>
      </c>
      <c r="G1404" s="32">
        <v>8661011</v>
      </c>
      <c r="H1404" t="s">
        <v>223</v>
      </c>
    </row>
    <row r="1405" spans="1:8" hidden="1" x14ac:dyDescent="0.3">
      <c r="A1405" s="28">
        <v>15985</v>
      </c>
      <c r="B1405" s="35">
        <v>45329.695138888892</v>
      </c>
      <c r="C1405" s="18">
        <v>45329</v>
      </c>
      <c r="D1405" t="s">
        <v>100</v>
      </c>
      <c r="E1405" s="32">
        <v>872300</v>
      </c>
      <c r="F1405" s="32">
        <v>0</v>
      </c>
      <c r="G1405" s="32">
        <v>6180511</v>
      </c>
      <c r="H1405" t="s">
        <v>223</v>
      </c>
    </row>
    <row r="1406" spans="1:8" hidden="1" x14ac:dyDescent="0.3">
      <c r="A1406" s="28">
        <v>15983</v>
      </c>
      <c r="B1406" s="35">
        <v>45329.627083333333</v>
      </c>
      <c r="C1406" s="18">
        <v>45329</v>
      </c>
      <c r="D1406" t="s">
        <v>100</v>
      </c>
      <c r="E1406" s="32">
        <v>280500</v>
      </c>
      <c r="F1406" s="32">
        <v>0</v>
      </c>
      <c r="G1406" s="32">
        <v>5308211</v>
      </c>
      <c r="H1406" t="s">
        <v>318</v>
      </c>
    </row>
    <row r="1407" spans="1:8" hidden="1" x14ac:dyDescent="0.3">
      <c r="A1407" s="28">
        <v>15982</v>
      </c>
      <c r="B1407" s="35">
        <v>45329.48333333333</v>
      </c>
      <c r="C1407" s="18">
        <v>45329</v>
      </c>
      <c r="D1407" t="s">
        <v>101</v>
      </c>
      <c r="E1407" s="32">
        <v>0</v>
      </c>
      <c r="F1407" s="32">
        <v>81951</v>
      </c>
      <c r="G1407" s="32">
        <v>5027711</v>
      </c>
      <c r="H1407" t="s">
        <v>221</v>
      </c>
    </row>
    <row r="1408" spans="1:8" hidden="1" x14ac:dyDescent="0.3">
      <c r="A1408" s="28">
        <v>15980</v>
      </c>
      <c r="B1408" s="35">
        <v>45329.469444444447</v>
      </c>
      <c r="C1408" s="18">
        <v>45329</v>
      </c>
      <c r="D1408" t="s">
        <v>101</v>
      </c>
      <c r="E1408" s="32">
        <v>0</v>
      </c>
      <c r="F1408" s="32">
        <v>869910</v>
      </c>
      <c r="G1408" s="32">
        <v>5109662</v>
      </c>
      <c r="H1408" t="s">
        <v>319</v>
      </c>
    </row>
    <row r="1409" spans="1:8" hidden="1" x14ac:dyDescent="0.3">
      <c r="A1409" s="28">
        <v>15979</v>
      </c>
      <c r="B1409" s="35">
        <v>45329.46875</v>
      </c>
      <c r="C1409" s="18">
        <v>45329</v>
      </c>
      <c r="D1409" t="s">
        <v>101</v>
      </c>
      <c r="E1409" s="32">
        <v>0</v>
      </c>
      <c r="F1409" s="32">
        <v>8647890</v>
      </c>
      <c r="G1409" s="32">
        <v>5979572</v>
      </c>
      <c r="H1409" t="s">
        <v>320</v>
      </c>
    </row>
    <row r="1410" spans="1:8" hidden="1" x14ac:dyDescent="0.3">
      <c r="A1410" s="28">
        <v>15978</v>
      </c>
      <c r="B1410" s="35">
        <v>45329.467361111114</v>
      </c>
      <c r="C1410" s="18">
        <v>45329</v>
      </c>
      <c r="D1410" t="s">
        <v>101</v>
      </c>
      <c r="E1410" s="32">
        <v>0</v>
      </c>
      <c r="F1410" s="32">
        <v>52500</v>
      </c>
      <c r="G1410" s="32">
        <v>14627462</v>
      </c>
      <c r="H1410" t="s">
        <v>321</v>
      </c>
    </row>
    <row r="1411" spans="1:8" hidden="1" x14ac:dyDescent="0.3">
      <c r="A1411" s="28">
        <v>15977</v>
      </c>
      <c r="B1411" s="35">
        <v>45329.438888888886</v>
      </c>
      <c r="C1411" s="18">
        <v>45329</v>
      </c>
      <c r="D1411" t="s">
        <v>101</v>
      </c>
      <c r="E1411" s="32">
        <v>0</v>
      </c>
      <c r="F1411" s="32">
        <v>1644720</v>
      </c>
      <c r="G1411" s="32">
        <v>14679962</v>
      </c>
      <c r="H1411" t="s">
        <v>280</v>
      </c>
    </row>
    <row r="1412" spans="1:8" hidden="1" x14ac:dyDescent="0.3">
      <c r="A1412" s="28">
        <v>15976</v>
      </c>
      <c r="B1412" s="35">
        <v>45329.384027777778</v>
      </c>
      <c r="C1412" s="18">
        <v>45329</v>
      </c>
      <c r="D1412" t="s">
        <v>101</v>
      </c>
      <c r="E1412" s="32">
        <v>0</v>
      </c>
      <c r="F1412" s="32">
        <v>39946500</v>
      </c>
      <c r="G1412" s="32">
        <v>16324682</v>
      </c>
      <c r="H1412" t="s">
        <v>242</v>
      </c>
    </row>
    <row r="1413" spans="1:8" hidden="1" x14ac:dyDescent="0.3">
      <c r="A1413" s="28">
        <v>15975</v>
      </c>
      <c r="B1413" s="35">
        <v>45328.703472222223</v>
      </c>
      <c r="C1413" s="18">
        <v>45328</v>
      </c>
      <c r="D1413" t="s">
        <v>100</v>
      </c>
      <c r="E1413" s="32">
        <v>1439900</v>
      </c>
      <c r="F1413" s="32">
        <v>0</v>
      </c>
      <c r="G1413" s="32">
        <v>56271182</v>
      </c>
      <c r="H1413" t="s">
        <v>322</v>
      </c>
    </row>
    <row r="1414" spans="1:8" hidden="1" x14ac:dyDescent="0.3">
      <c r="A1414" s="28">
        <v>15974</v>
      </c>
      <c r="B1414" s="35">
        <v>45328.702777777777</v>
      </c>
      <c r="C1414" s="18">
        <v>45328</v>
      </c>
      <c r="D1414" t="s">
        <v>100</v>
      </c>
      <c r="E1414" s="32">
        <v>133981</v>
      </c>
      <c r="F1414" s="32">
        <v>0</v>
      </c>
      <c r="G1414" s="32">
        <v>54831282</v>
      </c>
      <c r="H1414" t="s">
        <v>323</v>
      </c>
    </row>
    <row r="1415" spans="1:8" hidden="1" x14ac:dyDescent="0.3">
      <c r="A1415" s="28">
        <v>15973</v>
      </c>
      <c r="B1415" s="35">
        <v>45328.669444444444</v>
      </c>
      <c r="C1415" s="18">
        <v>45328</v>
      </c>
      <c r="D1415" t="s">
        <v>100</v>
      </c>
      <c r="E1415" s="32">
        <v>749100</v>
      </c>
      <c r="F1415" s="32">
        <v>0</v>
      </c>
      <c r="G1415" s="32">
        <v>54697301</v>
      </c>
      <c r="H1415" t="s">
        <v>231</v>
      </c>
    </row>
    <row r="1416" spans="1:8" hidden="1" x14ac:dyDescent="0.3">
      <c r="A1416" s="28">
        <v>15972</v>
      </c>
      <c r="B1416" s="35">
        <v>45328.631944444445</v>
      </c>
      <c r="C1416" s="18">
        <v>45328</v>
      </c>
      <c r="D1416" t="s">
        <v>100</v>
      </c>
      <c r="E1416" s="32">
        <v>497200</v>
      </c>
      <c r="F1416" s="32">
        <v>0</v>
      </c>
      <c r="G1416" s="32">
        <v>53948201</v>
      </c>
      <c r="H1416" t="s">
        <v>230</v>
      </c>
    </row>
    <row r="1417" spans="1:8" hidden="1" x14ac:dyDescent="0.3">
      <c r="A1417" s="28">
        <v>15971</v>
      </c>
      <c r="B1417" s="35">
        <v>45328.594444444447</v>
      </c>
      <c r="C1417" s="18">
        <v>45328</v>
      </c>
      <c r="D1417" t="s">
        <v>101</v>
      </c>
      <c r="E1417" s="32">
        <v>0</v>
      </c>
      <c r="F1417" s="32">
        <v>2937000</v>
      </c>
      <c r="G1417" s="32">
        <v>53451001</v>
      </c>
      <c r="H1417" t="s">
        <v>324</v>
      </c>
    </row>
    <row r="1418" spans="1:8" hidden="1" x14ac:dyDescent="0.3">
      <c r="A1418" s="28">
        <v>15970</v>
      </c>
      <c r="B1418" s="35">
        <v>45328.586111111108</v>
      </c>
      <c r="C1418" s="18">
        <v>45328</v>
      </c>
      <c r="D1418" t="s">
        <v>101</v>
      </c>
      <c r="E1418" s="32">
        <v>0</v>
      </c>
      <c r="F1418" s="32">
        <v>99000</v>
      </c>
      <c r="G1418" s="32">
        <v>56388001</v>
      </c>
      <c r="H1418" t="s">
        <v>325</v>
      </c>
    </row>
    <row r="1419" spans="1:8" hidden="1" x14ac:dyDescent="0.3">
      <c r="A1419" s="28">
        <v>15969</v>
      </c>
      <c r="B1419" s="35">
        <v>45328.569444444445</v>
      </c>
      <c r="C1419" s="18">
        <v>45328</v>
      </c>
      <c r="D1419" t="s">
        <v>100</v>
      </c>
      <c r="E1419" s="32">
        <v>442200</v>
      </c>
      <c r="F1419" s="32">
        <v>0</v>
      </c>
      <c r="G1419" s="32">
        <v>56487001</v>
      </c>
      <c r="H1419" t="s">
        <v>326</v>
      </c>
    </row>
    <row r="1420" spans="1:8" hidden="1" x14ac:dyDescent="0.3">
      <c r="A1420" s="28">
        <v>15968</v>
      </c>
      <c r="B1420" s="35">
        <v>45328.481944444444</v>
      </c>
      <c r="C1420" s="18">
        <v>45328</v>
      </c>
      <c r="D1420" t="s">
        <v>101</v>
      </c>
      <c r="E1420" s="32">
        <v>0</v>
      </c>
      <c r="F1420" s="32">
        <v>106180</v>
      </c>
      <c r="G1420" s="32">
        <v>56044801</v>
      </c>
      <c r="H1420" t="s">
        <v>221</v>
      </c>
    </row>
    <row r="1421" spans="1:8" hidden="1" x14ac:dyDescent="0.3">
      <c r="A1421" s="28">
        <v>15966</v>
      </c>
      <c r="B1421" s="35">
        <v>45328.470833333333</v>
      </c>
      <c r="C1421" s="18">
        <v>45328</v>
      </c>
      <c r="D1421" t="s">
        <v>100</v>
      </c>
      <c r="E1421" s="32">
        <v>434500</v>
      </c>
      <c r="F1421" s="32">
        <v>0</v>
      </c>
      <c r="G1421" s="32">
        <v>56150981</v>
      </c>
      <c r="H1421" t="s">
        <v>327</v>
      </c>
    </row>
    <row r="1422" spans="1:8" hidden="1" x14ac:dyDescent="0.3">
      <c r="A1422" s="28">
        <v>15965</v>
      </c>
      <c r="B1422" s="35">
        <v>45328.438194444447</v>
      </c>
      <c r="C1422" s="18">
        <v>45328</v>
      </c>
      <c r="D1422" t="s">
        <v>100</v>
      </c>
      <c r="E1422" s="32">
        <v>638000</v>
      </c>
      <c r="F1422" s="32">
        <v>0</v>
      </c>
      <c r="G1422" s="32">
        <v>55716481</v>
      </c>
      <c r="H1422" t="s">
        <v>292</v>
      </c>
    </row>
    <row r="1423" spans="1:8" hidden="1" x14ac:dyDescent="0.3">
      <c r="A1423" s="28">
        <v>15963</v>
      </c>
      <c r="B1423" s="35">
        <v>45327.835416666669</v>
      </c>
      <c r="C1423" s="18">
        <v>45327</v>
      </c>
      <c r="D1423" t="s">
        <v>101</v>
      </c>
      <c r="E1423" s="32">
        <v>0</v>
      </c>
      <c r="F1423" s="32">
        <v>626472</v>
      </c>
      <c r="G1423" s="32">
        <v>55078481</v>
      </c>
      <c r="H1423" t="s">
        <v>328</v>
      </c>
    </row>
    <row r="1424" spans="1:8" hidden="1" x14ac:dyDescent="0.3">
      <c r="A1424" s="28">
        <v>15962</v>
      </c>
      <c r="B1424" s="35">
        <v>45327.813194444447</v>
      </c>
      <c r="C1424" s="18">
        <v>45327</v>
      </c>
      <c r="D1424" t="s">
        <v>101</v>
      </c>
      <c r="E1424" s="32">
        <v>0</v>
      </c>
      <c r="F1424" s="32">
        <v>711920</v>
      </c>
      <c r="G1424" s="32">
        <v>55704953</v>
      </c>
      <c r="H1424" t="s">
        <v>239</v>
      </c>
    </row>
    <row r="1425" spans="1:8" hidden="1" x14ac:dyDescent="0.3">
      <c r="A1425" s="28">
        <v>15960</v>
      </c>
      <c r="B1425" s="35">
        <v>45327.664583333331</v>
      </c>
      <c r="C1425" s="18">
        <v>45327</v>
      </c>
      <c r="D1425" t="s">
        <v>100</v>
      </c>
      <c r="E1425" s="32">
        <v>1178100</v>
      </c>
      <c r="F1425" s="32">
        <v>0</v>
      </c>
      <c r="G1425" s="32">
        <v>56416873</v>
      </c>
      <c r="H1425" t="s">
        <v>329</v>
      </c>
    </row>
    <row r="1426" spans="1:8" hidden="1" x14ac:dyDescent="0.3">
      <c r="A1426" s="28">
        <v>15956</v>
      </c>
      <c r="B1426" s="35">
        <v>45327.435416666667</v>
      </c>
      <c r="C1426" s="18">
        <v>45327</v>
      </c>
      <c r="D1426" t="s">
        <v>101</v>
      </c>
      <c r="E1426" s="32">
        <v>0</v>
      </c>
      <c r="F1426" s="32">
        <v>938200</v>
      </c>
      <c r="G1426" s="32">
        <v>55238773</v>
      </c>
      <c r="H1426" t="s">
        <v>330</v>
      </c>
    </row>
    <row r="1427" spans="1:8" hidden="1" x14ac:dyDescent="0.3">
      <c r="A1427" s="28">
        <v>15955</v>
      </c>
      <c r="B1427" s="35">
        <v>45324.681944444441</v>
      </c>
      <c r="C1427" s="18">
        <v>45324</v>
      </c>
      <c r="D1427" t="s">
        <v>100</v>
      </c>
      <c r="E1427" s="32">
        <v>182600</v>
      </c>
      <c r="F1427" s="32">
        <v>0</v>
      </c>
      <c r="G1427" s="32">
        <v>56176973</v>
      </c>
      <c r="H1427" t="s">
        <v>331</v>
      </c>
    </row>
    <row r="1428" spans="1:8" hidden="1" x14ac:dyDescent="0.3">
      <c r="A1428" s="28">
        <v>15954</v>
      </c>
      <c r="B1428" s="35">
        <v>45324.680555555555</v>
      </c>
      <c r="C1428" s="18">
        <v>45324</v>
      </c>
      <c r="D1428" t="s">
        <v>100</v>
      </c>
      <c r="E1428" s="32">
        <v>536800</v>
      </c>
      <c r="F1428" s="32">
        <v>0</v>
      </c>
      <c r="G1428" s="32">
        <v>55994373</v>
      </c>
      <c r="H1428" t="s">
        <v>332</v>
      </c>
    </row>
    <row r="1429" spans="1:8" hidden="1" x14ac:dyDescent="0.3">
      <c r="A1429" s="28">
        <v>15950</v>
      </c>
      <c r="B1429" s="35">
        <v>45324.60833333333</v>
      </c>
      <c r="C1429" s="18">
        <v>45324</v>
      </c>
      <c r="D1429" t="s">
        <v>101</v>
      </c>
      <c r="E1429" s="32">
        <v>0</v>
      </c>
      <c r="F1429" s="32">
        <v>26466000</v>
      </c>
      <c r="G1429" s="32">
        <v>55457573</v>
      </c>
      <c r="H1429" t="s">
        <v>333</v>
      </c>
    </row>
    <row r="1430" spans="1:8" hidden="1" x14ac:dyDescent="0.3">
      <c r="A1430" s="28">
        <v>15949</v>
      </c>
      <c r="B1430" s="35">
        <v>45324.50277777778</v>
      </c>
      <c r="C1430" s="18">
        <v>45324</v>
      </c>
      <c r="D1430" t="s">
        <v>100</v>
      </c>
      <c r="E1430" s="32">
        <v>1379400</v>
      </c>
      <c r="F1430" s="32">
        <v>0</v>
      </c>
      <c r="G1430" s="32">
        <v>81923573</v>
      </c>
      <c r="H1430" t="s">
        <v>334</v>
      </c>
    </row>
    <row r="1431" spans="1:8" hidden="1" x14ac:dyDescent="0.3">
      <c r="A1431" s="28">
        <v>15948</v>
      </c>
      <c r="B1431" s="35">
        <v>45324.501388888886</v>
      </c>
      <c r="C1431" s="18">
        <v>45324</v>
      </c>
      <c r="D1431" t="s">
        <v>100</v>
      </c>
      <c r="E1431" s="32">
        <v>1212000</v>
      </c>
      <c r="F1431" s="32">
        <v>0</v>
      </c>
      <c r="G1431" s="32">
        <v>80544173</v>
      </c>
      <c r="H1431" t="s">
        <v>335</v>
      </c>
    </row>
    <row r="1432" spans="1:8" hidden="1" x14ac:dyDescent="0.3">
      <c r="A1432" s="28">
        <v>15947</v>
      </c>
      <c r="B1432" s="35">
        <v>45324.500694444447</v>
      </c>
      <c r="C1432" s="18">
        <v>45324</v>
      </c>
      <c r="D1432" t="s">
        <v>100</v>
      </c>
      <c r="E1432" s="32">
        <v>121200</v>
      </c>
      <c r="F1432" s="32">
        <v>0</v>
      </c>
      <c r="G1432" s="32">
        <v>79332173</v>
      </c>
      <c r="H1432" t="s">
        <v>336</v>
      </c>
    </row>
    <row r="1433" spans="1:8" hidden="1" x14ac:dyDescent="0.3">
      <c r="A1433" s="28">
        <v>15946</v>
      </c>
      <c r="B1433" s="35">
        <v>45324.493055555555</v>
      </c>
      <c r="C1433" s="18">
        <v>45324</v>
      </c>
      <c r="D1433" t="s">
        <v>101</v>
      </c>
      <c r="E1433" s="32">
        <v>0</v>
      </c>
      <c r="F1433" s="32">
        <v>437360</v>
      </c>
      <c r="G1433" s="32">
        <v>79210973</v>
      </c>
      <c r="H1433" t="s">
        <v>280</v>
      </c>
    </row>
    <row r="1434" spans="1:8" hidden="1" x14ac:dyDescent="0.3">
      <c r="A1434" s="28">
        <v>15945</v>
      </c>
      <c r="B1434" s="35">
        <v>45324.489583333336</v>
      </c>
      <c r="C1434" s="18">
        <v>45324</v>
      </c>
      <c r="D1434" t="s">
        <v>101</v>
      </c>
      <c r="E1434" s="32">
        <v>0</v>
      </c>
      <c r="F1434" s="32">
        <v>50490</v>
      </c>
      <c r="G1434" s="32">
        <v>79648333</v>
      </c>
      <c r="H1434" t="s">
        <v>280</v>
      </c>
    </row>
    <row r="1435" spans="1:8" hidden="1" x14ac:dyDescent="0.3">
      <c r="A1435" s="28">
        <v>15944</v>
      </c>
      <c r="B1435" s="35">
        <v>45324.488194444442</v>
      </c>
      <c r="C1435" s="18">
        <v>45324</v>
      </c>
      <c r="D1435" t="s">
        <v>101</v>
      </c>
      <c r="E1435" s="32">
        <v>0</v>
      </c>
      <c r="F1435" s="32">
        <v>75364</v>
      </c>
      <c r="G1435" s="32">
        <v>79698823</v>
      </c>
      <c r="H1435" t="s">
        <v>221</v>
      </c>
    </row>
    <row r="1436" spans="1:8" hidden="1" x14ac:dyDescent="0.3">
      <c r="A1436" s="28">
        <v>15941</v>
      </c>
      <c r="B1436" s="35">
        <v>45324.423611111109</v>
      </c>
      <c r="C1436" s="18">
        <v>45324</v>
      </c>
      <c r="D1436" t="s">
        <v>101</v>
      </c>
      <c r="E1436" s="32">
        <v>0</v>
      </c>
      <c r="F1436" s="32">
        <v>195400</v>
      </c>
      <c r="G1436" s="32">
        <v>79774187</v>
      </c>
      <c r="H1436" t="s">
        <v>337</v>
      </c>
    </row>
    <row r="1437" spans="1:8" hidden="1" x14ac:dyDescent="0.3">
      <c r="A1437" s="28">
        <v>15939</v>
      </c>
      <c r="B1437" s="35">
        <v>45323.581944444442</v>
      </c>
      <c r="C1437" s="18">
        <v>45323</v>
      </c>
      <c r="D1437" t="s">
        <v>100</v>
      </c>
      <c r="E1437" s="32">
        <v>108900</v>
      </c>
      <c r="F1437" s="32">
        <v>0</v>
      </c>
      <c r="G1437" s="32">
        <v>79969587</v>
      </c>
      <c r="H1437" t="s">
        <v>338</v>
      </c>
    </row>
    <row r="1438" spans="1:8" hidden="1" x14ac:dyDescent="0.3">
      <c r="A1438" s="28">
        <v>15938</v>
      </c>
      <c r="B1438" s="35">
        <v>45323.546527777777</v>
      </c>
      <c r="C1438" s="18">
        <v>45323</v>
      </c>
      <c r="D1438" t="s">
        <v>100</v>
      </c>
      <c r="E1438" s="32">
        <v>2032800</v>
      </c>
      <c r="F1438" s="32">
        <v>0</v>
      </c>
      <c r="G1438" s="32">
        <v>79860687</v>
      </c>
      <c r="H1438" t="s">
        <v>220</v>
      </c>
    </row>
    <row r="1439" spans="1:8" hidden="1" x14ac:dyDescent="0.3">
      <c r="A1439" s="28">
        <v>15936</v>
      </c>
      <c r="B1439" s="35">
        <v>45323.48541666667</v>
      </c>
      <c r="C1439" s="18">
        <v>45323</v>
      </c>
      <c r="D1439" t="s">
        <v>101</v>
      </c>
      <c r="E1439" s="32">
        <v>0</v>
      </c>
      <c r="F1439" s="32">
        <v>41680</v>
      </c>
      <c r="G1439" s="32">
        <v>77827887</v>
      </c>
      <c r="H1439" t="s">
        <v>339</v>
      </c>
    </row>
    <row r="1440" spans="1:8" hidden="1" x14ac:dyDescent="0.3">
      <c r="A1440" s="28">
        <v>15935</v>
      </c>
      <c r="B1440" s="35">
        <v>45323.425000000003</v>
      </c>
      <c r="C1440" s="18">
        <v>45323</v>
      </c>
      <c r="D1440" t="s">
        <v>100</v>
      </c>
      <c r="E1440" s="32">
        <v>50000000</v>
      </c>
      <c r="F1440" s="32">
        <v>0</v>
      </c>
      <c r="G1440" s="32">
        <v>77869567</v>
      </c>
      <c r="H1440" t="s">
        <v>259</v>
      </c>
    </row>
    <row r="1441" spans="1:8" hidden="1" x14ac:dyDescent="0.3">
      <c r="A1441" s="28">
        <v>15933</v>
      </c>
      <c r="B1441" s="35">
        <v>45323.364583333336</v>
      </c>
      <c r="C1441" s="18">
        <v>45323</v>
      </c>
      <c r="D1441" t="s">
        <v>100</v>
      </c>
      <c r="E1441" s="32">
        <v>1741300</v>
      </c>
      <c r="F1441" s="32">
        <v>0</v>
      </c>
      <c r="G1441" s="32">
        <v>27869567</v>
      </c>
      <c r="H1441" t="s">
        <v>340</v>
      </c>
    </row>
    <row r="1442" spans="1:8" hidden="1" x14ac:dyDescent="0.3">
      <c r="A1442" s="28">
        <v>15932</v>
      </c>
      <c r="B1442" s="35">
        <v>45322.840277777781</v>
      </c>
      <c r="C1442" s="18">
        <v>45322</v>
      </c>
      <c r="D1442" t="s">
        <v>100</v>
      </c>
      <c r="E1442" s="32">
        <v>487300</v>
      </c>
      <c r="F1442" s="32">
        <v>0</v>
      </c>
      <c r="G1442" s="32">
        <v>26128267</v>
      </c>
      <c r="H1442" t="s">
        <v>245</v>
      </c>
    </row>
    <row r="1443" spans="1:8" hidden="1" x14ac:dyDescent="0.3">
      <c r="A1443" s="28">
        <v>15931</v>
      </c>
      <c r="B1443" s="35">
        <v>45322.79791666667</v>
      </c>
      <c r="C1443" s="18">
        <v>45322</v>
      </c>
      <c r="D1443" t="s">
        <v>101</v>
      </c>
      <c r="E1443" s="32">
        <v>0</v>
      </c>
      <c r="F1443" s="32">
        <v>400510</v>
      </c>
      <c r="G1443" s="32">
        <v>25640967</v>
      </c>
      <c r="H1443" t="s">
        <v>239</v>
      </c>
    </row>
    <row r="1444" spans="1:8" hidden="1" x14ac:dyDescent="0.3">
      <c r="A1444" s="28">
        <v>15930</v>
      </c>
      <c r="B1444" s="35">
        <v>45322.739583333336</v>
      </c>
      <c r="C1444" s="18">
        <v>45322</v>
      </c>
      <c r="D1444" t="s">
        <v>101</v>
      </c>
      <c r="E1444" s="32">
        <v>0</v>
      </c>
      <c r="F1444" s="32">
        <v>4000000</v>
      </c>
      <c r="G1444" s="32">
        <v>26041477</v>
      </c>
      <c r="H1444" t="s">
        <v>341</v>
      </c>
    </row>
    <row r="1445" spans="1:8" hidden="1" x14ac:dyDescent="0.3">
      <c r="A1445" s="28">
        <v>15925</v>
      </c>
      <c r="B1445" s="35">
        <v>45322.718055555553</v>
      </c>
      <c r="C1445" s="18">
        <v>45322</v>
      </c>
      <c r="D1445" t="s">
        <v>100</v>
      </c>
      <c r="E1445" s="32">
        <v>655600</v>
      </c>
      <c r="F1445" s="32">
        <v>0</v>
      </c>
      <c r="G1445" s="32">
        <v>30041477</v>
      </c>
      <c r="H1445" t="s">
        <v>248</v>
      </c>
    </row>
    <row r="1446" spans="1:8" hidden="1" x14ac:dyDescent="0.3">
      <c r="A1446" s="28">
        <v>15924</v>
      </c>
      <c r="B1446" s="35">
        <v>45322.634027777778</v>
      </c>
      <c r="C1446" s="18">
        <v>45322</v>
      </c>
      <c r="D1446" t="s">
        <v>101</v>
      </c>
      <c r="E1446" s="32">
        <v>0</v>
      </c>
      <c r="F1446" s="32">
        <v>1990000</v>
      </c>
      <c r="G1446" s="32">
        <v>29385877</v>
      </c>
      <c r="H1446" t="s">
        <v>342</v>
      </c>
    </row>
    <row r="1447" spans="1:8" hidden="1" x14ac:dyDescent="0.3">
      <c r="A1447" s="28">
        <v>15923</v>
      </c>
      <c r="B1447" s="35">
        <v>45322.632638888892</v>
      </c>
      <c r="C1447" s="18">
        <v>45322</v>
      </c>
      <c r="D1447" t="s">
        <v>100</v>
      </c>
      <c r="E1447" s="32">
        <v>1359600</v>
      </c>
      <c r="F1447" s="32">
        <v>0</v>
      </c>
      <c r="G1447" s="32">
        <v>31375877</v>
      </c>
      <c r="H1447" t="s">
        <v>228</v>
      </c>
    </row>
    <row r="1448" spans="1:8" hidden="1" x14ac:dyDescent="0.3">
      <c r="A1448" s="28">
        <v>15922</v>
      </c>
      <c r="B1448" s="35">
        <v>45322.632638888892</v>
      </c>
      <c r="C1448" s="18">
        <v>45322</v>
      </c>
      <c r="D1448" t="s">
        <v>100</v>
      </c>
      <c r="E1448" s="32">
        <v>135300</v>
      </c>
      <c r="F1448" s="32">
        <v>0</v>
      </c>
      <c r="G1448" s="32">
        <v>30016277</v>
      </c>
      <c r="H1448" t="s">
        <v>228</v>
      </c>
    </row>
    <row r="1449" spans="1:8" hidden="1" x14ac:dyDescent="0.3">
      <c r="A1449" s="28">
        <v>15921</v>
      </c>
      <c r="B1449" s="35">
        <v>45322.615277777775</v>
      </c>
      <c r="C1449" s="18">
        <v>45322</v>
      </c>
      <c r="D1449" t="s">
        <v>100</v>
      </c>
      <c r="E1449" s="32">
        <v>280500</v>
      </c>
      <c r="F1449" s="32">
        <v>0</v>
      </c>
      <c r="G1449" s="32">
        <v>29880977</v>
      </c>
      <c r="H1449" t="s">
        <v>251</v>
      </c>
    </row>
    <row r="1450" spans="1:8" hidden="1" x14ac:dyDescent="0.3">
      <c r="A1450" s="28">
        <v>15920</v>
      </c>
      <c r="B1450" s="35">
        <v>45322.606249999997</v>
      </c>
      <c r="C1450" s="18">
        <v>45322</v>
      </c>
      <c r="D1450" t="s">
        <v>101</v>
      </c>
      <c r="E1450" s="32">
        <v>0</v>
      </c>
      <c r="F1450" s="32">
        <v>3657500</v>
      </c>
      <c r="G1450" s="32">
        <v>29600477</v>
      </c>
      <c r="H1450" t="s">
        <v>343</v>
      </c>
    </row>
    <row r="1451" spans="1:8" hidden="1" x14ac:dyDescent="0.3">
      <c r="A1451" s="28">
        <v>15919</v>
      </c>
      <c r="B1451" s="35">
        <v>45322.569444444445</v>
      </c>
      <c r="C1451" s="18">
        <v>45322</v>
      </c>
      <c r="D1451" t="s">
        <v>100</v>
      </c>
      <c r="E1451" s="32">
        <v>11226600</v>
      </c>
      <c r="F1451" s="32">
        <v>0</v>
      </c>
      <c r="G1451" s="32">
        <v>33257977</v>
      </c>
      <c r="H1451" t="s">
        <v>344</v>
      </c>
    </row>
    <row r="1452" spans="1:8" hidden="1" x14ac:dyDescent="0.3">
      <c r="A1452" s="28">
        <v>15917</v>
      </c>
      <c r="B1452" s="35">
        <v>45322.481249999997</v>
      </c>
      <c r="C1452" s="18">
        <v>45322</v>
      </c>
      <c r="D1452" t="s">
        <v>100</v>
      </c>
      <c r="E1452" s="32">
        <v>7715400</v>
      </c>
      <c r="F1452" s="32">
        <v>0</v>
      </c>
      <c r="G1452" s="32">
        <v>22031377</v>
      </c>
      <c r="H1452" t="s">
        <v>255</v>
      </c>
    </row>
    <row r="1453" spans="1:8" hidden="1" x14ac:dyDescent="0.3">
      <c r="A1453" s="28">
        <v>15916</v>
      </c>
      <c r="B1453" s="35">
        <v>45322.458333333336</v>
      </c>
      <c r="C1453" s="18">
        <v>45322</v>
      </c>
      <c r="D1453" t="s">
        <v>100</v>
      </c>
      <c r="E1453" s="32">
        <v>600600</v>
      </c>
      <c r="F1453" s="32">
        <v>0</v>
      </c>
      <c r="G1453" s="32">
        <v>14315977</v>
      </c>
      <c r="H1453" t="s">
        <v>345</v>
      </c>
    </row>
    <row r="1454" spans="1:8" hidden="1" x14ac:dyDescent="0.3">
      <c r="A1454" s="28">
        <v>15915</v>
      </c>
      <c r="B1454" s="35">
        <v>45322.457638888889</v>
      </c>
      <c r="C1454" s="18">
        <v>45322</v>
      </c>
      <c r="D1454" t="s">
        <v>100</v>
      </c>
      <c r="E1454" s="32">
        <v>370700</v>
      </c>
      <c r="F1454" s="32">
        <v>0</v>
      </c>
      <c r="G1454" s="32">
        <v>13715377</v>
      </c>
      <c r="H1454" t="s">
        <v>252</v>
      </c>
    </row>
    <row r="1455" spans="1:8" hidden="1" x14ac:dyDescent="0.3">
      <c r="A1455" s="28">
        <v>15914</v>
      </c>
      <c r="B1455" s="35">
        <v>45322.431944444441</v>
      </c>
      <c r="C1455" s="18">
        <v>45322</v>
      </c>
      <c r="D1455" t="s">
        <v>100</v>
      </c>
      <c r="E1455" s="32">
        <v>399300</v>
      </c>
      <c r="F1455" s="32">
        <v>0</v>
      </c>
      <c r="G1455" s="32">
        <v>13344677</v>
      </c>
      <c r="H1455" t="s">
        <v>254</v>
      </c>
    </row>
    <row r="1456" spans="1:8" hidden="1" x14ac:dyDescent="0.3">
      <c r="A1456" s="28">
        <v>15913</v>
      </c>
      <c r="B1456" s="35">
        <v>45322.431944444441</v>
      </c>
      <c r="C1456" s="18">
        <v>45322</v>
      </c>
      <c r="D1456" t="s">
        <v>100</v>
      </c>
      <c r="E1456" s="32">
        <v>632500</v>
      </c>
      <c r="F1456" s="32">
        <v>0</v>
      </c>
      <c r="G1456" s="32">
        <v>12945377</v>
      </c>
      <c r="H1456" t="s">
        <v>254</v>
      </c>
    </row>
    <row r="1457" spans="1:8" hidden="1" x14ac:dyDescent="0.3">
      <c r="A1457" s="28">
        <v>15912</v>
      </c>
      <c r="B1457" s="35">
        <v>45322.352083333331</v>
      </c>
      <c r="C1457" s="18">
        <v>45322</v>
      </c>
      <c r="D1457" t="s">
        <v>101</v>
      </c>
      <c r="E1457" s="32">
        <v>0</v>
      </c>
      <c r="F1457" s="32">
        <v>198000</v>
      </c>
      <c r="G1457" s="32">
        <v>12312877</v>
      </c>
      <c r="H1457" t="s">
        <v>346</v>
      </c>
    </row>
    <row r="1458" spans="1:8" hidden="1" x14ac:dyDescent="0.3">
      <c r="A1458" s="28">
        <v>15911</v>
      </c>
      <c r="B1458" s="35">
        <v>45322.313194444447</v>
      </c>
      <c r="C1458" s="18">
        <v>45322</v>
      </c>
      <c r="D1458" t="s">
        <v>100</v>
      </c>
      <c r="E1458" s="32">
        <v>557700</v>
      </c>
      <c r="F1458" s="32">
        <v>0</v>
      </c>
      <c r="G1458" s="32">
        <v>12510877</v>
      </c>
      <c r="H1458" t="s">
        <v>312</v>
      </c>
    </row>
    <row r="1459" spans="1:8" hidden="1" x14ac:dyDescent="0.3">
      <c r="A1459" s="28">
        <v>15910</v>
      </c>
      <c r="B1459" s="35">
        <v>45321.664583333331</v>
      </c>
      <c r="C1459" s="18">
        <v>45321</v>
      </c>
      <c r="D1459" t="s">
        <v>100</v>
      </c>
      <c r="E1459" s="32">
        <v>216700</v>
      </c>
      <c r="F1459" s="32">
        <v>0</v>
      </c>
      <c r="G1459" s="32">
        <v>11953177</v>
      </c>
      <c r="H1459" t="s">
        <v>347</v>
      </c>
    </row>
    <row r="1460" spans="1:8" hidden="1" x14ac:dyDescent="0.3">
      <c r="A1460" s="28">
        <v>15909</v>
      </c>
      <c r="B1460" s="35">
        <v>45321.644444444442</v>
      </c>
      <c r="C1460" s="18">
        <v>45321</v>
      </c>
      <c r="D1460" t="s">
        <v>101</v>
      </c>
      <c r="E1460" s="32">
        <v>0</v>
      </c>
      <c r="F1460" s="32">
        <v>2640000</v>
      </c>
      <c r="G1460" s="32">
        <v>11736477</v>
      </c>
      <c r="H1460" t="s">
        <v>261</v>
      </c>
    </row>
    <row r="1461" spans="1:8" hidden="1" x14ac:dyDescent="0.3">
      <c r="A1461" s="28">
        <v>15908</v>
      </c>
      <c r="B1461" s="35">
        <v>45321.62222222222</v>
      </c>
      <c r="C1461" s="18">
        <v>45321</v>
      </c>
      <c r="D1461" t="s">
        <v>100</v>
      </c>
      <c r="E1461" s="32">
        <v>122200</v>
      </c>
      <c r="F1461" s="32">
        <v>0</v>
      </c>
      <c r="G1461" s="32">
        <v>14376477</v>
      </c>
      <c r="H1461" t="s">
        <v>348</v>
      </c>
    </row>
    <row r="1462" spans="1:8" hidden="1" x14ac:dyDescent="0.3">
      <c r="A1462" s="28">
        <v>15907</v>
      </c>
      <c r="B1462" s="35">
        <v>45321.620833333334</v>
      </c>
      <c r="C1462" s="18">
        <v>45321</v>
      </c>
      <c r="D1462" t="s">
        <v>100</v>
      </c>
      <c r="E1462" s="32">
        <v>1222000</v>
      </c>
      <c r="F1462" s="32">
        <v>0</v>
      </c>
      <c r="G1462" s="32">
        <v>14254277</v>
      </c>
      <c r="H1462" t="s">
        <v>349</v>
      </c>
    </row>
    <row r="1463" spans="1:8" hidden="1" x14ac:dyDescent="0.3">
      <c r="A1463" s="28">
        <v>15905</v>
      </c>
      <c r="B1463" s="35">
        <v>45321.473611111112</v>
      </c>
      <c r="C1463" s="18">
        <v>45321</v>
      </c>
      <c r="D1463" t="s">
        <v>101</v>
      </c>
      <c r="E1463" s="32">
        <v>0</v>
      </c>
      <c r="F1463" s="32">
        <v>6600000</v>
      </c>
      <c r="G1463" s="32">
        <v>13032277</v>
      </c>
      <c r="H1463" t="s">
        <v>350</v>
      </c>
    </row>
    <row r="1464" spans="1:8" hidden="1" x14ac:dyDescent="0.3">
      <c r="A1464" s="28">
        <v>15903</v>
      </c>
      <c r="B1464" s="35">
        <v>45321.361111111109</v>
      </c>
      <c r="C1464" s="18">
        <v>45321</v>
      </c>
      <c r="D1464" t="s">
        <v>100</v>
      </c>
      <c r="E1464" s="32">
        <v>2743400</v>
      </c>
      <c r="F1464" s="32">
        <v>0</v>
      </c>
      <c r="G1464" s="32">
        <v>19632277</v>
      </c>
      <c r="H1464" t="s">
        <v>220</v>
      </c>
    </row>
    <row r="1465" spans="1:8" hidden="1" x14ac:dyDescent="0.3">
      <c r="A1465" s="28">
        <v>15901</v>
      </c>
      <c r="B1465" s="35">
        <v>45320.686805555553</v>
      </c>
      <c r="C1465" s="18">
        <v>45320</v>
      </c>
      <c r="D1465" t="s">
        <v>100</v>
      </c>
      <c r="E1465" s="32">
        <v>1100000</v>
      </c>
      <c r="F1465" s="32">
        <v>0</v>
      </c>
      <c r="G1465" s="32">
        <v>16888877</v>
      </c>
      <c r="H1465" t="s">
        <v>351</v>
      </c>
    </row>
    <row r="1466" spans="1:8" hidden="1" x14ac:dyDescent="0.3">
      <c r="A1466" s="28">
        <v>15900</v>
      </c>
      <c r="B1466" s="35">
        <v>45320.677083333336</v>
      </c>
      <c r="C1466" s="18">
        <v>45320</v>
      </c>
      <c r="D1466" t="s">
        <v>100</v>
      </c>
      <c r="E1466" s="32">
        <v>660000</v>
      </c>
      <c r="F1466" s="32">
        <v>0</v>
      </c>
      <c r="G1466" s="32">
        <v>15788877</v>
      </c>
      <c r="H1466" t="s">
        <v>274</v>
      </c>
    </row>
    <row r="1467" spans="1:8" hidden="1" x14ac:dyDescent="0.3">
      <c r="A1467" s="28">
        <v>15899</v>
      </c>
      <c r="B1467" s="35">
        <v>45320.677083333336</v>
      </c>
      <c r="C1467" s="18">
        <v>45320</v>
      </c>
      <c r="D1467" t="s">
        <v>100</v>
      </c>
      <c r="E1467" s="32">
        <v>974600</v>
      </c>
      <c r="F1467" s="32">
        <v>0</v>
      </c>
      <c r="G1467" s="32">
        <v>15128877</v>
      </c>
      <c r="H1467" t="s">
        <v>274</v>
      </c>
    </row>
    <row r="1468" spans="1:8" hidden="1" x14ac:dyDescent="0.3">
      <c r="A1468" s="28">
        <v>15898</v>
      </c>
      <c r="B1468" s="35">
        <v>45320.664583333331</v>
      </c>
      <c r="C1468" s="18">
        <v>45320</v>
      </c>
      <c r="D1468" t="s">
        <v>100</v>
      </c>
      <c r="E1468" s="32">
        <v>480700</v>
      </c>
      <c r="F1468" s="32">
        <v>0</v>
      </c>
      <c r="G1468" s="32">
        <v>14154277</v>
      </c>
      <c r="H1468" t="s">
        <v>264</v>
      </c>
    </row>
    <row r="1469" spans="1:8" hidden="1" x14ac:dyDescent="0.3">
      <c r="A1469" s="28">
        <v>15896</v>
      </c>
      <c r="B1469" s="35">
        <v>45320.57708333333</v>
      </c>
      <c r="C1469" s="18">
        <v>45320</v>
      </c>
      <c r="D1469" t="s">
        <v>100</v>
      </c>
      <c r="E1469" s="32">
        <v>3705900</v>
      </c>
      <c r="F1469" s="32">
        <v>0</v>
      </c>
      <c r="G1469" s="32">
        <v>13673577</v>
      </c>
      <c r="H1469" t="s">
        <v>263</v>
      </c>
    </row>
    <row r="1470" spans="1:8" hidden="1" x14ac:dyDescent="0.3">
      <c r="A1470" s="28">
        <v>15895</v>
      </c>
      <c r="B1470" s="35">
        <v>45320.543055555558</v>
      </c>
      <c r="C1470" s="18">
        <v>45320</v>
      </c>
      <c r="D1470" t="s">
        <v>101</v>
      </c>
      <c r="E1470" s="32">
        <v>0</v>
      </c>
      <c r="F1470" s="32">
        <v>136660</v>
      </c>
      <c r="G1470" s="32">
        <v>9967677</v>
      </c>
      <c r="H1470" t="s">
        <v>221</v>
      </c>
    </row>
    <row r="1471" spans="1:8" hidden="1" x14ac:dyDescent="0.3">
      <c r="A1471" s="28">
        <v>15894</v>
      </c>
      <c r="B1471" s="35">
        <v>45320.499305555553</v>
      </c>
      <c r="C1471" s="18">
        <v>45320</v>
      </c>
      <c r="D1471" t="s">
        <v>100</v>
      </c>
      <c r="E1471" s="32">
        <v>94600</v>
      </c>
      <c r="F1471" s="32">
        <v>0</v>
      </c>
      <c r="G1471" s="32">
        <v>10104337</v>
      </c>
      <c r="H1471" t="s">
        <v>331</v>
      </c>
    </row>
    <row r="1472" spans="1:8" hidden="1" x14ac:dyDescent="0.3">
      <c r="A1472" s="28">
        <v>15890</v>
      </c>
      <c r="B1472" s="35">
        <v>45317.770138888889</v>
      </c>
      <c r="C1472" s="18">
        <v>45317</v>
      </c>
      <c r="D1472" t="s">
        <v>100</v>
      </c>
      <c r="E1472" s="32">
        <v>998000</v>
      </c>
      <c r="F1472" s="32">
        <v>0</v>
      </c>
      <c r="G1472" s="32">
        <v>10009737</v>
      </c>
      <c r="H1472" t="s">
        <v>246</v>
      </c>
    </row>
    <row r="1473" spans="1:8" hidden="1" x14ac:dyDescent="0.3">
      <c r="A1473" s="28">
        <v>15889</v>
      </c>
      <c r="B1473" s="35">
        <v>45317.743055555555</v>
      </c>
      <c r="C1473" s="18">
        <v>45317</v>
      </c>
      <c r="D1473" t="s">
        <v>100</v>
      </c>
      <c r="E1473" s="32">
        <v>99800</v>
      </c>
      <c r="F1473" s="32">
        <v>0</v>
      </c>
      <c r="G1473" s="32">
        <v>9011737</v>
      </c>
      <c r="H1473" t="s">
        <v>247</v>
      </c>
    </row>
    <row r="1474" spans="1:8" hidden="1" x14ac:dyDescent="0.3">
      <c r="A1474" s="28">
        <v>15888</v>
      </c>
      <c r="B1474" s="35">
        <v>45317.693749999999</v>
      </c>
      <c r="C1474" s="18">
        <v>45317</v>
      </c>
      <c r="D1474" t="s">
        <v>100</v>
      </c>
      <c r="E1474" s="32">
        <v>375100</v>
      </c>
      <c r="F1474" s="32">
        <v>0</v>
      </c>
      <c r="G1474" s="32">
        <v>8911937</v>
      </c>
      <c r="H1474" t="s">
        <v>352</v>
      </c>
    </row>
    <row r="1475" spans="1:8" hidden="1" x14ac:dyDescent="0.3">
      <c r="A1475" s="28">
        <v>15887</v>
      </c>
      <c r="B1475" s="35">
        <v>45317.674305555556</v>
      </c>
      <c r="C1475" s="18">
        <v>45317</v>
      </c>
      <c r="D1475" t="s">
        <v>101</v>
      </c>
      <c r="E1475" s="32">
        <v>0</v>
      </c>
      <c r="F1475" s="32">
        <v>3384500</v>
      </c>
      <c r="G1475" s="32">
        <v>8536837</v>
      </c>
      <c r="H1475" t="s">
        <v>353</v>
      </c>
    </row>
    <row r="1476" spans="1:8" hidden="1" x14ac:dyDescent="0.3">
      <c r="A1476" s="28">
        <v>15886</v>
      </c>
      <c r="B1476" s="35">
        <v>45317.550694444442</v>
      </c>
      <c r="C1476" s="18">
        <v>45317</v>
      </c>
      <c r="D1476" t="s">
        <v>101</v>
      </c>
      <c r="E1476" s="32">
        <v>0</v>
      </c>
      <c r="F1476" s="32">
        <v>1606275</v>
      </c>
      <c r="G1476" s="32">
        <v>11921337</v>
      </c>
      <c r="H1476" t="s">
        <v>293</v>
      </c>
    </row>
    <row r="1477" spans="1:8" hidden="1" x14ac:dyDescent="0.3">
      <c r="A1477" s="28">
        <v>15885</v>
      </c>
      <c r="B1477" s="35">
        <v>45317.376388888886</v>
      </c>
      <c r="C1477" s="18">
        <v>45317</v>
      </c>
      <c r="D1477" t="s">
        <v>101</v>
      </c>
      <c r="E1477" s="32">
        <v>0</v>
      </c>
      <c r="F1477" s="32">
        <v>1100000</v>
      </c>
      <c r="G1477" s="32">
        <v>13527612</v>
      </c>
      <c r="H1477" t="s">
        <v>261</v>
      </c>
    </row>
    <row r="1478" spans="1:8" hidden="1" x14ac:dyDescent="0.3">
      <c r="A1478" s="28">
        <v>15882</v>
      </c>
      <c r="B1478" s="35">
        <v>45316.835416666669</v>
      </c>
      <c r="C1478" s="18">
        <v>45316</v>
      </c>
      <c r="D1478" t="s">
        <v>101</v>
      </c>
      <c r="E1478" s="32">
        <v>0</v>
      </c>
      <c r="F1478" s="32">
        <v>440000</v>
      </c>
      <c r="G1478" s="32">
        <v>14627612</v>
      </c>
      <c r="H1478" t="s">
        <v>271</v>
      </c>
    </row>
    <row r="1479" spans="1:8" hidden="1" x14ac:dyDescent="0.3">
      <c r="A1479" s="28">
        <v>15879</v>
      </c>
      <c r="B1479" s="35">
        <v>45316.508333333331</v>
      </c>
      <c r="C1479" s="18">
        <v>45316</v>
      </c>
      <c r="D1479" t="s">
        <v>100</v>
      </c>
      <c r="E1479" s="32">
        <v>654500</v>
      </c>
      <c r="F1479" s="32">
        <v>0</v>
      </c>
      <c r="G1479" s="32">
        <v>15067612</v>
      </c>
      <c r="H1479" t="s">
        <v>233</v>
      </c>
    </row>
    <row r="1480" spans="1:8" hidden="1" x14ac:dyDescent="0.3">
      <c r="A1480" s="28">
        <v>15878</v>
      </c>
      <c r="B1480" s="35">
        <v>45316.480555555558</v>
      </c>
      <c r="C1480" s="18">
        <v>45316</v>
      </c>
      <c r="D1480" t="s">
        <v>100</v>
      </c>
      <c r="E1480" s="32">
        <v>699600</v>
      </c>
      <c r="F1480" s="32">
        <v>0</v>
      </c>
      <c r="G1480" s="32">
        <v>14413112</v>
      </c>
      <c r="H1480" t="s">
        <v>354</v>
      </c>
    </row>
    <row r="1481" spans="1:8" hidden="1" x14ac:dyDescent="0.3">
      <c r="A1481" s="28">
        <v>15875</v>
      </c>
      <c r="B1481" s="35">
        <v>45316.386805555558</v>
      </c>
      <c r="C1481" s="18">
        <v>45316</v>
      </c>
      <c r="D1481" t="s">
        <v>101</v>
      </c>
      <c r="E1481" s="32">
        <v>0</v>
      </c>
      <c r="F1481" s="32">
        <v>450000</v>
      </c>
      <c r="G1481" s="32">
        <v>13713512</v>
      </c>
      <c r="H1481" t="s">
        <v>282</v>
      </c>
    </row>
    <row r="1482" spans="1:8" hidden="1" x14ac:dyDescent="0.3">
      <c r="A1482" s="28">
        <v>15874</v>
      </c>
      <c r="B1482" s="35">
        <v>45316.386111111111</v>
      </c>
      <c r="C1482" s="18">
        <v>45316</v>
      </c>
      <c r="D1482" t="s">
        <v>101</v>
      </c>
      <c r="E1482" s="32">
        <v>0</v>
      </c>
      <c r="F1482" s="32">
        <v>495000</v>
      </c>
      <c r="G1482" s="32">
        <v>14163512</v>
      </c>
      <c r="H1482" t="s">
        <v>355</v>
      </c>
    </row>
    <row r="1483" spans="1:8" hidden="1" x14ac:dyDescent="0.3">
      <c r="A1483" s="28">
        <v>15873</v>
      </c>
      <c r="B1483" s="35">
        <v>45316.340277777781</v>
      </c>
      <c r="C1483" s="18">
        <v>45316</v>
      </c>
      <c r="D1483" t="s">
        <v>101</v>
      </c>
      <c r="E1483" s="32">
        <v>0</v>
      </c>
      <c r="F1483" s="32">
        <v>213140</v>
      </c>
      <c r="G1483" s="32">
        <v>14658512</v>
      </c>
      <c r="H1483" t="s">
        <v>221</v>
      </c>
    </row>
    <row r="1484" spans="1:8" hidden="1" x14ac:dyDescent="0.3">
      <c r="A1484" s="28">
        <v>15871</v>
      </c>
      <c r="B1484" s="35">
        <v>45315.729861111111</v>
      </c>
      <c r="C1484" s="18">
        <v>45315</v>
      </c>
      <c r="D1484" t="s">
        <v>101</v>
      </c>
      <c r="E1484" s="32">
        <v>0</v>
      </c>
      <c r="F1484" s="32">
        <v>42210560</v>
      </c>
      <c r="G1484" s="32">
        <v>14871652</v>
      </c>
      <c r="H1484" t="s">
        <v>356</v>
      </c>
    </row>
    <row r="1485" spans="1:8" hidden="1" x14ac:dyDescent="0.3">
      <c r="A1485" s="28">
        <v>15869</v>
      </c>
      <c r="B1485" s="35">
        <v>45315.482638888891</v>
      </c>
      <c r="C1485" s="18">
        <v>45315</v>
      </c>
      <c r="D1485" t="s">
        <v>100</v>
      </c>
      <c r="E1485" s="32">
        <v>350900</v>
      </c>
      <c r="F1485" s="32">
        <v>0</v>
      </c>
      <c r="G1485" s="32">
        <v>57082212</v>
      </c>
      <c r="H1485" t="s">
        <v>357</v>
      </c>
    </row>
    <row r="1486" spans="1:8" hidden="1" x14ac:dyDescent="0.3">
      <c r="A1486" s="28">
        <v>15867</v>
      </c>
      <c r="B1486" s="35">
        <v>45315.354861111111</v>
      </c>
      <c r="C1486" s="18">
        <v>45315</v>
      </c>
      <c r="D1486" t="s">
        <v>101</v>
      </c>
      <c r="E1486" s="32">
        <v>0</v>
      </c>
      <c r="F1486" s="32">
        <v>130000</v>
      </c>
      <c r="G1486" s="32">
        <v>56731312</v>
      </c>
      <c r="H1486" t="s">
        <v>358</v>
      </c>
    </row>
    <row r="1487" spans="1:8" hidden="1" x14ac:dyDescent="0.3">
      <c r="A1487" s="28">
        <v>15866</v>
      </c>
      <c r="B1487" s="35">
        <v>45315.354166666664</v>
      </c>
      <c r="C1487" s="18">
        <v>45315</v>
      </c>
      <c r="D1487" t="s">
        <v>101</v>
      </c>
      <c r="E1487" s="32">
        <v>0</v>
      </c>
      <c r="F1487" s="32">
        <v>60000</v>
      </c>
      <c r="G1487" s="32">
        <v>56861312</v>
      </c>
      <c r="H1487" t="s">
        <v>359</v>
      </c>
    </row>
    <row r="1488" spans="1:8" hidden="1" x14ac:dyDescent="0.3">
      <c r="A1488" s="28">
        <v>15865</v>
      </c>
      <c r="B1488" s="35">
        <v>45315.353472222225</v>
      </c>
      <c r="C1488" s="18">
        <v>45315</v>
      </c>
      <c r="D1488" t="s">
        <v>101</v>
      </c>
      <c r="E1488" s="32">
        <v>0</v>
      </c>
      <c r="F1488" s="32">
        <v>2710290</v>
      </c>
      <c r="G1488" s="32">
        <v>56921312</v>
      </c>
      <c r="H1488" t="s">
        <v>360</v>
      </c>
    </row>
    <row r="1489" spans="1:8" hidden="1" x14ac:dyDescent="0.3">
      <c r="A1489" s="28">
        <v>15863</v>
      </c>
      <c r="B1489" s="35">
        <v>45314.604166666664</v>
      </c>
      <c r="C1489" s="18">
        <v>45314</v>
      </c>
      <c r="D1489" t="s">
        <v>100</v>
      </c>
      <c r="E1489" s="32">
        <v>1912900</v>
      </c>
      <c r="F1489" s="32">
        <v>0</v>
      </c>
      <c r="G1489" s="32">
        <v>59631602</v>
      </c>
      <c r="H1489" t="s">
        <v>220</v>
      </c>
    </row>
    <row r="1490" spans="1:8" hidden="1" x14ac:dyDescent="0.3">
      <c r="A1490" s="28">
        <v>15862</v>
      </c>
      <c r="B1490" s="35">
        <v>45314.586111111108</v>
      </c>
      <c r="C1490" s="18">
        <v>45314</v>
      </c>
      <c r="D1490" t="s">
        <v>101</v>
      </c>
      <c r="E1490" s="32">
        <v>0</v>
      </c>
      <c r="F1490" s="32">
        <v>106403</v>
      </c>
      <c r="G1490" s="32">
        <v>57718702</v>
      </c>
      <c r="H1490" t="s">
        <v>221</v>
      </c>
    </row>
    <row r="1491" spans="1:8" hidden="1" x14ac:dyDescent="0.3">
      <c r="A1491" s="28">
        <v>15861</v>
      </c>
      <c r="B1491" s="35">
        <v>45314.568055555559</v>
      </c>
      <c r="C1491" s="18">
        <v>45314</v>
      </c>
      <c r="D1491" t="s">
        <v>101</v>
      </c>
      <c r="E1491" s="32">
        <v>0</v>
      </c>
      <c r="F1491" s="32">
        <v>125607</v>
      </c>
      <c r="G1491" s="32">
        <v>57825105</v>
      </c>
      <c r="H1491" t="s">
        <v>221</v>
      </c>
    </row>
    <row r="1492" spans="1:8" hidden="1" x14ac:dyDescent="0.3">
      <c r="A1492" s="28">
        <v>15859</v>
      </c>
      <c r="B1492" s="35">
        <v>45313.87777777778</v>
      </c>
      <c r="C1492" s="18">
        <v>45313</v>
      </c>
      <c r="D1492" t="s">
        <v>101</v>
      </c>
      <c r="E1492" s="32">
        <v>0</v>
      </c>
      <c r="F1492" s="32">
        <v>600530</v>
      </c>
      <c r="G1492" s="32">
        <v>57950712</v>
      </c>
      <c r="H1492" t="s">
        <v>285</v>
      </c>
    </row>
    <row r="1493" spans="1:8" hidden="1" x14ac:dyDescent="0.3">
      <c r="A1493" s="28">
        <v>15858</v>
      </c>
      <c r="B1493" s="35">
        <v>45313.822222222225</v>
      </c>
      <c r="C1493" s="18">
        <v>45313</v>
      </c>
      <c r="D1493" t="s">
        <v>101</v>
      </c>
      <c r="E1493" s="32">
        <v>0</v>
      </c>
      <c r="F1493" s="32">
        <v>77429</v>
      </c>
      <c r="G1493" s="32">
        <v>58551242</v>
      </c>
      <c r="H1493" t="s">
        <v>361</v>
      </c>
    </row>
    <row r="1494" spans="1:8" hidden="1" x14ac:dyDescent="0.3">
      <c r="A1494" s="28">
        <v>15857</v>
      </c>
      <c r="B1494" s="35">
        <v>45313.820138888892</v>
      </c>
      <c r="C1494" s="18">
        <v>45313</v>
      </c>
      <c r="D1494" t="s">
        <v>101</v>
      </c>
      <c r="E1494" s="32">
        <v>0</v>
      </c>
      <c r="F1494" s="32">
        <v>1000000</v>
      </c>
      <c r="G1494" s="32">
        <v>58628671</v>
      </c>
      <c r="H1494" t="s">
        <v>362</v>
      </c>
    </row>
    <row r="1495" spans="1:8" hidden="1" x14ac:dyDescent="0.3">
      <c r="A1495" s="28">
        <v>15855</v>
      </c>
      <c r="B1495" s="35">
        <v>45313.628472222219</v>
      </c>
      <c r="C1495" s="18">
        <v>45313</v>
      </c>
      <c r="D1495" t="s">
        <v>101</v>
      </c>
      <c r="E1495" s="32">
        <v>0</v>
      </c>
      <c r="F1495" s="32">
        <v>119912</v>
      </c>
      <c r="G1495" s="32">
        <v>59628671</v>
      </c>
      <c r="H1495" t="s">
        <v>221</v>
      </c>
    </row>
    <row r="1496" spans="1:8" hidden="1" x14ac:dyDescent="0.3">
      <c r="A1496" s="28">
        <v>15854</v>
      </c>
      <c r="B1496" s="35">
        <v>45313.497916666667</v>
      </c>
      <c r="C1496" s="18">
        <v>45313</v>
      </c>
      <c r="D1496" t="s">
        <v>100</v>
      </c>
      <c r="E1496" s="32">
        <v>70400</v>
      </c>
      <c r="F1496" s="32">
        <v>0</v>
      </c>
      <c r="G1496" s="32">
        <v>59748583</v>
      </c>
      <c r="H1496" t="s">
        <v>331</v>
      </c>
    </row>
    <row r="1497" spans="1:8" hidden="1" x14ac:dyDescent="0.3">
      <c r="A1497" s="28">
        <v>15852</v>
      </c>
      <c r="B1497" s="35">
        <v>45313.491666666669</v>
      </c>
      <c r="C1497" s="18">
        <v>45313</v>
      </c>
      <c r="D1497" t="s">
        <v>100</v>
      </c>
      <c r="E1497" s="32">
        <v>30000000</v>
      </c>
      <c r="F1497" s="32">
        <v>0</v>
      </c>
      <c r="G1497" s="32">
        <v>59678183</v>
      </c>
      <c r="H1497" t="s">
        <v>259</v>
      </c>
    </row>
    <row r="1498" spans="1:8" hidden="1" x14ac:dyDescent="0.3">
      <c r="A1498" s="28">
        <v>15848</v>
      </c>
      <c r="B1498" s="35">
        <v>45313.472222222219</v>
      </c>
      <c r="C1498" s="18">
        <v>45313</v>
      </c>
      <c r="D1498" t="s">
        <v>100</v>
      </c>
      <c r="E1498" s="32">
        <v>947100</v>
      </c>
      <c r="F1498" s="32">
        <v>0</v>
      </c>
      <c r="G1498" s="32">
        <v>29678183</v>
      </c>
      <c r="H1498" t="s">
        <v>363</v>
      </c>
    </row>
    <row r="1499" spans="1:8" hidden="1" x14ac:dyDescent="0.3">
      <c r="A1499" s="28">
        <v>15847</v>
      </c>
      <c r="B1499" s="35">
        <v>45313.472222222219</v>
      </c>
      <c r="C1499" s="18">
        <v>45313</v>
      </c>
      <c r="D1499" t="s">
        <v>100</v>
      </c>
      <c r="E1499" s="32">
        <v>548900</v>
      </c>
      <c r="F1499" s="32">
        <v>0</v>
      </c>
      <c r="G1499" s="32">
        <v>28731083</v>
      </c>
      <c r="H1499" t="s">
        <v>363</v>
      </c>
    </row>
    <row r="1500" spans="1:8" hidden="1" x14ac:dyDescent="0.3">
      <c r="A1500" s="28">
        <v>15846</v>
      </c>
      <c r="B1500" s="35">
        <v>45313.465277777781</v>
      </c>
      <c r="C1500" s="18">
        <v>45313</v>
      </c>
      <c r="D1500" t="s">
        <v>101</v>
      </c>
      <c r="E1500" s="32">
        <v>0</v>
      </c>
      <c r="F1500" s="32">
        <v>26952040</v>
      </c>
      <c r="G1500" s="32">
        <v>28182183</v>
      </c>
      <c r="H1500" t="s">
        <v>258</v>
      </c>
    </row>
    <row r="1501" spans="1:8" hidden="1" x14ac:dyDescent="0.3">
      <c r="A1501" s="28">
        <v>15845</v>
      </c>
      <c r="B1501" s="35">
        <v>45313.464583333334</v>
      </c>
      <c r="C1501" s="18">
        <v>45313</v>
      </c>
      <c r="D1501" t="s">
        <v>101</v>
      </c>
      <c r="E1501" s="32">
        <v>0</v>
      </c>
      <c r="F1501" s="32">
        <v>6861490</v>
      </c>
      <c r="G1501" s="32">
        <v>55134223</v>
      </c>
      <c r="H1501" t="s">
        <v>258</v>
      </c>
    </row>
    <row r="1502" spans="1:8" hidden="1" x14ac:dyDescent="0.3">
      <c r="A1502" s="28">
        <v>15844</v>
      </c>
      <c r="B1502" s="35">
        <v>45313.45416666667</v>
      </c>
      <c r="C1502" s="18">
        <v>45313</v>
      </c>
      <c r="D1502" t="s">
        <v>101</v>
      </c>
      <c r="E1502" s="32">
        <v>0</v>
      </c>
      <c r="F1502" s="32">
        <v>99000</v>
      </c>
      <c r="G1502" s="32">
        <v>61995713</v>
      </c>
      <c r="H1502" t="s">
        <v>364</v>
      </c>
    </row>
    <row r="1503" spans="1:8" hidden="1" x14ac:dyDescent="0.3">
      <c r="A1503" s="28">
        <v>15843</v>
      </c>
      <c r="B1503" s="35">
        <v>45313.435416666667</v>
      </c>
      <c r="C1503" s="18">
        <v>45313</v>
      </c>
      <c r="D1503" t="s">
        <v>101</v>
      </c>
      <c r="E1503" s="32">
        <v>0</v>
      </c>
      <c r="F1503" s="32">
        <v>786100</v>
      </c>
      <c r="G1503" s="32">
        <v>62094713</v>
      </c>
      <c r="H1503" t="s">
        <v>294</v>
      </c>
    </row>
    <row r="1504" spans="1:8" hidden="1" x14ac:dyDescent="0.3">
      <c r="A1504" s="28">
        <v>15842</v>
      </c>
      <c r="B1504" s="35">
        <v>45313.423611111109</v>
      </c>
      <c r="C1504" s="18">
        <v>45313</v>
      </c>
      <c r="D1504" t="s">
        <v>101</v>
      </c>
      <c r="E1504" s="32">
        <v>0</v>
      </c>
      <c r="F1504" s="32">
        <v>990338</v>
      </c>
      <c r="G1504" s="32">
        <v>62880813</v>
      </c>
      <c r="H1504" t="s">
        <v>291</v>
      </c>
    </row>
    <row r="1505" spans="1:8" hidden="1" x14ac:dyDescent="0.3">
      <c r="A1505" s="28">
        <v>15840</v>
      </c>
      <c r="B1505" s="35">
        <v>45310.800694444442</v>
      </c>
      <c r="C1505" s="18">
        <v>45310</v>
      </c>
      <c r="D1505" t="s">
        <v>101</v>
      </c>
      <c r="E1505" s="32">
        <v>0</v>
      </c>
      <c r="F1505" s="32">
        <v>281782</v>
      </c>
      <c r="G1505" s="32">
        <v>63871151</v>
      </c>
      <c r="H1505" t="s">
        <v>286</v>
      </c>
    </row>
    <row r="1506" spans="1:8" hidden="1" x14ac:dyDescent="0.3">
      <c r="A1506" s="28">
        <v>15839</v>
      </c>
      <c r="B1506" s="35">
        <v>45310.620138888888</v>
      </c>
      <c r="C1506" s="18">
        <v>45310</v>
      </c>
      <c r="D1506" t="s">
        <v>100</v>
      </c>
      <c r="E1506" s="32">
        <v>696300</v>
      </c>
      <c r="F1506" s="32">
        <v>0</v>
      </c>
      <c r="G1506" s="32">
        <v>64152933</v>
      </c>
      <c r="H1506" t="s">
        <v>316</v>
      </c>
    </row>
    <row r="1507" spans="1:8" hidden="1" x14ac:dyDescent="0.3">
      <c r="A1507" s="28">
        <v>15838</v>
      </c>
      <c r="B1507" s="35">
        <v>45310.615277777775</v>
      </c>
      <c r="C1507" s="18">
        <v>45310</v>
      </c>
      <c r="D1507" t="s">
        <v>100</v>
      </c>
      <c r="E1507" s="32">
        <v>2131800</v>
      </c>
      <c r="F1507" s="32">
        <v>0</v>
      </c>
      <c r="G1507" s="32">
        <v>63456633</v>
      </c>
      <c r="H1507" t="s">
        <v>365</v>
      </c>
    </row>
    <row r="1508" spans="1:8" hidden="1" x14ac:dyDescent="0.3">
      <c r="A1508" s="28">
        <v>15837</v>
      </c>
      <c r="B1508" s="35">
        <v>45310.482638888891</v>
      </c>
      <c r="C1508" s="18">
        <v>45310</v>
      </c>
      <c r="D1508" t="s">
        <v>100</v>
      </c>
      <c r="E1508" s="32">
        <v>126500</v>
      </c>
      <c r="F1508" s="32">
        <v>0</v>
      </c>
      <c r="G1508" s="32">
        <v>61324833</v>
      </c>
      <c r="H1508" t="s">
        <v>309</v>
      </c>
    </row>
    <row r="1509" spans="1:8" hidden="1" x14ac:dyDescent="0.3">
      <c r="A1509" s="28">
        <v>15836</v>
      </c>
      <c r="B1509" s="35">
        <v>45310.45</v>
      </c>
      <c r="C1509" s="18">
        <v>45310</v>
      </c>
      <c r="D1509" t="s">
        <v>101</v>
      </c>
      <c r="E1509" s="32">
        <v>0</v>
      </c>
      <c r="F1509" s="32">
        <v>62700</v>
      </c>
      <c r="G1509" s="32">
        <v>61198333</v>
      </c>
      <c r="H1509" t="s">
        <v>280</v>
      </c>
    </row>
    <row r="1510" spans="1:8" hidden="1" x14ac:dyDescent="0.3">
      <c r="A1510" s="28">
        <v>15835</v>
      </c>
      <c r="B1510" s="35">
        <v>45310.426388888889</v>
      </c>
      <c r="C1510" s="18">
        <v>45310</v>
      </c>
      <c r="D1510" t="s">
        <v>101</v>
      </c>
      <c r="E1510" s="32">
        <v>0</v>
      </c>
      <c r="F1510" s="32">
        <v>7464010</v>
      </c>
      <c r="G1510" s="32">
        <v>61261033</v>
      </c>
      <c r="H1510" t="s">
        <v>289</v>
      </c>
    </row>
    <row r="1511" spans="1:8" hidden="1" x14ac:dyDescent="0.3">
      <c r="A1511" s="28">
        <v>15834</v>
      </c>
      <c r="B1511" s="35">
        <v>45310.354861111111</v>
      </c>
      <c r="C1511" s="18">
        <v>45310</v>
      </c>
      <c r="D1511" t="s">
        <v>101</v>
      </c>
      <c r="E1511" s="32">
        <v>0</v>
      </c>
      <c r="F1511" s="32">
        <v>43990</v>
      </c>
      <c r="G1511" s="32">
        <v>68725043</v>
      </c>
      <c r="H1511" t="s">
        <v>221</v>
      </c>
    </row>
    <row r="1512" spans="1:8" hidden="1" x14ac:dyDescent="0.3">
      <c r="A1512" s="28">
        <v>15832</v>
      </c>
      <c r="B1512" s="35">
        <v>45309.466666666667</v>
      </c>
      <c r="C1512" s="18">
        <v>45309</v>
      </c>
      <c r="D1512" t="s">
        <v>101</v>
      </c>
      <c r="E1512" s="32">
        <v>0</v>
      </c>
      <c r="F1512" s="32">
        <v>124300</v>
      </c>
      <c r="G1512" s="32">
        <v>68769033</v>
      </c>
      <c r="H1512" t="s">
        <v>366</v>
      </c>
    </row>
    <row r="1513" spans="1:8" hidden="1" x14ac:dyDescent="0.3">
      <c r="A1513" s="28">
        <v>15831</v>
      </c>
      <c r="B1513" s="35">
        <v>45309.395833333336</v>
      </c>
      <c r="C1513" s="18">
        <v>45309</v>
      </c>
      <c r="D1513" t="s">
        <v>100</v>
      </c>
      <c r="E1513" s="32">
        <v>561000</v>
      </c>
      <c r="F1513" s="32">
        <v>0</v>
      </c>
      <c r="G1513" s="32">
        <v>68893333</v>
      </c>
      <c r="H1513" t="s">
        <v>367</v>
      </c>
    </row>
    <row r="1514" spans="1:8" hidden="1" x14ac:dyDescent="0.3">
      <c r="A1514" s="28">
        <v>15830</v>
      </c>
      <c r="B1514" s="35">
        <v>45308.569444444445</v>
      </c>
      <c r="C1514" s="18">
        <v>45308</v>
      </c>
      <c r="D1514" t="s">
        <v>100</v>
      </c>
      <c r="E1514" s="32">
        <v>743600</v>
      </c>
      <c r="F1514" s="32">
        <v>0</v>
      </c>
      <c r="G1514" s="32">
        <v>68332333</v>
      </c>
      <c r="H1514" t="s">
        <v>91</v>
      </c>
    </row>
    <row r="1515" spans="1:8" hidden="1" x14ac:dyDescent="0.3">
      <c r="A1515" s="28">
        <v>15828</v>
      </c>
      <c r="B1515" s="35">
        <v>45308.484027777777</v>
      </c>
      <c r="C1515" s="18">
        <v>45308</v>
      </c>
      <c r="D1515" t="s">
        <v>100</v>
      </c>
      <c r="E1515" s="32">
        <v>232100</v>
      </c>
      <c r="F1515" s="32">
        <v>0</v>
      </c>
      <c r="G1515" s="32">
        <v>67588733</v>
      </c>
      <c r="H1515" t="s">
        <v>309</v>
      </c>
    </row>
    <row r="1516" spans="1:8" hidden="1" x14ac:dyDescent="0.3">
      <c r="A1516" s="28">
        <v>15827</v>
      </c>
      <c r="B1516" s="35">
        <v>45308.472916666666</v>
      </c>
      <c r="C1516" s="18">
        <v>45308</v>
      </c>
      <c r="D1516" t="s">
        <v>101</v>
      </c>
      <c r="E1516" s="32">
        <v>0</v>
      </c>
      <c r="F1516" s="32">
        <v>20000</v>
      </c>
      <c r="G1516" s="32">
        <v>67356633</v>
      </c>
      <c r="H1516" t="s">
        <v>295</v>
      </c>
    </row>
    <row r="1517" spans="1:8" hidden="1" x14ac:dyDescent="0.3">
      <c r="A1517" s="28">
        <v>15826</v>
      </c>
      <c r="B1517" s="35">
        <v>45308.470833333333</v>
      </c>
      <c r="C1517" s="18">
        <v>45308</v>
      </c>
      <c r="D1517" t="s">
        <v>101</v>
      </c>
      <c r="E1517" s="32">
        <v>0</v>
      </c>
      <c r="F1517" s="32">
        <v>4000</v>
      </c>
      <c r="G1517" s="32">
        <v>67376633</v>
      </c>
      <c r="H1517" t="s">
        <v>368</v>
      </c>
    </row>
    <row r="1518" spans="1:8" hidden="1" x14ac:dyDescent="0.3">
      <c r="A1518" s="28">
        <v>15825</v>
      </c>
      <c r="B1518" s="35">
        <v>45308.427777777775</v>
      </c>
      <c r="C1518" s="18">
        <v>45308</v>
      </c>
      <c r="D1518" t="s">
        <v>101</v>
      </c>
      <c r="E1518" s="32">
        <v>0</v>
      </c>
      <c r="F1518" s="32">
        <v>87120</v>
      </c>
      <c r="G1518" s="32">
        <v>67380633</v>
      </c>
      <c r="H1518" t="s">
        <v>280</v>
      </c>
    </row>
    <row r="1519" spans="1:8" hidden="1" x14ac:dyDescent="0.3">
      <c r="A1519" s="28">
        <v>15824</v>
      </c>
      <c r="B1519" s="35">
        <v>45308.38958333333</v>
      </c>
      <c r="C1519" s="18">
        <v>45308</v>
      </c>
      <c r="D1519" t="s">
        <v>101</v>
      </c>
      <c r="E1519" s="32">
        <v>0</v>
      </c>
      <c r="F1519" s="32">
        <v>50490</v>
      </c>
      <c r="G1519" s="32">
        <v>67467753</v>
      </c>
      <c r="H1519" t="s">
        <v>293</v>
      </c>
    </row>
    <row r="1520" spans="1:8" hidden="1" x14ac:dyDescent="0.3">
      <c r="A1520" s="28">
        <v>15822</v>
      </c>
      <c r="B1520" s="35">
        <v>45308.304861111108</v>
      </c>
      <c r="C1520" s="18">
        <v>45308</v>
      </c>
      <c r="D1520" t="s">
        <v>100</v>
      </c>
      <c r="E1520" s="32">
        <v>645700</v>
      </c>
      <c r="F1520" s="32">
        <v>0</v>
      </c>
      <c r="G1520" s="32">
        <v>67518243</v>
      </c>
      <c r="H1520" t="s">
        <v>312</v>
      </c>
    </row>
    <row r="1521" spans="1:8" hidden="1" x14ac:dyDescent="0.3">
      <c r="A1521" s="28">
        <v>15821</v>
      </c>
      <c r="B1521" s="35">
        <v>45307.805555555555</v>
      </c>
      <c r="C1521" s="18">
        <v>45307</v>
      </c>
      <c r="D1521" t="s">
        <v>101</v>
      </c>
      <c r="E1521" s="32">
        <v>0</v>
      </c>
      <c r="F1521" s="32">
        <v>167337</v>
      </c>
      <c r="G1521" s="32">
        <v>66872543</v>
      </c>
      <c r="H1521" t="s">
        <v>302</v>
      </c>
    </row>
    <row r="1522" spans="1:8" hidden="1" x14ac:dyDescent="0.3">
      <c r="A1522" s="28">
        <v>15820</v>
      </c>
      <c r="B1522" s="35">
        <v>45307.792361111111</v>
      </c>
      <c r="C1522" s="18">
        <v>45307</v>
      </c>
      <c r="D1522" t="s">
        <v>101</v>
      </c>
      <c r="E1522" s="32">
        <v>0</v>
      </c>
      <c r="F1522" s="32">
        <v>629880</v>
      </c>
      <c r="G1522" s="32">
        <v>67039880</v>
      </c>
      <c r="H1522" t="s">
        <v>296</v>
      </c>
    </row>
    <row r="1523" spans="1:8" hidden="1" x14ac:dyDescent="0.3">
      <c r="A1523" s="28">
        <v>15819</v>
      </c>
      <c r="B1523" s="35">
        <v>45307.792361111111</v>
      </c>
      <c r="C1523" s="18">
        <v>45307</v>
      </c>
      <c r="D1523" t="s">
        <v>101</v>
      </c>
      <c r="E1523" s="32">
        <v>0</v>
      </c>
      <c r="F1523" s="32">
        <v>165320</v>
      </c>
      <c r="G1523" s="32">
        <v>67669760</v>
      </c>
      <c r="H1523" t="s">
        <v>296</v>
      </c>
    </row>
    <row r="1524" spans="1:8" hidden="1" x14ac:dyDescent="0.3">
      <c r="A1524" s="28">
        <v>15818</v>
      </c>
      <c r="B1524" s="35">
        <v>45307.792361111111</v>
      </c>
      <c r="C1524" s="18">
        <v>45307</v>
      </c>
      <c r="D1524" t="s">
        <v>101</v>
      </c>
      <c r="E1524" s="32">
        <v>0</v>
      </c>
      <c r="F1524" s="32">
        <v>1000000</v>
      </c>
      <c r="G1524" s="32">
        <v>67835080</v>
      </c>
      <c r="H1524" t="s">
        <v>296</v>
      </c>
    </row>
    <row r="1525" spans="1:8" hidden="1" x14ac:dyDescent="0.3">
      <c r="A1525" s="28">
        <v>15817</v>
      </c>
      <c r="B1525" s="35">
        <v>45307.792361111111</v>
      </c>
      <c r="C1525" s="18">
        <v>45307</v>
      </c>
      <c r="D1525" t="s">
        <v>101</v>
      </c>
      <c r="E1525" s="32">
        <v>0</v>
      </c>
      <c r="F1525" s="32">
        <v>944940</v>
      </c>
      <c r="G1525" s="32">
        <v>68835080</v>
      </c>
      <c r="H1525" t="s">
        <v>296</v>
      </c>
    </row>
    <row r="1526" spans="1:8" hidden="1" x14ac:dyDescent="0.3">
      <c r="A1526" s="28">
        <v>15816</v>
      </c>
      <c r="B1526" s="35">
        <v>45307.578472222223</v>
      </c>
      <c r="C1526" s="18">
        <v>45307</v>
      </c>
      <c r="D1526" t="s">
        <v>101</v>
      </c>
      <c r="E1526" s="32">
        <v>0</v>
      </c>
      <c r="F1526" s="32">
        <v>478500</v>
      </c>
      <c r="G1526" s="32">
        <v>69780020</v>
      </c>
      <c r="H1526" t="s">
        <v>369</v>
      </c>
    </row>
    <row r="1527" spans="1:8" hidden="1" x14ac:dyDescent="0.3">
      <c r="A1527" s="28">
        <v>15815</v>
      </c>
      <c r="B1527" s="35">
        <v>45306.861111111109</v>
      </c>
      <c r="C1527" s="18">
        <v>45306</v>
      </c>
      <c r="D1527" t="s">
        <v>101</v>
      </c>
      <c r="E1527" s="32">
        <v>0</v>
      </c>
      <c r="F1527" s="32">
        <v>290400</v>
      </c>
      <c r="G1527" s="32">
        <v>70258520</v>
      </c>
      <c r="H1527" t="s">
        <v>300</v>
      </c>
    </row>
    <row r="1528" spans="1:8" hidden="1" x14ac:dyDescent="0.3">
      <c r="A1528" s="28">
        <v>15814</v>
      </c>
      <c r="B1528" s="35">
        <v>45306.80972222222</v>
      </c>
      <c r="C1528" s="18">
        <v>45306</v>
      </c>
      <c r="D1528" t="s">
        <v>101</v>
      </c>
      <c r="E1528" s="32">
        <v>0</v>
      </c>
      <c r="F1528" s="32">
        <v>99000</v>
      </c>
      <c r="G1528" s="32">
        <v>70548920</v>
      </c>
      <c r="H1528" t="s">
        <v>301</v>
      </c>
    </row>
    <row r="1529" spans="1:8" hidden="1" x14ac:dyDescent="0.3">
      <c r="A1529" s="28">
        <v>15813</v>
      </c>
      <c r="B1529" s="35">
        <v>45306.801388888889</v>
      </c>
      <c r="C1529" s="18">
        <v>45306</v>
      </c>
      <c r="D1529" t="s">
        <v>101</v>
      </c>
      <c r="E1529" s="32">
        <v>0</v>
      </c>
      <c r="F1529" s="32">
        <v>684420</v>
      </c>
      <c r="G1529" s="32">
        <v>70647920</v>
      </c>
      <c r="H1529" t="s">
        <v>239</v>
      </c>
    </row>
    <row r="1530" spans="1:8" hidden="1" x14ac:dyDescent="0.3">
      <c r="A1530" s="28">
        <v>15811</v>
      </c>
      <c r="B1530" s="35">
        <v>45306.775694444441</v>
      </c>
      <c r="C1530" s="18">
        <v>45306</v>
      </c>
      <c r="D1530" t="s">
        <v>101</v>
      </c>
      <c r="E1530" s="32">
        <v>0</v>
      </c>
      <c r="F1530" s="32">
        <v>24336044</v>
      </c>
      <c r="G1530" s="32">
        <v>71332340</v>
      </c>
      <c r="H1530" t="s">
        <v>303</v>
      </c>
    </row>
    <row r="1531" spans="1:8" hidden="1" x14ac:dyDescent="0.3">
      <c r="A1531" s="28">
        <v>15808</v>
      </c>
      <c r="B1531" s="35">
        <v>45306.70208333333</v>
      </c>
      <c r="C1531" s="18">
        <v>45306</v>
      </c>
      <c r="D1531" t="s">
        <v>100</v>
      </c>
      <c r="E1531" s="32">
        <v>3195998</v>
      </c>
      <c r="F1531" s="32">
        <v>0</v>
      </c>
      <c r="G1531" s="32">
        <v>95668384</v>
      </c>
      <c r="H1531" t="s">
        <v>370</v>
      </c>
    </row>
    <row r="1532" spans="1:8" hidden="1" x14ac:dyDescent="0.3">
      <c r="A1532" s="28">
        <v>15807</v>
      </c>
      <c r="B1532" s="35">
        <v>45306.70208333333</v>
      </c>
      <c r="C1532" s="18">
        <v>45306</v>
      </c>
      <c r="D1532" t="s">
        <v>100</v>
      </c>
      <c r="E1532" s="32">
        <v>3128861</v>
      </c>
      <c r="F1532" s="32">
        <v>0</v>
      </c>
      <c r="G1532" s="32">
        <v>92472386</v>
      </c>
      <c r="H1532" t="s">
        <v>370</v>
      </c>
    </row>
    <row r="1533" spans="1:8" hidden="1" x14ac:dyDescent="0.3">
      <c r="A1533" s="28">
        <v>15806</v>
      </c>
      <c r="B1533" s="35">
        <v>45306.668055555558</v>
      </c>
      <c r="C1533" s="18">
        <v>45306</v>
      </c>
      <c r="D1533" t="s">
        <v>100</v>
      </c>
      <c r="E1533" s="32">
        <v>1226500</v>
      </c>
      <c r="F1533" s="32">
        <v>0</v>
      </c>
      <c r="G1533" s="32">
        <v>89343525</v>
      </c>
      <c r="H1533" t="s">
        <v>252</v>
      </c>
    </row>
    <row r="1534" spans="1:8" hidden="1" x14ac:dyDescent="0.3">
      <c r="A1534" s="28">
        <v>15805</v>
      </c>
      <c r="B1534" s="35">
        <v>45306.668055555558</v>
      </c>
      <c r="C1534" s="18">
        <v>45306</v>
      </c>
      <c r="D1534" t="s">
        <v>100</v>
      </c>
      <c r="E1534" s="32">
        <v>1157200</v>
      </c>
      <c r="F1534" s="32">
        <v>0</v>
      </c>
      <c r="G1534" s="32">
        <v>88117025</v>
      </c>
      <c r="H1534" t="s">
        <v>252</v>
      </c>
    </row>
    <row r="1535" spans="1:8" hidden="1" x14ac:dyDescent="0.3">
      <c r="A1535" s="28">
        <v>15804</v>
      </c>
      <c r="B1535" s="35">
        <v>45306.668055555558</v>
      </c>
      <c r="C1535" s="18">
        <v>45306</v>
      </c>
      <c r="D1535" t="s">
        <v>100</v>
      </c>
      <c r="E1535" s="32">
        <v>247500</v>
      </c>
      <c r="F1535" s="32">
        <v>0</v>
      </c>
      <c r="G1535" s="32">
        <v>86959825</v>
      </c>
      <c r="H1535" t="s">
        <v>252</v>
      </c>
    </row>
    <row r="1536" spans="1:8" hidden="1" x14ac:dyDescent="0.3">
      <c r="A1536" s="28">
        <v>15803</v>
      </c>
      <c r="B1536" s="35">
        <v>45306.668055555558</v>
      </c>
      <c r="C1536" s="18">
        <v>45306</v>
      </c>
      <c r="D1536" t="s">
        <v>100</v>
      </c>
      <c r="E1536" s="32">
        <v>564300</v>
      </c>
      <c r="F1536" s="32">
        <v>0</v>
      </c>
      <c r="G1536" s="32">
        <v>86712325</v>
      </c>
      <c r="H1536" t="s">
        <v>223</v>
      </c>
    </row>
    <row r="1537" spans="1:8" hidden="1" x14ac:dyDescent="0.3">
      <c r="A1537" s="28">
        <v>15802</v>
      </c>
      <c r="B1537" s="35">
        <v>45306.668055555558</v>
      </c>
      <c r="C1537" s="18">
        <v>45306</v>
      </c>
      <c r="D1537" t="s">
        <v>100</v>
      </c>
      <c r="E1537" s="32">
        <v>2387000</v>
      </c>
      <c r="F1537" s="32">
        <v>0</v>
      </c>
      <c r="G1537" s="32">
        <v>86148025</v>
      </c>
      <c r="H1537" t="s">
        <v>223</v>
      </c>
    </row>
    <row r="1538" spans="1:8" hidden="1" x14ac:dyDescent="0.3">
      <c r="A1538" s="28">
        <v>15794</v>
      </c>
      <c r="B1538" s="35">
        <v>45306.61041666667</v>
      </c>
      <c r="C1538" s="18">
        <v>45306</v>
      </c>
      <c r="D1538" t="s">
        <v>101</v>
      </c>
      <c r="E1538" s="32">
        <v>0</v>
      </c>
      <c r="F1538" s="32">
        <v>73150</v>
      </c>
      <c r="G1538" s="32">
        <v>83761025</v>
      </c>
      <c r="H1538" t="s">
        <v>280</v>
      </c>
    </row>
    <row r="1539" spans="1:8" hidden="1" x14ac:dyDescent="0.3">
      <c r="A1539" s="28">
        <v>15792</v>
      </c>
      <c r="B1539" s="35">
        <v>45306.583333333336</v>
      </c>
      <c r="C1539" s="18">
        <v>45306</v>
      </c>
      <c r="D1539" t="s">
        <v>100</v>
      </c>
      <c r="E1539" s="32">
        <v>144100</v>
      </c>
      <c r="F1539" s="32">
        <v>0</v>
      </c>
      <c r="G1539" s="32">
        <v>83834175</v>
      </c>
      <c r="H1539" t="s">
        <v>365</v>
      </c>
    </row>
    <row r="1540" spans="1:8" hidden="1" x14ac:dyDescent="0.3">
      <c r="A1540" s="28">
        <v>15791</v>
      </c>
      <c r="B1540" s="35">
        <v>45306.535416666666</v>
      </c>
      <c r="C1540" s="18">
        <v>45306</v>
      </c>
      <c r="D1540" t="s">
        <v>100</v>
      </c>
      <c r="E1540" s="32">
        <v>642400</v>
      </c>
      <c r="F1540" s="32">
        <v>0</v>
      </c>
      <c r="G1540" s="32">
        <v>83690075</v>
      </c>
      <c r="H1540" t="s">
        <v>345</v>
      </c>
    </row>
    <row r="1541" spans="1:8" hidden="1" x14ac:dyDescent="0.3">
      <c r="A1541" s="28">
        <v>15790</v>
      </c>
      <c r="B1541" s="35">
        <v>45306.51666666667</v>
      </c>
      <c r="C1541" s="18">
        <v>45306</v>
      </c>
      <c r="D1541" t="s">
        <v>100</v>
      </c>
      <c r="E1541" s="32">
        <v>1195000</v>
      </c>
      <c r="F1541" s="32">
        <v>0</v>
      </c>
      <c r="G1541" s="32">
        <v>83047675</v>
      </c>
      <c r="H1541" t="s">
        <v>371</v>
      </c>
    </row>
    <row r="1542" spans="1:8" hidden="1" x14ac:dyDescent="0.3">
      <c r="A1542" s="28">
        <v>15789</v>
      </c>
      <c r="B1542" s="35">
        <v>45306.490972222222</v>
      </c>
      <c r="C1542" s="18">
        <v>45306</v>
      </c>
      <c r="D1542" t="s">
        <v>100</v>
      </c>
      <c r="E1542" s="32">
        <v>3423200</v>
      </c>
      <c r="F1542" s="32">
        <v>0</v>
      </c>
      <c r="G1542" s="32">
        <v>81852675</v>
      </c>
      <c r="H1542" t="s">
        <v>372</v>
      </c>
    </row>
    <row r="1543" spans="1:8" hidden="1" x14ac:dyDescent="0.3">
      <c r="A1543" s="28">
        <v>15788</v>
      </c>
      <c r="B1543" s="35">
        <v>45306.489583333336</v>
      </c>
      <c r="C1543" s="18">
        <v>45306</v>
      </c>
      <c r="D1543" t="s">
        <v>100</v>
      </c>
      <c r="E1543" s="32">
        <v>135300</v>
      </c>
      <c r="F1543" s="32">
        <v>0</v>
      </c>
      <c r="G1543" s="32">
        <v>78429475</v>
      </c>
      <c r="H1543" t="s">
        <v>373</v>
      </c>
    </row>
    <row r="1544" spans="1:8" hidden="1" x14ac:dyDescent="0.3">
      <c r="A1544" s="28">
        <v>15787</v>
      </c>
      <c r="B1544" s="35">
        <v>45306.482638888891</v>
      </c>
      <c r="C1544" s="18">
        <v>45306</v>
      </c>
      <c r="D1544" t="s">
        <v>100</v>
      </c>
      <c r="E1544" s="32">
        <v>214500</v>
      </c>
      <c r="F1544" s="32">
        <v>0</v>
      </c>
      <c r="G1544" s="32">
        <v>78294175</v>
      </c>
      <c r="H1544" t="s">
        <v>220</v>
      </c>
    </row>
    <row r="1545" spans="1:8" hidden="1" x14ac:dyDescent="0.3">
      <c r="A1545" s="28">
        <v>15786</v>
      </c>
      <c r="B1545" s="35">
        <v>45306.482638888891</v>
      </c>
      <c r="C1545" s="18">
        <v>45306</v>
      </c>
      <c r="D1545" t="s">
        <v>100</v>
      </c>
      <c r="E1545" s="32">
        <v>193600</v>
      </c>
      <c r="F1545" s="32">
        <v>0</v>
      </c>
      <c r="G1545" s="32">
        <v>78079675</v>
      </c>
      <c r="H1545" t="s">
        <v>220</v>
      </c>
    </row>
    <row r="1546" spans="1:8" hidden="1" x14ac:dyDescent="0.3">
      <c r="A1546" s="28">
        <v>15784</v>
      </c>
      <c r="B1546" s="35">
        <v>45306.474999999999</v>
      </c>
      <c r="C1546" s="18">
        <v>45306</v>
      </c>
      <c r="D1546" t="s">
        <v>100</v>
      </c>
      <c r="E1546" s="32">
        <v>12129700</v>
      </c>
      <c r="F1546" s="32">
        <v>0</v>
      </c>
      <c r="G1546" s="32">
        <v>77886075</v>
      </c>
      <c r="H1546" t="s">
        <v>306</v>
      </c>
    </row>
    <row r="1547" spans="1:8" hidden="1" x14ac:dyDescent="0.3">
      <c r="A1547" s="28">
        <v>15783</v>
      </c>
      <c r="B1547" s="35">
        <v>45306.409722222219</v>
      </c>
      <c r="C1547" s="18">
        <v>45306</v>
      </c>
      <c r="D1547" t="s">
        <v>101</v>
      </c>
      <c r="E1547" s="32">
        <v>0</v>
      </c>
      <c r="F1547" s="32">
        <v>160380</v>
      </c>
      <c r="G1547" s="32">
        <v>65756375</v>
      </c>
      <c r="H1547" t="s">
        <v>280</v>
      </c>
    </row>
    <row r="1548" spans="1:8" hidden="1" x14ac:dyDescent="0.3">
      <c r="A1548" s="28">
        <v>15782</v>
      </c>
      <c r="B1548" s="35">
        <v>45306.371527777781</v>
      </c>
      <c r="C1548" s="18">
        <v>45306</v>
      </c>
      <c r="D1548" t="s">
        <v>100</v>
      </c>
      <c r="E1548" s="32">
        <v>2634500</v>
      </c>
      <c r="F1548" s="32">
        <v>0</v>
      </c>
      <c r="G1548" s="32">
        <v>65916755</v>
      </c>
      <c r="H1548" t="s">
        <v>374</v>
      </c>
    </row>
    <row r="1549" spans="1:8" hidden="1" x14ac:dyDescent="0.3">
      <c r="A1549" s="28">
        <v>15781</v>
      </c>
      <c r="B1549" s="35">
        <v>45306.355555555558</v>
      </c>
      <c r="C1549" s="18">
        <v>45306</v>
      </c>
      <c r="D1549" t="s">
        <v>100</v>
      </c>
      <c r="E1549" s="32">
        <v>119500</v>
      </c>
      <c r="F1549" s="32">
        <v>0</v>
      </c>
      <c r="G1549" s="32">
        <v>63282255</v>
      </c>
      <c r="H1549" t="s">
        <v>371</v>
      </c>
    </row>
    <row r="1550" spans="1:8" hidden="1" x14ac:dyDescent="0.3">
      <c r="A1550" s="28">
        <v>15780</v>
      </c>
      <c r="B1550" s="35">
        <v>45306.354861111111</v>
      </c>
      <c r="C1550" s="18">
        <v>45306</v>
      </c>
      <c r="D1550" t="s">
        <v>100</v>
      </c>
      <c r="E1550" s="32">
        <v>541200</v>
      </c>
      <c r="F1550" s="32">
        <v>0</v>
      </c>
      <c r="G1550" s="32">
        <v>63162755</v>
      </c>
      <c r="H1550" t="s">
        <v>371</v>
      </c>
    </row>
    <row r="1551" spans="1:8" hidden="1" x14ac:dyDescent="0.3">
      <c r="A1551" s="28">
        <v>15779</v>
      </c>
      <c r="B1551" s="35">
        <v>45306.354861111111</v>
      </c>
      <c r="C1551" s="18">
        <v>45306</v>
      </c>
      <c r="D1551" t="s">
        <v>100</v>
      </c>
      <c r="E1551" s="32">
        <v>205700</v>
      </c>
      <c r="F1551" s="32">
        <v>0</v>
      </c>
      <c r="G1551" s="32">
        <v>62621555</v>
      </c>
      <c r="H1551" t="s">
        <v>371</v>
      </c>
    </row>
    <row r="1552" spans="1:8" hidden="1" x14ac:dyDescent="0.3">
      <c r="A1552" s="28">
        <v>15778</v>
      </c>
      <c r="B1552" s="35">
        <v>45306.354861111111</v>
      </c>
      <c r="C1552" s="18">
        <v>45306</v>
      </c>
      <c r="D1552" t="s">
        <v>100</v>
      </c>
      <c r="E1552" s="32">
        <v>925100</v>
      </c>
      <c r="F1552" s="32">
        <v>0</v>
      </c>
      <c r="G1552" s="32">
        <v>62415855</v>
      </c>
      <c r="H1552" t="s">
        <v>371</v>
      </c>
    </row>
    <row r="1553" spans="1:8" hidden="1" x14ac:dyDescent="0.3">
      <c r="A1553" s="28">
        <v>15777</v>
      </c>
      <c r="B1553" s="35">
        <v>45303.54791666667</v>
      </c>
      <c r="C1553" s="18">
        <v>45303</v>
      </c>
      <c r="D1553" t="s">
        <v>100</v>
      </c>
      <c r="E1553" s="32">
        <v>316800</v>
      </c>
      <c r="F1553" s="32">
        <v>0</v>
      </c>
      <c r="G1553" s="32">
        <v>61490755</v>
      </c>
      <c r="H1553" t="s">
        <v>375</v>
      </c>
    </row>
    <row r="1554" spans="1:8" hidden="1" x14ac:dyDescent="0.3">
      <c r="A1554" s="28">
        <v>15774</v>
      </c>
      <c r="B1554" s="35">
        <v>45302.811111111114</v>
      </c>
      <c r="C1554" s="18">
        <v>45302</v>
      </c>
      <c r="D1554" t="s">
        <v>101</v>
      </c>
      <c r="E1554" s="32">
        <v>0</v>
      </c>
      <c r="F1554" s="32">
        <v>57500</v>
      </c>
      <c r="G1554" s="32">
        <v>61173955</v>
      </c>
      <c r="H1554" t="s">
        <v>222</v>
      </c>
    </row>
    <row r="1555" spans="1:8" hidden="1" x14ac:dyDescent="0.3">
      <c r="A1555" s="28">
        <v>15773</v>
      </c>
      <c r="B1555" s="35">
        <v>45302.593055555553</v>
      </c>
      <c r="C1555" s="18">
        <v>45302</v>
      </c>
      <c r="D1555" t="s">
        <v>100</v>
      </c>
      <c r="E1555" s="32">
        <v>1178100</v>
      </c>
      <c r="F1555" s="32">
        <v>0</v>
      </c>
      <c r="G1555" s="32">
        <v>61231455</v>
      </c>
      <c r="H1555" t="s">
        <v>376</v>
      </c>
    </row>
    <row r="1556" spans="1:8" hidden="1" x14ac:dyDescent="0.3">
      <c r="A1556" s="28">
        <v>15772</v>
      </c>
      <c r="B1556" s="35">
        <v>45302.546527777777</v>
      </c>
      <c r="C1556" s="18">
        <v>45302</v>
      </c>
      <c r="D1556" t="s">
        <v>100</v>
      </c>
      <c r="E1556" s="32">
        <v>930600</v>
      </c>
      <c r="F1556" s="32">
        <v>0</v>
      </c>
      <c r="G1556" s="32">
        <v>60053355</v>
      </c>
      <c r="H1556" t="s">
        <v>354</v>
      </c>
    </row>
    <row r="1557" spans="1:8" hidden="1" x14ac:dyDescent="0.3">
      <c r="A1557" s="28">
        <v>15771</v>
      </c>
      <c r="B1557" s="35">
        <v>45302.517361111109</v>
      </c>
      <c r="C1557" s="18">
        <v>45302</v>
      </c>
      <c r="D1557" t="s">
        <v>100</v>
      </c>
      <c r="E1557" s="32">
        <v>4254800</v>
      </c>
      <c r="F1557" s="32">
        <v>0</v>
      </c>
      <c r="G1557" s="32">
        <v>59122755</v>
      </c>
      <c r="H1557" t="s">
        <v>374</v>
      </c>
    </row>
    <row r="1558" spans="1:8" hidden="1" x14ac:dyDescent="0.3">
      <c r="A1558" s="28">
        <v>15770</v>
      </c>
      <c r="B1558" s="35">
        <v>45302.481249999997</v>
      </c>
      <c r="C1558" s="18">
        <v>45302</v>
      </c>
      <c r="D1558" t="s">
        <v>101</v>
      </c>
      <c r="E1558" s="32">
        <v>0</v>
      </c>
      <c r="F1558" s="32">
        <v>608828</v>
      </c>
      <c r="G1558" s="32">
        <v>54867955</v>
      </c>
      <c r="H1558" t="s">
        <v>221</v>
      </c>
    </row>
    <row r="1559" spans="1:8" hidden="1" x14ac:dyDescent="0.3">
      <c r="A1559" s="28">
        <v>15769</v>
      </c>
      <c r="B1559" s="35">
        <v>45302.42083333333</v>
      </c>
      <c r="C1559" s="18">
        <v>45302</v>
      </c>
      <c r="D1559" t="s">
        <v>101</v>
      </c>
      <c r="E1559" s="32">
        <v>0</v>
      </c>
      <c r="F1559" s="32">
        <v>507441</v>
      </c>
      <c r="G1559" s="32">
        <v>55476783</v>
      </c>
      <c r="H1559" t="s">
        <v>226</v>
      </c>
    </row>
    <row r="1560" spans="1:8" hidden="1" x14ac:dyDescent="0.3">
      <c r="A1560" s="28">
        <v>15768</v>
      </c>
      <c r="B1560" s="35">
        <v>45302.388888888891</v>
      </c>
      <c r="C1560" s="18">
        <v>45302</v>
      </c>
      <c r="D1560" t="s">
        <v>101</v>
      </c>
      <c r="E1560" s="32">
        <v>0</v>
      </c>
      <c r="F1560" s="32">
        <v>8000</v>
      </c>
      <c r="G1560" s="32">
        <v>55984224</v>
      </c>
      <c r="H1560" t="s">
        <v>241</v>
      </c>
    </row>
    <row r="1561" spans="1:8" hidden="1" x14ac:dyDescent="0.3">
      <c r="A1561" s="28">
        <v>15767</v>
      </c>
      <c r="B1561" s="35">
        <v>45302.375694444447</v>
      </c>
      <c r="C1561" s="18">
        <v>45302</v>
      </c>
      <c r="D1561" t="s">
        <v>101</v>
      </c>
      <c r="E1561" s="32">
        <v>0</v>
      </c>
      <c r="F1561" s="32">
        <v>17157400</v>
      </c>
      <c r="G1561" s="32">
        <v>55992224</v>
      </c>
      <c r="H1561" t="s">
        <v>377</v>
      </c>
    </row>
    <row r="1562" spans="1:8" hidden="1" x14ac:dyDescent="0.3">
      <c r="A1562" s="28">
        <v>15766</v>
      </c>
      <c r="B1562" s="35">
        <v>45301.806250000001</v>
      </c>
      <c r="C1562" s="18">
        <v>45301</v>
      </c>
      <c r="D1562" t="s">
        <v>101</v>
      </c>
      <c r="E1562" s="32">
        <v>0</v>
      </c>
      <c r="F1562" s="32">
        <v>8845</v>
      </c>
      <c r="G1562" s="32">
        <v>73149624</v>
      </c>
      <c r="H1562" t="s">
        <v>302</v>
      </c>
    </row>
    <row r="1563" spans="1:8" hidden="1" x14ac:dyDescent="0.3">
      <c r="A1563" s="28">
        <v>15759</v>
      </c>
      <c r="B1563" s="35">
        <v>45301.671527777777</v>
      </c>
      <c r="C1563" s="18">
        <v>45301</v>
      </c>
      <c r="D1563" t="s">
        <v>100</v>
      </c>
      <c r="E1563" s="32">
        <v>1390400</v>
      </c>
      <c r="F1563" s="32">
        <v>0</v>
      </c>
      <c r="G1563" s="32">
        <v>73158469</v>
      </c>
      <c r="H1563" t="s">
        <v>297</v>
      </c>
    </row>
    <row r="1564" spans="1:8" hidden="1" x14ac:dyDescent="0.3">
      <c r="A1564" s="28">
        <v>15758</v>
      </c>
      <c r="B1564" s="35">
        <v>45301.652777777781</v>
      </c>
      <c r="C1564" s="18">
        <v>45301</v>
      </c>
      <c r="D1564" t="s">
        <v>100</v>
      </c>
      <c r="E1564" s="32">
        <v>284900</v>
      </c>
      <c r="F1564" s="32">
        <v>0</v>
      </c>
      <c r="G1564" s="32">
        <v>71768069</v>
      </c>
      <c r="H1564" t="s">
        <v>316</v>
      </c>
    </row>
    <row r="1565" spans="1:8" hidden="1" x14ac:dyDescent="0.3">
      <c r="A1565" s="28">
        <v>15757</v>
      </c>
      <c r="B1565" s="35">
        <v>45301.62222222222</v>
      </c>
      <c r="C1565" s="18">
        <v>45301</v>
      </c>
      <c r="D1565" t="s">
        <v>100</v>
      </c>
      <c r="E1565" s="32">
        <v>270600</v>
      </c>
      <c r="F1565" s="32">
        <v>0</v>
      </c>
      <c r="G1565" s="32">
        <v>71483169</v>
      </c>
      <c r="H1565" t="s">
        <v>378</v>
      </c>
    </row>
    <row r="1566" spans="1:8" hidden="1" x14ac:dyDescent="0.3">
      <c r="A1566" s="28">
        <v>15755</v>
      </c>
      <c r="B1566" s="35">
        <v>45301.448611111111</v>
      </c>
      <c r="C1566" s="18">
        <v>45301</v>
      </c>
      <c r="D1566" t="s">
        <v>100</v>
      </c>
      <c r="E1566" s="32">
        <v>62800000</v>
      </c>
      <c r="F1566" s="32">
        <v>0</v>
      </c>
      <c r="G1566" s="32">
        <v>71212569</v>
      </c>
      <c r="H1566" t="s">
        <v>379</v>
      </c>
    </row>
    <row r="1567" spans="1:8" hidden="1" x14ac:dyDescent="0.3">
      <c r="A1567" s="28">
        <v>15752</v>
      </c>
      <c r="B1567" s="35">
        <v>45301.445138888892</v>
      </c>
      <c r="C1567" s="18">
        <v>45301</v>
      </c>
      <c r="D1567" t="s">
        <v>101</v>
      </c>
      <c r="E1567" s="32">
        <v>0</v>
      </c>
      <c r="F1567" s="32">
        <v>4180000</v>
      </c>
      <c r="G1567" s="32">
        <v>8412569</v>
      </c>
      <c r="H1567" t="s">
        <v>380</v>
      </c>
    </row>
    <row r="1568" spans="1:8" hidden="1" x14ac:dyDescent="0.3">
      <c r="A1568" s="28">
        <v>15750</v>
      </c>
      <c r="B1568" s="35">
        <v>45301.419444444444</v>
      </c>
      <c r="C1568" s="18">
        <v>45301</v>
      </c>
      <c r="D1568" t="s">
        <v>101</v>
      </c>
      <c r="E1568" s="32">
        <v>0</v>
      </c>
      <c r="F1568" s="32">
        <v>51810400</v>
      </c>
      <c r="G1568" s="32">
        <v>12592569</v>
      </c>
      <c r="H1568" t="s">
        <v>381</v>
      </c>
    </row>
    <row r="1569" spans="1:8" hidden="1" x14ac:dyDescent="0.3">
      <c r="A1569" s="28">
        <v>15749</v>
      </c>
      <c r="B1569" s="35">
        <v>45301.405555555553</v>
      </c>
      <c r="C1569" s="18">
        <v>45301</v>
      </c>
      <c r="D1569" t="s">
        <v>100</v>
      </c>
      <c r="E1569" s="32">
        <v>129800</v>
      </c>
      <c r="F1569" s="32">
        <v>0</v>
      </c>
      <c r="G1569" s="32">
        <v>64402969</v>
      </c>
      <c r="H1569" t="s">
        <v>382</v>
      </c>
    </row>
    <row r="1570" spans="1:8" hidden="1" x14ac:dyDescent="0.3">
      <c r="A1570" s="28">
        <v>15748</v>
      </c>
      <c r="B1570" s="35">
        <v>45301.40347222222</v>
      </c>
      <c r="C1570" s="18">
        <v>45301</v>
      </c>
      <c r="D1570" t="s">
        <v>100</v>
      </c>
      <c r="E1570" s="32">
        <v>167000</v>
      </c>
      <c r="F1570" s="32">
        <v>0</v>
      </c>
      <c r="G1570" s="32">
        <v>64273169</v>
      </c>
      <c r="H1570" t="s">
        <v>383</v>
      </c>
    </row>
    <row r="1571" spans="1:8" hidden="1" x14ac:dyDescent="0.3">
      <c r="A1571" s="28">
        <v>15747</v>
      </c>
      <c r="B1571" s="35">
        <v>45301.402777777781</v>
      </c>
      <c r="C1571" s="18">
        <v>45301</v>
      </c>
      <c r="D1571" t="s">
        <v>100</v>
      </c>
      <c r="E1571" s="32">
        <v>16700</v>
      </c>
      <c r="F1571" s="32">
        <v>0</v>
      </c>
      <c r="G1571" s="32">
        <v>64106169</v>
      </c>
      <c r="H1571" t="s">
        <v>384</v>
      </c>
    </row>
    <row r="1572" spans="1:8" hidden="1" x14ac:dyDescent="0.3">
      <c r="A1572" s="28">
        <v>15746</v>
      </c>
      <c r="B1572" s="35">
        <v>45301.359027777777</v>
      </c>
      <c r="C1572" s="18">
        <v>45301</v>
      </c>
      <c r="D1572" t="s">
        <v>101</v>
      </c>
      <c r="E1572" s="32">
        <v>0</v>
      </c>
      <c r="F1572" s="32">
        <v>40500</v>
      </c>
      <c r="G1572" s="32">
        <v>64089469</v>
      </c>
      <c r="H1572" t="s">
        <v>385</v>
      </c>
    </row>
    <row r="1573" spans="1:8" hidden="1" x14ac:dyDescent="0.3">
      <c r="A1573" s="28">
        <v>15745</v>
      </c>
      <c r="B1573" s="35">
        <v>45301.35833333333</v>
      </c>
      <c r="C1573" s="18">
        <v>45301</v>
      </c>
      <c r="D1573" t="s">
        <v>101</v>
      </c>
      <c r="E1573" s="32">
        <v>0</v>
      </c>
      <c r="F1573" s="32">
        <v>348940</v>
      </c>
      <c r="G1573" s="32">
        <v>64129969</v>
      </c>
      <c r="H1573" t="s">
        <v>319</v>
      </c>
    </row>
    <row r="1574" spans="1:8" hidden="1" x14ac:dyDescent="0.3">
      <c r="A1574" s="28">
        <v>15744</v>
      </c>
      <c r="B1574" s="35">
        <v>45301.356944444444</v>
      </c>
      <c r="C1574" s="18">
        <v>45301</v>
      </c>
      <c r="D1574" t="s">
        <v>101</v>
      </c>
      <c r="E1574" s="32">
        <v>0</v>
      </c>
      <c r="F1574" s="32">
        <v>3480750</v>
      </c>
      <c r="G1574" s="32">
        <v>64478909</v>
      </c>
      <c r="H1574" t="s">
        <v>320</v>
      </c>
    </row>
    <row r="1575" spans="1:8" hidden="1" x14ac:dyDescent="0.3">
      <c r="A1575" s="28">
        <v>15743</v>
      </c>
      <c r="B1575" s="35">
        <v>45301.356249999997</v>
      </c>
      <c r="C1575" s="18">
        <v>45301</v>
      </c>
      <c r="D1575" t="s">
        <v>101</v>
      </c>
      <c r="E1575" s="32">
        <v>0</v>
      </c>
      <c r="F1575" s="32">
        <v>9300</v>
      </c>
      <c r="G1575" s="32">
        <v>67959659</v>
      </c>
      <c r="H1575" t="s">
        <v>321</v>
      </c>
    </row>
    <row r="1576" spans="1:8" hidden="1" x14ac:dyDescent="0.3">
      <c r="A1576" s="28">
        <v>15742</v>
      </c>
      <c r="B1576" s="35">
        <v>45300.758333333331</v>
      </c>
      <c r="C1576" s="18">
        <v>45300</v>
      </c>
      <c r="D1576" t="s">
        <v>100</v>
      </c>
      <c r="E1576" s="32">
        <v>1301300</v>
      </c>
      <c r="F1576" s="32">
        <v>0</v>
      </c>
      <c r="G1576" s="32">
        <v>67968959</v>
      </c>
      <c r="H1576" t="s">
        <v>386</v>
      </c>
    </row>
    <row r="1577" spans="1:8" hidden="1" x14ac:dyDescent="0.3">
      <c r="A1577" s="28">
        <v>15741</v>
      </c>
      <c r="B1577" s="35">
        <v>45300.706250000003</v>
      </c>
      <c r="C1577" s="18">
        <v>45300</v>
      </c>
      <c r="D1577" t="s">
        <v>100</v>
      </c>
      <c r="E1577" s="32">
        <v>894300</v>
      </c>
      <c r="F1577" s="32">
        <v>0</v>
      </c>
      <c r="G1577" s="32">
        <v>66667659</v>
      </c>
      <c r="H1577" t="s">
        <v>387</v>
      </c>
    </row>
    <row r="1578" spans="1:8" hidden="1" x14ac:dyDescent="0.3">
      <c r="A1578" s="28">
        <v>15740</v>
      </c>
      <c r="B1578" s="35">
        <v>45300.696527777778</v>
      </c>
      <c r="C1578" s="18">
        <v>45300</v>
      </c>
      <c r="D1578" t="s">
        <v>101</v>
      </c>
      <c r="E1578" s="32">
        <v>0</v>
      </c>
      <c r="F1578" s="32">
        <v>344960</v>
      </c>
      <c r="G1578" s="32">
        <v>65773359</v>
      </c>
      <c r="H1578" t="s">
        <v>280</v>
      </c>
    </row>
    <row r="1579" spans="1:8" hidden="1" x14ac:dyDescent="0.3">
      <c r="A1579" s="28">
        <v>15739</v>
      </c>
      <c r="B1579" s="35">
        <v>45300.59652777778</v>
      </c>
      <c r="C1579" s="18">
        <v>45300</v>
      </c>
      <c r="D1579" t="s">
        <v>100</v>
      </c>
      <c r="E1579" s="32">
        <v>1280400</v>
      </c>
      <c r="F1579" s="32">
        <v>0</v>
      </c>
      <c r="G1579" s="32">
        <v>66118319</v>
      </c>
      <c r="H1579" t="s">
        <v>388</v>
      </c>
    </row>
    <row r="1580" spans="1:8" hidden="1" x14ac:dyDescent="0.3">
      <c r="A1580" s="28">
        <v>15738</v>
      </c>
      <c r="B1580" s="35">
        <v>45300.572222222225</v>
      </c>
      <c r="C1580" s="18">
        <v>45300</v>
      </c>
      <c r="D1580" t="s">
        <v>100</v>
      </c>
      <c r="E1580" s="32">
        <v>495000</v>
      </c>
      <c r="F1580" s="32">
        <v>0</v>
      </c>
      <c r="G1580" s="32">
        <v>64837919</v>
      </c>
      <c r="H1580" t="s">
        <v>389</v>
      </c>
    </row>
    <row r="1581" spans="1:8" hidden="1" x14ac:dyDescent="0.3">
      <c r="A1581" s="28">
        <v>15737</v>
      </c>
      <c r="B1581" s="35">
        <v>45299.726388888892</v>
      </c>
      <c r="C1581" s="18">
        <v>45299</v>
      </c>
      <c r="D1581" t="s">
        <v>100</v>
      </c>
      <c r="E1581" s="32">
        <v>1965050</v>
      </c>
      <c r="F1581" s="32">
        <v>0</v>
      </c>
      <c r="G1581" s="32">
        <v>64342919</v>
      </c>
      <c r="H1581" t="s">
        <v>322</v>
      </c>
    </row>
    <row r="1582" spans="1:8" hidden="1" x14ac:dyDescent="0.3">
      <c r="A1582" s="28">
        <v>15736</v>
      </c>
      <c r="B1582" s="35">
        <v>45299.556250000001</v>
      </c>
      <c r="C1582" s="18">
        <v>45299</v>
      </c>
      <c r="D1582" t="s">
        <v>100</v>
      </c>
      <c r="E1582" s="32">
        <v>68000</v>
      </c>
      <c r="F1582" s="32">
        <v>0</v>
      </c>
      <c r="G1582" s="32">
        <v>62377869</v>
      </c>
      <c r="H1582" t="s">
        <v>390</v>
      </c>
    </row>
    <row r="1583" spans="1:8" hidden="1" x14ac:dyDescent="0.3">
      <c r="A1583" s="28">
        <v>15735</v>
      </c>
      <c r="B1583" s="35">
        <v>45299.554861111108</v>
      </c>
      <c r="C1583" s="18">
        <v>45299</v>
      </c>
      <c r="D1583" t="s">
        <v>100</v>
      </c>
      <c r="E1583" s="32">
        <v>6800</v>
      </c>
      <c r="F1583" s="32">
        <v>0</v>
      </c>
      <c r="G1583" s="32">
        <v>62309869</v>
      </c>
      <c r="H1583" t="s">
        <v>391</v>
      </c>
    </row>
    <row r="1584" spans="1:8" hidden="1" x14ac:dyDescent="0.3">
      <c r="A1584" s="28">
        <v>15733</v>
      </c>
      <c r="B1584" s="35">
        <v>45299.44027777778</v>
      </c>
      <c r="C1584" s="18">
        <v>45299</v>
      </c>
      <c r="D1584" t="s">
        <v>100</v>
      </c>
      <c r="E1584" s="32">
        <v>1351900</v>
      </c>
      <c r="F1584" s="32">
        <v>0</v>
      </c>
      <c r="G1584" s="32">
        <v>62303069</v>
      </c>
      <c r="H1584" t="s">
        <v>392</v>
      </c>
    </row>
    <row r="1585" spans="1:8" hidden="1" x14ac:dyDescent="0.3">
      <c r="A1585" s="28">
        <v>15732</v>
      </c>
      <c r="B1585" s="35">
        <v>45296.831944444442</v>
      </c>
      <c r="C1585" s="18">
        <v>45296</v>
      </c>
      <c r="D1585" t="s">
        <v>101</v>
      </c>
      <c r="E1585" s="32">
        <v>0</v>
      </c>
      <c r="F1585" s="32">
        <v>626472</v>
      </c>
      <c r="G1585" s="32">
        <v>60951169</v>
      </c>
      <c r="H1585" t="s">
        <v>393</v>
      </c>
    </row>
    <row r="1586" spans="1:8" hidden="1" x14ac:dyDescent="0.3">
      <c r="A1586" s="28">
        <v>15731</v>
      </c>
      <c r="B1586" s="35">
        <v>45296.79791666667</v>
      </c>
      <c r="C1586" s="18">
        <v>45296</v>
      </c>
      <c r="D1586" t="s">
        <v>101</v>
      </c>
      <c r="E1586" s="32">
        <v>0</v>
      </c>
      <c r="F1586" s="32">
        <v>711920</v>
      </c>
      <c r="G1586" s="32">
        <v>61577641</v>
      </c>
      <c r="H1586" t="s">
        <v>239</v>
      </c>
    </row>
    <row r="1587" spans="1:8" hidden="1" x14ac:dyDescent="0.3">
      <c r="A1587" s="28">
        <v>15729</v>
      </c>
      <c r="B1587" s="35">
        <v>45296.604166666664</v>
      </c>
      <c r="C1587" s="18">
        <v>45296</v>
      </c>
      <c r="D1587" t="s">
        <v>100</v>
      </c>
      <c r="E1587" s="32">
        <v>1837000</v>
      </c>
      <c r="F1587" s="32">
        <v>0</v>
      </c>
      <c r="G1587" s="32">
        <v>62289561</v>
      </c>
      <c r="H1587" t="s">
        <v>394</v>
      </c>
    </row>
    <row r="1588" spans="1:8" hidden="1" x14ac:dyDescent="0.3">
      <c r="A1588" s="28">
        <v>15728</v>
      </c>
      <c r="B1588" s="35">
        <v>45296.588888888888</v>
      </c>
      <c r="C1588" s="18">
        <v>45296</v>
      </c>
      <c r="D1588" t="s">
        <v>100</v>
      </c>
      <c r="E1588" s="32">
        <v>927300</v>
      </c>
      <c r="F1588" s="32">
        <v>0</v>
      </c>
      <c r="G1588" s="32">
        <v>60452561</v>
      </c>
      <c r="H1588" t="s">
        <v>395</v>
      </c>
    </row>
    <row r="1589" spans="1:8" hidden="1" x14ac:dyDescent="0.3">
      <c r="A1589" s="28">
        <v>15727</v>
      </c>
      <c r="B1589" s="35">
        <v>45296.55972222222</v>
      </c>
      <c r="C1589" s="18">
        <v>45296</v>
      </c>
      <c r="D1589" t="s">
        <v>101</v>
      </c>
      <c r="E1589" s="32">
        <v>0</v>
      </c>
      <c r="F1589" s="32">
        <v>362416</v>
      </c>
      <c r="G1589" s="32">
        <v>59525261</v>
      </c>
      <c r="H1589" t="s">
        <v>221</v>
      </c>
    </row>
    <row r="1590" spans="1:8" hidden="1" x14ac:dyDescent="0.3">
      <c r="A1590" s="28">
        <v>15725</v>
      </c>
      <c r="B1590" s="35">
        <v>45296.504166666666</v>
      </c>
      <c r="C1590" s="18">
        <v>45296</v>
      </c>
      <c r="D1590" t="s">
        <v>100</v>
      </c>
      <c r="E1590" s="32">
        <v>2096600</v>
      </c>
      <c r="F1590" s="32">
        <v>0</v>
      </c>
      <c r="G1590" s="32">
        <v>59887677</v>
      </c>
      <c r="H1590" t="s">
        <v>396</v>
      </c>
    </row>
    <row r="1591" spans="1:8" hidden="1" x14ac:dyDescent="0.3">
      <c r="A1591" s="28">
        <v>15724</v>
      </c>
      <c r="B1591" s="35">
        <v>45296.430555555555</v>
      </c>
      <c r="C1591" s="18">
        <v>45296</v>
      </c>
      <c r="D1591" t="s">
        <v>101</v>
      </c>
      <c r="E1591" s="32">
        <v>0</v>
      </c>
      <c r="F1591" s="32">
        <v>936700</v>
      </c>
      <c r="G1591" s="32">
        <v>57791077</v>
      </c>
      <c r="H1591" t="s">
        <v>330</v>
      </c>
    </row>
    <row r="1592" spans="1:8" hidden="1" x14ac:dyDescent="0.3">
      <c r="A1592" s="28">
        <v>15723</v>
      </c>
      <c r="B1592" s="35">
        <v>45295.678472222222</v>
      </c>
      <c r="C1592" s="18">
        <v>45295</v>
      </c>
      <c r="D1592" t="s">
        <v>101</v>
      </c>
      <c r="E1592" s="32">
        <v>0</v>
      </c>
      <c r="F1592" s="32">
        <v>32950</v>
      </c>
      <c r="G1592" s="32">
        <v>58727777</v>
      </c>
      <c r="H1592" t="s">
        <v>397</v>
      </c>
    </row>
    <row r="1593" spans="1:8" hidden="1" x14ac:dyDescent="0.3">
      <c r="A1593" s="28">
        <v>15722</v>
      </c>
      <c r="B1593" s="35">
        <v>45295.593055555553</v>
      </c>
      <c r="C1593" s="18">
        <v>45295</v>
      </c>
      <c r="D1593" t="s">
        <v>101</v>
      </c>
      <c r="E1593" s="32">
        <v>0</v>
      </c>
      <c r="F1593" s="32">
        <v>329500</v>
      </c>
      <c r="G1593" s="32">
        <v>58760727</v>
      </c>
      <c r="H1593" t="s">
        <v>397</v>
      </c>
    </row>
    <row r="1594" spans="1:8" hidden="1" x14ac:dyDescent="0.3">
      <c r="A1594" s="28">
        <v>15721</v>
      </c>
      <c r="B1594" s="35">
        <v>45295.563888888886</v>
      </c>
      <c r="C1594" s="18">
        <v>45295</v>
      </c>
      <c r="D1594" t="s">
        <v>100</v>
      </c>
      <c r="E1594" s="32">
        <v>810700</v>
      </c>
      <c r="F1594" s="32">
        <v>0</v>
      </c>
      <c r="G1594" s="32">
        <v>59090227</v>
      </c>
      <c r="H1594" t="s">
        <v>318</v>
      </c>
    </row>
    <row r="1595" spans="1:8" hidden="1" x14ac:dyDescent="0.3">
      <c r="A1595" s="28">
        <v>15720</v>
      </c>
      <c r="B1595" s="35">
        <v>45295.491666666669</v>
      </c>
      <c r="C1595" s="18">
        <v>45295</v>
      </c>
      <c r="D1595" t="s">
        <v>100</v>
      </c>
      <c r="E1595" s="32">
        <v>172700</v>
      </c>
      <c r="F1595" s="32">
        <v>0</v>
      </c>
      <c r="G1595" s="32">
        <v>58279527</v>
      </c>
      <c r="H1595" t="s">
        <v>329</v>
      </c>
    </row>
    <row r="1596" spans="1:8" hidden="1" x14ac:dyDescent="0.3">
      <c r="A1596" s="28">
        <v>15719</v>
      </c>
      <c r="B1596" s="35">
        <v>45295.491666666669</v>
      </c>
      <c r="C1596" s="18">
        <v>45295</v>
      </c>
      <c r="D1596" t="s">
        <v>100</v>
      </c>
      <c r="E1596" s="32">
        <v>236500</v>
      </c>
      <c r="F1596" s="32">
        <v>0</v>
      </c>
      <c r="G1596" s="32">
        <v>58106827</v>
      </c>
      <c r="H1596" t="s">
        <v>329</v>
      </c>
    </row>
    <row r="1597" spans="1:8" hidden="1" x14ac:dyDescent="0.3">
      <c r="A1597" s="28">
        <v>15715</v>
      </c>
      <c r="B1597" s="35">
        <v>45294.470833333333</v>
      </c>
      <c r="C1597" s="18">
        <v>45294</v>
      </c>
      <c r="D1597" t="s">
        <v>101</v>
      </c>
      <c r="E1597" s="32">
        <v>0</v>
      </c>
      <c r="F1597" s="32">
        <v>330150</v>
      </c>
      <c r="G1597" s="32">
        <v>57870327</v>
      </c>
      <c r="H1597" t="s">
        <v>221</v>
      </c>
    </row>
    <row r="1598" spans="1:8" hidden="1" x14ac:dyDescent="0.3">
      <c r="A1598" s="28">
        <v>15714</v>
      </c>
      <c r="B1598" s="35">
        <v>45293.79791666667</v>
      </c>
      <c r="C1598" s="18">
        <v>45293</v>
      </c>
      <c r="D1598" t="s">
        <v>101</v>
      </c>
      <c r="E1598" s="32">
        <v>0</v>
      </c>
      <c r="F1598" s="32">
        <v>400510</v>
      </c>
      <c r="G1598" s="32">
        <v>58200477</v>
      </c>
      <c r="H1598" t="s">
        <v>239</v>
      </c>
    </row>
    <row r="1599" spans="1:8" hidden="1" x14ac:dyDescent="0.3">
      <c r="A1599" s="28">
        <v>15713</v>
      </c>
      <c r="B1599" s="35">
        <v>45293.663888888892</v>
      </c>
      <c r="C1599" s="18">
        <v>45293</v>
      </c>
      <c r="D1599" t="s">
        <v>100</v>
      </c>
      <c r="E1599" s="32">
        <v>352000</v>
      </c>
      <c r="F1599" s="32">
        <v>0</v>
      </c>
      <c r="G1599" s="32">
        <v>58600987</v>
      </c>
      <c r="H1599" t="s">
        <v>312</v>
      </c>
    </row>
    <row r="1600" spans="1:8" hidden="1" x14ac:dyDescent="0.3">
      <c r="A1600" s="28">
        <v>15712</v>
      </c>
      <c r="B1600" s="35">
        <v>45293.638888888891</v>
      </c>
      <c r="C1600" s="18">
        <v>45293</v>
      </c>
      <c r="D1600" t="s">
        <v>100</v>
      </c>
      <c r="E1600" s="32">
        <v>5597900</v>
      </c>
      <c r="F1600" s="32">
        <v>0</v>
      </c>
      <c r="G1600" s="32">
        <v>58248987</v>
      </c>
      <c r="H1600" t="s">
        <v>398</v>
      </c>
    </row>
    <row r="1601" spans="1:8" hidden="1" x14ac:dyDescent="0.3">
      <c r="A1601" s="28">
        <v>15711</v>
      </c>
      <c r="B1601" s="35">
        <v>45293.601388888892</v>
      </c>
      <c r="C1601" s="18">
        <v>45293</v>
      </c>
      <c r="D1601" t="s">
        <v>101</v>
      </c>
      <c r="E1601" s="32">
        <v>0</v>
      </c>
      <c r="F1601" s="32">
        <v>673200</v>
      </c>
      <c r="G1601" s="32">
        <v>52651087</v>
      </c>
      <c r="H1601" t="s">
        <v>399</v>
      </c>
    </row>
    <row r="1602" spans="1:8" hidden="1" x14ac:dyDescent="0.3">
      <c r="A1602" s="28">
        <v>15710</v>
      </c>
      <c r="B1602" s="35">
        <v>45293.595833333333</v>
      </c>
      <c r="C1602" s="18">
        <v>45293</v>
      </c>
      <c r="D1602" t="s">
        <v>101</v>
      </c>
      <c r="E1602" s="32">
        <v>0</v>
      </c>
      <c r="F1602" s="32">
        <v>1994800</v>
      </c>
      <c r="G1602" s="32">
        <v>53324287</v>
      </c>
      <c r="H1602" t="s">
        <v>400</v>
      </c>
    </row>
    <row r="1603" spans="1:8" hidden="1" x14ac:dyDescent="0.3">
      <c r="A1603" s="28">
        <v>15707</v>
      </c>
      <c r="B1603" s="35">
        <v>45293.572222222225</v>
      </c>
      <c r="C1603" s="18">
        <v>45293</v>
      </c>
      <c r="D1603" t="s">
        <v>101</v>
      </c>
      <c r="E1603" s="32">
        <v>0</v>
      </c>
      <c r="F1603" s="32">
        <v>70000000</v>
      </c>
      <c r="G1603" s="32">
        <v>55319087</v>
      </c>
      <c r="H1603" t="s">
        <v>270</v>
      </c>
    </row>
    <row r="1604" spans="1:8" hidden="1" x14ac:dyDescent="0.3">
      <c r="A1604" s="28">
        <v>15703</v>
      </c>
      <c r="B1604" s="35">
        <v>45292.816666666666</v>
      </c>
      <c r="C1604" s="18">
        <v>45292</v>
      </c>
      <c r="D1604" t="s">
        <v>100</v>
      </c>
      <c r="E1604" s="32">
        <v>143000</v>
      </c>
      <c r="F1604" s="32">
        <v>0</v>
      </c>
      <c r="G1604" s="32">
        <v>125319087</v>
      </c>
      <c r="H1604" t="s">
        <v>260</v>
      </c>
    </row>
    <row r="1605" spans="1:8" hidden="1" x14ac:dyDescent="0.3">
      <c r="A1605" s="28">
        <v>15702</v>
      </c>
      <c r="B1605" s="35">
        <v>45289.902083333334</v>
      </c>
      <c r="C1605" s="18">
        <v>45289</v>
      </c>
      <c r="D1605" t="s">
        <v>100</v>
      </c>
      <c r="E1605" s="32">
        <v>432300</v>
      </c>
      <c r="F1605" s="32">
        <v>0</v>
      </c>
      <c r="G1605" s="32">
        <v>125176087</v>
      </c>
      <c r="H1605" t="s">
        <v>401</v>
      </c>
    </row>
    <row r="1606" spans="1:8" hidden="1" x14ac:dyDescent="0.3">
      <c r="A1606" s="28">
        <v>15696</v>
      </c>
      <c r="B1606" s="35">
        <v>45289.710416666669</v>
      </c>
      <c r="C1606" s="18">
        <v>45289</v>
      </c>
      <c r="D1606" t="s">
        <v>100</v>
      </c>
      <c r="E1606" s="32">
        <v>248150</v>
      </c>
      <c r="F1606" s="32">
        <v>0</v>
      </c>
      <c r="G1606" s="32">
        <v>124743787</v>
      </c>
      <c r="H1606" t="s">
        <v>322</v>
      </c>
    </row>
    <row r="1607" spans="1:8" hidden="1" x14ac:dyDescent="0.3">
      <c r="A1607" s="28">
        <v>15695</v>
      </c>
      <c r="B1607" s="35">
        <v>45289.678472222222</v>
      </c>
      <c r="C1607" s="18">
        <v>45289</v>
      </c>
      <c r="D1607" t="s">
        <v>100</v>
      </c>
      <c r="E1607" s="32">
        <v>260700</v>
      </c>
      <c r="F1607" s="32">
        <v>0</v>
      </c>
      <c r="G1607" s="32">
        <v>124495637</v>
      </c>
      <c r="H1607" t="s">
        <v>245</v>
      </c>
    </row>
    <row r="1608" spans="1:8" hidden="1" x14ac:dyDescent="0.3">
      <c r="A1608" s="28">
        <v>15694</v>
      </c>
      <c r="B1608" s="35">
        <v>45289.624305555553</v>
      </c>
      <c r="C1608" s="18">
        <v>45289</v>
      </c>
      <c r="D1608" t="s">
        <v>100</v>
      </c>
      <c r="E1608" s="32">
        <v>1364000</v>
      </c>
      <c r="F1608" s="32">
        <v>0</v>
      </c>
      <c r="G1608" s="32">
        <v>124234937</v>
      </c>
      <c r="H1608" t="s">
        <v>402</v>
      </c>
    </row>
    <row r="1609" spans="1:8" hidden="1" x14ac:dyDescent="0.3">
      <c r="A1609" s="28">
        <v>15693</v>
      </c>
      <c r="B1609" s="35">
        <v>45289.594444444447</v>
      </c>
      <c r="C1609" s="18">
        <v>45289</v>
      </c>
      <c r="D1609" t="s">
        <v>100</v>
      </c>
      <c r="E1609" s="32">
        <v>1278200</v>
      </c>
      <c r="F1609" s="32">
        <v>0</v>
      </c>
      <c r="G1609" s="32">
        <v>122870937</v>
      </c>
      <c r="H1609" t="s">
        <v>375</v>
      </c>
    </row>
    <row r="1610" spans="1:8" hidden="1" x14ac:dyDescent="0.3">
      <c r="A1610" s="28">
        <v>15692</v>
      </c>
      <c r="B1610" s="35">
        <v>45289.586805555555</v>
      </c>
      <c r="C1610" s="18">
        <v>45289</v>
      </c>
      <c r="D1610" t="s">
        <v>100</v>
      </c>
      <c r="E1610" s="32">
        <v>40600</v>
      </c>
      <c r="F1610" s="32">
        <v>0</v>
      </c>
      <c r="G1610" s="32">
        <v>121592737</v>
      </c>
      <c r="H1610" t="s">
        <v>313</v>
      </c>
    </row>
    <row r="1611" spans="1:8" hidden="1" x14ac:dyDescent="0.3">
      <c r="A1611" s="28">
        <v>15691</v>
      </c>
      <c r="B1611" s="35">
        <v>45289.584027777775</v>
      </c>
      <c r="C1611" s="18">
        <v>45289</v>
      </c>
      <c r="D1611" t="s">
        <v>100</v>
      </c>
      <c r="E1611" s="32">
        <v>3404500</v>
      </c>
      <c r="F1611" s="32">
        <v>0</v>
      </c>
      <c r="G1611" s="32">
        <v>121552137</v>
      </c>
      <c r="H1611" t="s">
        <v>248</v>
      </c>
    </row>
    <row r="1612" spans="1:8" hidden="1" x14ac:dyDescent="0.3">
      <c r="A1612" s="28">
        <v>15690</v>
      </c>
      <c r="B1612" s="35">
        <v>45289.582638888889</v>
      </c>
      <c r="C1612" s="18">
        <v>45289</v>
      </c>
      <c r="D1612" t="s">
        <v>100</v>
      </c>
      <c r="E1612" s="32">
        <v>364100</v>
      </c>
      <c r="F1612" s="32">
        <v>0</v>
      </c>
      <c r="G1612" s="32">
        <v>118147637</v>
      </c>
      <c r="H1612" t="s">
        <v>403</v>
      </c>
    </row>
    <row r="1613" spans="1:8" hidden="1" x14ac:dyDescent="0.3">
      <c r="A1613" s="28">
        <v>15689</v>
      </c>
      <c r="B1613" s="35">
        <v>45289.570833333331</v>
      </c>
      <c r="C1613" s="18">
        <v>45289</v>
      </c>
      <c r="D1613" t="s">
        <v>100</v>
      </c>
      <c r="E1613" s="32">
        <v>419100</v>
      </c>
      <c r="F1613" s="32">
        <v>0</v>
      </c>
      <c r="G1613" s="32">
        <v>117783537</v>
      </c>
      <c r="H1613" t="s">
        <v>404</v>
      </c>
    </row>
    <row r="1614" spans="1:8" hidden="1" x14ac:dyDescent="0.3">
      <c r="A1614" s="28">
        <v>15688</v>
      </c>
      <c r="B1614" s="35">
        <v>45289.5625</v>
      </c>
      <c r="C1614" s="18">
        <v>45289</v>
      </c>
      <c r="D1614" t="s">
        <v>100</v>
      </c>
      <c r="E1614" s="32">
        <v>135300</v>
      </c>
      <c r="F1614" s="32">
        <v>0</v>
      </c>
      <c r="G1614" s="32">
        <v>117364437</v>
      </c>
      <c r="H1614" t="s">
        <v>405</v>
      </c>
    </row>
    <row r="1615" spans="1:8" hidden="1" x14ac:dyDescent="0.3">
      <c r="A1615" s="28">
        <v>15687</v>
      </c>
      <c r="B1615" s="35">
        <v>45289.536805555559</v>
      </c>
      <c r="C1615" s="18">
        <v>45289</v>
      </c>
      <c r="D1615" t="s">
        <v>100</v>
      </c>
      <c r="E1615" s="32">
        <v>388300</v>
      </c>
      <c r="F1615" s="32">
        <v>0</v>
      </c>
      <c r="G1615" s="32">
        <v>117229137</v>
      </c>
      <c r="H1615" t="s">
        <v>264</v>
      </c>
    </row>
    <row r="1616" spans="1:8" hidden="1" x14ac:dyDescent="0.3">
      <c r="A1616" s="28">
        <v>15686</v>
      </c>
      <c r="B1616" s="35">
        <v>45289.527777777781</v>
      </c>
      <c r="C1616" s="18">
        <v>45289</v>
      </c>
      <c r="D1616" t="s">
        <v>100</v>
      </c>
      <c r="E1616" s="32">
        <v>406000</v>
      </c>
      <c r="F1616" s="32">
        <v>0</v>
      </c>
      <c r="G1616" s="32">
        <v>116840837</v>
      </c>
      <c r="H1616" t="s">
        <v>314</v>
      </c>
    </row>
    <row r="1617" spans="1:8" hidden="1" x14ac:dyDescent="0.3">
      <c r="A1617" s="28">
        <v>15685</v>
      </c>
      <c r="B1617" s="35">
        <v>45289.518750000003</v>
      </c>
      <c r="C1617" s="18">
        <v>45289</v>
      </c>
      <c r="D1617" t="s">
        <v>100</v>
      </c>
      <c r="E1617" s="32">
        <v>18700</v>
      </c>
      <c r="F1617" s="32">
        <v>0</v>
      </c>
      <c r="G1617" s="32">
        <v>116434837</v>
      </c>
      <c r="H1617" t="s">
        <v>313</v>
      </c>
    </row>
    <row r="1618" spans="1:8" hidden="1" x14ac:dyDescent="0.3">
      <c r="A1618" s="28">
        <v>15684</v>
      </c>
      <c r="B1618" s="35">
        <v>45289.518055555556</v>
      </c>
      <c r="C1618" s="18">
        <v>45289</v>
      </c>
      <c r="D1618" t="s">
        <v>100</v>
      </c>
      <c r="E1618" s="32">
        <v>187000</v>
      </c>
      <c r="F1618" s="32">
        <v>0</v>
      </c>
      <c r="G1618" s="32">
        <v>116416137</v>
      </c>
      <c r="H1618" t="s">
        <v>314</v>
      </c>
    </row>
    <row r="1619" spans="1:8" hidden="1" x14ac:dyDescent="0.3">
      <c r="A1619" s="28">
        <v>15681</v>
      </c>
      <c r="B1619" s="35">
        <v>45289.472222222219</v>
      </c>
      <c r="C1619" s="18">
        <v>45289</v>
      </c>
      <c r="D1619" t="s">
        <v>100</v>
      </c>
      <c r="E1619" s="32">
        <v>5071000</v>
      </c>
      <c r="F1619" s="32">
        <v>0</v>
      </c>
      <c r="G1619" s="32">
        <v>116229137</v>
      </c>
      <c r="H1619" t="s">
        <v>255</v>
      </c>
    </row>
    <row r="1620" spans="1:8" hidden="1" x14ac:dyDescent="0.3">
      <c r="A1620" s="28">
        <v>15680</v>
      </c>
      <c r="B1620" s="35">
        <v>45289.466666666667</v>
      </c>
      <c r="C1620" s="18">
        <v>45289</v>
      </c>
      <c r="D1620" t="s">
        <v>100</v>
      </c>
      <c r="E1620" s="32">
        <v>1059300</v>
      </c>
      <c r="F1620" s="32">
        <v>0</v>
      </c>
      <c r="G1620" s="32">
        <v>111158137</v>
      </c>
      <c r="H1620" t="s">
        <v>406</v>
      </c>
    </row>
    <row r="1621" spans="1:8" hidden="1" x14ac:dyDescent="0.3">
      <c r="A1621" s="28">
        <v>15679</v>
      </c>
      <c r="B1621" s="35">
        <v>45289.466666666667</v>
      </c>
      <c r="C1621" s="18">
        <v>45289</v>
      </c>
      <c r="D1621" t="s">
        <v>100</v>
      </c>
      <c r="E1621" s="32">
        <v>80300</v>
      </c>
      <c r="F1621" s="32">
        <v>0</v>
      </c>
      <c r="G1621" s="32">
        <v>110098837</v>
      </c>
      <c r="H1621" t="s">
        <v>406</v>
      </c>
    </row>
    <row r="1622" spans="1:8" hidden="1" x14ac:dyDescent="0.3">
      <c r="A1622" s="28">
        <v>15678</v>
      </c>
      <c r="B1622" s="35">
        <v>45289.466666666667</v>
      </c>
      <c r="C1622" s="18">
        <v>45289</v>
      </c>
      <c r="D1622" t="s">
        <v>100</v>
      </c>
      <c r="E1622" s="32">
        <v>739200</v>
      </c>
      <c r="F1622" s="32">
        <v>0</v>
      </c>
      <c r="G1622" s="32">
        <v>110018537</v>
      </c>
      <c r="H1622" t="s">
        <v>406</v>
      </c>
    </row>
    <row r="1623" spans="1:8" hidden="1" x14ac:dyDescent="0.3">
      <c r="A1623" s="28">
        <v>15677</v>
      </c>
      <c r="B1623" s="35">
        <v>45289.466666666667</v>
      </c>
      <c r="C1623" s="18">
        <v>45289</v>
      </c>
      <c r="D1623" t="s">
        <v>100</v>
      </c>
      <c r="E1623" s="32">
        <v>1062600</v>
      </c>
      <c r="F1623" s="32">
        <v>0</v>
      </c>
      <c r="G1623" s="32">
        <v>109279337</v>
      </c>
      <c r="H1623" t="s">
        <v>406</v>
      </c>
    </row>
    <row r="1624" spans="1:8" hidden="1" x14ac:dyDescent="0.3">
      <c r="A1624" s="28">
        <v>15676</v>
      </c>
      <c r="B1624" s="35">
        <v>45289.465277777781</v>
      </c>
      <c r="C1624" s="18">
        <v>45289</v>
      </c>
      <c r="D1624" t="s">
        <v>100</v>
      </c>
      <c r="E1624" s="32">
        <v>706200</v>
      </c>
      <c r="F1624" s="32">
        <v>0</v>
      </c>
      <c r="G1624" s="32">
        <v>108216737</v>
      </c>
      <c r="H1624" t="s">
        <v>228</v>
      </c>
    </row>
    <row r="1625" spans="1:8" hidden="1" x14ac:dyDescent="0.3">
      <c r="A1625" s="28">
        <v>15675</v>
      </c>
      <c r="B1625" s="35">
        <v>45289.459027777775</v>
      </c>
      <c r="C1625" s="18">
        <v>45289</v>
      </c>
      <c r="D1625" t="s">
        <v>100</v>
      </c>
      <c r="E1625" s="32">
        <v>673200</v>
      </c>
      <c r="F1625" s="32">
        <v>0</v>
      </c>
      <c r="G1625" s="32">
        <v>107510537</v>
      </c>
      <c r="H1625" t="s">
        <v>252</v>
      </c>
    </row>
    <row r="1626" spans="1:8" hidden="1" x14ac:dyDescent="0.3">
      <c r="A1626" s="28">
        <v>15674</v>
      </c>
      <c r="B1626" s="35">
        <v>45289.459027777775</v>
      </c>
      <c r="C1626" s="18">
        <v>45289</v>
      </c>
      <c r="D1626" t="s">
        <v>100</v>
      </c>
      <c r="E1626" s="32">
        <v>183700</v>
      </c>
      <c r="F1626" s="32">
        <v>0</v>
      </c>
      <c r="G1626" s="32">
        <v>106837337</v>
      </c>
      <c r="H1626" t="s">
        <v>252</v>
      </c>
    </row>
    <row r="1627" spans="1:8" hidden="1" x14ac:dyDescent="0.3">
      <c r="A1627" s="28">
        <v>15673</v>
      </c>
      <c r="B1627" s="35">
        <v>45289.416666666664</v>
      </c>
      <c r="C1627" s="18">
        <v>45289</v>
      </c>
      <c r="D1627" t="s">
        <v>100</v>
      </c>
      <c r="E1627" s="32">
        <v>317900</v>
      </c>
      <c r="F1627" s="32">
        <v>0</v>
      </c>
      <c r="G1627" s="32">
        <v>106653637</v>
      </c>
      <c r="H1627" t="s">
        <v>250</v>
      </c>
    </row>
    <row r="1628" spans="1:8" hidden="1" x14ac:dyDescent="0.3">
      <c r="A1628" s="28">
        <v>15672</v>
      </c>
      <c r="B1628" s="35">
        <v>45289.345138888886</v>
      </c>
      <c r="C1628" s="18">
        <v>45289</v>
      </c>
      <c r="D1628" t="s">
        <v>101</v>
      </c>
      <c r="E1628" s="32">
        <v>0</v>
      </c>
      <c r="F1628" s="32">
        <v>198000</v>
      </c>
      <c r="G1628" s="32">
        <v>106335737</v>
      </c>
      <c r="H1628" t="s">
        <v>407</v>
      </c>
    </row>
    <row r="1629" spans="1:8" hidden="1" x14ac:dyDescent="0.3">
      <c r="A1629" s="28">
        <v>15671</v>
      </c>
      <c r="B1629" s="35">
        <v>45288.584722222222</v>
      </c>
      <c r="C1629" s="18">
        <v>45288</v>
      </c>
      <c r="D1629" t="s">
        <v>100</v>
      </c>
      <c r="E1629" s="32">
        <v>24338600</v>
      </c>
      <c r="F1629" s="32">
        <v>0</v>
      </c>
      <c r="G1629" s="32">
        <v>106533737</v>
      </c>
      <c r="H1629" t="s">
        <v>408</v>
      </c>
    </row>
    <row r="1630" spans="1:8" hidden="1" x14ac:dyDescent="0.3">
      <c r="A1630" s="28">
        <v>15670</v>
      </c>
      <c r="B1630" s="35">
        <v>45288.572916666664</v>
      </c>
      <c r="C1630" s="18">
        <v>45288</v>
      </c>
      <c r="D1630" t="s">
        <v>100</v>
      </c>
      <c r="E1630" s="32">
        <v>349800</v>
      </c>
      <c r="F1630" s="32">
        <v>0</v>
      </c>
      <c r="G1630" s="32">
        <v>82195137</v>
      </c>
      <c r="H1630" t="s">
        <v>220</v>
      </c>
    </row>
    <row r="1631" spans="1:8" hidden="1" x14ac:dyDescent="0.3">
      <c r="A1631" s="28">
        <v>15669</v>
      </c>
      <c r="B1631" s="35">
        <v>45288.572916666664</v>
      </c>
      <c r="C1631" s="18">
        <v>45288</v>
      </c>
      <c r="D1631" t="s">
        <v>100</v>
      </c>
      <c r="E1631" s="32">
        <v>291500</v>
      </c>
      <c r="F1631" s="32">
        <v>0</v>
      </c>
      <c r="G1631" s="32">
        <v>81845337</v>
      </c>
      <c r="H1631" t="s">
        <v>220</v>
      </c>
    </row>
    <row r="1632" spans="1:8" hidden="1" x14ac:dyDescent="0.3">
      <c r="A1632" s="28">
        <v>15668</v>
      </c>
      <c r="B1632" s="35">
        <v>45288.56527777778</v>
      </c>
      <c r="C1632" s="18">
        <v>45288</v>
      </c>
      <c r="D1632" t="s">
        <v>100</v>
      </c>
      <c r="E1632" s="32">
        <v>438900</v>
      </c>
      <c r="F1632" s="32">
        <v>0</v>
      </c>
      <c r="G1632" s="32">
        <v>81553837</v>
      </c>
      <c r="H1632" t="s">
        <v>223</v>
      </c>
    </row>
    <row r="1633" spans="1:8" hidden="1" x14ac:dyDescent="0.3">
      <c r="A1633" s="28">
        <v>15667</v>
      </c>
      <c r="B1633" s="35">
        <v>45288.52847222222</v>
      </c>
      <c r="C1633" s="18">
        <v>45288</v>
      </c>
      <c r="D1633" t="s">
        <v>100</v>
      </c>
      <c r="E1633" s="32">
        <v>1469600</v>
      </c>
      <c r="F1633" s="32">
        <v>0</v>
      </c>
      <c r="G1633" s="32">
        <v>81114937</v>
      </c>
      <c r="H1633" t="s">
        <v>329</v>
      </c>
    </row>
    <row r="1634" spans="1:8" hidden="1" x14ac:dyDescent="0.3">
      <c r="A1634" s="28">
        <v>15666</v>
      </c>
      <c r="B1634" s="35">
        <v>45288.500694444447</v>
      </c>
      <c r="C1634" s="18">
        <v>45288</v>
      </c>
      <c r="D1634" t="s">
        <v>100</v>
      </c>
      <c r="E1634" s="32">
        <v>3179840</v>
      </c>
      <c r="F1634" s="32">
        <v>0</v>
      </c>
      <c r="G1634" s="32">
        <v>79645337</v>
      </c>
      <c r="H1634" t="s">
        <v>370</v>
      </c>
    </row>
    <row r="1635" spans="1:8" hidden="1" x14ac:dyDescent="0.3">
      <c r="A1635" s="28">
        <v>15664</v>
      </c>
      <c r="B1635" s="35">
        <v>45288.470833333333</v>
      </c>
      <c r="C1635" s="18">
        <v>45288</v>
      </c>
      <c r="D1635" t="s">
        <v>100</v>
      </c>
      <c r="E1635" s="32">
        <v>71500</v>
      </c>
      <c r="F1635" s="32">
        <v>0</v>
      </c>
      <c r="G1635" s="32">
        <v>76465497</v>
      </c>
      <c r="H1635" t="s">
        <v>409</v>
      </c>
    </row>
    <row r="1636" spans="1:8" hidden="1" x14ac:dyDescent="0.3">
      <c r="A1636" s="28">
        <v>15663</v>
      </c>
      <c r="B1636" s="35">
        <v>45288.443055555559</v>
      </c>
      <c r="C1636" s="18">
        <v>45288</v>
      </c>
      <c r="D1636" t="s">
        <v>100</v>
      </c>
      <c r="E1636" s="32">
        <v>475200</v>
      </c>
      <c r="F1636" s="32">
        <v>0</v>
      </c>
      <c r="G1636" s="32">
        <v>76393997</v>
      </c>
      <c r="H1636" t="s">
        <v>254</v>
      </c>
    </row>
    <row r="1637" spans="1:8" hidden="1" x14ac:dyDescent="0.3">
      <c r="A1637" s="28">
        <v>15662</v>
      </c>
      <c r="B1637" s="35">
        <v>45288.443055555559</v>
      </c>
      <c r="C1637" s="18">
        <v>45288</v>
      </c>
      <c r="D1637" t="s">
        <v>100</v>
      </c>
      <c r="E1637" s="32">
        <v>803000</v>
      </c>
      <c r="F1637" s="32">
        <v>0</v>
      </c>
      <c r="G1637" s="32">
        <v>75918797</v>
      </c>
      <c r="H1637" t="s">
        <v>254</v>
      </c>
    </row>
    <row r="1638" spans="1:8" hidden="1" x14ac:dyDescent="0.3">
      <c r="A1638" s="28">
        <v>15660</v>
      </c>
      <c r="B1638" s="35">
        <v>45288.380555555559</v>
      </c>
      <c r="C1638" s="18">
        <v>45288</v>
      </c>
      <c r="D1638" t="s">
        <v>100</v>
      </c>
      <c r="E1638" s="32">
        <v>310200</v>
      </c>
      <c r="F1638" s="32">
        <v>0</v>
      </c>
      <c r="G1638" s="32">
        <v>75115797</v>
      </c>
      <c r="H1638" t="s">
        <v>395</v>
      </c>
    </row>
    <row r="1639" spans="1:8" hidden="1" x14ac:dyDescent="0.3">
      <c r="A1639" s="28">
        <v>15658</v>
      </c>
      <c r="B1639" s="35">
        <v>45287.746527777781</v>
      </c>
      <c r="C1639" s="18">
        <v>45287</v>
      </c>
      <c r="D1639" t="s">
        <v>100</v>
      </c>
      <c r="E1639" s="32">
        <v>1988000</v>
      </c>
      <c r="F1639" s="32">
        <v>0</v>
      </c>
      <c r="G1639" s="32">
        <v>74805597</v>
      </c>
      <c r="H1639" t="s">
        <v>410</v>
      </c>
    </row>
    <row r="1640" spans="1:8" hidden="1" x14ac:dyDescent="0.3">
      <c r="A1640" s="28">
        <v>15657</v>
      </c>
      <c r="B1640" s="35">
        <v>45287.704861111109</v>
      </c>
      <c r="C1640" s="18">
        <v>45287</v>
      </c>
      <c r="D1640" t="s">
        <v>100</v>
      </c>
      <c r="E1640" s="32">
        <v>198800</v>
      </c>
      <c r="F1640" s="32">
        <v>0</v>
      </c>
      <c r="G1640" s="32">
        <v>72817597</v>
      </c>
      <c r="H1640" t="s">
        <v>411</v>
      </c>
    </row>
    <row r="1641" spans="1:8" hidden="1" x14ac:dyDescent="0.3">
      <c r="A1641" s="28">
        <v>15656</v>
      </c>
      <c r="B1641" s="35">
        <v>45287.557638888888</v>
      </c>
      <c r="C1641" s="18">
        <v>45287</v>
      </c>
      <c r="D1641" t="s">
        <v>101</v>
      </c>
      <c r="E1641" s="32">
        <v>0</v>
      </c>
      <c r="F1641" s="32">
        <v>148718</v>
      </c>
      <c r="G1641" s="32">
        <v>72618797</v>
      </c>
      <c r="H1641" t="s">
        <v>221</v>
      </c>
    </row>
    <row r="1642" spans="1:8" hidden="1" x14ac:dyDescent="0.3">
      <c r="A1642" s="28">
        <v>15653</v>
      </c>
      <c r="B1642" s="35">
        <v>45287.42083333333</v>
      </c>
      <c r="C1642" s="18">
        <v>45287</v>
      </c>
      <c r="D1642" t="s">
        <v>100</v>
      </c>
      <c r="E1642" s="32">
        <v>2637800</v>
      </c>
      <c r="F1642" s="32">
        <v>0</v>
      </c>
      <c r="G1642" s="32">
        <v>72767515</v>
      </c>
      <c r="H1642" t="s">
        <v>292</v>
      </c>
    </row>
    <row r="1643" spans="1:8" hidden="1" x14ac:dyDescent="0.3">
      <c r="A1643" s="28">
        <v>15652</v>
      </c>
      <c r="B1643" s="35">
        <v>45287.404166666667</v>
      </c>
      <c r="C1643" s="18">
        <v>45287</v>
      </c>
      <c r="D1643" t="s">
        <v>100</v>
      </c>
      <c r="E1643" s="32">
        <v>400400</v>
      </c>
      <c r="F1643" s="32">
        <v>0</v>
      </c>
      <c r="G1643" s="32">
        <v>70129715</v>
      </c>
      <c r="H1643" t="s">
        <v>412</v>
      </c>
    </row>
    <row r="1644" spans="1:8" hidden="1" x14ac:dyDescent="0.3">
      <c r="A1644" s="28">
        <v>15650</v>
      </c>
      <c r="B1644" s="35">
        <v>45287.386805555558</v>
      </c>
      <c r="C1644" s="18">
        <v>45287</v>
      </c>
      <c r="D1644" t="s">
        <v>100</v>
      </c>
      <c r="E1644" s="32">
        <v>2861100</v>
      </c>
      <c r="F1644" s="32">
        <v>0</v>
      </c>
      <c r="G1644" s="32">
        <v>69729315</v>
      </c>
      <c r="H1644" t="s">
        <v>327</v>
      </c>
    </row>
    <row r="1645" spans="1:8" hidden="1" x14ac:dyDescent="0.3">
      <c r="A1645" s="28">
        <v>15649</v>
      </c>
      <c r="B1645" s="35">
        <v>45286.842361111114</v>
      </c>
      <c r="C1645" s="18">
        <v>45286</v>
      </c>
      <c r="D1645" t="s">
        <v>101</v>
      </c>
      <c r="E1645" s="32">
        <v>0</v>
      </c>
      <c r="F1645" s="32">
        <v>440000</v>
      </c>
      <c r="G1645" s="32">
        <v>66868215</v>
      </c>
      <c r="H1645" t="s">
        <v>413</v>
      </c>
    </row>
    <row r="1646" spans="1:8" hidden="1" x14ac:dyDescent="0.3">
      <c r="A1646" s="28">
        <v>15645</v>
      </c>
      <c r="B1646" s="35">
        <v>45286.750694444447</v>
      </c>
      <c r="C1646" s="18">
        <v>45286</v>
      </c>
      <c r="D1646" t="s">
        <v>101</v>
      </c>
      <c r="E1646" s="32">
        <v>0</v>
      </c>
      <c r="F1646" s="32">
        <v>50000000</v>
      </c>
      <c r="G1646" s="32">
        <v>67308215</v>
      </c>
      <c r="H1646" t="s">
        <v>270</v>
      </c>
    </row>
    <row r="1647" spans="1:8" hidden="1" x14ac:dyDescent="0.3">
      <c r="A1647" s="28">
        <v>15644</v>
      </c>
      <c r="B1647" s="35">
        <v>45286.637499999997</v>
      </c>
      <c r="C1647" s="18">
        <v>45286</v>
      </c>
      <c r="D1647" t="s">
        <v>100</v>
      </c>
      <c r="E1647" s="32">
        <v>3802700</v>
      </c>
      <c r="F1647" s="32">
        <v>0</v>
      </c>
      <c r="G1647" s="32">
        <v>117308215</v>
      </c>
      <c r="H1647" t="s">
        <v>414</v>
      </c>
    </row>
    <row r="1648" spans="1:8" hidden="1" x14ac:dyDescent="0.3">
      <c r="A1648" s="28">
        <v>15642</v>
      </c>
      <c r="B1648" s="35">
        <v>45286.489583333336</v>
      </c>
      <c r="C1648" s="18">
        <v>45286</v>
      </c>
      <c r="D1648" t="s">
        <v>100</v>
      </c>
      <c r="E1648" s="32">
        <v>210100</v>
      </c>
      <c r="F1648" s="32">
        <v>0</v>
      </c>
      <c r="G1648" s="32">
        <v>113505515</v>
      </c>
      <c r="H1648" t="s">
        <v>415</v>
      </c>
    </row>
    <row r="1649" spans="1:8" hidden="1" x14ac:dyDescent="0.3">
      <c r="A1649" s="28">
        <v>15641</v>
      </c>
      <c r="B1649" s="35">
        <v>45286.484027777777</v>
      </c>
      <c r="C1649" s="18">
        <v>45286</v>
      </c>
      <c r="D1649" t="s">
        <v>101</v>
      </c>
      <c r="E1649" s="32">
        <v>0</v>
      </c>
      <c r="F1649" s="32">
        <v>6600000</v>
      </c>
      <c r="G1649" s="32">
        <v>113295415</v>
      </c>
      <c r="H1649" t="s">
        <v>416</v>
      </c>
    </row>
    <row r="1650" spans="1:8" hidden="1" x14ac:dyDescent="0.3">
      <c r="A1650" s="28">
        <v>15640</v>
      </c>
      <c r="B1650" s="35">
        <v>45286.431944444441</v>
      </c>
      <c r="C1650" s="18">
        <v>45286</v>
      </c>
      <c r="D1650" t="s">
        <v>100</v>
      </c>
      <c r="E1650" s="32">
        <v>6162200</v>
      </c>
      <c r="F1650" s="32">
        <v>0</v>
      </c>
      <c r="G1650" s="32">
        <v>119895415</v>
      </c>
      <c r="H1650" t="s">
        <v>417</v>
      </c>
    </row>
    <row r="1651" spans="1:8" hidden="1" x14ac:dyDescent="0.3">
      <c r="A1651" s="28">
        <v>15639</v>
      </c>
      <c r="B1651" s="35">
        <v>45286.396527777775</v>
      </c>
      <c r="C1651" s="18">
        <v>45286</v>
      </c>
      <c r="D1651" t="s">
        <v>101</v>
      </c>
      <c r="E1651" s="32">
        <v>0</v>
      </c>
      <c r="F1651" s="32">
        <v>34870</v>
      </c>
      <c r="G1651" s="32">
        <v>113733215</v>
      </c>
      <c r="H1651" t="s">
        <v>280</v>
      </c>
    </row>
    <row r="1652" spans="1:8" hidden="1" x14ac:dyDescent="0.3">
      <c r="A1652" s="28">
        <v>15636</v>
      </c>
      <c r="B1652" s="35">
        <v>45282.712500000001</v>
      </c>
      <c r="C1652" s="18">
        <v>45282</v>
      </c>
      <c r="D1652" t="s">
        <v>101</v>
      </c>
      <c r="E1652" s="32">
        <v>0</v>
      </c>
      <c r="F1652" s="32">
        <v>406853</v>
      </c>
      <c r="G1652" s="32">
        <v>113768085</v>
      </c>
      <c r="H1652" t="s">
        <v>221</v>
      </c>
    </row>
    <row r="1653" spans="1:8" hidden="1" x14ac:dyDescent="0.3">
      <c r="A1653" s="28">
        <v>15635</v>
      </c>
      <c r="B1653" s="35">
        <v>45282.711111111108</v>
      </c>
      <c r="C1653" s="18">
        <v>45282</v>
      </c>
      <c r="D1653" t="s">
        <v>100</v>
      </c>
      <c r="E1653" s="32">
        <v>738100</v>
      </c>
      <c r="F1653" s="32">
        <v>0</v>
      </c>
      <c r="G1653" s="32">
        <v>114174938</v>
      </c>
      <c r="H1653" t="s">
        <v>247</v>
      </c>
    </row>
    <row r="1654" spans="1:8" hidden="1" x14ac:dyDescent="0.3">
      <c r="A1654" s="28">
        <v>15634</v>
      </c>
      <c r="B1654" s="35">
        <v>45282.665277777778</v>
      </c>
      <c r="C1654" s="18">
        <v>45282</v>
      </c>
      <c r="D1654" t="s">
        <v>100</v>
      </c>
      <c r="E1654" s="32">
        <v>2418900</v>
      </c>
      <c r="F1654" s="32">
        <v>0</v>
      </c>
      <c r="G1654" s="32">
        <v>113436838</v>
      </c>
      <c r="H1654" t="s">
        <v>249</v>
      </c>
    </row>
    <row r="1655" spans="1:8" hidden="1" x14ac:dyDescent="0.3">
      <c r="A1655" s="28">
        <v>15633</v>
      </c>
      <c r="B1655" s="35">
        <v>45282.665277777778</v>
      </c>
      <c r="C1655" s="18">
        <v>45282</v>
      </c>
      <c r="D1655" t="s">
        <v>100</v>
      </c>
      <c r="E1655" s="32">
        <v>97900</v>
      </c>
      <c r="F1655" s="32">
        <v>0</v>
      </c>
      <c r="G1655" s="32">
        <v>111017938</v>
      </c>
      <c r="H1655" t="s">
        <v>249</v>
      </c>
    </row>
    <row r="1656" spans="1:8" hidden="1" x14ac:dyDescent="0.3">
      <c r="A1656" s="28">
        <v>15632</v>
      </c>
      <c r="B1656" s="35">
        <v>45282.640972222223</v>
      </c>
      <c r="C1656" s="18">
        <v>45282</v>
      </c>
      <c r="D1656" t="s">
        <v>100</v>
      </c>
      <c r="E1656" s="32">
        <v>62340</v>
      </c>
      <c r="F1656" s="32">
        <v>0</v>
      </c>
      <c r="G1656" s="32">
        <v>110920038</v>
      </c>
      <c r="H1656" t="s">
        <v>418</v>
      </c>
    </row>
    <row r="1657" spans="1:8" hidden="1" x14ac:dyDescent="0.3">
      <c r="A1657" s="28">
        <v>15631</v>
      </c>
      <c r="B1657" s="35">
        <v>45282.640972222223</v>
      </c>
      <c r="C1657" s="18">
        <v>45282</v>
      </c>
      <c r="D1657" t="s">
        <v>100</v>
      </c>
      <c r="E1657" s="32">
        <v>55460</v>
      </c>
      <c r="F1657" s="32">
        <v>0</v>
      </c>
      <c r="G1657" s="32">
        <v>110857698</v>
      </c>
      <c r="H1657" t="s">
        <v>418</v>
      </c>
    </row>
    <row r="1658" spans="1:8" hidden="1" x14ac:dyDescent="0.3">
      <c r="A1658" s="28">
        <v>15629</v>
      </c>
      <c r="B1658" s="35">
        <v>45282.377083333333</v>
      </c>
      <c r="C1658" s="18">
        <v>45282</v>
      </c>
      <c r="D1658" t="s">
        <v>100</v>
      </c>
      <c r="E1658" s="32">
        <v>446600</v>
      </c>
      <c r="F1658" s="32">
        <v>0</v>
      </c>
      <c r="G1658" s="32">
        <v>110802238</v>
      </c>
      <c r="H1658" t="s">
        <v>371</v>
      </c>
    </row>
    <row r="1659" spans="1:8" hidden="1" x14ac:dyDescent="0.3">
      <c r="A1659" s="28">
        <v>15628</v>
      </c>
      <c r="B1659" s="35">
        <v>45282.347222222219</v>
      </c>
      <c r="C1659" s="18">
        <v>45282</v>
      </c>
      <c r="D1659" t="s">
        <v>101</v>
      </c>
      <c r="E1659" s="32">
        <v>0</v>
      </c>
      <c r="F1659" s="32">
        <v>130000</v>
      </c>
      <c r="G1659" s="32">
        <v>110355638</v>
      </c>
      <c r="H1659" t="s">
        <v>419</v>
      </c>
    </row>
    <row r="1660" spans="1:8" hidden="1" x14ac:dyDescent="0.3">
      <c r="A1660" s="28">
        <v>15627</v>
      </c>
      <c r="B1660" s="35">
        <v>45282.34652777778</v>
      </c>
      <c r="C1660" s="18">
        <v>45282</v>
      </c>
      <c r="D1660" t="s">
        <v>101</v>
      </c>
      <c r="E1660" s="32">
        <v>0</v>
      </c>
      <c r="F1660" s="32">
        <v>2493752</v>
      </c>
      <c r="G1660" s="32">
        <v>110485638</v>
      </c>
      <c r="H1660" t="s">
        <v>420</v>
      </c>
    </row>
    <row r="1661" spans="1:8" hidden="1" x14ac:dyDescent="0.3">
      <c r="A1661" s="28">
        <v>15626</v>
      </c>
      <c r="B1661" s="35">
        <v>45282.345138888886</v>
      </c>
      <c r="C1661" s="18">
        <v>45282</v>
      </c>
      <c r="D1661" t="s">
        <v>101</v>
      </c>
      <c r="E1661" s="32">
        <v>0</v>
      </c>
      <c r="F1661" s="32">
        <v>450000</v>
      </c>
      <c r="G1661" s="32">
        <v>112979390</v>
      </c>
      <c r="H1661" t="s">
        <v>282</v>
      </c>
    </row>
    <row r="1662" spans="1:8" hidden="1" x14ac:dyDescent="0.3">
      <c r="A1662" s="28">
        <v>15623</v>
      </c>
      <c r="B1662" s="35">
        <v>45281.738194444442</v>
      </c>
      <c r="C1662" s="18">
        <v>45281</v>
      </c>
      <c r="D1662" t="s">
        <v>100</v>
      </c>
      <c r="E1662" s="32">
        <v>22871200</v>
      </c>
      <c r="F1662" s="32">
        <v>0</v>
      </c>
      <c r="G1662" s="32">
        <v>113429390</v>
      </c>
      <c r="H1662" t="s">
        <v>408</v>
      </c>
    </row>
    <row r="1663" spans="1:8" hidden="1" x14ac:dyDescent="0.3">
      <c r="A1663" s="28">
        <v>15622</v>
      </c>
      <c r="B1663" s="35">
        <v>45281.636805555558</v>
      </c>
      <c r="C1663" s="18">
        <v>45281</v>
      </c>
      <c r="D1663" t="s">
        <v>100</v>
      </c>
      <c r="E1663" s="32">
        <v>1456400</v>
      </c>
      <c r="F1663" s="32">
        <v>0</v>
      </c>
      <c r="G1663" s="32">
        <v>90558190</v>
      </c>
      <c r="H1663" t="s">
        <v>421</v>
      </c>
    </row>
    <row r="1664" spans="1:8" hidden="1" x14ac:dyDescent="0.3">
      <c r="A1664" s="28">
        <v>15621</v>
      </c>
      <c r="B1664" s="35">
        <v>45281.598611111112</v>
      </c>
      <c r="C1664" s="18">
        <v>45281</v>
      </c>
      <c r="D1664" t="s">
        <v>100</v>
      </c>
      <c r="E1664" s="32">
        <v>1719300</v>
      </c>
      <c r="F1664" s="32">
        <v>0</v>
      </c>
      <c r="G1664" s="32">
        <v>89101790</v>
      </c>
      <c r="H1664" t="s">
        <v>376</v>
      </c>
    </row>
    <row r="1665" spans="1:8" hidden="1" x14ac:dyDescent="0.3">
      <c r="A1665" s="28">
        <v>15616</v>
      </c>
      <c r="B1665" s="35">
        <v>45280.852083333331</v>
      </c>
      <c r="C1665" s="18">
        <v>45280</v>
      </c>
      <c r="D1665" t="s">
        <v>101</v>
      </c>
      <c r="E1665" s="32">
        <v>0</v>
      </c>
      <c r="F1665" s="32">
        <v>598530</v>
      </c>
      <c r="G1665" s="32">
        <v>87382490</v>
      </c>
      <c r="H1665" t="s">
        <v>422</v>
      </c>
    </row>
    <row r="1666" spans="1:8" hidden="1" x14ac:dyDescent="0.3">
      <c r="A1666" s="28">
        <v>15615</v>
      </c>
      <c r="B1666" s="35">
        <v>45280.829861111109</v>
      </c>
      <c r="C1666" s="18">
        <v>45280</v>
      </c>
      <c r="D1666" t="s">
        <v>101</v>
      </c>
      <c r="E1666" s="32">
        <v>0</v>
      </c>
      <c r="F1666" s="32">
        <v>283498</v>
      </c>
      <c r="G1666" s="32">
        <v>87981020</v>
      </c>
      <c r="H1666" t="s">
        <v>423</v>
      </c>
    </row>
    <row r="1667" spans="1:8" hidden="1" x14ac:dyDescent="0.3">
      <c r="A1667" s="28">
        <v>15614</v>
      </c>
      <c r="B1667" s="35">
        <v>45280.819444444445</v>
      </c>
      <c r="C1667" s="18">
        <v>45280</v>
      </c>
      <c r="D1667" t="s">
        <v>101</v>
      </c>
      <c r="E1667" s="32">
        <v>0</v>
      </c>
      <c r="F1667" s="32">
        <v>77429</v>
      </c>
      <c r="G1667" s="32">
        <v>88264518</v>
      </c>
      <c r="H1667" t="s">
        <v>424</v>
      </c>
    </row>
    <row r="1668" spans="1:8" hidden="1" x14ac:dyDescent="0.3">
      <c r="A1668" s="28">
        <v>15613</v>
      </c>
      <c r="B1668" s="35">
        <v>45280.818055555559</v>
      </c>
      <c r="C1668" s="18">
        <v>45280</v>
      </c>
      <c r="D1668" t="s">
        <v>101</v>
      </c>
      <c r="E1668" s="32">
        <v>0</v>
      </c>
      <c r="F1668" s="32">
        <v>1000000</v>
      </c>
      <c r="G1668" s="32">
        <v>88341947</v>
      </c>
      <c r="H1668" t="s">
        <v>425</v>
      </c>
    </row>
    <row r="1669" spans="1:8" hidden="1" x14ac:dyDescent="0.3">
      <c r="A1669" s="28">
        <v>15612</v>
      </c>
      <c r="B1669" s="35">
        <v>45280.672222222223</v>
      </c>
      <c r="C1669" s="18">
        <v>45280</v>
      </c>
      <c r="D1669" t="s">
        <v>100</v>
      </c>
      <c r="E1669" s="32">
        <v>339900</v>
      </c>
      <c r="F1669" s="32">
        <v>0</v>
      </c>
      <c r="G1669" s="32">
        <v>89341947</v>
      </c>
      <c r="H1669" t="s">
        <v>426</v>
      </c>
    </row>
    <row r="1670" spans="1:8" hidden="1" x14ac:dyDescent="0.3">
      <c r="A1670" s="28">
        <v>15611</v>
      </c>
      <c r="B1670" s="35">
        <v>45280.627083333333</v>
      </c>
      <c r="C1670" s="18">
        <v>45280</v>
      </c>
      <c r="D1670" t="s">
        <v>100</v>
      </c>
      <c r="E1670" s="32">
        <v>81400</v>
      </c>
      <c r="F1670" s="32">
        <v>0</v>
      </c>
      <c r="G1670" s="32">
        <v>89002047</v>
      </c>
      <c r="H1670" t="s">
        <v>316</v>
      </c>
    </row>
    <row r="1671" spans="1:8" hidden="1" x14ac:dyDescent="0.3">
      <c r="A1671" s="28">
        <v>15610</v>
      </c>
      <c r="B1671" s="35">
        <v>45280.567361111112</v>
      </c>
      <c r="C1671" s="18">
        <v>45280</v>
      </c>
      <c r="D1671" t="s">
        <v>100</v>
      </c>
      <c r="E1671" s="32">
        <v>278300</v>
      </c>
      <c r="F1671" s="32">
        <v>0</v>
      </c>
      <c r="G1671" s="32">
        <v>88920647</v>
      </c>
      <c r="H1671" t="s">
        <v>427</v>
      </c>
    </row>
    <row r="1672" spans="1:8" hidden="1" x14ac:dyDescent="0.3">
      <c r="A1672" s="28">
        <v>15609</v>
      </c>
      <c r="B1672" s="35">
        <v>45280.494444444441</v>
      </c>
      <c r="C1672" s="18">
        <v>45280</v>
      </c>
      <c r="D1672" t="s">
        <v>100</v>
      </c>
      <c r="E1672" s="32">
        <v>277200</v>
      </c>
      <c r="F1672" s="32">
        <v>0</v>
      </c>
      <c r="G1672" s="32">
        <v>88642347</v>
      </c>
      <c r="H1672" t="s">
        <v>224</v>
      </c>
    </row>
    <row r="1673" spans="1:8" hidden="1" x14ac:dyDescent="0.3">
      <c r="A1673" s="28">
        <v>15607</v>
      </c>
      <c r="B1673" s="35">
        <v>45280.467361111114</v>
      </c>
      <c r="C1673" s="18">
        <v>45280</v>
      </c>
      <c r="D1673" t="s">
        <v>100</v>
      </c>
      <c r="E1673" s="32">
        <v>433400</v>
      </c>
      <c r="F1673" s="32">
        <v>0</v>
      </c>
      <c r="G1673" s="32">
        <v>88365147</v>
      </c>
      <c r="H1673" t="s">
        <v>363</v>
      </c>
    </row>
    <row r="1674" spans="1:8" hidden="1" x14ac:dyDescent="0.3">
      <c r="A1674" s="28">
        <v>15606</v>
      </c>
      <c r="B1674" s="35">
        <v>45280.425694444442</v>
      </c>
      <c r="C1674" s="18">
        <v>45280</v>
      </c>
      <c r="D1674" t="s">
        <v>101</v>
      </c>
      <c r="E1674" s="32">
        <v>0</v>
      </c>
      <c r="F1674" s="32">
        <v>960000</v>
      </c>
      <c r="G1674" s="32">
        <v>87931747</v>
      </c>
      <c r="H1674" t="s">
        <v>291</v>
      </c>
    </row>
    <row r="1675" spans="1:8" hidden="1" x14ac:dyDescent="0.3">
      <c r="A1675" s="28">
        <v>15605</v>
      </c>
      <c r="B1675" s="35">
        <v>45280.382638888892</v>
      </c>
      <c r="C1675" s="18">
        <v>45280</v>
      </c>
      <c r="D1675" t="s">
        <v>100</v>
      </c>
      <c r="E1675" s="32">
        <v>292600</v>
      </c>
      <c r="F1675" s="32">
        <v>0</v>
      </c>
      <c r="G1675" s="32">
        <v>88891747</v>
      </c>
      <c r="H1675" t="s">
        <v>220</v>
      </c>
    </row>
    <row r="1676" spans="1:8" hidden="1" x14ac:dyDescent="0.3">
      <c r="A1676" s="28">
        <v>15604</v>
      </c>
      <c r="B1676" s="35">
        <v>45280.359027777777</v>
      </c>
      <c r="C1676" s="18">
        <v>45280</v>
      </c>
      <c r="D1676" t="s">
        <v>100</v>
      </c>
      <c r="E1676" s="32">
        <v>638000</v>
      </c>
      <c r="F1676" s="32">
        <v>0</v>
      </c>
      <c r="G1676" s="32">
        <v>88599147</v>
      </c>
      <c r="H1676" t="s">
        <v>428</v>
      </c>
    </row>
    <row r="1677" spans="1:8" hidden="1" x14ac:dyDescent="0.3">
      <c r="A1677" s="28">
        <v>15603</v>
      </c>
      <c r="B1677" s="35">
        <v>45279.652083333334</v>
      </c>
      <c r="C1677" s="18">
        <v>45279</v>
      </c>
      <c r="D1677" t="s">
        <v>100</v>
      </c>
      <c r="E1677" s="32">
        <v>345400</v>
      </c>
      <c r="F1677" s="32">
        <v>0</v>
      </c>
      <c r="G1677" s="32">
        <v>87961147</v>
      </c>
      <c r="H1677" t="s">
        <v>429</v>
      </c>
    </row>
    <row r="1678" spans="1:8" hidden="1" x14ac:dyDescent="0.3">
      <c r="A1678" s="28">
        <v>15602</v>
      </c>
      <c r="B1678" s="35">
        <v>45279.581250000003</v>
      </c>
      <c r="C1678" s="18">
        <v>45279</v>
      </c>
      <c r="D1678" t="s">
        <v>100</v>
      </c>
      <c r="E1678" s="32">
        <v>1534500</v>
      </c>
      <c r="F1678" s="32">
        <v>0</v>
      </c>
      <c r="G1678" s="32">
        <v>87615747</v>
      </c>
      <c r="H1678" t="s">
        <v>251</v>
      </c>
    </row>
    <row r="1679" spans="1:8" hidden="1" x14ac:dyDescent="0.3">
      <c r="A1679" s="28">
        <v>15601</v>
      </c>
      <c r="B1679" s="35">
        <v>45279.572222222225</v>
      </c>
      <c r="C1679" s="18">
        <v>45279</v>
      </c>
      <c r="D1679" t="s">
        <v>101</v>
      </c>
      <c r="E1679" s="32">
        <v>0</v>
      </c>
      <c r="F1679" s="32">
        <v>20000</v>
      </c>
      <c r="G1679" s="32">
        <v>86081247</v>
      </c>
      <c r="H1679" t="s">
        <v>295</v>
      </c>
    </row>
    <row r="1680" spans="1:8" hidden="1" x14ac:dyDescent="0.3">
      <c r="A1680" s="28">
        <v>15600</v>
      </c>
      <c r="B1680" s="35">
        <v>45279.570138888892</v>
      </c>
      <c r="C1680" s="18">
        <v>45279</v>
      </c>
      <c r="D1680" t="s">
        <v>101</v>
      </c>
      <c r="E1680" s="32">
        <v>0</v>
      </c>
      <c r="F1680" s="32">
        <v>99000</v>
      </c>
      <c r="G1680" s="32">
        <v>86101247</v>
      </c>
      <c r="H1680" t="s">
        <v>430</v>
      </c>
    </row>
    <row r="1681" spans="1:8" hidden="1" x14ac:dyDescent="0.3">
      <c r="A1681" s="28">
        <v>15599</v>
      </c>
      <c r="B1681" s="35">
        <v>45279.556250000001</v>
      </c>
      <c r="C1681" s="18">
        <v>45279</v>
      </c>
      <c r="D1681" t="s">
        <v>100</v>
      </c>
      <c r="E1681" s="32">
        <v>1434400</v>
      </c>
      <c r="F1681" s="32">
        <v>0</v>
      </c>
      <c r="G1681" s="32">
        <v>86200247</v>
      </c>
      <c r="H1681" t="s">
        <v>431</v>
      </c>
    </row>
    <row r="1682" spans="1:8" hidden="1" x14ac:dyDescent="0.3">
      <c r="A1682" s="28">
        <v>15594</v>
      </c>
      <c r="B1682" s="35">
        <v>45279.425694444442</v>
      </c>
      <c r="C1682" s="18">
        <v>45279</v>
      </c>
      <c r="D1682" t="s">
        <v>101</v>
      </c>
      <c r="E1682" s="32">
        <v>0</v>
      </c>
      <c r="F1682" s="32">
        <v>1222690</v>
      </c>
      <c r="G1682" s="32">
        <v>84765847</v>
      </c>
      <c r="H1682" t="s">
        <v>294</v>
      </c>
    </row>
    <row r="1683" spans="1:8" hidden="1" x14ac:dyDescent="0.3">
      <c r="A1683" s="28">
        <v>15593</v>
      </c>
      <c r="B1683" s="35">
        <v>45278.793749999997</v>
      </c>
      <c r="C1683" s="18">
        <v>45278</v>
      </c>
      <c r="D1683" t="s">
        <v>101</v>
      </c>
      <c r="E1683" s="32">
        <v>0</v>
      </c>
      <c r="F1683" s="32">
        <v>593622</v>
      </c>
      <c r="G1683" s="32">
        <v>85988537</v>
      </c>
      <c r="H1683" t="s">
        <v>432</v>
      </c>
    </row>
    <row r="1684" spans="1:8" hidden="1" x14ac:dyDescent="0.3">
      <c r="A1684" s="28">
        <v>15592</v>
      </c>
      <c r="B1684" s="35">
        <v>45278.793749999997</v>
      </c>
      <c r="C1684" s="18">
        <v>45278</v>
      </c>
      <c r="D1684" t="s">
        <v>101</v>
      </c>
      <c r="E1684" s="32">
        <v>0</v>
      </c>
      <c r="F1684" s="32">
        <v>369820</v>
      </c>
      <c r="G1684" s="32">
        <v>86582159</v>
      </c>
      <c r="H1684" t="s">
        <v>432</v>
      </c>
    </row>
    <row r="1685" spans="1:8" hidden="1" x14ac:dyDescent="0.3">
      <c r="A1685" s="28">
        <v>15591</v>
      </c>
      <c r="B1685" s="35">
        <v>45278.793749999997</v>
      </c>
      <c r="C1685" s="18">
        <v>45278</v>
      </c>
      <c r="D1685" t="s">
        <v>101</v>
      </c>
      <c r="E1685" s="32">
        <v>0</v>
      </c>
      <c r="F1685" s="32">
        <v>1000000</v>
      </c>
      <c r="G1685" s="32">
        <v>86951979</v>
      </c>
      <c r="H1685" t="s">
        <v>432</v>
      </c>
    </row>
    <row r="1686" spans="1:8" hidden="1" x14ac:dyDescent="0.3">
      <c r="A1686" s="28">
        <v>15590</v>
      </c>
      <c r="B1686" s="35">
        <v>45278.793749999997</v>
      </c>
      <c r="C1686" s="18">
        <v>45278</v>
      </c>
      <c r="D1686" t="s">
        <v>101</v>
      </c>
      <c r="E1686" s="32">
        <v>0</v>
      </c>
      <c r="F1686" s="32">
        <v>1018726</v>
      </c>
      <c r="G1686" s="32">
        <v>87951979</v>
      </c>
      <c r="H1686" t="s">
        <v>432</v>
      </c>
    </row>
    <row r="1687" spans="1:8" hidden="1" x14ac:dyDescent="0.3">
      <c r="A1687" s="28">
        <v>15589</v>
      </c>
      <c r="B1687" s="35">
        <v>45278.715277777781</v>
      </c>
      <c r="C1687" s="18">
        <v>45278</v>
      </c>
      <c r="D1687" t="s">
        <v>100</v>
      </c>
      <c r="E1687" s="32">
        <v>1408000</v>
      </c>
      <c r="F1687" s="32">
        <v>0</v>
      </c>
      <c r="G1687" s="32">
        <v>88970705</v>
      </c>
      <c r="H1687" t="s">
        <v>223</v>
      </c>
    </row>
    <row r="1688" spans="1:8" hidden="1" x14ac:dyDescent="0.3">
      <c r="A1688" s="28">
        <v>15588</v>
      </c>
      <c r="B1688" s="35">
        <v>45278.625</v>
      </c>
      <c r="C1688" s="18">
        <v>45278</v>
      </c>
      <c r="D1688" t="s">
        <v>101</v>
      </c>
      <c r="E1688" s="32">
        <v>0</v>
      </c>
      <c r="F1688" s="32">
        <v>234160</v>
      </c>
      <c r="G1688" s="32">
        <v>87562705</v>
      </c>
      <c r="H1688" t="s">
        <v>289</v>
      </c>
    </row>
    <row r="1689" spans="1:8" hidden="1" x14ac:dyDescent="0.3">
      <c r="A1689" s="28">
        <v>15587</v>
      </c>
      <c r="B1689" s="35">
        <v>45278.623611111114</v>
      </c>
      <c r="C1689" s="18">
        <v>45278</v>
      </c>
      <c r="D1689" t="s">
        <v>101</v>
      </c>
      <c r="E1689" s="32">
        <v>0</v>
      </c>
      <c r="F1689" s="32">
        <v>8281290</v>
      </c>
      <c r="G1689" s="32">
        <v>87796865</v>
      </c>
      <c r="H1689" t="s">
        <v>289</v>
      </c>
    </row>
    <row r="1690" spans="1:8" hidden="1" x14ac:dyDescent="0.3">
      <c r="A1690" s="28">
        <v>15586</v>
      </c>
      <c r="B1690" s="35">
        <v>45278.590277777781</v>
      </c>
      <c r="C1690" s="18">
        <v>45278</v>
      </c>
      <c r="D1690" t="s">
        <v>100</v>
      </c>
      <c r="E1690" s="32">
        <v>1042800</v>
      </c>
      <c r="F1690" s="32">
        <v>0</v>
      </c>
      <c r="G1690" s="32">
        <v>96078155</v>
      </c>
      <c r="H1690" t="s">
        <v>365</v>
      </c>
    </row>
    <row r="1691" spans="1:8" hidden="1" x14ac:dyDescent="0.3">
      <c r="A1691" s="28">
        <v>15585</v>
      </c>
      <c r="B1691" s="35">
        <v>45278.573611111111</v>
      </c>
      <c r="C1691" s="18">
        <v>45278</v>
      </c>
      <c r="D1691" t="s">
        <v>100</v>
      </c>
      <c r="E1691" s="32">
        <v>255200</v>
      </c>
      <c r="F1691" s="32">
        <v>0</v>
      </c>
      <c r="G1691" s="32">
        <v>95035355</v>
      </c>
      <c r="H1691" t="s">
        <v>220</v>
      </c>
    </row>
    <row r="1692" spans="1:8" hidden="1" x14ac:dyDescent="0.3">
      <c r="A1692" s="28">
        <v>15582</v>
      </c>
      <c r="B1692" s="35">
        <v>45278.385416666664</v>
      </c>
      <c r="C1692" s="18">
        <v>45278</v>
      </c>
      <c r="D1692" t="s">
        <v>101</v>
      </c>
      <c r="E1692" s="32">
        <v>0</v>
      </c>
      <c r="F1692" s="32">
        <v>35580170</v>
      </c>
      <c r="G1692" s="32">
        <v>94780155</v>
      </c>
      <c r="H1692" t="s">
        <v>258</v>
      </c>
    </row>
    <row r="1693" spans="1:8" hidden="1" x14ac:dyDescent="0.3">
      <c r="A1693" s="28">
        <v>15581</v>
      </c>
      <c r="B1693" s="35">
        <v>45278.384722222225</v>
      </c>
      <c r="C1693" s="18">
        <v>45278</v>
      </c>
      <c r="D1693" t="s">
        <v>101</v>
      </c>
      <c r="E1693" s="32">
        <v>0</v>
      </c>
      <c r="F1693" s="32">
        <v>9386940</v>
      </c>
      <c r="G1693" s="32">
        <v>130360325</v>
      </c>
      <c r="H1693" t="s">
        <v>258</v>
      </c>
    </row>
    <row r="1694" spans="1:8" hidden="1" x14ac:dyDescent="0.3">
      <c r="A1694" s="28">
        <v>15577</v>
      </c>
      <c r="B1694" s="35">
        <v>45275.834722222222</v>
      </c>
      <c r="C1694" s="18">
        <v>45275</v>
      </c>
      <c r="D1694" t="s">
        <v>101</v>
      </c>
      <c r="E1694" s="32">
        <v>0</v>
      </c>
      <c r="F1694" s="32">
        <v>407150</v>
      </c>
      <c r="G1694" s="32">
        <v>139747265</v>
      </c>
      <c r="H1694" t="s">
        <v>433</v>
      </c>
    </row>
    <row r="1695" spans="1:8" hidden="1" x14ac:dyDescent="0.3">
      <c r="A1695" s="28">
        <v>15576</v>
      </c>
      <c r="B1695" s="35">
        <v>45275.808333333334</v>
      </c>
      <c r="C1695" s="18">
        <v>45275</v>
      </c>
      <c r="D1695" t="s">
        <v>101</v>
      </c>
      <c r="E1695" s="32">
        <v>0</v>
      </c>
      <c r="F1695" s="32">
        <v>99000</v>
      </c>
      <c r="G1695" s="32">
        <v>140154415</v>
      </c>
      <c r="H1695" t="s">
        <v>301</v>
      </c>
    </row>
    <row r="1696" spans="1:8" hidden="1" x14ac:dyDescent="0.3">
      <c r="A1696" s="28">
        <v>15575</v>
      </c>
      <c r="B1696" s="35">
        <v>45275.805555555555</v>
      </c>
      <c r="C1696" s="18">
        <v>45275</v>
      </c>
      <c r="D1696" t="s">
        <v>101</v>
      </c>
      <c r="E1696" s="32">
        <v>0</v>
      </c>
      <c r="F1696" s="32">
        <v>435701</v>
      </c>
      <c r="G1696" s="32">
        <v>140253415</v>
      </c>
      <c r="H1696" t="s">
        <v>434</v>
      </c>
    </row>
    <row r="1697" spans="1:8" hidden="1" x14ac:dyDescent="0.3">
      <c r="A1697" s="28">
        <v>15574</v>
      </c>
      <c r="B1697" s="35">
        <v>45275.800694444442</v>
      </c>
      <c r="C1697" s="18">
        <v>45275</v>
      </c>
      <c r="D1697" t="s">
        <v>101</v>
      </c>
      <c r="E1697" s="32">
        <v>0</v>
      </c>
      <c r="F1697" s="32">
        <v>684420</v>
      </c>
      <c r="G1697" s="32">
        <v>140689116</v>
      </c>
      <c r="H1697" t="s">
        <v>435</v>
      </c>
    </row>
    <row r="1698" spans="1:8" hidden="1" x14ac:dyDescent="0.3">
      <c r="A1698" s="28">
        <v>15572</v>
      </c>
      <c r="B1698" s="35">
        <v>45275.759722222225</v>
      </c>
      <c r="C1698" s="18">
        <v>45275</v>
      </c>
      <c r="D1698" t="s">
        <v>101</v>
      </c>
      <c r="E1698" s="32">
        <v>0</v>
      </c>
      <c r="F1698" s="32">
        <v>14606690</v>
      </c>
      <c r="G1698" s="32">
        <v>141373536</v>
      </c>
      <c r="H1698" t="s">
        <v>303</v>
      </c>
    </row>
    <row r="1699" spans="1:8" hidden="1" x14ac:dyDescent="0.3">
      <c r="A1699" s="28">
        <v>15566</v>
      </c>
      <c r="B1699" s="35">
        <v>45275.734722222223</v>
      </c>
      <c r="C1699" s="18">
        <v>45275</v>
      </c>
      <c r="D1699" t="s">
        <v>100</v>
      </c>
      <c r="E1699" s="32">
        <v>3085500</v>
      </c>
      <c r="F1699" s="32">
        <v>0</v>
      </c>
      <c r="G1699" s="32">
        <v>155980226</v>
      </c>
      <c r="H1699" t="s">
        <v>436</v>
      </c>
    </row>
    <row r="1700" spans="1:8" hidden="1" x14ac:dyDescent="0.3">
      <c r="A1700" s="28">
        <v>15565</v>
      </c>
      <c r="B1700" s="35">
        <v>45275.573611111111</v>
      </c>
      <c r="C1700" s="18">
        <v>45275</v>
      </c>
      <c r="D1700" t="s">
        <v>101</v>
      </c>
      <c r="E1700" s="32">
        <v>0</v>
      </c>
      <c r="F1700" s="32">
        <v>115160</v>
      </c>
      <c r="G1700" s="32">
        <v>152894726</v>
      </c>
      <c r="H1700" t="s">
        <v>437</v>
      </c>
    </row>
    <row r="1701" spans="1:8" hidden="1" x14ac:dyDescent="0.3">
      <c r="A1701" s="28">
        <v>15564</v>
      </c>
      <c r="B1701" s="35">
        <v>45275.495138888888</v>
      </c>
      <c r="C1701" s="18">
        <v>45275</v>
      </c>
      <c r="D1701" t="s">
        <v>100</v>
      </c>
      <c r="E1701" s="32">
        <v>625900</v>
      </c>
      <c r="F1701" s="32">
        <v>0</v>
      </c>
      <c r="G1701" s="32">
        <v>153009886</v>
      </c>
      <c r="H1701" t="s">
        <v>354</v>
      </c>
    </row>
    <row r="1702" spans="1:8" hidden="1" x14ac:dyDescent="0.3">
      <c r="A1702" s="28">
        <v>15563</v>
      </c>
      <c r="B1702" s="35">
        <v>45275.480555555558</v>
      </c>
      <c r="C1702" s="18">
        <v>45275</v>
      </c>
      <c r="D1702" t="s">
        <v>100</v>
      </c>
      <c r="E1702" s="32">
        <v>600600</v>
      </c>
      <c r="F1702" s="32">
        <v>0</v>
      </c>
      <c r="G1702" s="32">
        <v>152383986</v>
      </c>
      <c r="H1702" t="s">
        <v>438</v>
      </c>
    </row>
    <row r="1703" spans="1:8" hidden="1" x14ac:dyDescent="0.3">
      <c r="A1703" s="28">
        <v>15561</v>
      </c>
      <c r="B1703" s="35">
        <v>45275.434027777781</v>
      </c>
      <c r="C1703" s="18">
        <v>45275</v>
      </c>
      <c r="D1703" t="s">
        <v>100</v>
      </c>
      <c r="E1703" s="32">
        <v>1043900</v>
      </c>
      <c r="F1703" s="32">
        <v>0</v>
      </c>
      <c r="G1703" s="32">
        <v>151783386</v>
      </c>
      <c r="H1703" t="s">
        <v>252</v>
      </c>
    </row>
    <row r="1704" spans="1:8" hidden="1" x14ac:dyDescent="0.3">
      <c r="A1704" s="28">
        <v>15560</v>
      </c>
      <c r="B1704" s="35">
        <v>45275.434027777781</v>
      </c>
      <c r="C1704" s="18">
        <v>45275</v>
      </c>
      <c r="D1704" t="s">
        <v>100</v>
      </c>
      <c r="E1704" s="32">
        <v>673200</v>
      </c>
      <c r="F1704" s="32">
        <v>0</v>
      </c>
      <c r="G1704" s="32">
        <v>150739486</v>
      </c>
      <c r="H1704" t="s">
        <v>252</v>
      </c>
    </row>
    <row r="1705" spans="1:8" hidden="1" x14ac:dyDescent="0.3">
      <c r="A1705" s="28">
        <v>15559</v>
      </c>
      <c r="B1705" s="35">
        <v>45275.418055555558</v>
      </c>
      <c r="C1705" s="18">
        <v>45275</v>
      </c>
      <c r="D1705" t="s">
        <v>100</v>
      </c>
      <c r="E1705" s="32">
        <v>11491700</v>
      </c>
      <c r="F1705" s="32">
        <v>0</v>
      </c>
      <c r="G1705" s="32">
        <v>150066286</v>
      </c>
      <c r="H1705" t="s">
        <v>306</v>
      </c>
    </row>
    <row r="1706" spans="1:8" hidden="1" x14ac:dyDescent="0.3">
      <c r="A1706" s="28">
        <v>15558</v>
      </c>
      <c r="B1706" s="35">
        <v>45275.383333333331</v>
      </c>
      <c r="C1706" s="18">
        <v>45275</v>
      </c>
      <c r="D1706" t="s">
        <v>101</v>
      </c>
      <c r="E1706" s="32">
        <v>0</v>
      </c>
      <c r="F1706" s="32">
        <v>8000</v>
      </c>
      <c r="G1706" s="32">
        <v>138574586</v>
      </c>
      <c r="H1706" t="s">
        <v>241</v>
      </c>
    </row>
    <row r="1707" spans="1:8" hidden="1" x14ac:dyDescent="0.3">
      <c r="A1707" s="28">
        <v>15557</v>
      </c>
      <c r="B1707" s="35">
        <v>45275.383333333331</v>
      </c>
      <c r="C1707" s="18">
        <v>45275</v>
      </c>
      <c r="D1707" t="s">
        <v>101</v>
      </c>
      <c r="E1707" s="32">
        <v>0</v>
      </c>
      <c r="F1707" s="32">
        <v>198849</v>
      </c>
      <c r="G1707" s="32">
        <v>138582586</v>
      </c>
      <c r="H1707" t="s">
        <v>221</v>
      </c>
    </row>
    <row r="1708" spans="1:8" hidden="1" x14ac:dyDescent="0.3">
      <c r="A1708" s="28">
        <v>15556</v>
      </c>
      <c r="B1708" s="35">
        <v>45274.710416666669</v>
      </c>
      <c r="C1708" s="18">
        <v>45274</v>
      </c>
      <c r="D1708" t="s">
        <v>100</v>
      </c>
      <c r="E1708" s="32">
        <v>2334200</v>
      </c>
      <c r="F1708" s="32">
        <v>0</v>
      </c>
      <c r="G1708" s="32">
        <v>138781435</v>
      </c>
      <c r="H1708" t="s">
        <v>235</v>
      </c>
    </row>
    <row r="1709" spans="1:8" hidden="1" x14ac:dyDescent="0.3">
      <c r="A1709" s="28">
        <v>15554</v>
      </c>
      <c r="B1709" s="35">
        <v>45274.599305555559</v>
      </c>
      <c r="C1709" s="18">
        <v>45274</v>
      </c>
      <c r="D1709" t="s">
        <v>101</v>
      </c>
      <c r="E1709" s="32">
        <v>0</v>
      </c>
      <c r="F1709" s="32">
        <v>77220</v>
      </c>
      <c r="G1709" s="32">
        <v>136447235</v>
      </c>
      <c r="H1709" t="s">
        <v>293</v>
      </c>
    </row>
    <row r="1710" spans="1:8" hidden="1" x14ac:dyDescent="0.3">
      <c r="A1710" s="28">
        <v>15553</v>
      </c>
      <c r="B1710" s="35">
        <v>45274.47152777778</v>
      </c>
      <c r="C1710" s="18">
        <v>45274</v>
      </c>
      <c r="D1710" t="s">
        <v>100</v>
      </c>
      <c r="E1710" s="32">
        <v>1114300</v>
      </c>
      <c r="F1710" s="32">
        <v>0</v>
      </c>
      <c r="G1710" s="32">
        <v>136524455</v>
      </c>
      <c r="H1710" t="s">
        <v>404</v>
      </c>
    </row>
    <row r="1711" spans="1:8" hidden="1" x14ac:dyDescent="0.3">
      <c r="A1711" s="28">
        <v>15552</v>
      </c>
      <c r="B1711" s="35">
        <v>45274.37777777778</v>
      </c>
      <c r="C1711" s="18">
        <v>45274</v>
      </c>
      <c r="D1711" t="s">
        <v>101</v>
      </c>
      <c r="E1711" s="32">
        <v>0</v>
      </c>
      <c r="F1711" s="32">
        <v>90811000</v>
      </c>
      <c r="G1711" s="32">
        <v>135410155</v>
      </c>
      <c r="H1711" t="s">
        <v>439</v>
      </c>
    </row>
    <row r="1712" spans="1:8" hidden="1" x14ac:dyDescent="0.3">
      <c r="A1712" s="28">
        <v>15548</v>
      </c>
      <c r="B1712" s="35">
        <v>45274.357638888891</v>
      </c>
      <c r="C1712" s="18">
        <v>45274</v>
      </c>
      <c r="D1712" t="s">
        <v>100</v>
      </c>
      <c r="E1712" s="32">
        <v>200000000</v>
      </c>
      <c r="F1712" s="32">
        <v>0</v>
      </c>
      <c r="G1712" s="32">
        <v>226221155</v>
      </c>
      <c r="H1712" t="s">
        <v>259</v>
      </c>
    </row>
    <row r="1713" spans="1:8" hidden="1" x14ac:dyDescent="0.3">
      <c r="A1713" s="28">
        <v>15540</v>
      </c>
      <c r="B1713" s="35">
        <v>45273.551388888889</v>
      </c>
      <c r="C1713" s="18">
        <v>45273</v>
      </c>
      <c r="D1713" t="s">
        <v>100</v>
      </c>
      <c r="E1713" s="32">
        <v>511500</v>
      </c>
      <c r="F1713" s="32">
        <v>0</v>
      </c>
      <c r="G1713" s="32">
        <v>26221155</v>
      </c>
      <c r="H1713" t="s">
        <v>405</v>
      </c>
    </row>
    <row r="1714" spans="1:8" hidden="1" x14ac:dyDescent="0.3">
      <c r="A1714" s="28">
        <v>15539</v>
      </c>
      <c r="B1714" s="35">
        <v>45273.477083333331</v>
      </c>
      <c r="C1714" s="18">
        <v>45273</v>
      </c>
      <c r="D1714" t="s">
        <v>101</v>
      </c>
      <c r="E1714" s="32">
        <v>0</v>
      </c>
      <c r="F1714" s="32">
        <v>100000000</v>
      </c>
      <c r="G1714" s="32">
        <v>25709655</v>
      </c>
      <c r="H1714" t="s">
        <v>440</v>
      </c>
    </row>
    <row r="1715" spans="1:8" hidden="1" x14ac:dyDescent="0.3">
      <c r="A1715" s="28">
        <v>15538</v>
      </c>
      <c r="B1715" s="35">
        <v>45273.473611111112</v>
      </c>
      <c r="C1715" s="18">
        <v>45273</v>
      </c>
      <c r="D1715" t="s">
        <v>101</v>
      </c>
      <c r="E1715" s="32">
        <v>0</v>
      </c>
      <c r="F1715" s="32">
        <v>100000000</v>
      </c>
      <c r="G1715" s="32">
        <v>125709655</v>
      </c>
      <c r="H1715" t="s">
        <v>440</v>
      </c>
    </row>
    <row r="1716" spans="1:8" hidden="1" x14ac:dyDescent="0.3">
      <c r="A1716" s="28">
        <v>15536</v>
      </c>
      <c r="B1716" s="35">
        <v>45272.72152777778</v>
      </c>
      <c r="C1716" s="18">
        <v>45272</v>
      </c>
      <c r="D1716" t="s">
        <v>100</v>
      </c>
      <c r="E1716" s="32">
        <v>3248300</v>
      </c>
      <c r="F1716" s="32">
        <v>0</v>
      </c>
      <c r="G1716" s="32">
        <v>225709655</v>
      </c>
      <c r="H1716" t="s">
        <v>297</v>
      </c>
    </row>
    <row r="1717" spans="1:8" hidden="1" x14ac:dyDescent="0.3">
      <c r="A1717" s="28">
        <v>15535</v>
      </c>
      <c r="B1717" s="35">
        <v>45272.693749999999</v>
      </c>
      <c r="C1717" s="18">
        <v>45272</v>
      </c>
      <c r="D1717" t="s">
        <v>101</v>
      </c>
      <c r="E1717" s="32">
        <v>0</v>
      </c>
      <c r="F1717" s="32">
        <v>758550</v>
      </c>
      <c r="G1717" s="32">
        <v>222461355</v>
      </c>
      <c r="H1717" t="s">
        <v>221</v>
      </c>
    </row>
    <row r="1718" spans="1:8" hidden="1" x14ac:dyDescent="0.3">
      <c r="A1718" s="28">
        <v>15534</v>
      </c>
      <c r="B1718" s="35">
        <v>45272.569444444445</v>
      </c>
      <c r="C1718" s="18">
        <v>45272</v>
      </c>
      <c r="D1718" t="s">
        <v>101</v>
      </c>
      <c r="E1718" s="32">
        <v>0</v>
      </c>
      <c r="F1718" s="32">
        <v>99000</v>
      </c>
      <c r="G1718" s="32">
        <v>223219905</v>
      </c>
      <c r="H1718" t="s">
        <v>441</v>
      </c>
    </row>
    <row r="1719" spans="1:8" hidden="1" x14ac:dyDescent="0.3">
      <c r="A1719" s="28">
        <v>15531</v>
      </c>
      <c r="B1719" s="35">
        <v>45272.436805555553</v>
      </c>
      <c r="C1719" s="18">
        <v>45272</v>
      </c>
      <c r="D1719" t="s">
        <v>100</v>
      </c>
      <c r="E1719" s="32">
        <v>636900</v>
      </c>
      <c r="F1719" s="32">
        <v>0</v>
      </c>
      <c r="G1719" s="32">
        <v>223318905</v>
      </c>
      <c r="H1719" t="s">
        <v>442</v>
      </c>
    </row>
    <row r="1720" spans="1:8" hidden="1" x14ac:dyDescent="0.3">
      <c r="A1720" s="28">
        <v>15530</v>
      </c>
      <c r="B1720" s="35">
        <v>45272.436805555553</v>
      </c>
      <c r="C1720" s="18">
        <v>45272</v>
      </c>
      <c r="D1720" t="s">
        <v>100</v>
      </c>
      <c r="E1720" s="32">
        <v>1409100</v>
      </c>
      <c r="F1720" s="32">
        <v>0</v>
      </c>
      <c r="G1720" s="32">
        <v>222682005</v>
      </c>
      <c r="H1720" t="s">
        <v>442</v>
      </c>
    </row>
    <row r="1721" spans="1:8" hidden="1" x14ac:dyDescent="0.3">
      <c r="A1721" s="28">
        <v>15527</v>
      </c>
      <c r="B1721" s="35">
        <v>45271.836805555555</v>
      </c>
      <c r="C1721" s="18">
        <v>45271</v>
      </c>
      <c r="D1721" t="s">
        <v>101</v>
      </c>
      <c r="E1721" s="32">
        <v>0</v>
      </c>
      <c r="F1721" s="32">
        <v>57500</v>
      </c>
      <c r="G1721" s="32">
        <v>221272905</v>
      </c>
      <c r="H1721" t="s">
        <v>443</v>
      </c>
    </row>
    <row r="1722" spans="1:8" hidden="1" x14ac:dyDescent="0.3">
      <c r="A1722" s="28">
        <v>15522</v>
      </c>
      <c r="B1722" s="35">
        <v>45271.714583333334</v>
      </c>
      <c r="C1722" s="18">
        <v>45271</v>
      </c>
      <c r="D1722" t="s">
        <v>100</v>
      </c>
      <c r="E1722" s="32">
        <v>535700</v>
      </c>
      <c r="F1722" s="32">
        <v>0</v>
      </c>
      <c r="G1722" s="32">
        <v>221330405</v>
      </c>
      <c r="H1722" t="s">
        <v>223</v>
      </c>
    </row>
    <row r="1723" spans="1:8" hidden="1" x14ac:dyDescent="0.3">
      <c r="A1723" s="28">
        <v>15521</v>
      </c>
      <c r="B1723" s="35">
        <v>45271.681944444441</v>
      </c>
      <c r="C1723" s="18">
        <v>45271</v>
      </c>
      <c r="D1723" t="s">
        <v>100</v>
      </c>
      <c r="E1723" s="32">
        <v>2470600</v>
      </c>
      <c r="F1723" s="32">
        <v>0</v>
      </c>
      <c r="G1723" s="32">
        <v>220794705</v>
      </c>
      <c r="H1723" t="s">
        <v>382</v>
      </c>
    </row>
    <row r="1724" spans="1:8" hidden="1" x14ac:dyDescent="0.3">
      <c r="A1724" s="28">
        <v>15520</v>
      </c>
      <c r="B1724" s="35">
        <v>45271.659722222219</v>
      </c>
      <c r="C1724" s="18">
        <v>45271</v>
      </c>
      <c r="D1724" t="s">
        <v>101</v>
      </c>
      <c r="E1724" s="32">
        <v>0</v>
      </c>
      <c r="F1724" s="32">
        <v>12000000</v>
      </c>
      <c r="G1724" s="32">
        <v>218324105</v>
      </c>
      <c r="H1724" t="s">
        <v>444</v>
      </c>
    </row>
    <row r="1725" spans="1:8" hidden="1" x14ac:dyDescent="0.3">
      <c r="A1725" s="28">
        <v>15519</v>
      </c>
      <c r="B1725" s="35">
        <v>45271.631944444445</v>
      </c>
      <c r="C1725" s="18">
        <v>45271</v>
      </c>
      <c r="D1725" t="s">
        <v>101</v>
      </c>
      <c r="E1725" s="32">
        <v>0</v>
      </c>
      <c r="F1725" s="32">
        <v>182325</v>
      </c>
      <c r="G1725" s="32">
        <v>230324105</v>
      </c>
      <c r="H1725" t="s">
        <v>293</v>
      </c>
    </row>
    <row r="1726" spans="1:8" hidden="1" x14ac:dyDescent="0.3">
      <c r="A1726" s="28">
        <v>15518</v>
      </c>
      <c r="B1726" s="35">
        <v>45271.597916666666</v>
      </c>
      <c r="C1726" s="18">
        <v>45271</v>
      </c>
      <c r="D1726" t="s">
        <v>101</v>
      </c>
      <c r="E1726" s="32">
        <v>0</v>
      </c>
      <c r="F1726" s="32">
        <v>357169</v>
      </c>
      <c r="G1726" s="32">
        <v>230506430</v>
      </c>
      <c r="H1726" t="s">
        <v>221</v>
      </c>
    </row>
    <row r="1727" spans="1:8" hidden="1" x14ac:dyDescent="0.3">
      <c r="A1727" s="28">
        <v>15517</v>
      </c>
      <c r="B1727" s="35">
        <v>45271.581944444442</v>
      </c>
      <c r="C1727" s="18">
        <v>45271</v>
      </c>
      <c r="D1727" t="s">
        <v>100</v>
      </c>
      <c r="E1727" s="32">
        <v>352000</v>
      </c>
      <c r="F1727" s="32">
        <v>0</v>
      </c>
      <c r="G1727" s="32">
        <v>230863599</v>
      </c>
      <c r="H1727" t="s">
        <v>445</v>
      </c>
    </row>
    <row r="1728" spans="1:8" hidden="1" x14ac:dyDescent="0.3">
      <c r="A1728" s="28">
        <v>15516</v>
      </c>
      <c r="B1728" s="35">
        <v>45271.495138888888</v>
      </c>
      <c r="C1728" s="18">
        <v>45271</v>
      </c>
      <c r="D1728" t="s">
        <v>100</v>
      </c>
      <c r="E1728" s="32">
        <v>249700</v>
      </c>
      <c r="F1728" s="32">
        <v>0</v>
      </c>
      <c r="G1728" s="32">
        <v>230511599</v>
      </c>
      <c r="H1728" t="s">
        <v>365</v>
      </c>
    </row>
    <row r="1729" spans="1:8" hidden="1" x14ac:dyDescent="0.3">
      <c r="A1729" s="28">
        <v>15515</v>
      </c>
      <c r="B1729" s="35">
        <v>45271.493750000001</v>
      </c>
      <c r="C1729" s="18">
        <v>45271</v>
      </c>
      <c r="D1729" t="s">
        <v>100</v>
      </c>
      <c r="E1729" s="32">
        <v>190300</v>
      </c>
      <c r="F1729" s="32">
        <v>0</v>
      </c>
      <c r="G1729" s="32">
        <v>230261899</v>
      </c>
      <c r="H1729" t="s">
        <v>292</v>
      </c>
    </row>
    <row r="1730" spans="1:8" hidden="1" x14ac:dyDescent="0.3">
      <c r="A1730" s="28">
        <v>15514</v>
      </c>
      <c r="B1730" s="35">
        <v>45271.460416666669</v>
      </c>
      <c r="C1730" s="18">
        <v>45271</v>
      </c>
      <c r="D1730" t="s">
        <v>100</v>
      </c>
      <c r="E1730" s="32">
        <v>1042800</v>
      </c>
      <c r="F1730" s="32">
        <v>0</v>
      </c>
      <c r="G1730" s="32">
        <v>230071599</v>
      </c>
      <c r="H1730" t="s">
        <v>357</v>
      </c>
    </row>
    <row r="1731" spans="1:8" hidden="1" x14ac:dyDescent="0.3">
      <c r="A1731" s="28">
        <v>15513</v>
      </c>
      <c r="B1731" s="35">
        <v>45271.43472222222</v>
      </c>
      <c r="C1731" s="18">
        <v>45271</v>
      </c>
      <c r="D1731" t="s">
        <v>101</v>
      </c>
      <c r="E1731" s="32">
        <v>0</v>
      </c>
      <c r="F1731" s="32">
        <v>491506</v>
      </c>
      <c r="G1731" s="32">
        <v>229028799</v>
      </c>
      <c r="H1731" t="s">
        <v>226</v>
      </c>
    </row>
    <row r="1732" spans="1:8" hidden="1" x14ac:dyDescent="0.3">
      <c r="A1732" s="28">
        <v>15512</v>
      </c>
      <c r="B1732" s="35">
        <v>45269.06527777778</v>
      </c>
      <c r="C1732" s="18">
        <v>45269</v>
      </c>
      <c r="D1732" t="s">
        <v>100</v>
      </c>
      <c r="E1732" s="32">
        <v>34957</v>
      </c>
      <c r="F1732" s="32">
        <v>0</v>
      </c>
      <c r="G1732" s="32">
        <v>229520305</v>
      </c>
      <c r="H1732" t="s">
        <v>446</v>
      </c>
    </row>
    <row r="1733" spans="1:8" hidden="1" x14ac:dyDescent="0.3">
      <c r="A1733" s="28">
        <v>15511</v>
      </c>
      <c r="B1733" s="35">
        <v>45268.638888888891</v>
      </c>
      <c r="C1733" s="18">
        <v>45268</v>
      </c>
      <c r="D1733" t="s">
        <v>100</v>
      </c>
      <c r="E1733" s="32">
        <v>2975500</v>
      </c>
      <c r="F1733" s="32">
        <v>0</v>
      </c>
      <c r="G1733" s="32">
        <v>229485348</v>
      </c>
      <c r="H1733" t="s">
        <v>316</v>
      </c>
    </row>
    <row r="1734" spans="1:8" hidden="1" x14ac:dyDescent="0.3">
      <c r="A1734" s="28">
        <v>15510</v>
      </c>
      <c r="B1734" s="35">
        <v>45268.570138888892</v>
      </c>
      <c r="C1734" s="18">
        <v>45268</v>
      </c>
      <c r="D1734" t="s">
        <v>100</v>
      </c>
      <c r="E1734" s="32">
        <v>809600</v>
      </c>
      <c r="F1734" s="32">
        <v>0</v>
      </c>
      <c r="G1734" s="32">
        <v>226509848</v>
      </c>
      <c r="H1734" t="s">
        <v>447</v>
      </c>
    </row>
    <row r="1735" spans="1:8" hidden="1" x14ac:dyDescent="0.3">
      <c r="A1735" s="28">
        <v>15509</v>
      </c>
      <c r="B1735" s="35">
        <v>45268.56527777778</v>
      </c>
      <c r="C1735" s="18">
        <v>45268</v>
      </c>
      <c r="D1735" t="s">
        <v>101</v>
      </c>
      <c r="E1735" s="32">
        <v>0</v>
      </c>
      <c r="F1735" s="32">
        <v>391893</v>
      </c>
      <c r="G1735" s="32">
        <v>225700248</v>
      </c>
      <c r="H1735" t="s">
        <v>221</v>
      </c>
    </row>
    <row r="1736" spans="1:8" hidden="1" x14ac:dyDescent="0.3">
      <c r="A1736" s="28">
        <v>15505</v>
      </c>
      <c r="B1736" s="35">
        <v>45267.686805555553</v>
      </c>
      <c r="C1736" s="18">
        <v>45267</v>
      </c>
      <c r="D1736" t="s">
        <v>100</v>
      </c>
      <c r="E1736" s="32">
        <v>1339800</v>
      </c>
      <c r="F1736" s="32">
        <v>0</v>
      </c>
      <c r="G1736" s="32">
        <v>226092141</v>
      </c>
      <c r="H1736" t="s">
        <v>322</v>
      </c>
    </row>
    <row r="1737" spans="1:8" hidden="1" x14ac:dyDescent="0.3">
      <c r="A1737" s="28">
        <v>15504</v>
      </c>
      <c r="B1737" s="35">
        <v>45267.586111111108</v>
      </c>
      <c r="C1737" s="18">
        <v>45267</v>
      </c>
      <c r="D1737" t="s">
        <v>100</v>
      </c>
      <c r="E1737" s="32">
        <v>3445200</v>
      </c>
      <c r="F1737" s="32">
        <v>0</v>
      </c>
      <c r="G1737" s="32">
        <v>224752341</v>
      </c>
      <c r="H1737" t="s">
        <v>414</v>
      </c>
    </row>
    <row r="1738" spans="1:8" hidden="1" x14ac:dyDescent="0.3">
      <c r="A1738" s="28">
        <v>15500</v>
      </c>
      <c r="B1738" s="35">
        <v>45266.636805555558</v>
      </c>
      <c r="C1738" s="18">
        <v>45266</v>
      </c>
      <c r="D1738" t="s">
        <v>100</v>
      </c>
      <c r="E1738" s="32">
        <v>933900</v>
      </c>
      <c r="F1738" s="32">
        <v>0</v>
      </c>
      <c r="G1738" s="32">
        <v>221307141</v>
      </c>
      <c r="H1738" t="s">
        <v>448</v>
      </c>
    </row>
    <row r="1739" spans="1:8" hidden="1" x14ac:dyDescent="0.3">
      <c r="A1739" s="28">
        <v>15499</v>
      </c>
      <c r="B1739" s="35">
        <v>45266.621527777781</v>
      </c>
      <c r="C1739" s="18">
        <v>45266</v>
      </c>
      <c r="D1739" t="s">
        <v>100</v>
      </c>
      <c r="E1739" s="32">
        <v>262900</v>
      </c>
      <c r="F1739" s="32">
        <v>0</v>
      </c>
      <c r="G1739" s="32">
        <v>220373241</v>
      </c>
      <c r="H1739" t="s">
        <v>438</v>
      </c>
    </row>
    <row r="1740" spans="1:8" hidden="1" x14ac:dyDescent="0.3">
      <c r="A1740" s="28">
        <v>15498</v>
      </c>
      <c r="B1740" s="35">
        <v>45266.587500000001</v>
      </c>
      <c r="C1740" s="18">
        <v>45266</v>
      </c>
      <c r="D1740" t="s">
        <v>101</v>
      </c>
      <c r="E1740" s="32">
        <v>0</v>
      </c>
      <c r="F1740" s="32">
        <v>347250</v>
      </c>
      <c r="G1740" s="32">
        <v>220110341</v>
      </c>
      <c r="H1740" t="s">
        <v>319</v>
      </c>
    </row>
    <row r="1741" spans="1:8" hidden="1" x14ac:dyDescent="0.3">
      <c r="A1741" s="28">
        <v>15497</v>
      </c>
      <c r="B1741" s="35">
        <v>45266.587500000001</v>
      </c>
      <c r="C1741" s="18">
        <v>45266</v>
      </c>
      <c r="D1741" t="s">
        <v>101</v>
      </c>
      <c r="E1741" s="32">
        <v>0</v>
      </c>
      <c r="F1741" s="32">
        <v>3463920</v>
      </c>
      <c r="G1741" s="32">
        <v>220457591</v>
      </c>
      <c r="H1741" t="s">
        <v>320</v>
      </c>
    </row>
    <row r="1742" spans="1:8" hidden="1" x14ac:dyDescent="0.3">
      <c r="A1742" s="28">
        <v>15496</v>
      </c>
      <c r="B1742" s="35">
        <v>45266.586805555555</v>
      </c>
      <c r="C1742" s="18">
        <v>45266</v>
      </c>
      <c r="D1742" t="s">
        <v>101</v>
      </c>
      <c r="E1742" s="32">
        <v>0</v>
      </c>
      <c r="F1742" s="32">
        <v>9300</v>
      </c>
      <c r="G1742" s="32">
        <v>223921511</v>
      </c>
      <c r="H1742" t="s">
        <v>321</v>
      </c>
    </row>
    <row r="1743" spans="1:8" hidden="1" x14ac:dyDescent="0.3">
      <c r="A1743" s="28">
        <v>15495</v>
      </c>
      <c r="B1743" s="35">
        <v>45266.57708333333</v>
      </c>
      <c r="C1743" s="18">
        <v>45266</v>
      </c>
      <c r="D1743" t="s">
        <v>100</v>
      </c>
      <c r="E1743" s="32">
        <v>167200</v>
      </c>
      <c r="F1743" s="32">
        <v>0</v>
      </c>
      <c r="G1743" s="32">
        <v>223930811</v>
      </c>
      <c r="H1743" t="s">
        <v>309</v>
      </c>
    </row>
    <row r="1744" spans="1:8" hidden="1" x14ac:dyDescent="0.3">
      <c r="A1744" s="28">
        <v>15493</v>
      </c>
      <c r="B1744" s="35">
        <v>45266.564583333333</v>
      </c>
      <c r="C1744" s="18">
        <v>45266</v>
      </c>
      <c r="D1744" t="s">
        <v>100</v>
      </c>
      <c r="E1744" s="32">
        <v>564300</v>
      </c>
      <c r="F1744" s="32">
        <v>0</v>
      </c>
      <c r="G1744" s="32">
        <v>223763611</v>
      </c>
      <c r="H1744" t="s">
        <v>220</v>
      </c>
    </row>
    <row r="1745" spans="1:8" hidden="1" x14ac:dyDescent="0.3">
      <c r="A1745" s="28">
        <v>15492</v>
      </c>
      <c r="B1745" s="35">
        <v>45266.493055555555</v>
      </c>
      <c r="C1745" s="18">
        <v>45266</v>
      </c>
      <c r="D1745" t="s">
        <v>101</v>
      </c>
      <c r="E1745" s="32">
        <v>0</v>
      </c>
      <c r="F1745" s="32">
        <v>78937</v>
      </c>
      <c r="G1745" s="32">
        <v>223199311</v>
      </c>
      <c r="H1745" t="s">
        <v>221</v>
      </c>
    </row>
    <row r="1746" spans="1:8" hidden="1" x14ac:dyDescent="0.3">
      <c r="A1746" s="28">
        <v>15491</v>
      </c>
      <c r="B1746" s="35">
        <v>45266.488194444442</v>
      </c>
      <c r="C1746" s="18">
        <v>45266</v>
      </c>
      <c r="D1746" t="s">
        <v>100</v>
      </c>
      <c r="E1746" s="32">
        <v>217800</v>
      </c>
      <c r="F1746" s="32">
        <v>0</v>
      </c>
      <c r="G1746" s="32">
        <v>223278248</v>
      </c>
      <c r="H1746" t="s">
        <v>312</v>
      </c>
    </row>
    <row r="1747" spans="1:8" hidden="1" x14ac:dyDescent="0.3">
      <c r="A1747" s="28">
        <v>15490</v>
      </c>
      <c r="B1747" s="35">
        <v>45266.482638888891</v>
      </c>
      <c r="C1747" s="18">
        <v>45266</v>
      </c>
      <c r="D1747" t="s">
        <v>100</v>
      </c>
      <c r="E1747" s="32">
        <v>237600</v>
      </c>
      <c r="F1747" s="32">
        <v>0</v>
      </c>
      <c r="G1747" s="32">
        <v>223060448</v>
      </c>
      <c r="H1747" t="s">
        <v>404</v>
      </c>
    </row>
    <row r="1748" spans="1:8" hidden="1" x14ac:dyDescent="0.3">
      <c r="A1748" s="28">
        <v>15486</v>
      </c>
      <c r="B1748" s="35">
        <v>45266.377083333333</v>
      </c>
      <c r="C1748" s="18">
        <v>45266</v>
      </c>
      <c r="D1748" t="s">
        <v>101</v>
      </c>
      <c r="E1748" s="32">
        <v>0</v>
      </c>
      <c r="F1748" s="32">
        <v>60180</v>
      </c>
      <c r="G1748" s="32">
        <v>222822848</v>
      </c>
      <c r="H1748" t="s">
        <v>221</v>
      </c>
    </row>
    <row r="1749" spans="1:8" hidden="1" x14ac:dyDescent="0.3">
      <c r="A1749" s="28">
        <v>15485</v>
      </c>
      <c r="B1749" s="35">
        <v>45265.831944444442</v>
      </c>
      <c r="C1749" s="18">
        <v>45265</v>
      </c>
      <c r="D1749" t="s">
        <v>101</v>
      </c>
      <c r="E1749" s="32">
        <v>0</v>
      </c>
      <c r="F1749" s="32">
        <v>626472</v>
      </c>
      <c r="G1749" s="32">
        <v>222883028</v>
      </c>
      <c r="H1749" t="s">
        <v>449</v>
      </c>
    </row>
    <row r="1750" spans="1:8" hidden="1" x14ac:dyDescent="0.3">
      <c r="A1750" s="28">
        <v>15484</v>
      </c>
      <c r="B1750" s="35">
        <v>45265.808333333334</v>
      </c>
      <c r="C1750" s="18">
        <v>45265</v>
      </c>
      <c r="D1750" t="s">
        <v>101</v>
      </c>
      <c r="E1750" s="32">
        <v>0</v>
      </c>
      <c r="F1750" s="32">
        <v>711920</v>
      </c>
      <c r="G1750" s="32">
        <v>223509500</v>
      </c>
      <c r="H1750" t="s">
        <v>435</v>
      </c>
    </row>
    <row r="1751" spans="1:8" hidden="1" x14ac:dyDescent="0.3">
      <c r="A1751" s="28">
        <v>15482</v>
      </c>
      <c r="B1751" s="35">
        <v>45265.706250000003</v>
      </c>
      <c r="C1751" s="18">
        <v>45265</v>
      </c>
      <c r="D1751" t="s">
        <v>100</v>
      </c>
      <c r="E1751" s="32">
        <v>1285900</v>
      </c>
      <c r="F1751" s="32">
        <v>0</v>
      </c>
      <c r="G1751" s="32">
        <v>224221420</v>
      </c>
      <c r="H1751" t="s">
        <v>450</v>
      </c>
    </row>
    <row r="1752" spans="1:8" hidden="1" x14ac:dyDescent="0.3">
      <c r="A1752" s="28">
        <v>15481</v>
      </c>
      <c r="B1752" s="35">
        <v>45265.668749999997</v>
      </c>
      <c r="C1752" s="18">
        <v>45265</v>
      </c>
      <c r="D1752" t="s">
        <v>100</v>
      </c>
      <c r="E1752" s="32">
        <v>146300</v>
      </c>
      <c r="F1752" s="32">
        <v>0</v>
      </c>
      <c r="G1752" s="32">
        <v>222935520</v>
      </c>
      <c r="H1752" t="s">
        <v>396</v>
      </c>
    </row>
    <row r="1753" spans="1:8" hidden="1" x14ac:dyDescent="0.3">
      <c r="A1753" s="28">
        <v>15480</v>
      </c>
      <c r="B1753" s="35">
        <v>45265.636111111111</v>
      </c>
      <c r="C1753" s="18">
        <v>45265</v>
      </c>
      <c r="D1753" t="s">
        <v>101</v>
      </c>
      <c r="E1753" s="32">
        <v>0</v>
      </c>
      <c r="F1753" s="32">
        <v>5000</v>
      </c>
      <c r="G1753" s="32">
        <v>222789220</v>
      </c>
      <c r="H1753" t="s">
        <v>368</v>
      </c>
    </row>
    <row r="1754" spans="1:8" hidden="1" x14ac:dyDescent="0.3">
      <c r="A1754" s="28">
        <v>15476</v>
      </c>
      <c r="B1754" s="35">
        <v>45265.478472222225</v>
      </c>
      <c r="C1754" s="18">
        <v>45265</v>
      </c>
      <c r="D1754" t="s">
        <v>100</v>
      </c>
      <c r="E1754" s="32">
        <v>105600</v>
      </c>
      <c r="F1754" s="32">
        <v>0</v>
      </c>
      <c r="G1754" s="32">
        <v>222794220</v>
      </c>
      <c r="H1754" t="s">
        <v>223</v>
      </c>
    </row>
    <row r="1755" spans="1:8" hidden="1" x14ac:dyDescent="0.3">
      <c r="A1755" s="28">
        <v>15475</v>
      </c>
      <c r="B1755" s="35">
        <v>45265.463888888888</v>
      </c>
      <c r="C1755" s="18">
        <v>45265</v>
      </c>
      <c r="D1755" t="s">
        <v>100</v>
      </c>
      <c r="E1755" s="32">
        <v>1051600</v>
      </c>
      <c r="F1755" s="32">
        <v>0</v>
      </c>
      <c r="G1755" s="32">
        <v>222688620</v>
      </c>
      <c r="H1755" t="s">
        <v>329</v>
      </c>
    </row>
    <row r="1756" spans="1:8" hidden="1" x14ac:dyDescent="0.3">
      <c r="A1756" s="28">
        <v>15473</v>
      </c>
      <c r="B1756" s="35">
        <v>45265.382638888892</v>
      </c>
      <c r="C1756" s="18">
        <v>45265</v>
      </c>
      <c r="D1756" t="s">
        <v>101</v>
      </c>
      <c r="E1756" s="32">
        <v>0</v>
      </c>
      <c r="F1756" s="32">
        <v>1179100</v>
      </c>
      <c r="G1756" s="32">
        <v>221637020</v>
      </c>
      <c r="H1756" t="s">
        <v>451</v>
      </c>
    </row>
    <row r="1757" spans="1:8" hidden="1" x14ac:dyDescent="0.3">
      <c r="A1757" s="28">
        <v>15472</v>
      </c>
      <c r="B1757" s="35">
        <v>45264.70416666667</v>
      </c>
      <c r="C1757" s="18">
        <v>45264</v>
      </c>
      <c r="D1757" t="s">
        <v>100</v>
      </c>
      <c r="E1757" s="32">
        <v>898000</v>
      </c>
      <c r="F1757" s="32">
        <v>0</v>
      </c>
      <c r="G1757" s="32">
        <v>222816120</v>
      </c>
      <c r="H1757" t="s">
        <v>395</v>
      </c>
    </row>
    <row r="1758" spans="1:8" hidden="1" x14ac:dyDescent="0.3">
      <c r="A1758" s="28">
        <v>15471</v>
      </c>
      <c r="B1758" s="35">
        <v>45264.70416666667</v>
      </c>
      <c r="C1758" s="18">
        <v>45264</v>
      </c>
      <c r="D1758" t="s">
        <v>100</v>
      </c>
      <c r="E1758" s="32">
        <v>89800</v>
      </c>
      <c r="F1758" s="32">
        <v>0</v>
      </c>
      <c r="G1758" s="32">
        <v>221918120</v>
      </c>
      <c r="H1758" t="s">
        <v>395</v>
      </c>
    </row>
    <row r="1759" spans="1:8" hidden="1" x14ac:dyDescent="0.3">
      <c r="A1759" s="28">
        <v>15470</v>
      </c>
      <c r="B1759" s="35">
        <v>45264.681250000001</v>
      </c>
      <c r="C1759" s="18">
        <v>45264</v>
      </c>
      <c r="D1759" t="s">
        <v>101</v>
      </c>
      <c r="E1759" s="32">
        <v>0</v>
      </c>
      <c r="F1759" s="32">
        <v>110000</v>
      </c>
      <c r="G1759" s="32">
        <v>221828320</v>
      </c>
      <c r="H1759" t="s">
        <v>452</v>
      </c>
    </row>
    <row r="1760" spans="1:8" hidden="1" x14ac:dyDescent="0.3">
      <c r="A1760" s="28">
        <v>15469</v>
      </c>
      <c r="B1760" s="35">
        <v>45264.647916666669</v>
      </c>
      <c r="C1760" s="18">
        <v>45264</v>
      </c>
      <c r="D1760" t="s">
        <v>100</v>
      </c>
      <c r="E1760" s="32">
        <v>1489400</v>
      </c>
      <c r="F1760" s="32">
        <v>0</v>
      </c>
      <c r="G1760" s="32">
        <v>221938320</v>
      </c>
      <c r="H1760" t="s">
        <v>453</v>
      </c>
    </row>
    <row r="1761" spans="1:8" hidden="1" x14ac:dyDescent="0.3">
      <c r="A1761" s="28">
        <v>15468</v>
      </c>
      <c r="B1761" s="35">
        <v>45264.647916666669</v>
      </c>
      <c r="C1761" s="18">
        <v>45264</v>
      </c>
      <c r="D1761" t="s">
        <v>100</v>
      </c>
      <c r="E1761" s="32">
        <v>2757700</v>
      </c>
      <c r="F1761" s="32">
        <v>0</v>
      </c>
      <c r="G1761" s="32">
        <v>220448920</v>
      </c>
      <c r="H1761" t="s">
        <v>453</v>
      </c>
    </row>
    <row r="1762" spans="1:8" hidden="1" x14ac:dyDescent="0.3">
      <c r="A1762" s="28">
        <v>15467</v>
      </c>
      <c r="B1762" s="35">
        <v>45264.615972222222</v>
      </c>
      <c r="C1762" s="18">
        <v>45264</v>
      </c>
      <c r="D1762" t="s">
        <v>100</v>
      </c>
      <c r="E1762" s="32">
        <v>1402500</v>
      </c>
      <c r="F1762" s="32">
        <v>0</v>
      </c>
      <c r="G1762" s="32">
        <v>217691220</v>
      </c>
      <c r="H1762" t="s">
        <v>394</v>
      </c>
    </row>
    <row r="1763" spans="1:8" hidden="1" x14ac:dyDescent="0.3">
      <c r="A1763" s="28">
        <v>15466</v>
      </c>
      <c r="B1763" s="35">
        <v>45264.565972222219</v>
      </c>
      <c r="C1763" s="18">
        <v>45264</v>
      </c>
      <c r="D1763" t="s">
        <v>100</v>
      </c>
      <c r="E1763" s="32">
        <v>183700</v>
      </c>
      <c r="F1763" s="32">
        <v>0</v>
      </c>
      <c r="G1763" s="32">
        <v>216288720</v>
      </c>
      <c r="H1763" t="s">
        <v>220</v>
      </c>
    </row>
    <row r="1764" spans="1:8" hidden="1" x14ac:dyDescent="0.3">
      <c r="A1764" s="28">
        <v>15465</v>
      </c>
      <c r="B1764" s="35">
        <v>45264.518055555556</v>
      </c>
      <c r="C1764" s="18">
        <v>45264</v>
      </c>
      <c r="D1764" t="s">
        <v>100</v>
      </c>
      <c r="E1764" s="32">
        <v>224400</v>
      </c>
      <c r="F1764" s="32">
        <v>0</v>
      </c>
      <c r="G1764" s="32">
        <v>216105020</v>
      </c>
      <c r="H1764" t="s">
        <v>454</v>
      </c>
    </row>
    <row r="1765" spans="1:8" hidden="1" x14ac:dyDescent="0.3">
      <c r="A1765" s="28">
        <v>15463</v>
      </c>
      <c r="B1765" s="35">
        <v>45264.383333333331</v>
      </c>
      <c r="C1765" s="18">
        <v>45264</v>
      </c>
      <c r="D1765" t="s">
        <v>101</v>
      </c>
      <c r="E1765" s="32">
        <v>0</v>
      </c>
      <c r="F1765" s="32">
        <v>120230</v>
      </c>
      <c r="G1765" s="32">
        <v>215880620</v>
      </c>
      <c r="H1765" t="s">
        <v>280</v>
      </c>
    </row>
    <row r="1766" spans="1:8" hidden="1" x14ac:dyDescent="0.3">
      <c r="A1766" s="28">
        <v>15462</v>
      </c>
      <c r="B1766" s="35">
        <v>45261.697222222225</v>
      </c>
      <c r="C1766" s="18">
        <v>45261</v>
      </c>
      <c r="D1766" t="s">
        <v>101</v>
      </c>
      <c r="E1766" s="32">
        <v>0</v>
      </c>
      <c r="F1766" s="32">
        <v>153743</v>
      </c>
      <c r="G1766" s="32">
        <v>216000850</v>
      </c>
      <c r="H1766" t="s">
        <v>221</v>
      </c>
    </row>
    <row r="1767" spans="1:8" hidden="1" x14ac:dyDescent="0.3">
      <c r="A1767" s="28">
        <v>15461</v>
      </c>
      <c r="B1767" s="35">
        <v>45261.388888888891</v>
      </c>
      <c r="C1767" s="18">
        <v>45261</v>
      </c>
      <c r="D1767" t="s">
        <v>100</v>
      </c>
      <c r="E1767" s="32">
        <v>781000</v>
      </c>
      <c r="F1767" s="32">
        <v>0</v>
      </c>
      <c r="G1767" s="32">
        <v>216154593</v>
      </c>
      <c r="H1767" t="s">
        <v>327</v>
      </c>
    </row>
    <row r="1768" spans="1:8" hidden="1" x14ac:dyDescent="0.3">
      <c r="A1768" s="28">
        <v>15460</v>
      </c>
      <c r="B1768" s="35">
        <v>45260.842361111114</v>
      </c>
      <c r="C1768" s="18">
        <v>45260</v>
      </c>
      <c r="D1768" t="s">
        <v>100</v>
      </c>
      <c r="E1768" s="32">
        <v>174900</v>
      </c>
      <c r="F1768" s="32">
        <v>0</v>
      </c>
      <c r="G1768" s="32">
        <v>215373593</v>
      </c>
      <c r="H1768" t="s">
        <v>455</v>
      </c>
    </row>
    <row r="1769" spans="1:8" hidden="1" x14ac:dyDescent="0.3">
      <c r="A1769" s="28">
        <v>15459</v>
      </c>
      <c r="B1769" s="35">
        <v>45260.797222222223</v>
      </c>
      <c r="C1769" s="18">
        <v>45260</v>
      </c>
      <c r="D1769" t="s">
        <v>101</v>
      </c>
      <c r="E1769" s="32">
        <v>0</v>
      </c>
      <c r="F1769" s="32">
        <v>400510</v>
      </c>
      <c r="G1769" s="32">
        <v>215198693</v>
      </c>
      <c r="H1769" t="s">
        <v>435</v>
      </c>
    </row>
    <row r="1770" spans="1:8" hidden="1" x14ac:dyDescent="0.3">
      <c r="A1770" s="28">
        <v>15455</v>
      </c>
      <c r="B1770" s="35">
        <v>45260.647222222222</v>
      </c>
      <c r="C1770" s="18">
        <v>45260</v>
      </c>
      <c r="D1770" t="s">
        <v>100</v>
      </c>
      <c r="E1770" s="32">
        <v>526900</v>
      </c>
      <c r="F1770" s="32">
        <v>0</v>
      </c>
      <c r="G1770" s="32">
        <v>215599203</v>
      </c>
      <c r="H1770" t="s">
        <v>456</v>
      </c>
    </row>
    <row r="1771" spans="1:8" hidden="1" x14ac:dyDescent="0.3">
      <c r="A1771" s="28">
        <v>15454</v>
      </c>
      <c r="B1771" s="35">
        <v>45260.640277777777</v>
      </c>
      <c r="C1771" s="18">
        <v>45260</v>
      </c>
      <c r="D1771" t="s">
        <v>101</v>
      </c>
      <c r="E1771" s="32">
        <v>0</v>
      </c>
      <c r="F1771" s="32">
        <v>6600000</v>
      </c>
      <c r="G1771" s="32">
        <v>215072303</v>
      </c>
      <c r="H1771" t="s">
        <v>457</v>
      </c>
    </row>
    <row r="1772" spans="1:8" hidden="1" x14ac:dyDescent="0.3">
      <c r="A1772" s="28">
        <v>15453</v>
      </c>
      <c r="B1772" s="35">
        <v>45260.625</v>
      </c>
      <c r="C1772" s="18">
        <v>45260</v>
      </c>
      <c r="D1772" t="s">
        <v>100</v>
      </c>
      <c r="E1772" s="32">
        <v>689700</v>
      </c>
      <c r="F1772" s="32">
        <v>0</v>
      </c>
      <c r="G1772" s="32">
        <v>221672303</v>
      </c>
      <c r="H1772" t="s">
        <v>264</v>
      </c>
    </row>
    <row r="1773" spans="1:8" hidden="1" x14ac:dyDescent="0.3">
      <c r="A1773" s="28">
        <v>15452</v>
      </c>
      <c r="B1773" s="35">
        <v>45260.621527777781</v>
      </c>
      <c r="C1773" s="18">
        <v>45260</v>
      </c>
      <c r="D1773" t="s">
        <v>100</v>
      </c>
      <c r="E1773" s="32">
        <v>271200</v>
      </c>
      <c r="F1773" s="32">
        <v>0</v>
      </c>
      <c r="G1773" s="32">
        <v>220982603</v>
      </c>
      <c r="H1773" t="s">
        <v>411</v>
      </c>
    </row>
    <row r="1774" spans="1:8" hidden="1" x14ac:dyDescent="0.3">
      <c r="A1774" s="28">
        <v>15451</v>
      </c>
      <c r="B1774" s="35">
        <v>45260.615972222222</v>
      </c>
      <c r="C1774" s="18">
        <v>45260</v>
      </c>
      <c r="D1774" t="s">
        <v>100</v>
      </c>
      <c r="E1774" s="32">
        <v>221100</v>
      </c>
      <c r="F1774" s="32">
        <v>0</v>
      </c>
      <c r="G1774" s="32">
        <v>220711403</v>
      </c>
      <c r="H1774" t="s">
        <v>316</v>
      </c>
    </row>
    <row r="1775" spans="1:8" hidden="1" x14ac:dyDescent="0.3">
      <c r="A1775" s="28">
        <v>15450</v>
      </c>
      <c r="B1775" s="35">
        <v>45260.576388888891</v>
      </c>
      <c r="C1775" s="18">
        <v>45260</v>
      </c>
      <c r="D1775" t="s">
        <v>100</v>
      </c>
      <c r="E1775" s="32">
        <v>42900</v>
      </c>
      <c r="F1775" s="32">
        <v>0</v>
      </c>
      <c r="G1775" s="32">
        <v>220490303</v>
      </c>
      <c r="H1775" t="s">
        <v>313</v>
      </c>
    </row>
    <row r="1776" spans="1:8" hidden="1" x14ac:dyDescent="0.3">
      <c r="A1776" s="28">
        <v>15449</v>
      </c>
      <c r="B1776" s="35">
        <v>45260.574999999997</v>
      </c>
      <c r="C1776" s="18">
        <v>45260</v>
      </c>
      <c r="D1776" t="s">
        <v>100</v>
      </c>
      <c r="E1776" s="32">
        <v>429000</v>
      </c>
      <c r="F1776" s="32">
        <v>0</v>
      </c>
      <c r="G1776" s="32">
        <v>220447403</v>
      </c>
      <c r="H1776" t="s">
        <v>314</v>
      </c>
    </row>
    <row r="1777" spans="1:8" hidden="1" x14ac:dyDescent="0.3">
      <c r="A1777" s="28">
        <v>15448</v>
      </c>
      <c r="B1777" s="35">
        <v>45260.574305555558</v>
      </c>
      <c r="C1777" s="18">
        <v>45260</v>
      </c>
      <c r="D1777" t="s">
        <v>100</v>
      </c>
      <c r="E1777" s="32">
        <v>60300</v>
      </c>
      <c r="F1777" s="32">
        <v>0</v>
      </c>
      <c r="G1777" s="32">
        <v>220018403</v>
      </c>
      <c r="H1777" t="s">
        <v>313</v>
      </c>
    </row>
    <row r="1778" spans="1:8" hidden="1" x14ac:dyDescent="0.3">
      <c r="A1778" s="28">
        <v>15447</v>
      </c>
      <c r="B1778" s="35">
        <v>45260.573611111111</v>
      </c>
      <c r="C1778" s="18">
        <v>45260</v>
      </c>
      <c r="D1778" t="s">
        <v>100</v>
      </c>
      <c r="E1778" s="32">
        <v>603000</v>
      </c>
      <c r="F1778" s="32">
        <v>0</v>
      </c>
      <c r="G1778" s="32">
        <v>219958103</v>
      </c>
      <c r="H1778" t="s">
        <v>314</v>
      </c>
    </row>
    <row r="1779" spans="1:8" hidden="1" x14ac:dyDescent="0.3">
      <c r="A1779" s="28">
        <v>15446</v>
      </c>
      <c r="B1779" s="35">
        <v>45260.572916666664</v>
      </c>
      <c r="C1779" s="18">
        <v>45260</v>
      </c>
      <c r="D1779" t="s">
        <v>100</v>
      </c>
      <c r="E1779" s="32">
        <v>221100</v>
      </c>
      <c r="F1779" s="32">
        <v>0</v>
      </c>
      <c r="G1779" s="32">
        <v>219355103</v>
      </c>
      <c r="H1779" t="s">
        <v>313</v>
      </c>
    </row>
    <row r="1780" spans="1:8" hidden="1" x14ac:dyDescent="0.3">
      <c r="A1780" s="28">
        <v>15445</v>
      </c>
      <c r="B1780" s="35">
        <v>45260.572916666664</v>
      </c>
      <c r="C1780" s="18">
        <v>45260</v>
      </c>
      <c r="D1780" t="s">
        <v>100</v>
      </c>
      <c r="E1780" s="32">
        <v>228800</v>
      </c>
      <c r="F1780" s="32">
        <v>0</v>
      </c>
      <c r="G1780" s="32">
        <v>219134003</v>
      </c>
      <c r="H1780" t="s">
        <v>313</v>
      </c>
    </row>
    <row r="1781" spans="1:8" hidden="1" x14ac:dyDescent="0.3">
      <c r="A1781" s="28">
        <v>15444</v>
      </c>
      <c r="B1781" s="35">
        <v>45260.557638888888</v>
      </c>
      <c r="C1781" s="18">
        <v>45260</v>
      </c>
      <c r="D1781" t="s">
        <v>100</v>
      </c>
      <c r="E1781" s="32">
        <v>90200</v>
      </c>
      <c r="F1781" s="32">
        <v>0</v>
      </c>
      <c r="G1781" s="32">
        <v>218905203</v>
      </c>
      <c r="H1781" t="s">
        <v>409</v>
      </c>
    </row>
    <row r="1782" spans="1:8" hidden="1" x14ac:dyDescent="0.3">
      <c r="A1782" s="28">
        <v>15442</v>
      </c>
      <c r="B1782" s="35">
        <v>45260.543055555558</v>
      </c>
      <c r="C1782" s="18">
        <v>45260</v>
      </c>
      <c r="D1782" t="s">
        <v>100</v>
      </c>
      <c r="E1782" s="32">
        <v>4098600</v>
      </c>
      <c r="F1782" s="32">
        <v>0</v>
      </c>
      <c r="G1782" s="32">
        <v>218815003</v>
      </c>
      <c r="H1782" t="s">
        <v>458</v>
      </c>
    </row>
    <row r="1783" spans="1:8" hidden="1" x14ac:dyDescent="0.3">
      <c r="A1783" s="28">
        <v>15439</v>
      </c>
      <c r="B1783" s="35">
        <v>45260.484027777777</v>
      </c>
      <c r="C1783" s="18">
        <v>45260</v>
      </c>
      <c r="D1783" t="s">
        <v>100</v>
      </c>
      <c r="E1783" s="32">
        <v>10365300</v>
      </c>
      <c r="F1783" s="32">
        <v>0</v>
      </c>
      <c r="G1783" s="32">
        <v>214716403</v>
      </c>
      <c r="H1783" t="s">
        <v>255</v>
      </c>
    </row>
    <row r="1784" spans="1:8" hidden="1" x14ac:dyDescent="0.3">
      <c r="A1784" s="28">
        <v>15438</v>
      </c>
      <c r="B1784" s="35">
        <v>45260.459027777775</v>
      </c>
      <c r="C1784" s="18">
        <v>45260</v>
      </c>
      <c r="D1784" t="s">
        <v>100</v>
      </c>
      <c r="E1784" s="32">
        <v>672100</v>
      </c>
      <c r="F1784" s="32">
        <v>0</v>
      </c>
      <c r="G1784" s="32">
        <v>204351103</v>
      </c>
      <c r="H1784" t="s">
        <v>252</v>
      </c>
    </row>
    <row r="1785" spans="1:8" hidden="1" x14ac:dyDescent="0.3">
      <c r="A1785" s="28">
        <v>15437</v>
      </c>
      <c r="B1785" s="35">
        <v>45260.459027777775</v>
      </c>
      <c r="C1785" s="18">
        <v>45260</v>
      </c>
      <c r="D1785" t="s">
        <v>100</v>
      </c>
      <c r="E1785" s="32">
        <v>2712000</v>
      </c>
      <c r="F1785" s="32">
        <v>0</v>
      </c>
      <c r="G1785" s="32">
        <v>203679003</v>
      </c>
      <c r="H1785" t="s">
        <v>410</v>
      </c>
    </row>
    <row r="1786" spans="1:8" hidden="1" x14ac:dyDescent="0.3">
      <c r="A1786" s="28">
        <v>15436</v>
      </c>
      <c r="B1786" s="35">
        <v>45260.440972222219</v>
      </c>
      <c r="C1786" s="18">
        <v>45260</v>
      </c>
      <c r="D1786" t="s">
        <v>100</v>
      </c>
      <c r="E1786" s="32">
        <v>356400</v>
      </c>
      <c r="F1786" s="32">
        <v>0</v>
      </c>
      <c r="G1786" s="32">
        <v>200967003</v>
      </c>
      <c r="H1786" t="s">
        <v>292</v>
      </c>
    </row>
    <row r="1787" spans="1:8" hidden="1" x14ac:dyDescent="0.3">
      <c r="A1787" s="28">
        <v>15435</v>
      </c>
      <c r="B1787" s="35">
        <v>45260.405555555553</v>
      </c>
      <c r="C1787" s="18">
        <v>45260</v>
      </c>
      <c r="D1787" t="s">
        <v>100</v>
      </c>
      <c r="E1787" s="32">
        <v>1113200</v>
      </c>
      <c r="F1787" s="32">
        <v>0</v>
      </c>
      <c r="G1787" s="32">
        <v>200610603</v>
      </c>
      <c r="H1787" t="s">
        <v>254</v>
      </c>
    </row>
    <row r="1788" spans="1:8" hidden="1" x14ac:dyDescent="0.3">
      <c r="A1788" s="28">
        <v>15434</v>
      </c>
      <c r="B1788" s="35">
        <v>45260.405555555553</v>
      </c>
      <c r="C1788" s="18">
        <v>45260</v>
      </c>
      <c r="D1788" t="s">
        <v>100</v>
      </c>
      <c r="E1788" s="32">
        <v>816200</v>
      </c>
      <c r="F1788" s="32">
        <v>0</v>
      </c>
      <c r="G1788" s="32">
        <v>199497403</v>
      </c>
      <c r="H1788" t="s">
        <v>254</v>
      </c>
    </row>
    <row r="1789" spans="1:8" hidden="1" x14ac:dyDescent="0.3">
      <c r="A1789" s="28">
        <v>15433</v>
      </c>
      <c r="B1789" s="35">
        <v>45260.405555555553</v>
      </c>
      <c r="C1789" s="18">
        <v>45260</v>
      </c>
      <c r="D1789" t="s">
        <v>100</v>
      </c>
      <c r="E1789" s="32">
        <v>512600</v>
      </c>
      <c r="F1789" s="32">
        <v>0</v>
      </c>
      <c r="G1789" s="32">
        <v>198681203</v>
      </c>
      <c r="H1789" t="s">
        <v>254</v>
      </c>
    </row>
    <row r="1790" spans="1:8" hidden="1" x14ac:dyDescent="0.3">
      <c r="A1790" s="28">
        <v>15432</v>
      </c>
      <c r="B1790" s="35">
        <v>45260.405555555553</v>
      </c>
      <c r="C1790" s="18">
        <v>45260</v>
      </c>
      <c r="D1790" t="s">
        <v>100</v>
      </c>
      <c r="E1790" s="32">
        <v>310200</v>
      </c>
      <c r="F1790" s="32">
        <v>0</v>
      </c>
      <c r="G1790" s="32">
        <v>198168603</v>
      </c>
      <c r="H1790" t="s">
        <v>254</v>
      </c>
    </row>
    <row r="1791" spans="1:8" hidden="1" x14ac:dyDescent="0.3">
      <c r="A1791" s="28">
        <v>15431</v>
      </c>
      <c r="B1791" s="35">
        <v>45260.405555555553</v>
      </c>
      <c r="C1791" s="18">
        <v>45260</v>
      </c>
      <c r="D1791" t="s">
        <v>100</v>
      </c>
      <c r="E1791" s="32">
        <v>403700</v>
      </c>
      <c r="F1791" s="32">
        <v>0</v>
      </c>
      <c r="G1791" s="32">
        <v>197858403</v>
      </c>
      <c r="H1791" t="s">
        <v>254</v>
      </c>
    </row>
    <row r="1792" spans="1:8" hidden="1" x14ac:dyDescent="0.3">
      <c r="A1792" s="28">
        <v>15430</v>
      </c>
      <c r="B1792" s="35">
        <v>45260.374305555553</v>
      </c>
      <c r="C1792" s="18">
        <v>45260</v>
      </c>
      <c r="D1792" t="s">
        <v>101</v>
      </c>
      <c r="E1792" s="32">
        <v>0</v>
      </c>
      <c r="F1792" s="32">
        <v>198000</v>
      </c>
      <c r="G1792" s="32">
        <v>197454703</v>
      </c>
      <c r="H1792" t="s">
        <v>459</v>
      </c>
    </row>
    <row r="1793" spans="1:8" hidden="1" x14ac:dyDescent="0.3">
      <c r="A1793" s="28">
        <v>15429</v>
      </c>
      <c r="B1793" s="35">
        <v>45260.359027777777</v>
      </c>
      <c r="C1793" s="18">
        <v>45260</v>
      </c>
      <c r="D1793" t="s">
        <v>101</v>
      </c>
      <c r="E1793" s="32">
        <v>0</v>
      </c>
      <c r="F1793" s="32">
        <v>600000</v>
      </c>
      <c r="G1793" s="32">
        <v>197652703</v>
      </c>
      <c r="H1793" t="s">
        <v>460</v>
      </c>
    </row>
    <row r="1794" spans="1:8" hidden="1" x14ac:dyDescent="0.3">
      <c r="A1794" s="28">
        <v>15428</v>
      </c>
      <c r="B1794" s="35">
        <v>45259.720833333333</v>
      </c>
      <c r="C1794" s="18">
        <v>45259</v>
      </c>
      <c r="D1794" t="s">
        <v>101</v>
      </c>
      <c r="E1794" s="32">
        <v>0</v>
      </c>
      <c r="F1794" s="32">
        <v>22000</v>
      </c>
      <c r="G1794" s="32">
        <v>198252703</v>
      </c>
      <c r="H1794" t="s">
        <v>461</v>
      </c>
    </row>
    <row r="1795" spans="1:8" hidden="1" x14ac:dyDescent="0.3">
      <c r="A1795" s="28">
        <v>15427</v>
      </c>
      <c r="B1795" s="35">
        <v>45259.701388888891</v>
      </c>
      <c r="C1795" s="18">
        <v>45259</v>
      </c>
      <c r="D1795" t="s">
        <v>100</v>
      </c>
      <c r="E1795" s="32">
        <v>180400</v>
      </c>
      <c r="F1795" s="32">
        <v>0</v>
      </c>
      <c r="G1795" s="32">
        <v>198274703</v>
      </c>
      <c r="H1795" t="s">
        <v>462</v>
      </c>
    </row>
    <row r="1796" spans="1:8" hidden="1" x14ac:dyDescent="0.3">
      <c r="A1796" s="28">
        <v>15425</v>
      </c>
      <c r="B1796" s="35">
        <v>45259.628472222219</v>
      </c>
      <c r="C1796" s="18">
        <v>45259</v>
      </c>
      <c r="D1796" t="s">
        <v>100</v>
      </c>
      <c r="E1796" s="32">
        <v>90200</v>
      </c>
      <c r="F1796" s="32">
        <v>0</v>
      </c>
      <c r="G1796" s="32">
        <v>198094303</v>
      </c>
      <c r="H1796" t="s">
        <v>235</v>
      </c>
    </row>
    <row r="1797" spans="1:8" hidden="1" x14ac:dyDescent="0.3">
      <c r="A1797" s="28">
        <v>15424</v>
      </c>
      <c r="B1797" s="35">
        <v>45259.604861111111</v>
      </c>
      <c r="C1797" s="18">
        <v>45259</v>
      </c>
      <c r="D1797" t="s">
        <v>100</v>
      </c>
      <c r="E1797" s="32">
        <v>1536700</v>
      </c>
      <c r="F1797" s="32">
        <v>0</v>
      </c>
      <c r="G1797" s="32">
        <v>198004103</v>
      </c>
      <c r="H1797" t="s">
        <v>263</v>
      </c>
    </row>
    <row r="1798" spans="1:8" hidden="1" x14ac:dyDescent="0.3">
      <c r="A1798" s="28">
        <v>15423</v>
      </c>
      <c r="B1798" s="35">
        <v>45259.588888888888</v>
      </c>
      <c r="C1798" s="18">
        <v>45259</v>
      </c>
      <c r="D1798" t="s">
        <v>100</v>
      </c>
      <c r="E1798" s="32">
        <v>664400</v>
      </c>
      <c r="F1798" s="32">
        <v>0</v>
      </c>
      <c r="G1798" s="32">
        <v>196467403</v>
      </c>
      <c r="H1798" t="s">
        <v>247</v>
      </c>
    </row>
    <row r="1799" spans="1:8" hidden="1" x14ac:dyDescent="0.3">
      <c r="A1799" s="28">
        <v>15420</v>
      </c>
      <c r="B1799" s="35">
        <v>45259.414583333331</v>
      </c>
      <c r="C1799" s="18">
        <v>45259</v>
      </c>
      <c r="D1799" t="s">
        <v>101</v>
      </c>
      <c r="E1799" s="32">
        <v>0</v>
      </c>
      <c r="F1799" s="32">
        <v>2937000</v>
      </c>
      <c r="G1799" s="32">
        <v>195803003</v>
      </c>
      <c r="H1799" t="s">
        <v>324</v>
      </c>
    </row>
    <row r="1800" spans="1:8" hidden="1" x14ac:dyDescent="0.3">
      <c r="A1800" s="28">
        <v>15414</v>
      </c>
      <c r="B1800" s="35">
        <v>45258.440972222219</v>
      </c>
      <c r="C1800" s="18">
        <v>45258</v>
      </c>
      <c r="D1800" t="s">
        <v>100</v>
      </c>
      <c r="E1800" s="32">
        <v>1420100</v>
      </c>
      <c r="F1800" s="32">
        <v>0</v>
      </c>
      <c r="G1800" s="32">
        <v>198740003</v>
      </c>
      <c r="H1800" t="s">
        <v>220</v>
      </c>
    </row>
    <row r="1801" spans="1:8" hidden="1" x14ac:dyDescent="0.3">
      <c r="A1801" s="28">
        <v>15412</v>
      </c>
      <c r="B1801" s="35">
        <v>45257.840277777781</v>
      </c>
      <c r="C1801" s="18">
        <v>45257</v>
      </c>
      <c r="D1801" t="s">
        <v>101</v>
      </c>
      <c r="E1801" s="32">
        <v>0</v>
      </c>
      <c r="F1801" s="32">
        <v>440000</v>
      </c>
      <c r="G1801" s="32">
        <v>197319903</v>
      </c>
      <c r="H1801" t="s">
        <v>413</v>
      </c>
    </row>
    <row r="1802" spans="1:8" hidden="1" x14ac:dyDescent="0.3">
      <c r="A1802" s="28">
        <v>15409</v>
      </c>
      <c r="B1802" s="35">
        <v>45257.627083333333</v>
      </c>
      <c r="C1802" s="18">
        <v>45257</v>
      </c>
      <c r="D1802" t="s">
        <v>101</v>
      </c>
      <c r="E1802" s="32">
        <v>0</v>
      </c>
      <c r="F1802" s="32">
        <v>543000</v>
      </c>
      <c r="G1802" s="32">
        <v>197759903</v>
      </c>
      <c r="H1802" t="s">
        <v>463</v>
      </c>
    </row>
    <row r="1803" spans="1:8" hidden="1" x14ac:dyDescent="0.3">
      <c r="A1803" s="28">
        <v>15408</v>
      </c>
      <c r="B1803" s="35">
        <v>45257.588888888888</v>
      </c>
      <c r="C1803" s="18">
        <v>45257</v>
      </c>
      <c r="D1803" t="s">
        <v>100</v>
      </c>
      <c r="E1803" s="32">
        <v>314600</v>
      </c>
      <c r="F1803" s="32">
        <v>0</v>
      </c>
      <c r="G1803" s="32">
        <v>198302903</v>
      </c>
      <c r="H1803" t="s">
        <v>220</v>
      </c>
    </row>
    <row r="1804" spans="1:8" hidden="1" x14ac:dyDescent="0.3">
      <c r="A1804" s="28">
        <v>15407</v>
      </c>
      <c r="B1804" s="35">
        <v>45257.586805555555</v>
      </c>
      <c r="C1804" s="18">
        <v>45257</v>
      </c>
      <c r="D1804" t="s">
        <v>100</v>
      </c>
      <c r="E1804" s="32">
        <v>403700</v>
      </c>
      <c r="F1804" s="32">
        <v>0</v>
      </c>
      <c r="G1804" s="32">
        <v>197988303</v>
      </c>
      <c r="H1804" t="s">
        <v>429</v>
      </c>
    </row>
    <row r="1805" spans="1:8" hidden="1" x14ac:dyDescent="0.3">
      <c r="A1805" s="28">
        <v>15406</v>
      </c>
      <c r="B1805" s="35">
        <v>45257.586805555555</v>
      </c>
      <c r="C1805" s="18">
        <v>45257</v>
      </c>
      <c r="D1805" t="s">
        <v>100</v>
      </c>
      <c r="E1805" s="32">
        <v>177100</v>
      </c>
      <c r="F1805" s="32">
        <v>0</v>
      </c>
      <c r="G1805" s="32">
        <v>197584603</v>
      </c>
      <c r="H1805" t="s">
        <v>429</v>
      </c>
    </row>
    <row r="1806" spans="1:8" hidden="1" x14ac:dyDescent="0.3">
      <c r="A1806" s="28">
        <v>15405</v>
      </c>
      <c r="B1806" s="35">
        <v>45257.406944444447</v>
      </c>
      <c r="C1806" s="18">
        <v>45257</v>
      </c>
      <c r="D1806" t="s">
        <v>101</v>
      </c>
      <c r="E1806" s="32">
        <v>0</v>
      </c>
      <c r="F1806" s="32">
        <v>40590</v>
      </c>
      <c r="G1806" s="32">
        <v>197407503</v>
      </c>
      <c r="H1806" t="s">
        <v>293</v>
      </c>
    </row>
    <row r="1807" spans="1:8" hidden="1" x14ac:dyDescent="0.3">
      <c r="A1807" s="28">
        <v>15402</v>
      </c>
      <c r="B1807" s="35">
        <v>45254.873611111114</v>
      </c>
      <c r="C1807" s="18">
        <v>45254</v>
      </c>
      <c r="D1807" t="s">
        <v>100</v>
      </c>
      <c r="E1807" s="32">
        <v>377300</v>
      </c>
      <c r="F1807" s="32">
        <v>0</v>
      </c>
      <c r="G1807" s="32">
        <v>197448093</v>
      </c>
      <c r="H1807" t="s">
        <v>312</v>
      </c>
    </row>
    <row r="1808" spans="1:8" hidden="1" x14ac:dyDescent="0.3">
      <c r="A1808" s="28">
        <v>15401</v>
      </c>
      <c r="B1808" s="35">
        <v>45254.703472222223</v>
      </c>
      <c r="C1808" s="18">
        <v>45254</v>
      </c>
      <c r="D1808" t="s">
        <v>101</v>
      </c>
      <c r="E1808" s="32">
        <v>0</v>
      </c>
      <c r="F1808" s="32">
        <v>330000</v>
      </c>
      <c r="G1808" s="32">
        <v>197070793</v>
      </c>
      <c r="H1808" t="s">
        <v>464</v>
      </c>
    </row>
    <row r="1809" spans="1:8" hidden="1" x14ac:dyDescent="0.3">
      <c r="A1809" s="28">
        <v>15400</v>
      </c>
      <c r="B1809" s="35">
        <v>45254.618055555555</v>
      </c>
      <c r="C1809" s="18">
        <v>45254</v>
      </c>
      <c r="D1809" t="s">
        <v>100</v>
      </c>
      <c r="E1809" s="32">
        <v>1288100</v>
      </c>
      <c r="F1809" s="32">
        <v>0</v>
      </c>
      <c r="G1809" s="32">
        <v>197400793</v>
      </c>
      <c r="H1809" t="s">
        <v>228</v>
      </c>
    </row>
    <row r="1810" spans="1:8" hidden="1" x14ac:dyDescent="0.3">
      <c r="A1810" s="28">
        <v>15399</v>
      </c>
      <c r="B1810" s="35">
        <v>45254.583333333336</v>
      </c>
      <c r="C1810" s="18">
        <v>45254</v>
      </c>
      <c r="D1810" t="s">
        <v>101</v>
      </c>
      <c r="E1810" s="32">
        <v>0</v>
      </c>
      <c r="F1810" s="32">
        <v>322557</v>
      </c>
      <c r="G1810" s="32">
        <v>196112693</v>
      </c>
      <c r="H1810" t="s">
        <v>221</v>
      </c>
    </row>
    <row r="1811" spans="1:8" hidden="1" x14ac:dyDescent="0.3">
      <c r="A1811" s="28">
        <v>15398</v>
      </c>
      <c r="B1811" s="35">
        <v>45254.572916666664</v>
      </c>
      <c r="C1811" s="18">
        <v>45254</v>
      </c>
      <c r="D1811" t="s">
        <v>100</v>
      </c>
      <c r="E1811" s="32">
        <v>601700</v>
      </c>
      <c r="F1811" s="32">
        <v>0</v>
      </c>
      <c r="G1811" s="32">
        <v>196435250</v>
      </c>
      <c r="H1811" t="s">
        <v>454</v>
      </c>
    </row>
    <row r="1812" spans="1:8" hidden="1" x14ac:dyDescent="0.3">
      <c r="A1812" s="28">
        <v>15397</v>
      </c>
      <c r="B1812" s="35">
        <v>45254.520138888889</v>
      </c>
      <c r="C1812" s="18">
        <v>45254</v>
      </c>
      <c r="D1812" t="s">
        <v>100</v>
      </c>
      <c r="E1812" s="32">
        <v>282700</v>
      </c>
      <c r="F1812" s="32">
        <v>0</v>
      </c>
      <c r="G1812" s="32">
        <v>195833550</v>
      </c>
      <c r="H1812" t="s">
        <v>403</v>
      </c>
    </row>
    <row r="1813" spans="1:8" hidden="1" x14ac:dyDescent="0.3">
      <c r="A1813" s="28">
        <v>15396</v>
      </c>
      <c r="B1813" s="35">
        <v>45254.494444444441</v>
      </c>
      <c r="C1813" s="18">
        <v>45254</v>
      </c>
      <c r="D1813" t="s">
        <v>100</v>
      </c>
      <c r="E1813" s="32">
        <v>3977600</v>
      </c>
      <c r="F1813" s="32">
        <v>0</v>
      </c>
      <c r="G1813" s="32">
        <v>195550850</v>
      </c>
      <c r="H1813" t="s">
        <v>249</v>
      </c>
    </row>
    <row r="1814" spans="1:8" hidden="1" x14ac:dyDescent="0.3">
      <c r="A1814" s="28">
        <v>15395</v>
      </c>
      <c r="B1814" s="35">
        <v>45254.486805555556</v>
      </c>
      <c r="C1814" s="18">
        <v>45254</v>
      </c>
      <c r="D1814" t="s">
        <v>100</v>
      </c>
      <c r="E1814" s="32">
        <v>418000</v>
      </c>
      <c r="F1814" s="32">
        <v>0</v>
      </c>
      <c r="G1814" s="32">
        <v>191573250</v>
      </c>
      <c r="H1814" t="s">
        <v>383</v>
      </c>
    </row>
    <row r="1815" spans="1:8" hidden="1" x14ac:dyDescent="0.3">
      <c r="A1815" s="28">
        <v>15394</v>
      </c>
      <c r="B1815" s="35">
        <v>45254.459722222222</v>
      </c>
      <c r="C1815" s="18">
        <v>45254</v>
      </c>
      <c r="D1815" t="s">
        <v>101</v>
      </c>
      <c r="E1815" s="32">
        <v>0</v>
      </c>
      <c r="F1815" s="32">
        <v>3058000</v>
      </c>
      <c r="G1815" s="32">
        <v>191155250</v>
      </c>
      <c r="H1815" t="s">
        <v>465</v>
      </c>
    </row>
    <row r="1816" spans="1:8" hidden="1" x14ac:dyDescent="0.3">
      <c r="A1816" s="28">
        <v>15393</v>
      </c>
      <c r="B1816" s="35">
        <v>45254.454861111109</v>
      </c>
      <c r="C1816" s="18">
        <v>45254</v>
      </c>
      <c r="D1816" t="s">
        <v>101</v>
      </c>
      <c r="E1816" s="32">
        <v>0</v>
      </c>
      <c r="F1816" s="32">
        <v>2837684</v>
      </c>
      <c r="G1816" s="32">
        <v>194213250</v>
      </c>
      <c r="H1816" t="s">
        <v>466</v>
      </c>
    </row>
    <row r="1817" spans="1:8" hidden="1" x14ac:dyDescent="0.3">
      <c r="A1817" s="28">
        <v>15392</v>
      </c>
      <c r="B1817" s="35">
        <v>45254.445833333331</v>
      </c>
      <c r="C1817" s="18">
        <v>45254</v>
      </c>
      <c r="D1817" t="s">
        <v>100</v>
      </c>
      <c r="E1817" s="32">
        <v>5489000</v>
      </c>
      <c r="F1817" s="32">
        <v>0</v>
      </c>
      <c r="G1817" s="32">
        <v>197050934</v>
      </c>
      <c r="H1817" t="s">
        <v>467</v>
      </c>
    </row>
    <row r="1818" spans="1:8" hidden="1" x14ac:dyDescent="0.3">
      <c r="A1818" s="28">
        <v>15391</v>
      </c>
      <c r="B1818" s="35">
        <v>45254.393055555556</v>
      </c>
      <c r="C1818" s="18">
        <v>45254</v>
      </c>
      <c r="D1818" t="s">
        <v>100</v>
      </c>
      <c r="E1818" s="32">
        <v>101513836</v>
      </c>
      <c r="F1818" s="32">
        <v>0</v>
      </c>
      <c r="G1818" s="32">
        <v>191561934</v>
      </c>
      <c r="H1818" t="s">
        <v>468</v>
      </c>
    </row>
    <row r="1819" spans="1:8" hidden="1" x14ac:dyDescent="0.3">
      <c r="A1819" s="28">
        <v>15390</v>
      </c>
      <c r="B1819" s="35">
        <v>45254.377083333333</v>
      </c>
      <c r="C1819" s="18">
        <v>45254</v>
      </c>
      <c r="D1819" t="s">
        <v>101</v>
      </c>
      <c r="E1819" s="32">
        <v>0</v>
      </c>
      <c r="F1819" s="32">
        <v>130000</v>
      </c>
      <c r="G1819" s="32">
        <v>90048098</v>
      </c>
      <c r="H1819" t="s">
        <v>469</v>
      </c>
    </row>
    <row r="1820" spans="1:8" hidden="1" x14ac:dyDescent="0.3">
      <c r="A1820" s="28">
        <v>15389</v>
      </c>
      <c r="B1820" s="35">
        <v>45254.377083333333</v>
      </c>
      <c r="C1820" s="18">
        <v>45254</v>
      </c>
      <c r="D1820" t="s">
        <v>101</v>
      </c>
      <c r="E1820" s="32">
        <v>0</v>
      </c>
      <c r="F1820" s="32">
        <v>450000</v>
      </c>
      <c r="G1820" s="32">
        <v>90178098</v>
      </c>
      <c r="H1820" t="s">
        <v>282</v>
      </c>
    </row>
    <row r="1821" spans="1:8" hidden="1" x14ac:dyDescent="0.3">
      <c r="A1821" s="28">
        <v>15388</v>
      </c>
      <c r="B1821" s="35">
        <v>45254.363194444442</v>
      </c>
      <c r="C1821" s="18">
        <v>45254</v>
      </c>
      <c r="D1821" t="s">
        <v>100</v>
      </c>
      <c r="E1821" s="32">
        <v>41800</v>
      </c>
      <c r="F1821" s="32">
        <v>0</v>
      </c>
      <c r="G1821" s="32">
        <v>90628098</v>
      </c>
      <c r="H1821" t="s">
        <v>384</v>
      </c>
    </row>
    <row r="1822" spans="1:8" hidden="1" x14ac:dyDescent="0.3">
      <c r="A1822" s="28">
        <v>15384</v>
      </c>
      <c r="B1822" s="35">
        <v>45253.564583333333</v>
      </c>
      <c r="C1822" s="18">
        <v>45253</v>
      </c>
      <c r="D1822" t="s">
        <v>100</v>
      </c>
      <c r="E1822" s="32">
        <v>1713800</v>
      </c>
      <c r="F1822" s="32">
        <v>0</v>
      </c>
      <c r="G1822" s="32">
        <v>90586298</v>
      </c>
      <c r="H1822" t="s">
        <v>470</v>
      </c>
    </row>
    <row r="1823" spans="1:8" hidden="1" x14ac:dyDescent="0.3">
      <c r="A1823" s="28">
        <v>15381</v>
      </c>
      <c r="B1823" s="35">
        <v>45253.427083333336</v>
      </c>
      <c r="C1823" s="18">
        <v>45253</v>
      </c>
      <c r="D1823" t="s">
        <v>101</v>
      </c>
      <c r="E1823" s="32">
        <v>0</v>
      </c>
      <c r="F1823" s="32">
        <v>99000</v>
      </c>
      <c r="G1823" s="32">
        <v>88872498</v>
      </c>
      <c r="H1823" t="s">
        <v>471</v>
      </c>
    </row>
    <row r="1824" spans="1:8" hidden="1" x14ac:dyDescent="0.3">
      <c r="A1824" s="28">
        <v>15380</v>
      </c>
      <c r="B1824" s="35">
        <v>45253.422222222223</v>
      </c>
      <c r="C1824" s="18">
        <v>45253</v>
      </c>
      <c r="D1824" t="s">
        <v>101</v>
      </c>
      <c r="E1824" s="32">
        <v>0</v>
      </c>
      <c r="F1824" s="32">
        <v>4400000</v>
      </c>
      <c r="G1824" s="32">
        <v>88971498</v>
      </c>
      <c r="H1824" t="s">
        <v>472</v>
      </c>
    </row>
    <row r="1825" spans="1:8" hidden="1" x14ac:dyDescent="0.3">
      <c r="A1825" s="28">
        <v>15378</v>
      </c>
      <c r="B1825" s="35">
        <v>45252.75277777778</v>
      </c>
      <c r="C1825" s="18">
        <v>45252</v>
      </c>
      <c r="D1825" t="s">
        <v>100</v>
      </c>
      <c r="E1825" s="32">
        <v>1166000</v>
      </c>
      <c r="F1825" s="32">
        <v>0</v>
      </c>
      <c r="G1825" s="32">
        <v>93371498</v>
      </c>
      <c r="H1825" t="s">
        <v>473</v>
      </c>
    </row>
    <row r="1826" spans="1:8" hidden="1" x14ac:dyDescent="0.3">
      <c r="A1826" s="28">
        <v>15377</v>
      </c>
      <c r="B1826" s="35">
        <v>45252.615972222222</v>
      </c>
      <c r="C1826" s="18">
        <v>45252</v>
      </c>
      <c r="D1826" t="s">
        <v>100</v>
      </c>
      <c r="E1826" s="32">
        <v>210100</v>
      </c>
      <c r="F1826" s="32">
        <v>0</v>
      </c>
      <c r="G1826" s="32">
        <v>92205498</v>
      </c>
      <c r="H1826" t="s">
        <v>474</v>
      </c>
    </row>
    <row r="1827" spans="1:8" hidden="1" x14ac:dyDescent="0.3">
      <c r="A1827" s="28">
        <v>15376</v>
      </c>
      <c r="B1827" s="35">
        <v>45252.561805555553</v>
      </c>
      <c r="C1827" s="18">
        <v>45252</v>
      </c>
      <c r="D1827" t="s">
        <v>101</v>
      </c>
      <c r="E1827" s="32">
        <v>0</v>
      </c>
      <c r="F1827" s="32">
        <v>182213</v>
      </c>
      <c r="G1827" s="32">
        <v>91995398</v>
      </c>
      <c r="H1827" t="s">
        <v>221</v>
      </c>
    </row>
    <row r="1828" spans="1:8" hidden="1" x14ac:dyDescent="0.3">
      <c r="A1828" s="28">
        <v>15374</v>
      </c>
      <c r="B1828" s="35">
        <v>45252.429166666669</v>
      </c>
      <c r="C1828" s="18">
        <v>45252</v>
      </c>
      <c r="D1828" t="s">
        <v>100</v>
      </c>
      <c r="E1828" s="32">
        <v>598400</v>
      </c>
      <c r="F1828" s="32">
        <v>0</v>
      </c>
      <c r="G1828" s="32">
        <v>92177611</v>
      </c>
      <c r="H1828" t="s">
        <v>475</v>
      </c>
    </row>
    <row r="1829" spans="1:8" hidden="1" x14ac:dyDescent="0.3">
      <c r="A1829" s="28">
        <v>15373</v>
      </c>
      <c r="B1829" s="35">
        <v>45252.408333333333</v>
      </c>
      <c r="C1829" s="18">
        <v>45252</v>
      </c>
      <c r="D1829" t="s">
        <v>100</v>
      </c>
      <c r="E1829" s="32">
        <v>405900</v>
      </c>
      <c r="F1829" s="32">
        <v>0</v>
      </c>
      <c r="G1829" s="32">
        <v>91579211</v>
      </c>
      <c r="H1829" t="s">
        <v>476</v>
      </c>
    </row>
    <row r="1830" spans="1:8" hidden="1" x14ac:dyDescent="0.3">
      <c r="A1830" s="28">
        <v>15372</v>
      </c>
      <c r="B1830" s="35">
        <v>45252.394444444442</v>
      </c>
      <c r="C1830" s="18">
        <v>45252</v>
      </c>
      <c r="D1830" t="s">
        <v>101</v>
      </c>
      <c r="E1830" s="32">
        <v>0</v>
      </c>
      <c r="F1830" s="32">
        <v>33507910</v>
      </c>
      <c r="G1830" s="32">
        <v>91173311</v>
      </c>
      <c r="H1830" t="s">
        <v>258</v>
      </c>
    </row>
    <row r="1831" spans="1:8" hidden="1" x14ac:dyDescent="0.3">
      <c r="A1831" s="28">
        <v>15371</v>
      </c>
      <c r="B1831" s="35">
        <v>45252.393750000003</v>
      </c>
      <c r="C1831" s="18">
        <v>45252</v>
      </c>
      <c r="D1831" t="s">
        <v>101</v>
      </c>
      <c r="E1831" s="32">
        <v>0</v>
      </c>
      <c r="F1831" s="32">
        <v>11181080</v>
      </c>
      <c r="G1831" s="32">
        <v>124681221</v>
      </c>
      <c r="H1831" t="s">
        <v>258</v>
      </c>
    </row>
    <row r="1832" spans="1:8" hidden="1" x14ac:dyDescent="0.3">
      <c r="A1832" s="28">
        <v>15370</v>
      </c>
      <c r="B1832" s="35">
        <v>45252.386111111111</v>
      </c>
      <c r="C1832" s="18">
        <v>45252</v>
      </c>
      <c r="D1832" t="s">
        <v>101</v>
      </c>
      <c r="E1832" s="32">
        <v>0</v>
      </c>
      <c r="F1832" s="32">
        <v>8000</v>
      </c>
      <c r="G1832" s="32">
        <v>135862301</v>
      </c>
      <c r="H1832" t="s">
        <v>241</v>
      </c>
    </row>
    <row r="1833" spans="1:8" hidden="1" x14ac:dyDescent="0.3">
      <c r="A1833" s="28">
        <v>15369</v>
      </c>
      <c r="B1833" s="35">
        <v>45252.361111111109</v>
      </c>
      <c r="C1833" s="18">
        <v>45252</v>
      </c>
      <c r="D1833" t="s">
        <v>100</v>
      </c>
      <c r="E1833" s="32">
        <v>104179240</v>
      </c>
      <c r="F1833" s="32">
        <v>0</v>
      </c>
      <c r="G1833" s="32">
        <v>135870301</v>
      </c>
      <c r="H1833" t="s">
        <v>477</v>
      </c>
    </row>
    <row r="1834" spans="1:8" hidden="1" x14ac:dyDescent="0.3">
      <c r="A1834" s="28">
        <v>15365</v>
      </c>
      <c r="B1834" s="35">
        <v>45251.690972222219</v>
      </c>
      <c r="C1834" s="18">
        <v>45251</v>
      </c>
      <c r="D1834" t="s">
        <v>100</v>
      </c>
      <c r="E1834" s="32">
        <v>61800</v>
      </c>
      <c r="F1834" s="32">
        <v>0</v>
      </c>
      <c r="G1834" s="32">
        <v>31691061</v>
      </c>
      <c r="H1834" t="s">
        <v>391</v>
      </c>
    </row>
    <row r="1835" spans="1:8" hidden="1" x14ac:dyDescent="0.3">
      <c r="A1835" s="28">
        <v>15364</v>
      </c>
      <c r="B1835" s="35">
        <v>45251.690972222219</v>
      </c>
      <c r="C1835" s="18">
        <v>45251</v>
      </c>
      <c r="D1835" t="s">
        <v>100</v>
      </c>
      <c r="E1835" s="32">
        <v>618000</v>
      </c>
      <c r="F1835" s="32">
        <v>0</v>
      </c>
      <c r="G1835" s="32">
        <v>31629261</v>
      </c>
      <c r="H1835" t="s">
        <v>391</v>
      </c>
    </row>
    <row r="1836" spans="1:8" hidden="1" x14ac:dyDescent="0.3">
      <c r="A1836" s="28">
        <v>15363</v>
      </c>
      <c r="B1836" s="35">
        <v>45251.690972222219</v>
      </c>
      <c r="C1836" s="18">
        <v>45251</v>
      </c>
      <c r="D1836" t="s">
        <v>100</v>
      </c>
      <c r="E1836" s="32">
        <v>29000</v>
      </c>
      <c r="F1836" s="32">
        <v>0</v>
      </c>
      <c r="G1836" s="32">
        <v>31011261</v>
      </c>
      <c r="H1836" t="s">
        <v>391</v>
      </c>
    </row>
    <row r="1837" spans="1:8" hidden="1" x14ac:dyDescent="0.3">
      <c r="A1837" s="28">
        <v>15362</v>
      </c>
      <c r="B1837" s="35">
        <v>45251.690972222219</v>
      </c>
      <c r="C1837" s="18">
        <v>45251</v>
      </c>
      <c r="D1837" t="s">
        <v>100</v>
      </c>
      <c r="E1837" s="32">
        <v>78500</v>
      </c>
      <c r="F1837" s="32">
        <v>0</v>
      </c>
      <c r="G1837" s="32">
        <v>30982261</v>
      </c>
      <c r="H1837" t="s">
        <v>391</v>
      </c>
    </row>
    <row r="1838" spans="1:8" hidden="1" x14ac:dyDescent="0.3">
      <c r="A1838" s="28">
        <v>15361</v>
      </c>
      <c r="B1838" s="35">
        <v>45251.685416666667</v>
      </c>
      <c r="C1838" s="18">
        <v>45251</v>
      </c>
      <c r="D1838" t="s">
        <v>100</v>
      </c>
      <c r="E1838" s="32">
        <v>290000</v>
      </c>
      <c r="F1838" s="32">
        <v>0</v>
      </c>
      <c r="G1838" s="32">
        <v>30903761</v>
      </c>
      <c r="H1838" t="s">
        <v>390</v>
      </c>
    </row>
    <row r="1839" spans="1:8" hidden="1" x14ac:dyDescent="0.3">
      <c r="A1839" s="28">
        <v>15360</v>
      </c>
      <c r="B1839" s="35">
        <v>45251.685416666667</v>
      </c>
      <c r="C1839" s="18">
        <v>45251</v>
      </c>
      <c r="D1839" t="s">
        <v>100</v>
      </c>
      <c r="E1839" s="32">
        <v>785000</v>
      </c>
      <c r="F1839" s="32">
        <v>0</v>
      </c>
      <c r="G1839" s="32">
        <v>30613761</v>
      </c>
      <c r="H1839" t="s">
        <v>390</v>
      </c>
    </row>
    <row r="1840" spans="1:8" hidden="1" x14ac:dyDescent="0.3">
      <c r="A1840" s="28">
        <v>15359</v>
      </c>
      <c r="B1840" s="35">
        <v>45251.669444444444</v>
      </c>
      <c r="C1840" s="18">
        <v>45251</v>
      </c>
      <c r="D1840" t="s">
        <v>100</v>
      </c>
      <c r="E1840" s="32">
        <v>2396900</v>
      </c>
      <c r="F1840" s="32">
        <v>0</v>
      </c>
      <c r="G1840" s="32">
        <v>29828761</v>
      </c>
      <c r="H1840" t="s">
        <v>375</v>
      </c>
    </row>
    <row r="1841" spans="1:8" hidden="1" x14ac:dyDescent="0.3">
      <c r="A1841" s="28">
        <v>15358</v>
      </c>
      <c r="B1841" s="35">
        <v>45251.648611111108</v>
      </c>
      <c r="C1841" s="18">
        <v>45251</v>
      </c>
      <c r="D1841" t="s">
        <v>100</v>
      </c>
      <c r="E1841" s="32">
        <v>1020800</v>
      </c>
      <c r="F1841" s="32">
        <v>0</v>
      </c>
      <c r="G1841" s="32">
        <v>27431861</v>
      </c>
      <c r="H1841" t="s">
        <v>376</v>
      </c>
    </row>
    <row r="1842" spans="1:8" hidden="1" x14ac:dyDescent="0.3">
      <c r="A1842" s="28">
        <v>15357</v>
      </c>
      <c r="B1842" s="35">
        <v>45251.638194444444</v>
      </c>
      <c r="C1842" s="18">
        <v>45251</v>
      </c>
      <c r="D1842" t="s">
        <v>100</v>
      </c>
      <c r="E1842" s="32">
        <v>1037300</v>
      </c>
      <c r="F1842" s="32">
        <v>0</v>
      </c>
      <c r="G1842" s="32">
        <v>26411061</v>
      </c>
      <c r="H1842" t="s">
        <v>454</v>
      </c>
    </row>
    <row r="1843" spans="1:8" hidden="1" x14ac:dyDescent="0.3">
      <c r="A1843" s="28">
        <v>15356</v>
      </c>
      <c r="B1843" s="35">
        <v>45251.489583333336</v>
      </c>
      <c r="C1843" s="18">
        <v>45251</v>
      </c>
      <c r="D1843" t="s">
        <v>101</v>
      </c>
      <c r="E1843" s="32">
        <v>0</v>
      </c>
      <c r="F1843" s="32">
        <v>1537440</v>
      </c>
      <c r="G1843" s="32">
        <v>25373761</v>
      </c>
      <c r="H1843" t="s">
        <v>294</v>
      </c>
    </row>
    <row r="1844" spans="1:8" hidden="1" x14ac:dyDescent="0.3">
      <c r="A1844" s="28">
        <v>15355</v>
      </c>
      <c r="B1844" s="35">
        <v>45251.486805555556</v>
      </c>
      <c r="C1844" s="18">
        <v>45251</v>
      </c>
      <c r="D1844" t="s">
        <v>101</v>
      </c>
      <c r="E1844" s="32">
        <v>0</v>
      </c>
      <c r="F1844" s="32">
        <v>20000</v>
      </c>
      <c r="G1844" s="32">
        <v>26911201</v>
      </c>
      <c r="H1844" t="s">
        <v>295</v>
      </c>
    </row>
    <row r="1845" spans="1:8" hidden="1" x14ac:dyDescent="0.3">
      <c r="A1845" s="28">
        <v>15354</v>
      </c>
      <c r="B1845" s="35">
        <v>45251.435416666667</v>
      </c>
      <c r="C1845" s="18">
        <v>45251</v>
      </c>
      <c r="D1845" t="s">
        <v>100</v>
      </c>
      <c r="E1845" s="32">
        <v>56278</v>
      </c>
      <c r="F1845" s="32">
        <v>0</v>
      </c>
      <c r="G1845" s="32">
        <v>26931201</v>
      </c>
      <c r="H1845" t="s">
        <v>478</v>
      </c>
    </row>
    <row r="1846" spans="1:8" hidden="1" x14ac:dyDescent="0.3">
      <c r="A1846" s="28">
        <v>15353</v>
      </c>
      <c r="B1846" s="35">
        <v>45251.386111111111</v>
      </c>
      <c r="C1846" s="18">
        <v>45251</v>
      </c>
      <c r="D1846" t="s">
        <v>100</v>
      </c>
      <c r="E1846" s="32">
        <v>10257</v>
      </c>
      <c r="F1846" s="32">
        <v>0</v>
      </c>
      <c r="G1846" s="32">
        <v>26874923</v>
      </c>
      <c r="H1846" t="s">
        <v>479</v>
      </c>
    </row>
    <row r="1847" spans="1:8" hidden="1" x14ac:dyDescent="0.3">
      <c r="A1847" s="28">
        <v>15348</v>
      </c>
      <c r="B1847" s="35">
        <v>45251.376388888886</v>
      </c>
      <c r="C1847" s="18">
        <v>45251</v>
      </c>
      <c r="D1847" t="s">
        <v>101</v>
      </c>
      <c r="E1847" s="32">
        <v>0</v>
      </c>
      <c r="F1847" s="32">
        <v>40341600</v>
      </c>
      <c r="G1847" s="32">
        <v>26864666</v>
      </c>
      <c r="H1847" t="s">
        <v>242</v>
      </c>
    </row>
    <row r="1848" spans="1:8" hidden="1" x14ac:dyDescent="0.3">
      <c r="A1848" s="28">
        <v>15347</v>
      </c>
      <c r="B1848" s="35">
        <v>45251.375694444447</v>
      </c>
      <c r="C1848" s="18">
        <v>45251</v>
      </c>
      <c r="D1848" t="s">
        <v>101</v>
      </c>
      <c r="E1848" s="32">
        <v>0</v>
      </c>
      <c r="F1848" s="32">
        <v>40017600</v>
      </c>
      <c r="G1848" s="32">
        <v>67206266</v>
      </c>
      <c r="H1848" t="s">
        <v>242</v>
      </c>
    </row>
    <row r="1849" spans="1:8" hidden="1" x14ac:dyDescent="0.3">
      <c r="A1849" s="28">
        <v>15346</v>
      </c>
      <c r="B1849" s="35">
        <v>45250.852777777778</v>
      </c>
      <c r="C1849" s="18">
        <v>45250</v>
      </c>
      <c r="D1849" t="s">
        <v>101</v>
      </c>
      <c r="E1849" s="32">
        <v>0</v>
      </c>
      <c r="F1849" s="32">
        <v>598530</v>
      </c>
      <c r="G1849" s="32">
        <v>107223866</v>
      </c>
      <c r="H1849" t="s">
        <v>422</v>
      </c>
    </row>
    <row r="1850" spans="1:8" hidden="1" x14ac:dyDescent="0.3">
      <c r="A1850" s="28">
        <v>15345</v>
      </c>
      <c r="B1850" s="35">
        <v>45250.833333333336</v>
      </c>
      <c r="C1850" s="18">
        <v>45250</v>
      </c>
      <c r="D1850" t="s">
        <v>101</v>
      </c>
      <c r="E1850" s="32">
        <v>0</v>
      </c>
      <c r="F1850" s="32">
        <v>292545</v>
      </c>
      <c r="G1850" s="32">
        <v>107822396</v>
      </c>
      <c r="H1850" t="s">
        <v>423</v>
      </c>
    </row>
    <row r="1851" spans="1:8" hidden="1" x14ac:dyDescent="0.3">
      <c r="A1851" s="28">
        <v>15344</v>
      </c>
      <c r="B1851" s="35">
        <v>45250.821527777778</v>
      </c>
      <c r="C1851" s="18">
        <v>45250</v>
      </c>
      <c r="D1851" t="s">
        <v>101</v>
      </c>
      <c r="E1851" s="32">
        <v>0</v>
      </c>
      <c r="F1851" s="32">
        <v>77429</v>
      </c>
      <c r="G1851" s="32">
        <v>108114941</v>
      </c>
      <c r="H1851" t="s">
        <v>480</v>
      </c>
    </row>
    <row r="1852" spans="1:8" hidden="1" x14ac:dyDescent="0.3">
      <c r="A1852" s="28">
        <v>15343</v>
      </c>
      <c r="B1852" s="35">
        <v>45250.816666666666</v>
      </c>
      <c r="C1852" s="18">
        <v>45250</v>
      </c>
      <c r="D1852" t="s">
        <v>101</v>
      </c>
      <c r="E1852" s="32">
        <v>0</v>
      </c>
      <c r="F1852" s="32">
        <v>1000000</v>
      </c>
      <c r="G1852" s="32">
        <v>108192370</v>
      </c>
      <c r="H1852" t="s">
        <v>481</v>
      </c>
    </row>
    <row r="1853" spans="1:8" hidden="1" x14ac:dyDescent="0.3">
      <c r="A1853" s="28">
        <v>15342</v>
      </c>
      <c r="B1853" s="35">
        <v>45250.65</v>
      </c>
      <c r="C1853" s="18">
        <v>45250</v>
      </c>
      <c r="D1853" t="s">
        <v>100</v>
      </c>
      <c r="E1853" s="32">
        <v>31500</v>
      </c>
      <c r="F1853" s="32">
        <v>0</v>
      </c>
      <c r="G1853" s="32">
        <v>109192370</v>
      </c>
      <c r="H1853" t="s">
        <v>316</v>
      </c>
    </row>
    <row r="1854" spans="1:8" hidden="1" x14ac:dyDescent="0.3">
      <c r="A1854" s="28">
        <v>15341</v>
      </c>
      <c r="B1854" s="35">
        <v>45250.65</v>
      </c>
      <c r="C1854" s="18">
        <v>45250</v>
      </c>
      <c r="D1854" t="s">
        <v>100</v>
      </c>
      <c r="E1854" s="32">
        <v>110000</v>
      </c>
      <c r="F1854" s="32">
        <v>0</v>
      </c>
      <c r="G1854" s="32">
        <v>109160870</v>
      </c>
      <c r="H1854" t="s">
        <v>316</v>
      </c>
    </row>
    <row r="1855" spans="1:8" hidden="1" x14ac:dyDescent="0.3">
      <c r="A1855" s="28">
        <v>15340</v>
      </c>
      <c r="B1855" s="35">
        <v>45250.607638888891</v>
      </c>
      <c r="C1855" s="18">
        <v>45250</v>
      </c>
      <c r="D1855" t="s">
        <v>100</v>
      </c>
      <c r="E1855" s="32">
        <v>623700</v>
      </c>
      <c r="F1855" s="32">
        <v>0</v>
      </c>
      <c r="G1855" s="32">
        <v>109050870</v>
      </c>
      <c r="H1855" t="s">
        <v>315</v>
      </c>
    </row>
    <row r="1856" spans="1:8" hidden="1" x14ac:dyDescent="0.3">
      <c r="A1856" s="28">
        <v>15339</v>
      </c>
      <c r="B1856" s="35">
        <v>45250.490972222222</v>
      </c>
      <c r="C1856" s="18">
        <v>45250</v>
      </c>
      <c r="D1856" t="s">
        <v>101</v>
      </c>
      <c r="E1856" s="32">
        <v>0</v>
      </c>
      <c r="F1856" s="32">
        <v>9029300</v>
      </c>
      <c r="G1856" s="32">
        <v>108427170</v>
      </c>
      <c r="H1856" t="s">
        <v>482</v>
      </c>
    </row>
    <row r="1857" spans="1:8" hidden="1" x14ac:dyDescent="0.3">
      <c r="A1857" s="28">
        <v>15336</v>
      </c>
      <c r="B1857" s="35">
        <v>45250.474305555559</v>
      </c>
      <c r="C1857" s="18">
        <v>45250</v>
      </c>
      <c r="D1857" t="s">
        <v>100</v>
      </c>
      <c r="E1857" s="32">
        <v>1073600</v>
      </c>
      <c r="F1857" s="32">
        <v>0</v>
      </c>
      <c r="G1857" s="32">
        <v>117456470</v>
      </c>
      <c r="H1857" t="s">
        <v>454</v>
      </c>
    </row>
    <row r="1858" spans="1:8" hidden="1" x14ac:dyDescent="0.3">
      <c r="A1858" s="28">
        <v>15335</v>
      </c>
      <c r="B1858" s="35">
        <v>45250.43472222222</v>
      </c>
      <c r="C1858" s="18">
        <v>45250</v>
      </c>
      <c r="D1858" t="s">
        <v>100</v>
      </c>
      <c r="E1858" s="32">
        <v>1146200</v>
      </c>
      <c r="F1858" s="32">
        <v>0</v>
      </c>
      <c r="G1858" s="32">
        <v>116382870</v>
      </c>
      <c r="H1858" t="s">
        <v>220</v>
      </c>
    </row>
    <row r="1859" spans="1:8" hidden="1" x14ac:dyDescent="0.3">
      <c r="A1859" s="28">
        <v>15334</v>
      </c>
      <c r="B1859" s="35">
        <v>45250.420138888891</v>
      </c>
      <c r="C1859" s="18">
        <v>45250</v>
      </c>
      <c r="D1859" t="s">
        <v>101</v>
      </c>
      <c r="E1859" s="32">
        <v>0</v>
      </c>
      <c r="F1859" s="32">
        <v>992000</v>
      </c>
      <c r="G1859" s="32">
        <v>115236670</v>
      </c>
      <c r="H1859" t="s">
        <v>291</v>
      </c>
    </row>
    <row r="1860" spans="1:8" hidden="1" x14ac:dyDescent="0.3">
      <c r="A1860" s="28">
        <v>15333</v>
      </c>
      <c r="B1860" s="35">
        <v>45250.396527777775</v>
      </c>
      <c r="C1860" s="18">
        <v>45250</v>
      </c>
      <c r="D1860" t="s">
        <v>101</v>
      </c>
      <c r="E1860" s="32">
        <v>0</v>
      </c>
      <c r="F1860" s="32">
        <v>286000</v>
      </c>
      <c r="G1860" s="32">
        <v>116228670</v>
      </c>
      <c r="H1860" t="s">
        <v>483</v>
      </c>
    </row>
    <row r="1861" spans="1:8" hidden="1" x14ac:dyDescent="0.3">
      <c r="A1861" s="28">
        <v>15332</v>
      </c>
      <c r="B1861" s="35">
        <v>45250.381249999999</v>
      </c>
      <c r="C1861" s="18">
        <v>45250</v>
      </c>
      <c r="D1861" t="s">
        <v>101</v>
      </c>
      <c r="E1861" s="32">
        <v>0</v>
      </c>
      <c r="F1861" s="32">
        <v>8164710</v>
      </c>
      <c r="G1861" s="32">
        <v>116514670</v>
      </c>
      <c r="H1861" t="s">
        <v>289</v>
      </c>
    </row>
    <row r="1862" spans="1:8" hidden="1" x14ac:dyDescent="0.3">
      <c r="A1862" s="28">
        <v>15331</v>
      </c>
      <c r="B1862" s="35">
        <v>45250.379861111112</v>
      </c>
      <c r="C1862" s="18">
        <v>45250</v>
      </c>
      <c r="D1862" t="s">
        <v>101</v>
      </c>
      <c r="E1862" s="32">
        <v>0</v>
      </c>
      <c r="F1862" s="32">
        <v>226315</v>
      </c>
      <c r="G1862" s="32">
        <v>124679380</v>
      </c>
      <c r="H1862" t="s">
        <v>221</v>
      </c>
    </row>
    <row r="1863" spans="1:8" hidden="1" x14ac:dyDescent="0.3">
      <c r="A1863" s="28">
        <v>15330</v>
      </c>
      <c r="B1863" s="35">
        <v>45250.375</v>
      </c>
      <c r="C1863" s="18">
        <v>45250</v>
      </c>
      <c r="D1863" t="s">
        <v>100</v>
      </c>
      <c r="E1863" s="32">
        <v>1619200</v>
      </c>
      <c r="F1863" s="32">
        <v>0</v>
      </c>
      <c r="G1863" s="32">
        <v>124905695</v>
      </c>
      <c r="H1863" t="s">
        <v>484</v>
      </c>
    </row>
    <row r="1864" spans="1:8" hidden="1" x14ac:dyDescent="0.3">
      <c r="A1864" s="28">
        <v>15328</v>
      </c>
      <c r="B1864" s="35">
        <v>45247.645138888889</v>
      </c>
      <c r="C1864" s="18">
        <v>45247</v>
      </c>
      <c r="D1864" t="s">
        <v>100</v>
      </c>
      <c r="E1864" s="32">
        <v>194440</v>
      </c>
      <c r="F1864" s="32">
        <v>0</v>
      </c>
      <c r="G1864" s="32">
        <v>123286495</v>
      </c>
      <c r="H1864" t="s">
        <v>485</v>
      </c>
    </row>
    <row r="1865" spans="1:8" hidden="1" x14ac:dyDescent="0.3">
      <c r="A1865" s="28">
        <v>15327</v>
      </c>
      <c r="B1865" s="35">
        <v>45247.643055555556</v>
      </c>
      <c r="C1865" s="18">
        <v>45247</v>
      </c>
      <c r="D1865" t="s">
        <v>100</v>
      </c>
      <c r="E1865" s="32">
        <v>18647</v>
      </c>
      <c r="F1865" s="32">
        <v>0</v>
      </c>
      <c r="G1865" s="32">
        <v>123092055</v>
      </c>
      <c r="H1865" t="s">
        <v>486</v>
      </c>
    </row>
    <row r="1866" spans="1:8" hidden="1" x14ac:dyDescent="0.3">
      <c r="A1866" s="28">
        <v>15326</v>
      </c>
      <c r="B1866" s="35">
        <v>45247.625694444447</v>
      </c>
      <c r="C1866" s="18">
        <v>45247</v>
      </c>
      <c r="D1866" t="s">
        <v>100</v>
      </c>
      <c r="E1866" s="32">
        <v>3272500</v>
      </c>
      <c r="F1866" s="32">
        <v>0</v>
      </c>
      <c r="G1866" s="32">
        <v>123073408</v>
      </c>
      <c r="H1866" t="s">
        <v>487</v>
      </c>
    </row>
    <row r="1867" spans="1:8" hidden="1" x14ac:dyDescent="0.3">
      <c r="A1867" s="28">
        <v>15325</v>
      </c>
      <c r="B1867" s="35">
        <v>45247.602083333331</v>
      </c>
      <c r="C1867" s="18">
        <v>45247</v>
      </c>
      <c r="D1867" t="s">
        <v>100</v>
      </c>
      <c r="E1867" s="32">
        <v>229900</v>
      </c>
      <c r="F1867" s="32">
        <v>0</v>
      </c>
      <c r="G1867" s="32">
        <v>119800908</v>
      </c>
      <c r="H1867" t="s">
        <v>454</v>
      </c>
    </row>
    <row r="1868" spans="1:8" hidden="1" x14ac:dyDescent="0.3">
      <c r="A1868" s="28">
        <v>15324</v>
      </c>
      <c r="B1868" s="35">
        <v>45247.594444444447</v>
      </c>
      <c r="C1868" s="18">
        <v>45247</v>
      </c>
      <c r="D1868" t="s">
        <v>100</v>
      </c>
      <c r="E1868" s="32">
        <v>287100</v>
      </c>
      <c r="F1868" s="32">
        <v>0</v>
      </c>
      <c r="G1868" s="32">
        <v>119571008</v>
      </c>
      <c r="H1868" t="s">
        <v>454</v>
      </c>
    </row>
    <row r="1869" spans="1:8" hidden="1" x14ac:dyDescent="0.3">
      <c r="A1869" s="28">
        <v>15323</v>
      </c>
      <c r="B1869" s="35">
        <v>45247.545138888891</v>
      </c>
      <c r="C1869" s="18">
        <v>45247</v>
      </c>
      <c r="D1869" t="s">
        <v>100</v>
      </c>
      <c r="E1869" s="32">
        <v>955900</v>
      </c>
      <c r="F1869" s="32">
        <v>0</v>
      </c>
      <c r="G1869" s="32">
        <v>119283908</v>
      </c>
      <c r="H1869" t="s">
        <v>388</v>
      </c>
    </row>
    <row r="1870" spans="1:8" hidden="1" x14ac:dyDescent="0.3">
      <c r="A1870" s="28">
        <v>15322</v>
      </c>
      <c r="B1870" s="35">
        <v>45247.481249999997</v>
      </c>
      <c r="C1870" s="18">
        <v>45247</v>
      </c>
      <c r="D1870" t="s">
        <v>100</v>
      </c>
      <c r="E1870" s="32">
        <v>1438800</v>
      </c>
      <c r="F1870" s="32">
        <v>0</v>
      </c>
      <c r="G1870" s="32">
        <v>118328008</v>
      </c>
      <c r="H1870" t="s">
        <v>404</v>
      </c>
    </row>
    <row r="1871" spans="1:8" hidden="1" x14ac:dyDescent="0.3">
      <c r="A1871" s="28">
        <v>15319</v>
      </c>
      <c r="B1871" s="35">
        <v>45246.792361111111</v>
      </c>
      <c r="C1871" s="18">
        <v>45246</v>
      </c>
      <c r="D1871" t="s">
        <v>101</v>
      </c>
      <c r="E1871" s="32">
        <v>0</v>
      </c>
      <c r="F1871" s="32">
        <v>997420</v>
      </c>
      <c r="G1871" s="32">
        <v>116889208</v>
      </c>
      <c r="H1871" t="s">
        <v>432</v>
      </c>
    </row>
    <row r="1872" spans="1:8" hidden="1" x14ac:dyDescent="0.3">
      <c r="A1872" s="28">
        <v>15318</v>
      </c>
      <c r="B1872" s="35">
        <v>45246.792361111111</v>
      </c>
      <c r="C1872" s="18">
        <v>45246</v>
      </c>
      <c r="D1872" t="s">
        <v>101</v>
      </c>
      <c r="E1872" s="32">
        <v>0</v>
      </c>
      <c r="F1872" s="32">
        <v>416320</v>
      </c>
      <c r="G1872" s="32">
        <v>117886628</v>
      </c>
      <c r="H1872" t="s">
        <v>432</v>
      </c>
    </row>
    <row r="1873" spans="1:8" hidden="1" x14ac:dyDescent="0.3">
      <c r="A1873" s="28">
        <v>15317</v>
      </c>
      <c r="B1873" s="35">
        <v>45246.792361111111</v>
      </c>
      <c r="C1873" s="18">
        <v>45246</v>
      </c>
      <c r="D1873" t="s">
        <v>101</v>
      </c>
      <c r="E1873" s="32">
        <v>0</v>
      </c>
      <c r="F1873" s="32">
        <v>985000</v>
      </c>
      <c r="G1873" s="32">
        <v>118302948</v>
      </c>
      <c r="H1873" t="s">
        <v>432</v>
      </c>
    </row>
    <row r="1874" spans="1:8" hidden="1" x14ac:dyDescent="0.3">
      <c r="A1874" s="28">
        <v>15316</v>
      </c>
      <c r="B1874" s="35">
        <v>45246.792361111111</v>
      </c>
      <c r="C1874" s="18">
        <v>45246</v>
      </c>
      <c r="D1874" t="s">
        <v>101</v>
      </c>
      <c r="E1874" s="32">
        <v>0</v>
      </c>
      <c r="F1874" s="32">
        <v>738510</v>
      </c>
      <c r="G1874" s="32">
        <v>119287948</v>
      </c>
      <c r="H1874" t="s">
        <v>432</v>
      </c>
    </row>
    <row r="1875" spans="1:8" hidden="1" x14ac:dyDescent="0.3">
      <c r="A1875" s="28">
        <v>15315</v>
      </c>
      <c r="B1875" s="35">
        <v>45246.765277777777</v>
      </c>
      <c r="C1875" s="18">
        <v>45246</v>
      </c>
      <c r="D1875" t="s">
        <v>100</v>
      </c>
      <c r="E1875" s="32">
        <v>762300</v>
      </c>
      <c r="F1875" s="32">
        <v>0</v>
      </c>
      <c r="G1875" s="32">
        <v>120026458</v>
      </c>
      <c r="H1875" t="s">
        <v>488</v>
      </c>
    </row>
    <row r="1876" spans="1:8" hidden="1" x14ac:dyDescent="0.3">
      <c r="A1876" s="28">
        <v>15314</v>
      </c>
      <c r="B1876" s="35">
        <v>45246.598611111112</v>
      </c>
      <c r="C1876" s="18">
        <v>45246</v>
      </c>
      <c r="D1876" t="s">
        <v>100</v>
      </c>
      <c r="E1876" s="32">
        <v>231000</v>
      </c>
      <c r="F1876" s="32">
        <v>0</v>
      </c>
      <c r="G1876" s="32">
        <v>119264158</v>
      </c>
      <c r="H1876" t="s">
        <v>489</v>
      </c>
    </row>
    <row r="1877" spans="1:8" hidden="1" x14ac:dyDescent="0.3">
      <c r="A1877" s="28">
        <v>15313</v>
      </c>
      <c r="B1877" s="35">
        <v>45246.496527777781</v>
      </c>
      <c r="C1877" s="18">
        <v>45246</v>
      </c>
      <c r="D1877" t="s">
        <v>101</v>
      </c>
      <c r="E1877" s="32">
        <v>0</v>
      </c>
      <c r="F1877" s="32">
        <v>4070000</v>
      </c>
      <c r="G1877" s="32">
        <v>119033158</v>
      </c>
      <c r="H1877" t="s">
        <v>490</v>
      </c>
    </row>
    <row r="1878" spans="1:8" hidden="1" x14ac:dyDescent="0.3">
      <c r="A1878" s="28">
        <v>15312</v>
      </c>
      <c r="B1878" s="35">
        <v>45245.834722222222</v>
      </c>
      <c r="C1878" s="18">
        <v>45245</v>
      </c>
      <c r="D1878" t="s">
        <v>101</v>
      </c>
      <c r="E1878" s="32">
        <v>0</v>
      </c>
      <c r="F1878" s="32">
        <v>492200</v>
      </c>
      <c r="G1878" s="32">
        <v>123103158</v>
      </c>
      <c r="H1878" t="s">
        <v>433</v>
      </c>
    </row>
    <row r="1879" spans="1:8" hidden="1" x14ac:dyDescent="0.3">
      <c r="A1879" s="28">
        <v>15311</v>
      </c>
      <c r="B1879" s="35">
        <v>45245.808333333334</v>
      </c>
      <c r="C1879" s="18">
        <v>45245</v>
      </c>
      <c r="D1879" t="s">
        <v>101</v>
      </c>
      <c r="E1879" s="32">
        <v>0</v>
      </c>
      <c r="F1879" s="32">
        <v>99000</v>
      </c>
      <c r="G1879" s="32">
        <v>123595358</v>
      </c>
      <c r="H1879" t="s">
        <v>301</v>
      </c>
    </row>
    <row r="1880" spans="1:8" hidden="1" x14ac:dyDescent="0.3">
      <c r="A1880" s="28">
        <v>15310</v>
      </c>
      <c r="B1880" s="35">
        <v>45245.806944444441</v>
      </c>
      <c r="C1880" s="18">
        <v>45245</v>
      </c>
      <c r="D1880" t="s">
        <v>101</v>
      </c>
      <c r="E1880" s="32">
        <v>0</v>
      </c>
      <c r="F1880" s="32">
        <v>72423</v>
      </c>
      <c r="G1880" s="32">
        <v>123694358</v>
      </c>
      <c r="H1880" t="s">
        <v>434</v>
      </c>
    </row>
    <row r="1881" spans="1:8" hidden="1" x14ac:dyDescent="0.3">
      <c r="A1881" s="28">
        <v>15309</v>
      </c>
      <c r="B1881" s="35">
        <v>45245.800694444442</v>
      </c>
      <c r="C1881" s="18">
        <v>45245</v>
      </c>
      <c r="D1881" t="s">
        <v>101</v>
      </c>
      <c r="E1881" s="32">
        <v>0</v>
      </c>
      <c r="F1881" s="32">
        <v>684420</v>
      </c>
      <c r="G1881" s="32">
        <v>123766781</v>
      </c>
      <c r="H1881" t="s">
        <v>435</v>
      </c>
    </row>
    <row r="1882" spans="1:8" hidden="1" x14ac:dyDescent="0.3">
      <c r="A1882" s="28">
        <v>15307</v>
      </c>
      <c r="B1882" s="35">
        <v>45245.761805555558</v>
      </c>
      <c r="C1882" s="18">
        <v>45245</v>
      </c>
      <c r="D1882" t="s">
        <v>101</v>
      </c>
      <c r="E1882" s="32">
        <v>0</v>
      </c>
      <c r="F1882" s="32">
        <v>14892513</v>
      </c>
      <c r="G1882" s="32">
        <v>124451201</v>
      </c>
      <c r="H1882" t="s">
        <v>303</v>
      </c>
    </row>
    <row r="1883" spans="1:8" hidden="1" x14ac:dyDescent="0.3">
      <c r="A1883" s="28">
        <v>15303</v>
      </c>
      <c r="B1883" s="35">
        <v>45245.618055555555</v>
      </c>
      <c r="C1883" s="18">
        <v>45245</v>
      </c>
      <c r="D1883" t="s">
        <v>101</v>
      </c>
      <c r="E1883" s="32">
        <v>0</v>
      </c>
      <c r="F1883" s="32">
        <v>924000</v>
      </c>
      <c r="G1883" s="32">
        <v>139343714</v>
      </c>
      <c r="H1883" t="s">
        <v>491</v>
      </c>
    </row>
    <row r="1884" spans="1:8" hidden="1" x14ac:dyDescent="0.3">
      <c r="A1884" s="28">
        <v>15302</v>
      </c>
      <c r="B1884" s="35">
        <v>45245.602777777778</v>
      </c>
      <c r="C1884" s="18">
        <v>45245</v>
      </c>
      <c r="D1884" t="s">
        <v>100</v>
      </c>
      <c r="E1884" s="32">
        <v>334455</v>
      </c>
      <c r="F1884" s="32">
        <v>0</v>
      </c>
      <c r="G1884" s="32">
        <v>140267714</v>
      </c>
      <c r="H1884" t="s">
        <v>492</v>
      </c>
    </row>
    <row r="1885" spans="1:8" hidden="1" x14ac:dyDescent="0.3">
      <c r="A1885" s="28">
        <v>15301</v>
      </c>
      <c r="B1885" s="35">
        <v>45245.568749999999</v>
      </c>
      <c r="C1885" s="18">
        <v>45245</v>
      </c>
      <c r="D1885" t="s">
        <v>101</v>
      </c>
      <c r="E1885" s="32">
        <v>0</v>
      </c>
      <c r="F1885" s="32">
        <v>249975</v>
      </c>
      <c r="G1885" s="32">
        <v>139933259</v>
      </c>
      <c r="H1885" t="s">
        <v>293</v>
      </c>
    </row>
    <row r="1886" spans="1:8" hidden="1" x14ac:dyDescent="0.3">
      <c r="A1886" s="28">
        <v>15299</v>
      </c>
      <c r="B1886" s="35">
        <v>45245.468055555553</v>
      </c>
      <c r="C1886" s="18">
        <v>45245</v>
      </c>
      <c r="D1886" t="s">
        <v>100</v>
      </c>
      <c r="E1886" s="32">
        <v>16769500</v>
      </c>
      <c r="F1886" s="32">
        <v>0</v>
      </c>
      <c r="G1886" s="32">
        <v>140183234</v>
      </c>
      <c r="H1886" t="s">
        <v>306</v>
      </c>
    </row>
    <row r="1887" spans="1:8" hidden="1" x14ac:dyDescent="0.3">
      <c r="A1887" s="28">
        <v>15298</v>
      </c>
      <c r="B1887" s="35">
        <v>45245.443749999999</v>
      </c>
      <c r="C1887" s="18">
        <v>45245</v>
      </c>
      <c r="D1887" t="s">
        <v>100</v>
      </c>
      <c r="E1887" s="32">
        <v>315700</v>
      </c>
      <c r="F1887" s="32">
        <v>0</v>
      </c>
      <c r="G1887" s="32">
        <v>123413734</v>
      </c>
      <c r="H1887" t="s">
        <v>240</v>
      </c>
    </row>
    <row r="1888" spans="1:8" hidden="1" x14ac:dyDescent="0.3">
      <c r="A1888" s="28">
        <v>15297</v>
      </c>
      <c r="B1888" s="35">
        <v>45245.40902777778</v>
      </c>
      <c r="C1888" s="18">
        <v>45245</v>
      </c>
      <c r="D1888" t="s">
        <v>101</v>
      </c>
      <c r="E1888" s="32">
        <v>0</v>
      </c>
      <c r="F1888" s="32">
        <v>13057000</v>
      </c>
      <c r="G1888" s="32">
        <v>123098034</v>
      </c>
      <c r="H1888" t="s">
        <v>493</v>
      </c>
    </row>
    <row r="1889" spans="1:8" hidden="1" x14ac:dyDescent="0.3">
      <c r="A1889" s="28">
        <v>15296</v>
      </c>
      <c r="B1889" s="35">
        <v>45244.62777777778</v>
      </c>
      <c r="C1889" s="18">
        <v>45244</v>
      </c>
      <c r="D1889" t="s">
        <v>100</v>
      </c>
      <c r="E1889" s="32">
        <v>444400</v>
      </c>
      <c r="F1889" s="32">
        <v>0</v>
      </c>
      <c r="G1889" s="32">
        <v>136155034</v>
      </c>
      <c r="H1889" t="s">
        <v>230</v>
      </c>
    </row>
    <row r="1890" spans="1:8" hidden="1" x14ac:dyDescent="0.3">
      <c r="A1890" s="28">
        <v>15295</v>
      </c>
      <c r="B1890" s="35">
        <v>45244.62777777778</v>
      </c>
      <c r="C1890" s="18">
        <v>45244</v>
      </c>
      <c r="D1890" t="s">
        <v>100</v>
      </c>
      <c r="E1890" s="32">
        <v>1794100</v>
      </c>
      <c r="F1890" s="32">
        <v>0</v>
      </c>
      <c r="G1890" s="32">
        <v>135710634</v>
      </c>
      <c r="H1890" t="s">
        <v>230</v>
      </c>
    </row>
    <row r="1891" spans="1:8" hidden="1" x14ac:dyDescent="0.3">
      <c r="A1891" s="28">
        <v>15294</v>
      </c>
      <c r="B1891" s="35">
        <v>45244.570138888892</v>
      </c>
      <c r="C1891" s="18">
        <v>45244</v>
      </c>
      <c r="D1891" t="s">
        <v>101</v>
      </c>
      <c r="E1891" s="32">
        <v>0</v>
      </c>
      <c r="F1891" s="32">
        <v>99000</v>
      </c>
      <c r="G1891" s="32">
        <v>133916534</v>
      </c>
      <c r="H1891" t="s">
        <v>494</v>
      </c>
    </row>
    <row r="1892" spans="1:8" hidden="1" x14ac:dyDescent="0.3">
      <c r="A1892" s="28">
        <v>15293</v>
      </c>
      <c r="B1892" s="35">
        <v>45244.487500000003</v>
      </c>
      <c r="C1892" s="18">
        <v>45244</v>
      </c>
      <c r="D1892" t="s">
        <v>100</v>
      </c>
      <c r="E1892" s="32">
        <v>452100</v>
      </c>
      <c r="F1892" s="32">
        <v>0</v>
      </c>
      <c r="G1892" s="32">
        <v>134015534</v>
      </c>
      <c r="H1892" t="s">
        <v>220</v>
      </c>
    </row>
    <row r="1893" spans="1:8" hidden="1" x14ac:dyDescent="0.3">
      <c r="A1893" s="28">
        <v>15292</v>
      </c>
      <c r="B1893" s="35">
        <v>45244.487500000003</v>
      </c>
      <c r="C1893" s="18">
        <v>45244</v>
      </c>
      <c r="D1893" t="s">
        <v>100</v>
      </c>
      <c r="E1893" s="32">
        <v>103400</v>
      </c>
      <c r="F1893" s="32">
        <v>0</v>
      </c>
      <c r="G1893" s="32">
        <v>133563434</v>
      </c>
      <c r="H1893" t="s">
        <v>220</v>
      </c>
    </row>
    <row r="1894" spans="1:8" hidden="1" x14ac:dyDescent="0.3">
      <c r="A1894" s="28">
        <v>15290</v>
      </c>
      <c r="B1894" s="35">
        <v>45244.397916666669</v>
      </c>
      <c r="C1894" s="18">
        <v>45244</v>
      </c>
      <c r="D1894" t="s">
        <v>101</v>
      </c>
      <c r="E1894" s="32">
        <v>0</v>
      </c>
      <c r="F1894" s="32">
        <v>32000</v>
      </c>
      <c r="G1894" s="32">
        <v>133460034</v>
      </c>
      <c r="H1894" t="s">
        <v>495</v>
      </c>
    </row>
    <row r="1895" spans="1:8" hidden="1" x14ac:dyDescent="0.3">
      <c r="A1895" s="28">
        <v>15288</v>
      </c>
      <c r="B1895" s="35">
        <v>45243.820833333331</v>
      </c>
      <c r="C1895" s="18">
        <v>45243</v>
      </c>
      <c r="D1895" t="s">
        <v>101</v>
      </c>
      <c r="E1895" s="32">
        <v>0</v>
      </c>
      <c r="F1895" s="32">
        <v>35500</v>
      </c>
      <c r="G1895" s="32">
        <v>133492034</v>
      </c>
      <c r="H1895" t="s">
        <v>496</v>
      </c>
    </row>
    <row r="1896" spans="1:8" hidden="1" x14ac:dyDescent="0.3">
      <c r="A1896" s="28">
        <v>15282</v>
      </c>
      <c r="B1896" s="35">
        <v>45243.7</v>
      </c>
      <c r="C1896" s="18">
        <v>45243</v>
      </c>
      <c r="D1896" t="s">
        <v>100</v>
      </c>
      <c r="E1896" s="32">
        <v>281600</v>
      </c>
      <c r="F1896" s="32">
        <v>0</v>
      </c>
      <c r="G1896" s="32">
        <v>133527534</v>
      </c>
      <c r="H1896" t="s">
        <v>454</v>
      </c>
    </row>
    <row r="1897" spans="1:8" hidden="1" x14ac:dyDescent="0.3">
      <c r="A1897" s="28">
        <v>15281</v>
      </c>
      <c r="B1897" s="35">
        <v>45243.657638888886</v>
      </c>
      <c r="C1897" s="18">
        <v>45243</v>
      </c>
      <c r="D1897" t="s">
        <v>101</v>
      </c>
      <c r="E1897" s="32">
        <v>0</v>
      </c>
      <c r="F1897" s="32">
        <v>99000</v>
      </c>
      <c r="G1897" s="32">
        <v>133245934</v>
      </c>
      <c r="H1897" t="s">
        <v>497</v>
      </c>
    </row>
    <row r="1898" spans="1:8" hidden="1" x14ac:dyDescent="0.3">
      <c r="A1898" s="28">
        <v>15280</v>
      </c>
      <c r="B1898" s="35">
        <v>45243.629861111112</v>
      </c>
      <c r="C1898" s="18">
        <v>45243</v>
      </c>
      <c r="D1898" t="s">
        <v>100</v>
      </c>
      <c r="E1898" s="32">
        <v>1709400</v>
      </c>
      <c r="F1898" s="32">
        <v>0</v>
      </c>
      <c r="G1898" s="32">
        <v>133344934</v>
      </c>
      <c r="H1898" t="s">
        <v>498</v>
      </c>
    </row>
    <row r="1899" spans="1:8" hidden="1" x14ac:dyDescent="0.3">
      <c r="A1899" s="28">
        <v>15279</v>
      </c>
      <c r="B1899" s="35">
        <v>45243.618055555555</v>
      </c>
      <c r="C1899" s="18">
        <v>45243</v>
      </c>
      <c r="D1899" t="s">
        <v>100</v>
      </c>
      <c r="E1899" s="32">
        <v>160600</v>
      </c>
      <c r="F1899" s="32">
        <v>0</v>
      </c>
      <c r="G1899" s="32">
        <v>131635534</v>
      </c>
      <c r="H1899" t="s">
        <v>499</v>
      </c>
    </row>
    <row r="1900" spans="1:8" hidden="1" x14ac:dyDescent="0.3">
      <c r="A1900" s="28">
        <v>15278</v>
      </c>
      <c r="B1900" s="35">
        <v>45243.611111111109</v>
      </c>
      <c r="C1900" s="18">
        <v>45243</v>
      </c>
      <c r="D1900" t="s">
        <v>100</v>
      </c>
      <c r="E1900" s="32">
        <v>5965300</v>
      </c>
      <c r="F1900" s="32">
        <v>0</v>
      </c>
      <c r="G1900" s="32">
        <v>131474934</v>
      </c>
      <c r="H1900" t="s">
        <v>376</v>
      </c>
    </row>
    <row r="1901" spans="1:8" hidden="1" x14ac:dyDescent="0.3">
      <c r="A1901" s="28">
        <v>15277</v>
      </c>
      <c r="B1901" s="35">
        <v>45243.601388888892</v>
      </c>
      <c r="C1901" s="18">
        <v>45243</v>
      </c>
      <c r="D1901" t="s">
        <v>100</v>
      </c>
      <c r="E1901" s="32">
        <v>4151400</v>
      </c>
      <c r="F1901" s="32">
        <v>0</v>
      </c>
      <c r="G1901" s="32">
        <v>125509634</v>
      </c>
      <c r="H1901" t="s">
        <v>500</v>
      </c>
    </row>
    <row r="1902" spans="1:8" hidden="1" x14ac:dyDescent="0.3">
      <c r="A1902" s="28">
        <v>15276</v>
      </c>
      <c r="B1902" s="35">
        <v>45243.597222222219</v>
      </c>
      <c r="C1902" s="18">
        <v>45243</v>
      </c>
      <c r="D1902" t="s">
        <v>100</v>
      </c>
      <c r="E1902" s="32">
        <v>105400</v>
      </c>
      <c r="F1902" s="32">
        <v>0</v>
      </c>
      <c r="G1902" s="32">
        <v>121358234</v>
      </c>
      <c r="H1902" t="s">
        <v>501</v>
      </c>
    </row>
    <row r="1903" spans="1:8" hidden="1" x14ac:dyDescent="0.3">
      <c r="A1903" s="28">
        <v>15275</v>
      </c>
      <c r="B1903" s="35">
        <v>45243.597222222219</v>
      </c>
      <c r="C1903" s="18">
        <v>45243</v>
      </c>
      <c r="D1903" t="s">
        <v>100</v>
      </c>
      <c r="E1903" s="32">
        <v>1054000</v>
      </c>
      <c r="F1903" s="32">
        <v>0</v>
      </c>
      <c r="G1903" s="32">
        <v>121252834</v>
      </c>
      <c r="H1903" t="s">
        <v>501</v>
      </c>
    </row>
    <row r="1904" spans="1:8" hidden="1" x14ac:dyDescent="0.3">
      <c r="A1904" s="28">
        <v>15274</v>
      </c>
      <c r="B1904" s="35">
        <v>45243.583333333336</v>
      </c>
      <c r="C1904" s="18">
        <v>45243</v>
      </c>
      <c r="D1904" t="s">
        <v>100</v>
      </c>
      <c r="E1904" s="32">
        <v>597300</v>
      </c>
      <c r="F1904" s="32">
        <v>0</v>
      </c>
      <c r="G1904" s="32">
        <v>120198834</v>
      </c>
      <c r="H1904" t="s">
        <v>389</v>
      </c>
    </row>
    <row r="1905" spans="1:8" hidden="1" x14ac:dyDescent="0.3">
      <c r="A1905" s="28">
        <v>15273</v>
      </c>
      <c r="B1905" s="35">
        <v>45243.555555555555</v>
      </c>
      <c r="C1905" s="18">
        <v>45243</v>
      </c>
      <c r="D1905" t="s">
        <v>100</v>
      </c>
      <c r="E1905" s="32">
        <v>976800</v>
      </c>
      <c r="F1905" s="32">
        <v>0</v>
      </c>
      <c r="G1905" s="32">
        <v>119601534</v>
      </c>
      <c r="H1905" t="s">
        <v>502</v>
      </c>
    </row>
    <row r="1906" spans="1:8" hidden="1" x14ac:dyDescent="0.3">
      <c r="A1906" s="28">
        <v>15271</v>
      </c>
      <c r="B1906" s="35">
        <v>45243.432638888888</v>
      </c>
      <c r="C1906" s="18">
        <v>45243</v>
      </c>
      <c r="D1906" t="s">
        <v>100</v>
      </c>
      <c r="E1906" s="32">
        <v>389400</v>
      </c>
      <c r="F1906" s="32">
        <v>0</v>
      </c>
      <c r="G1906" s="32">
        <v>118624734</v>
      </c>
      <c r="H1906" t="s">
        <v>503</v>
      </c>
    </row>
    <row r="1907" spans="1:8" hidden="1" x14ac:dyDescent="0.3">
      <c r="A1907" s="28">
        <v>15270</v>
      </c>
      <c r="B1907" s="35">
        <v>45243.419444444444</v>
      </c>
      <c r="C1907" s="18">
        <v>45243</v>
      </c>
      <c r="D1907" t="s">
        <v>101</v>
      </c>
      <c r="E1907" s="32">
        <v>0</v>
      </c>
      <c r="F1907" s="32">
        <v>507890</v>
      </c>
      <c r="G1907" s="32">
        <v>118235334</v>
      </c>
      <c r="H1907" t="s">
        <v>226</v>
      </c>
    </row>
    <row r="1908" spans="1:8" hidden="1" x14ac:dyDescent="0.3">
      <c r="A1908" s="28">
        <v>15269</v>
      </c>
      <c r="B1908" s="35">
        <v>45243.384722222225</v>
      </c>
      <c r="C1908" s="18">
        <v>45243</v>
      </c>
      <c r="D1908" t="s">
        <v>100</v>
      </c>
      <c r="E1908" s="32">
        <v>1832600</v>
      </c>
      <c r="F1908" s="32">
        <v>0</v>
      </c>
      <c r="G1908" s="32">
        <v>118743224</v>
      </c>
      <c r="H1908" t="s">
        <v>327</v>
      </c>
    </row>
    <row r="1909" spans="1:8" hidden="1" x14ac:dyDescent="0.3">
      <c r="A1909" s="28">
        <v>15262</v>
      </c>
      <c r="B1909" s="35">
        <v>45240.658333333333</v>
      </c>
      <c r="C1909" s="18">
        <v>45240</v>
      </c>
      <c r="D1909" t="s">
        <v>100</v>
      </c>
      <c r="E1909" s="32">
        <v>1188000</v>
      </c>
      <c r="F1909" s="32">
        <v>0</v>
      </c>
      <c r="G1909" s="32">
        <v>116910624</v>
      </c>
      <c r="H1909" t="s">
        <v>297</v>
      </c>
    </row>
    <row r="1910" spans="1:8" hidden="1" x14ac:dyDescent="0.3">
      <c r="A1910" s="28">
        <v>15261</v>
      </c>
      <c r="B1910" s="35">
        <v>45240.578472222223</v>
      </c>
      <c r="C1910" s="18">
        <v>45240</v>
      </c>
      <c r="D1910" t="s">
        <v>100</v>
      </c>
      <c r="E1910" s="32">
        <v>1888700</v>
      </c>
      <c r="F1910" s="32">
        <v>0</v>
      </c>
      <c r="G1910" s="32">
        <v>115722624</v>
      </c>
      <c r="H1910" t="s">
        <v>365</v>
      </c>
    </row>
    <row r="1911" spans="1:8" hidden="1" x14ac:dyDescent="0.3">
      <c r="A1911" s="28">
        <v>15260</v>
      </c>
      <c r="B1911" s="35">
        <v>45240.569444444445</v>
      </c>
      <c r="C1911" s="18">
        <v>45240</v>
      </c>
      <c r="D1911" t="s">
        <v>100</v>
      </c>
      <c r="E1911" s="32">
        <v>961400</v>
      </c>
      <c r="F1911" s="32">
        <v>0</v>
      </c>
      <c r="G1911" s="32">
        <v>113833924</v>
      </c>
      <c r="H1911" t="s">
        <v>382</v>
      </c>
    </row>
    <row r="1912" spans="1:8" hidden="1" x14ac:dyDescent="0.3">
      <c r="A1912" s="28">
        <v>15257</v>
      </c>
      <c r="B1912" s="35">
        <v>45240.458333333336</v>
      </c>
      <c r="C1912" s="18">
        <v>45240</v>
      </c>
      <c r="D1912" t="s">
        <v>100</v>
      </c>
      <c r="E1912" s="32">
        <v>22500</v>
      </c>
      <c r="F1912" s="32">
        <v>0</v>
      </c>
      <c r="G1912" s="32">
        <v>112872524</v>
      </c>
      <c r="H1912" t="s">
        <v>316</v>
      </c>
    </row>
    <row r="1913" spans="1:8" hidden="1" x14ac:dyDescent="0.3">
      <c r="A1913" s="28">
        <v>15256</v>
      </c>
      <c r="B1913" s="35">
        <v>45240.458333333336</v>
      </c>
      <c r="C1913" s="18">
        <v>45240</v>
      </c>
      <c r="D1913" t="s">
        <v>100</v>
      </c>
      <c r="E1913" s="32">
        <v>27900</v>
      </c>
      <c r="F1913" s="32">
        <v>0</v>
      </c>
      <c r="G1913" s="32">
        <v>112850024</v>
      </c>
      <c r="H1913" t="s">
        <v>316</v>
      </c>
    </row>
    <row r="1914" spans="1:8" hidden="1" x14ac:dyDescent="0.3">
      <c r="A1914" s="28">
        <v>15254</v>
      </c>
      <c r="B1914" s="35">
        <v>45240.436805555553</v>
      </c>
      <c r="C1914" s="18">
        <v>45240</v>
      </c>
      <c r="D1914" t="s">
        <v>100</v>
      </c>
      <c r="E1914" s="32">
        <v>529100</v>
      </c>
      <c r="F1914" s="32">
        <v>0</v>
      </c>
      <c r="G1914" s="32">
        <v>112822124</v>
      </c>
      <c r="H1914" t="s">
        <v>329</v>
      </c>
    </row>
    <row r="1915" spans="1:8" hidden="1" x14ac:dyDescent="0.3">
      <c r="A1915" s="28">
        <v>15253</v>
      </c>
      <c r="B1915" s="35">
        <v>45240.436111111114</v>
      </c>
      <c r="C1915" s="18">
        <v>45240</v>
      </c>
      <c r="D1915" t="s">
        <v>100</v>
      </c>
      <c r="E1915" s="32">
        <v>137500</v>
      </c>
      <c r="F1915" s="32">
        <v>0</v>
      </c>
      <c r="G1915" s="32">
        <v>112293024</v>
      </c>
      <c r="H1915" t="s">
        <v>329</v>
      </c>
    </row>
    <row r="1916" spans="1:8" hidden="1" x14ac:dyDescent="0.3">
      <c r="A1916" s="28">
        <v>15252</v>
      </c>
      <c r="B1916" s="35">
        <v>45240.37777777778</v>
      </c>
      <c r="C1916" s="18">
        <v>45240</v>
      </c>
      <c r="D1916" t="s">
        <v>101</v>
      </c>
      <c r="E1916" s="32">
        <v>0</v>
      </c>
      <c r="F1916" s="32">
        <v>55770</v>
      </c>
      <c r="G1916" s="32">
        <v>112155524</v>
      </c>
      <c r="H1916" t="s">
        <v>280</v>
      </c>
    </row>
    <row r="1917" spans="1:8" hidden="1" x14ac:dyDescent="0.3">
      <c r="A1917" s="28">
        <v>15251</v>
      </c>
      <c r="B1917" s="35">
        <v>45239.657638888886</v>
      </c>
      <c r="C1917" s="18">
        <v>45239</v>
      </c>
      <c r="D1917" t="s">
        <v>101</v>
      </c>
      <c r="E1917" s="32">
        <v>0</v>
      </c>
      <c r="F1917" s="32">
        <v>341990</v>
      </c>
      <c r="G1917" s="32">
        <v>112211294</v>
      </c>
      <c r="H1917" t="s">
        <v>319</v>
      </c>
    </row>
    <row r="1918" spans="1:8" hidden="1" x14ac:dyDescent="0.3">
      <c r="A1918" s="28">
        <v>15250</v>
      </c>
      <c r="B1918" s="35">
        <v>45239.656944444447</v>
      </c>
      <c r="C1918" s="18">
        <v>45239</v>
      </c>
      <c r="D1918" t="s">
        <v>101</v>
      </c>
      <c r="E1918" s="32">
        <v>0</v>
      </c>
      <c r="F1918" s="32">
        <v>9300</v>
      </c>
      <c r="G1918" s="32">
        <v>112553284</v>
      </c>
      <c r="H1918" t="s">
        <v>321</v>
      </c>
    </row>
    <row r="1919" spans="1:8" hidden="1" x14ac:dyDescent="0.3">
      <c r="A1919" s="28">
        <v>15249</v>
      </c>
      <c r="B1919" s="35">
        <v>45239.655555555553</v>
      </c>
      <c r="C1919" s="18">
        <v>45239</v>
      </c>
      <c r="D1919" t="s">
        <v>101</v>
      </c>
      <c r="E1919" s="32">
        <v>0</v>
      </c>
      <c r="F1919" s="32">
        <v>3411230</v>
      </c>
      <c r="G1919" s="32">
        <v>112562584</v>
      </c>
      <c r="H1919" t="s">
        <v>320</v>
      </c>
    </row>
    <row r="1920" spans="1:8" hidden="1" x14ac:dyDescent="0.3">
      <c r="A1920" s="28">
        <v>15247</v>
      </c>
      <c r="B1920" s="35">
        <v>45239.65347222222</v>
      </c>
      <c r="C1920" s="18">
        <v>45239</v>
      </c>
      <c r="D1920" t="s">
        <v>100</v>
      </c>
      <c r="E1920" s="32">
        <v>3291200</v>
      </c>
      <c r="F1920" s="32">
        <v>0</v>
      </c>
      <c r="G1920" s="32">
        <v>115973814</v>
      </c>
      <c r="H1920" t="s">
        <v>322</v>
      </c>
    </row>
    <row r="1921" spans="1:8" hidden="1" x14ac:dyDescent="0.3">
      <c r="A1921" s="28">
        <v>15246</v>
      </c>
      <c r="B1921" s="35">
        <v>45239.646527777775</v>
      </c>
      <c r="C1921" s="18">
        <v>45239</v>
      </c>
      <c r="D1921" t="s">
        <v>101</v>
      </c>
      <c r="E1921" s="32">
        <v>0</v>
      </c>
      <c r="F1921" s="32">
        <v>67883</v>
      </c>
      <c r="G1921" s="32">
        <v>112682614</v>
      </c>
      <c r="H1921" t="s">
        <v>221</v>
      </c>
    </row>
    <row r="1922" spans="1:8" hidden="1" x14ac:dyDescent="0.3">
      <c r="A1922" s="28">
        <v>15245</v>
      </c>
      <c r="B1922" s="35">
        <v>45239.64166666667</v>
      </c>
      <c r="C1922" s="18">
        <v>45239</v>
      </c>
      <c r="D1922" t="s">
        <v>100</v>
      </c>
      <c r="E1922" s="32">
        <v>1304600</v>
      </c>
      <c r="F1922" s="32">
        <v>0</v>
      </c>
      <c r="G1922" s="32">
        <v>112750497</v>
      </c>
      <c r="H1922" t="s">
        <v>234</v>
      </c>
    </row>
    <row r="1923" spans="1:8" hidden="1" x14ac:dyDescent="0.3">
      <c r="A1923" s="28">
        <v>15243</v>
      </c>
      <c r="B1923" s="35">
        <v>45238.753472222219</v>
      </c>
      <c r="C1923" s="18">
        <v>45238</v>
      </c>
      <c r="D1923" t="s">
        <v>100</v>
      </c>
      <c r="E1923" s="32">
        <v>737000</v>
      </c>
      <c r="F1923" s="32">
        <v>0</v>
      </c>
      <c r="G1923" s="32">
        <v>111445897</v>
      </c>
      <c r="H1923" t="s">
        <v>504</v>
      </c>
    </row>
    <row r="1924" spans="1:8" hidden="1" x14ac:dyDescent="0.3">
      <c r="A1924" s="28">
        <v>15241</v>
      </c>
      <c r="B1924" s="35">
        <v>45238.611111111109</v>
      </c>
      <c r="C1924" s="18">
        <v>45238</v>
      </c>
      <c r="D1924" t="s">
        <v>101</v>
      </c>
      <c r="E1924" s="32">
        <v>0</v>
      </c>
      <c r="F1924" s="32">
        <v>68107</v>
      </c>
      <c r="G1924" s="32">
        <v>110708897</v>
      </c>
      <c r="H1924" t="s">
        <v>221</v>
      </c>
    </row>
    <row r="1925" spans="1:8" hidden="1" x14ac:dyDescent="0.3">
      <c r="A1925" s="28">
        <v>15240</v>
      </c>
      <c r="B1925" s="35">
        <v>45238.489583333336</v>
      </c>
      <c r="C1925" s="18">
        <v>45238</v>
      </c>
      <c r="D1925" t="s">
        <v>101</v>
      </c>
      <c r="E1925" s="32">
        <v>0</v>
      </c>
      <c r="F1925" s="32">
        <v>99000</v>
      </c>
      <c r="G1925" s="32">
        <v>110777004</v>
      </c>
      <c r="H1925" t="s">
        <v>505</v>
      </c>
    </row>
    <row r="1926" spans="1:8" hidden="1" x14ac:dyDescent="0.3">
      <c r="A1926" s="28">
        <v>15239</v>
      </c>
      <c r="B1926" s="35">
        <v>45238.481944444444</v>
      </c>
      <c r="C1926" s="18">
        <v>45238</v>
      </c>
      <c r="D1926" t="s">
        <v>100</v>
      </c>
      <c r="E1926" s="32">
        <v>315000</v>
      </c>
      <c r="F1926" s="32">
        <v>0</v>
      </c>
      <c r="G1926" s="32">
        <v>110876004</v>
      </c>
      <c r="H1926" t="s">
        <v>506</v>
      </c>
    </row>
    <row r="1927" spans="1:8" hidden="1" x14ac:dyDescent="0.3">
      <c r="A1927" s="28">
        <v>15238</v>
      </c>
      <c r="B1927" s="35">
        <v>45238.479861111111</v>
      </c>
      <c r="C1927" s="18">
        <v>45238</v>
      </c>
      <c r="D1927" t="s">
        <v>100</v>
      </c>
      <c r="E1927" s="32">
        <v>86000</v>
      </c>
      <c r="F1927" s="32">
        <v>0</v>
      </c>
      <c r="G1927" s="32">
        <v>110561004</v>
      </c>
      <c r="H1927" t="s">
        <v>506</v>
      </c>
    </row>
    <row r="1928" spans="1:8" hidden="1" x14ac:dyDescent="0.3">
      <c r="A1928" s="28">
        <v>15237</v>
      </c>
      <c r="B1928" s="35">
        <v>45238.478472222225</v>
      </c>
      <c r="C1928" s="18">
        <v>45238</v>
      </c>
      <c r="D1928" t="s">
        <v>100</v>
      </c>
      <c r="E1928" s="32">
        <v>139000</v>
      </c>
      <c r="F1928" s="32">
        <v>0</v>
      </c>
      <c r="G1928" s="32">
        <v>110475004</v>
      </c>
      <c r="H1928" t="s">
        <v>506</v>
      </c>
    </row>
    <row r="1929" spans="1:8" hidden="1" x14ac:dyDescent="0.3">
      <c r="A1929" s="28">
        <v>15236</v>
      </c>
      <c r="B1929" s="35">
        <v>45238.477083333331</v>
      </c>
      <c r="C1929" s="18">
        <v>45238</v>
      </c>
      <c r="D1929" t="s">
        <v>100</v>
      </c>
      <c r="E1929" s="32">
        <v>279000</v>
      </c>
      <c r="F1929" s="32">
        <v>0</v>
      </c>
      <c r="G1929" s="32">
        <v>110336004</v>
      </c>
      <c r="H1929" t="s">
        <v>506</v>
      </c>
    </row>
    <row r="1930" spans="1:8" hidden="1" x14ac:dyDescent="0.3">
      <c r="A1930" s="28">
        <v>15233</v>
      </c>
      <c r="B1930" s="35">
        <v>45238.470833333333</v>
      </c>
      <c r="C1930" s="18">
        <v>45238</v>
      </c>
      <c r="D1930" t="s">
        <v>100</v>
      </c>
      <c r="E1930" s="32">
        <v>652300</v>
      </c>
      <c r="F1930" s="32">
        <v>0</v>
      </c>
      <c r="G1930" s="32">
        <v>110057004</v>
      </c>
      <c r="H1930" t="s">
        <v>292</v>
      </c>
    </row>
    <row r="1931" spans="1:8" hidden="1" x14ac:dyDescent="0.3">
      <c r="A1931" s="28">
        <v>15232</v>
      </c>
      <c r="B1931" s="35">
        <v>45238.461805555555</v>
      </c>
      <c r="C1931" s="18">
        <v>45238</v>
      </c>
      <c r="D1931" t="s">
        <v>101</v>
      </c>
      <c r="E1931" s="32">
        <v>0</v>
      </c>
      <c r="F1931" s="32">
        <v>547197</v>
      </c>
      <c r="G1931" s="32">
        <v>109404704</v>
      </c>
      <c r="H1931" t="s">
        <v>221</v>
      </c>
    </row>
    <row r="1932" spans="1:8" hidden="1" x14ac:dyDescent="0.3">
      <c r="A1932" s="28">
        <v>15230</v>
      </c>
      <c r="B1932" s="35">
        <v>45238.447222222225</v>
      </c>
      <c r="C1932" s="18">
        <v>45238</v>
      </c>
      <c r="D1932" t="s">
        <v>100</v>
      </c>
      <c r="E1932" s="32">
        <v>450400</v>
      </c>
      <c r="F1932" s="32">
        <v>0</v>
      </c>
      <c r="G1932" s="32">
        <v>109951901</v>
      </c>
      <c r="H1932" t="s">
        <v>507</v>
      </c>
    </row>
    <row r="1933" spans="1:8" hidden="1" x14ac:dyDescent="0.3">
      <c r="A1933" s="28">
        <v>15229</v>
      </c>
      <c r="B1933" s="35">
        <v>45238.445138888892</v>
      </c>
      <c r="C1933" s="18">
        <v>45238</v>
      </c>
      <c r="D1933" t="s">
        <v>100</v>
      </c>
      <c r="E1933" s="32">
        <v>4504000</v>
      </c>
      <c r="F1933" s="32">
        <v>0</v>
      </c>
      <c r="G1933" s="32">
        <v>109501501</v>
      </c>
      <c r="H1933" t="s">
        <v>508</v>
      </c>
    </row>
    <row r="1934" spans="1:8" hidden="1" x14ac:dyDescent="0.3">
      <c r="A1934" s="28">
        <v>15228</v>
      </c>
      <c r="B1934" s="35">
        <v>45238.376388888886</v>
      </c>
      <c r="C1934" s="18">
        <v>45238</v>
      </c>
      <c r="D1934" t="s">
        <v>101</v>
      </c>
      <c r="E1934" s="32">
        <v>0</v>
      </c>
      <c r="F1934" s="32">
        <v>84631</v>
      </c>
      <c r="G1934" s="32">
        <v>104997501</v>
      </c>
      <c r="H1934" t="s">
        <v>221</v>
      </c>
    </row>
    <row r="1935" spans="1:8" hidden="1" x14ac:dyDescent="0.3">
      <c r="A1935" s="28">
        <v>15227</v>
      </c>
      <c r="B1935" s="35">
        <v>45238.375694444447</v>
      </c>
      <c r="C1935" s="18">
        <v>45238</v>
      </c>
      <c r="D1935" t="s">
        <v>101</v>
      </c>
      <c r="E1935" s="32">
        <v>0</v>
      </c>
      <c r="F1935" s="32">
        <v>82500</v>
      </c>
      <c r="G1935" s="32">
        <v>105082132</v>
      </c>
      <c r="H1935" t="s">
        <v>293</v>
      </c>
    </row>
    <row r="1936" spans="1:8" hidden="1" x14ac:dyDescent="0.3">
      <c r="A1936" s="28">
        <v>15226</v>
      </c>
      <c r="B1936" s="35">
        <v>45237.695833333331</v>
      </c>
      <c r="C1936" s="18">
        <v>45237</v>
      </c>
      <c r="D1936" t="s">
        <v>100</v>
      </c>
      <c r="E1936" s="32">
        <v>3755400</v>
      </c>
      <c r="F1936" s="32">
        <v>0</v>
      </c>
      <c r="G1936" s="32">
        <v>105164632</v>
      </c>
      <c r="H1936" t="s">
        <v>509</v>
      </c>
    </row>
    <row r="1937" spans="1:8" hidden="1" x14ac:dyDescent="0.3">
      <c r="A1937" s="28">
        <v>15225</v>
      </c>
      <c r="B1937" s="35">
        <v>45237.615972222222</v>
      </c>
      <c r="C1937" s="18">
        <v>45237</v>
      </c>
      <c r="D1937" t="s">
        <v>101</v>
      </c>
      <c r="E1937" s="32">
        <v>0</v>
      </c>
      <c r="F1937" s="32">
        <v>6000</v>
      </c>
      <c r="G1937" s="32">
        <v>101409232</v>
      </c>
      <c r="H1937" t="s">
        <v>368</v>
      </c>
    </row>
    <row r="1938" spans="1:8" hidden="1" x14ac:dyDescent="0.3">
      <c r="A1938" s="28">
        <v>15224</v>
      </c>
      <c r="B1938" s="35">
        <v>45237.607638888891</v>
      </c>
      <c r="C1938" s="18">
        <v>45237</v>
      </c>
      <c r="D1938" t="s">
        <v>100</v>
      </c>
      <c r="E1938" s="32">
        <v>364100</v>
      </c>
      <c r="F1938" s="32">
        <v>0</v>
      </c>
      <c r="G1938" s="32">
        <v>101415232</v>
      </c>
      <c r="H1938" t="s">
        <v>454</v>
      </c>
    </row>
    <row r="1939" spans="1:8" hidden="1" x14ac:dyDescent="0.3">
      <c r="A1939" s="28">
        <v>15221</v>
      </c>
      <c r="B1939" s="35">
        <v>45237.396527777775</v>
      </c>
      <c r="C1939" s="18">
        <v>45237</v>
      </c>
      <c r="D1939" t="s">
        <v>100</v>
      </c>
      <c r="E1939" s="32">
        <v>190300</v>
      </c>
      <c r="F1939" s="32">
        <v>0</v>
      </c>
      <c r="G1939" s="32">
        <v>101051132</v>
      </c>
      <c r="H1939" t="s">
        <v>220</v>
      </c>
    </row>
    <row r="1940" spans="1:8" hidden="1" x14ac:dyDescent="0.3">
      <c r="A1940" s="28">
        <v>15220</v>
      </c>
      <c r="B1940" s="35">
        <v>45237.396527777775</v>
      </c>
      <c r="C1940" s="18">
        <v>45237</v>
      </c>
      <c r="D1940" t="s">
        <v>100</v>
      </c>
      <c r="E1940" s="32">
        <v>646800</v>
      </c>
      <c r="F1940" s="32">
        <v>0</v>
      </c>
      <c r="G1940" s="32">
        <v>100860832</v>
      </c>
      <c r="H1940" t="s">
        <v>220</v>
      </c>
    </row>
    <row r="1941" spans="1:8" hidden="1" x14ac:dyDescent="0.3">
      <c r="A1941" s="28">
        <v>15219</v>
      </c>
      <c r="B1941" s="35">
        <v>45237.390972222223</v>
      </c>
      <c r="C1941" s="18">
        <v>45237</v>
      </c>
      <c r="D1941" t="s">
        <v>100</v>
      </c>
      <c r="E1941" s="32">
        <v>1785300</v>
      </c>
      <c r="F1941" s="32">
        <v>0</v>
      </c>
      <c r="G1941" s="32">
        <v>100214032</v>
      </c>
      <c r="H1941" t="s">
        <v>327</v>
      </c>
    </row>
    <row r="1942" spans="1:8" hidden="1" x14ac:dyDescent="0.3">
      <c r="A1942" s="28">
        <v>15218</v>
      </c>
      <c r="B1942" s="35">
        <v>45236.830555555556</v>
      </c>
      <c r="C1942" s="18">
        <v>45236</v>
      </c>
      <c r="D1942" t="s">
        <v>101</v>
      </c>
      <c r="E1942" s="32">
        <v>0</v>
      </c>
      <c r="F1942" s="32">
        <v>626472</v>
      </c>
      <c r="G1942" s="32">
        <v>98428732</v>
      </c>
      <c r="H1942" t="s">
        <v>510</v>
      </c>
    </row>
    <row r="1943" spans="1:8" hidden="1" x14ac:dyDescent="0.3">
      <c r="A1943" s="28">
        <v>15217</v>
      </c>
      <c r="B1943" s="35">
        <v>45236.79791666667</v>
      </c>
      <c r="C1943" s="18">
        <v>45236</v>
      </c>
      <c r="D1943" t="s">
        <v>101</v>
      </c>
      <c r="E1943" s="32">
        <v>0</v>
      </c>
      <c r="F1943" s="32">
        <v>711920</v>
      </c>
      <c r="G1943" s="32">
        <v>99055204</v>
      </c>
      <c r="H1943" t="s">
        <v>435</v>
      </c>
    </row>
    <row r="1944" spans="1:8" hidden="1" x14ac:dyDescent="0.3">
      <c r="A1944" s="28">
        <v>15215</v>
      </c>
      <c r="B1944" s="35">
        <v>45236.654166666667</v>
      </c>
      <c r="C1944" s="18">
        <v>45236</v>
      </c>
      <c r="D1944" t="s">
        <v>101</v>
      </c>
      <c r="E1944" s="32">
        <v>0</v>
      </c>
      <c r="F1944" s="32">
        <v>99000</v>
      </c>
      <c r="G1944" s="32">
        <v>99767124</v>
      </c>
      <c r="H1944" t="s">
        <v>511</v>
      </c>
    </row>
    <row r="1945" spans="1:8" hidden="1" x14ac:dyDescent="0.3">
      <c r="A1945" s="28">
        <v>15214</v>
      </c>
      <c r="B1945" s="35">
        <v>45236.651388888888</v>
      </c>
      <c r="C1945" s="18">
        <v>45236</v>
      </c>
      <c r="D1945" t="s">
        <v>101</v>
      </c>
      <c r="E1945" s="32">
        <v>0</v>
      </c>
      <c r="F1945" s="32">
        <v>176407</v>
      </c>
      <c r="G1945" s="32">
        <v>99866124</v>
      </c>
      <c r="H1945" t="s">
        <v>221</v>
      </c>
    </row>
    <row r="1946" spans="1:8" hidden="1" x14ac:dyDescent="0.3">
      <c r="A1946" s="28">
        <v>15213</v>
      </c>
      <c r="B1946" s="35">
        <v>45236.640277777777</v>
      </c>
      <c r="C1946" s="18">
        <v>45236</v>
      </c>
      <c r="D1946" t="s">
        <v>100</v>
      </c>
      <c r="E1946" s="32">
        <v>2094400</v>
      </c>
      <c r="F1946" s="32">
        <v>0</v>
      </c>
      <c r="G1946" s="32">
        <v>100042531</v>
      </c>
      <c r="H1946" t="s">
        <v>512</v>
      </c>
    </row>
    <row r="1947" spans="1:8" hidden="1" x14ac:dyDescent="0.3">
      <c r="A1947" s="28">
        <v>15212</v>
      </c>
      <c r="B1947" s="35">
        <v>45236.606249999997</v>
      </c>
      <c r="C1947" s="18">
        <v>45236</v>
      </c>
      <c r="D1947" t="s">
        <v>100</v>
      </c>
      <c r="E1947" s="32">
        <v>4292200</v>
      </c>
      <c r="F1947" s="32">
        <v>0</v>
      </c>
      <c r="G1947" s="32">
        <v>97948131</v>
      </c>
      <c r="H1947" t="s">
        <v>414</v>
      </c>
    </row>
    <row r="1948" spans="1:8" hidden="1" x14ac:dyDescent="0.3">
      <c r="A1948" s="28">
        <v>15211</v>
      </c>
      <c r="B1948" s="35">
        <v>45236.577777777777</v>
      </c>
      <c r="C1948" s="18">
        <v>45236</v>
      </c>
      <c r="D1948" t="s">
        <v>100</v>
      </c>
      <c r="E1948" s="32">
        <v>646800</v>
      </c>
      <c r="F1948" s="32">
        <v>0</v>
      </c>
      <c r="G1948" s="32">
        <v>93655931</v>
      </c>
      <c r="H1948" t="s">
        <v>454</v>
      </c>
    </row>
    <row r="1949" spans="1:8" hidden="1" x14ac:dyDescent="0.3">
      <c r="A1949" s="28">
        <v>15209</v>
      </c>
      <c r="B1949" s="35">
        <v>45236.544444444444</v>
      </c>
      <c r="C1949" s="18">
        <v>45236</v>
      </c>
      <c r="D1949" t="s">
        <v>100</v>
      </c>
      <c r="E1949" s="32">
        <v>356400</v>
      </c>
      <c r="F1949" s="32">
        <v>0</v>
      </c>
      <c r="G1949" s="32">
        <v>93009131</v>
      </c>
      <c r="H1949" t="s">
        <v>396</v>
      </c>
    </row>
    <row r="1950" spans="1:8" hidden="1" x14ac:dyDescent="0.3">
      <c r="A1950" s="28">
        <v>15206</v>
      </c>
      <c r="B1950" s="35">
        <v>45236.399305555555</v>
      </c>
      <c r="C1950" s="18">
        <v>45236</v>
      </c>
      <c r="D1950" t="s">
        <v>101</v>
      </c>
      <c r="E1950" s="32">
        <v>0</v>
      </c>
      <c r="F1950" s="32">
        <v>1009600</v>
      </c>
      <c r="G1950" s="32">
        <v>92652731</v>
      </c>
      <c r="H1950" t="s">
        <v>513</v>
      </c>
    </row>
    <row r="1951" spans="1:8" hidden="1" x14ac:dyDescent="0.3">
      <c r="A1951" s="28">
        <v>15203</v>
      </c>
      <c r="B1951" s="35">
        <v>45233.569444444445</v>
      </c>
      <c r="C1951" s="18">
        <v>45233</v>
      </c>
      <c r="D1951" t="s">
        <v>100</v>
      </c>
      <c r="E1951" s="32">
        <v>399300</v>
      </c>
      <c r="F1951" s="32">
        <v>0</v>
      </c>
      <c r="G1951" s="32">
        <v>93662331</v>
      </c>
      <c r="H1951" t="s">
        <v>514</v>
      </c>
    </row>
    <row r="1952" spans="1:8" hidden="1" x14ac:dyDescent="0.3">
      <c r="A1952" s="28">
        <v>15200</v>
      </c>
      <c r="B1952" s="35">
        <v>45233.440972222219</v>
      </c>
      <c r="C1952" s="18">
        <v>45233</v>
      </c>
      <c r="D1952" t="s">
        <v>100</v>
      </c>
      <c r="E1952" s="32">
        <v>2970000</v>
      </c>
      <c r="F1952" s="32">
        <v>0</v>
      </c>
      <c r="G1952" s="32">
        <v>93263031</v>
      </c>
      <c r="H1952" t="s">
        <v>334</v>
      </c>
    </row>
    <row r="1953" spans="1:8" hidden="1" x14ac:dyDescent="0.3">
      <c r="A1953" s="28">
        <v>15195</v>
      </c>
      <c r="B1953" s="35">
        <v>45232.40902777778</v>
      </c>
      <c r="C1953" s="18">
        <v>45232</v>
      </c>
      <c r="D1953" t="s">
        <v>101</v>
      </c>
      <c r="E1953" s="32">
        <v>0</v>
      </c>
      <c r="F1953" s="32">
        <v>271422</v>
      </c>
      <c r="G1953" s="32">
        <v>90293031</v>
      </c>
      <c r="H1953" t="s">
        <v>221</v>
      </c>
    </row>
    <row r="1954" spans="1:8" hidden="1" x14ac:dyDescent="0.3">
      <c r="A1954" s="28">
        <v>15194</v>
      </c>
      <c r="B1954" s="35">
        <v>45231.695833333331</v>
      </c>
      <c r="C1954" s="18">
        <v>45231</v>
      </c>
      <c r="D1954" t="s">
        <v>101</v>
      </c>
      <c r="E1954" s="32">
        <v>0</v>
      </c>
      <c r="F1954" s="32">
        <v>115500</v>
      </c>
      <c r="G1954" s="32">
        <v>90564453</v>
      </c>
      <c r="H1954" t="s">
        <v>515</v>
      </c>
    </row>
    <row r="1955" spans="1:8" hidden="1" x14ac:dyDescent="0.3">
      <c r="A1955" s="28">
        <v>15191</v>
      </c>
      <c r="B1955" s="35">
        <v>45231.372916666667</v>
      </c>
      <c r="C1955" s="18">
        <v>45231</v>
      </c>
      <c r="D1955" t="s">
        <v>100</v>
      </c>
      <c r="E1955" s="32">
        <v>834900</v>
      </c>
      <c r="F1955" s="32">
        <v>0</v>
      </c>
      <c r="G1955" s="32">
        <v>90679953</v>
      </c>
      <c r="H1955" t="s">
        <v>516</v>
      </c>
    </row>
    <row r="1956" spans="1:8" hidden="1" x14ac:dyDescent="0.3">
      <c r="A1956" s="28">
        <v>15190</v>
      </c>
      <c r="B1956" s="35">
        <v>45230.797222222223</v>
      </c>
      <c r="C1956" s="18">
        <v>45230</v>
      </c>
      <c r="D1956" t="s">
        <v>101</v>
      </c>
      <c r="E1956" s="32">
        <v>0</v>
      </c>
      <c r="F1956" s="32">
        <v>400510</v>
      </c>
      <c r="G1956" s="32">
        <v>89845053</v>
      </c>
      <c r="H1956" t="s">
        <v>435</v>
      </c>
    </row>
    <row r="1957" spans="1:8" hidden="1" x14ac:dyDescent="0.3">
      <c r="A1957" s="28">
        <v>15184</v>
      </c>
      <c r="B1957" s="35">
        <v>45230.628472222219</v>
      </c>
      <c r="C1957" s="18">
        <v>45230</v>
      </c>
      <c r="D1957" t="s">
        <v>100</v>
      </c>
      <c r="E1957" s="32">
        <v>54300</v>
      </c>
      <c r="F1957" s="32">
        <v>0</v>
      </c>
      <c r="G1957" s="32">
        <v>90245563</v>
      </c>
      <c r="H1957" t="s">
        <v>517</v>
      </c>
    </row>
    <row r="1958" spans="1:8" hidden="1" x14ac:dyDescent="0.3">
      <c r="A1958" s="28">
        <v>15183</v>
      </c>
      <c r="B1958" s="35">
        <v>45230.628472222219</v>
      </c>
      <c r="C1958" s="18">
        <v>45230</v>
      </c>
      <c r="D1958" t="s">
        <v>100</v>
      </c>
      <c r="E1958" s="32">
        <v>543000</v>
      </c>
      <c r="F1958" s="32">
        <v>0</v>
      </c>
      <c r="G1958" s="32">
        <v>90191263</v>
      </c>
      <c r="H1958" t="s">
        <v>517</v>
      </c>
    </row>
    <row r="1959" spans="1:8" hidden="1" x14ac:dyDescent="0.3">
      <c r="A1959" s="28">
        <v>15182</v>
      </c>
      <c r="B1959" s="35">
        <v>45230.607638888891</v>
      </c>
      <c r="C1959" s="18">
        <v>45230</v>
      </c>
      <c r="D1959" t="s">
        <v>100</v>
      </c>
      <c r="E1959" s="32">
        <v>517307</v>
      </c>
      <c r="F1959" s="32">
        <v>0</v>
      </c>
      <c r="G1959" s="32">
        <v>89648263</v>
      </c>
      <c r="H1959" t="s">
        <v>492</v>
      </c>
    </row>
    <row r="1960" spans="1:8" hidden="1" x14ac:dyDescent="0.3">
      <c r="A1960" s="28">
        <v>15181</v>
      </c>
      <c r="B1960" s="35">
        <v>45230.605555555558</v>
      </c>
      <c r="C1960" s="18">
        <v>45230</v>
      </c>
      <c r="D1960" t="s">
        <v>100</v>
      </c>
      <c r="E1960" s="32">
        <v>135300</v>
      </c>
      <c r="F1960" s="32">
        <v>0</v>
      </c>
      <c r="G1960" s="32">
        <v>89130956</v>
      </c>
      <c r="H1960" t="s">
        <v>313</v>
      </c>
    </row>
    <row r="1961" spans="1:8" hidden="1" x14ac:dyDescent="0.3">
      <c r="A1961" s="28">
        <v>15180</v>
      </c>
      <c r="B1961" s="35">
        <v>45230.605555555558</v>
      </c>
      <c r="C1961" s="18">
        <v>45230</v>
      </c>
      <c r="D1961" t="s">
        <v>100</v>
      </c>
      <c r="E1961" s="32">
        <v>1433300</v>
      </c>
      <c r="F1961" s="32">
        <v>0</v>
      </c>
      <c r="G1961" s="32">
        <v>88995656</v>
      </c>
      <c r="H1961" t="s">
        <v>313</v>
      </c>
    </row>
    <row r="1962" spans="1:8" hidden="1" x14ac:dyDescent="0.3">
      <c r="A1962" s="28">
        <v>15179</v>
      </c>
      <c r="B1962" s="35">
        <v>45230.605555555558</v>
      </c>
      <c r="C1962" s="18">
        <v>45230</v>
      </c>
      <c r="D1962" t="s">
        <v>100</v>
      </c>
      <c r="E1962" s="32">
        <v>255200</v>
      </c>
      <c r="F1962" s="32">
        <v>0</v>
      </c>
      <c r="G1962" s="32">
        <v>87562356</v>
      </c>
      <c r="H1962" t="s">
        <v>313</v>
      </c>
    </row>
    <row r="1963" spans="1:8" hidden="1" x14ac:dyDescent="0.3">
      <c r="A1963" s="28">
        <v>15178</v>
      </c>
      <c r="B1963" s="35">
        <v>45230.605555555558</v>
      </c>
      <c r="C1963" s="18">
        <v>45230</v>
      </c>
      <c r="D1963" t="s">
        <v>100</v>
      </c>
      <c r="E1963" s="32">
        <v>366300</v>
      </c>
      <c r="F1963" s="32">
        <v>0</v>
      </c>
      <c r="G1963" s="32">
        <v>87307156</v>
      </c>
      <c r="H1963" t="s">
        <v>313</v>
      </c>
    </row>
    <row r="1964" spans="1:8" hidden="1" x14ac:dyDescent="0.3">
      <c r="A1964" s="28">
        <v>15177</v>
      </c>
      <c r="B1964" s="35">
        <v>45230.601388888892</v>
      </c>
      <c r="C1964" s="18">
        <v>45230</v>
      </c>
      <c r="D1964" t="s">
        <v>101</v>
      </c>
      <c r="E1964" s="32">
        <v>0</v>
      </c>
      <c r="F1964" s="32">
        <v>60000</v>
      </c>
      <c r="G1964" s="32">
        <v>86940856</v>
      </c>
      <c r="H1964" t="s">
        <v>359</v>
      </c>
    </row>
    <row r="1965" spans="1:8" hidden="1" x14ac:dyDescent="0.3">
      <c r="A1965" s="28">
        <v>15176</v>
      </c>
      <c r="B1965" s="35">
        <v>45230.585416666669</v>
      </c>
      <c r="C1965" s="18">
        <v>45230</v>
      </c>
      <c r="D1965" t="s">
        <v>100</v>
      </c>
      <c r="E1965" s="32">
        <v>152900</v>
      </c>
      <c r="F1965" s="32">
        <v>0</v>
      </c>
      <c r="G1965" s="32">
        <v>87000856</v>
      </c>
      <c r="H1965" t="s">
        <v>252</v>
      </c>
    </row>
    <row r="1966" spans="1:8" hidden="1" x14ac:dyDescent="0.3">
      <c r="A1966" s="28">
        <v>15175</v>
      </c>
      <c r="B1966" s="35">
        <v>45230.567361111112</v>
      </c>
      <c r="C1966" s="18">
        <v>45230</v>
      </c>
      <c r="D1966" t="s">
        <v>100</v>
      </c>
      <c r="E1966" s="32">
        <v>1994300</v>
      </c>
      <c r="F1966" s="32">
        <v>0</v>
      </c>
      <c r="G1966" s="32">
        <v>86847956</v>
      </c>
      <c r="H1966" t="s">
        <v>254</v>
      </c>
    </row>
    <row r="1967" spans="1:8" hidden="1" x14ac:dyDescent="0.3">
      <c r="A1967" s="28">
        <v>15174</v>
      </c>
      <c r="B1967" s="35">
        <v>45230.567361111112</v>
      </c>
      <c r="C1967" s="18">
        <v>45230</v>
      </c>
      <c r="D1967" t="s">
        <v>100</v>
      </c>
      <c r="E1967" s="32">
        <v>1327700</v>
      </c>
      <c r="F1967" s="32">
        <v>0</v>
      </c>
      <c r="G1967" s="32">
        <v>84853656</v>
      </c>
      <c r="H1967" t="s">
        <v>254</v>
      </c>
    </row>
    <row r="1968" spans="1:8" hidden="1" x14ac:dyDescent="0.3">
      <c r="A1968" s="28">
        <v>15173</v>
      </c>
      <c r="B1968" s="35">
        <v>45230.567361111112</v>
      </c>
      <c r="C1968" s="18">
        <v>45230</v>
      </c>
      <c r="D1968" t="s">
        <v>100</v>
      </c>
      <c r="E1968" s="32">
        <v>238700</v>
      </c>
      <c r="F1968" s="32">
        <v>0</v>
      </c>
      <c r="G1968" s="32">
        <v>83525956</v>
      </c>
      <c r="H1968" t="s">
        <v>254</v>
      </c>
    </row>
    <row r="1969" spans="1:8" hidden="1" x14ac:dyDescent="0.3">
      <c r="A1969" s="28">
        <v>15172</v>
      </c>
      <c r="B1969" s="35">
        <v>45230.567361111112</v>
      </c>
      <c r="C1969" s="18">
        <v>45230</v>
      </c>
      <c r="D1969" t="s">
        <v>100</v>
      </c>
      <c r="E1969" s="32">
        <v>1410200</v>
      </c>
      <c r="F1969" s="32">
        <v>0</v>
      </c>
      <c r="G1969" s="32">
        <v>83287256</v>
      </c>
      <c r="H1969" t="s">
        <v>254</v>
      </c>
    </row>
    <row r="1970" spans="1:8" hidden="1" x14ac:dyDescent="0.3">
      <c r="A1970" s="28">
        <v>15171</v>
      </c>
      <c r="B1970" s="35">
        <v>45230.567361111112</v>
      </c>
      <c r="C1970" s="18">
        <v>45230</v>
      </c>
      <c r="D1970" t="s">
        <v>100</v>
      </c>
      <c r="E1970" s="32">
        <v>809600</v>
      </c>
      <c r="F1970" s="32">
        <v>0</v>
      </c>
      <c r="G1970" s="32">
        <v>81877056</v>
      </c>
      <c r="H1970" t="s">
        <v>254</v>
      </c>
    </row>
    <row r="1971" spans="1:8" hidden="1" x14ac:dyDescent="0.3">
      <c r="A1971" s="28">
        <v>15170</v>
      </c>
      <c r="B1971" s="35">
        <v>45230.489583333336</v>
      </c>
      <c r="C1971" s="18">
        <v>45230</v>
      </c>
      <c r="D1971" t="s">
        <v>100</v>
      </c>
      <c r="E1971" s="32">
        <v>365200</v>
      </c>
      <c r="F1971" s="32">
        <v>0</v>
      </c>
      <c r="G1971" s="32">
        <v>81067456</v>
      </c>
      <c r="H1971" t="s">
        <v>248</v>
      </c>
    </row>
    <row r="1972" spans="1:8" hidden="1" x14ac:dyDescent="0.3">
      <c r="A1972" s="28">
        <v>15168</v>
      </c>
      <c r="B1972" s="35">
        <v>45230.477777777778</v>
      </c>
      <c r="C1972" s="18">
        <v>45230</v>
      </c>
      <c r="D1972" t="s">
        <v>100</v>
      </c>
      <c r="E1972" s="32">
        <v>447700</v>
      </c>
      <c r="F1972" s="32">
        <v>0</v>
      </c>
      <c r="G1972" s="32">
        <v>80702256</v>
      </c>
      <c r="H1972" t="s">
        <v>266</v>
      </c>
    </row>
    <row r="1973" spans="1:8" hidden="1" x14ac:dyDescent="0.3">
      <c r="A1973" s="28">
        <v>15166</v>
      </c>
      <c r="B1973" s="35">
        <v>45230.426388888889</v>
      </c>
      <c r="C1973" s="18">
        <v>45230</v>
      </c>
      <c r="D1973" t="s">
        <v>100</v>
      </c>
      <c r="E1973" s="32">
        <v>3377000</v>
      </c>
      <c r="F1973" s="32">
        <v>0</v>
      </c>
      <c r="G1973" s="32">
        <v>80254556</v>
      </c>
      <c r="H1973" t="s">
        <v>458</v>
      </c>
    </row>
    <row r="1974" spans="1:8" hidden="1" x14ac:dyDescent="0.3">
      <c r="A1974" s="28">
        <v>15165</v>
      </c>
      <c r="B1974" s="35">
        <v>45230.415972222225</v>
      </c>
      <c r="C1974" s="18">
        <v>45230</v>
      </c>
      <c r="D1974" t="s">
        <v>100</v>
      </c>
      <c r="E1974" s="32">
        <v>154000</v>
      </c>
      <c r="F1974" s="32">
        <v>0</v>
      </c>
      <c r="G1974" s="32">
        <v>76877556</v>
      </c>
      <c r="H1974" t="s">
        <v>220</v>
      </c>
    </row>
    <row r="1975" spans="1:8" hidden="1" x14ac:dyDescent="0.3">
      <c r="A1975" s="28">
        <v>15164</v>
      </c>
      <c r="B1975" s="35">
        <v>45229.783333333333</v>
      </c>
      <c r="C1975" s="18">
        <v>45229</v>
      </c>
      <c r="D1975" t="s">
        <v>101</v>
      </c>
      <c r="E1975" s="32">
        <v>0</v>
      </c>
      <c r="F1975" s="32">
        <v>31857600</v>
      </c>
      <c r="G1975" s="32">
        <v>76723556</v>
      </c>
      <c r="H1975" t="s">
        <v>258</v>
      </c>
    </row>
    <row r="1976" spans="1:8" hidden="1" x14ac:dyDescent="0.3">
      <c r="A1976" s="28">
        <v>15163</v>
      </c>
      <c r="B1976" s="35">
        <v>45229.78125</v>
      </c>
      <c r="C1976" s="18">
        <v>45229</v>
      </c>
      <c r="D1976" t="s">
        <v>101</v>
      </c>
      <c r="E1976" s="32">
        <v>0</v>
      </c>
      <c r="F1976" s="32">
        <v>14951410</v>
      </c>
      <c r="G1976" s="32">
        <v>108581156</v>
      </c>
      <c r="H1976" t="s">
        <v>518</v>
      </c>
    </row>
    <row r="1977" spans="1:8" hidden="1" x14ac:dyDescent="0.3">
      <c r="A1977" s="28">
        <v>15162</v>
      </c>
      <c r="B1977" s="35">
        <v>45229.780555555553</v>
      </c>
      <c r="C1977" s="18">
        <v>45229</v>
      </c>
      <c r="D1977" t="s">
        <v>100</v>
      </c>
      <c r="E1977" s="32">
        <v>100000000</v>
      </c>
      <c r="F1977" s="32">
        <v>0</v>
      </c>
      <c r="G1977" s="32">
        <v>123532566</v>
      </c>
      <c r="H1977" t="s">
        <v>259</v>
      </c>
    </row>
    <row r="1978" spans="1:8" hidden="1" x14ac:dyDescent="0.3">
      <c r="A1978" s="28">
        <v>15160</v>
      </c>
      <c r="B1978" s="35">
        <v>45229.779166666667</v>
      </c>
      <c r="C1978" s="18">
        <v>45229</v>
      </c>
      <c r="D1978" t="s">
        <v>101</v>
      </c>
      <c r="E1978" s="32">
        <v>0</v>
      </c>
      <c r="F1978" s="32">
        <v>198000</v>
      </c>
      <c r="G1978" s="32">
        <v>23532566</v>
      </c>
      <c r="H1978" t="s">
        <v>519</v>
      </c>
    </row>
    <row r="1979" spans="1:8" hidden="1" x14ac:dyDescent="0.3">
      <c r="A1979" s="28">
        <v>15159</v>
      </c>
      <c r="B1979" s="35">
        <v>45229.6875</v>
      </c>
      <c r="C1979" s="18">
        <v>45229</v>
      </c>
      <c r="D1979" t="s">
        <v>100</v>
      </c>
      <c r="E1979" s="32">
        <v>122100</v>
      </c>
      <c r="F1979" s="32">
        <v>0</v>
      </c>
      <c r="G1979" s="32">
        <v>23730566</v>
      </c>
      <c r="H1979" t="s">
        <v>516</v>
      </c>
    </row>
    <row r="1980" spans="1:8" hidden="1" x14ac:dyDescent="0.3">
      <c r="A1980" s="28">
        <v>15158</v>
      </c>
      <c r="B1980" s="35">
        <v>45229.676388888889</v>
      </c>
      <c r="C1980" s="18">
        <v>45229</v>
      </c>
      <c r="D1980" t="s">
        <v>100</v>
      </c>
      <c r="E1980" s="32">
        <v>1221000</v>
      </c>
      <c r="F1980" s="32">
        <v>0</v>
      </c>
      <c r="G1980" s="32">
        <v>23608466</v>
      </c>
      <c r="H1980" t="s">
        <v>520</v>
      </c>
    </row>
    <row r="1981" spans="1:8" hidden="1" x14ac:dyDescent="0.3">
      <c r="A1981" s="28">
        <v>15157</v>
      </c>
      <c r="B1981" s="35">
        <v>45229.67291666667</v>
      </c>
      <c r="C1981" s="18">
        <v>45229</v>
      </c>
      <c r="D1981" t="s">
        <v>100</v>
      </c>
      <c r="E1981" s="32">
        <v>2193400</v>
      </c>
      <c r="F1981" s="32">
        <v>0</v>
      </c>
      <c r="G1981" s="32">
        <v>22387466</v>
      </c>
      <c r="H1981" t="s">
        <v>247</v>
      </c>
    </row>
    <row r="1982" spans="1:8" hidden="1" x14ac:dyDescent="0.3">
      <c r="A1982" s="28">
        <v>15155</v>
      </c>
      <c r="B1982" s="35">
        <v>45229.634722222225</v>
      </c>
      <c r="C1982" s="18">
        <v>45229</v>
      </c>
      <c r="D1982" t="s">
        <v>100</v>
      </c>
      <c r="E1982" s="32">
        <v>866800</v>
      </c>
      <c r="F1982" s="32">
        <v>0</v>
      </c>
      <c r="G1982" s="32">
        <v>20194066</v>
      </c>
      <c r="H1982" t="s">
        <v>454</v>
      </c>
    </row>
    <row r="1983" spans="1:8" hidden="1" x14ac:dyDescent="0.3">
      <c r="A1983" s="28">
        <v>15154</v>
      </c>
      <c r="B1983" s="35">
        <v>45229.623611111114</v>
      </c>
      <c r="C1983" s="18">
        <v>45229</v>
      </c>
      <c r="D1983" t="s">
        <v>101</v>
      </c>
      <c r="E1983" s="32">
        <v>0</v>
      </c>
      <c r="F1983" s="32">
        <v>6600000</v>
      </c>
      <c r="G1983" s="32">
        <v>19327266</v>
      </c>
      <c r="H1983" t="s">
        <v>521</v>
      </c>
    </row>
    <row r="1984" spans="1:8" hidden="1" x14ac:dyDescent="0.3">
      <c r="A1984" s="28">
        <v>15153</v>
      </c>
      <c r="B1984" s="35">
        <v>45229.605555555558</v>
      </c>
      <c r="C1984" s="18">
        <v>45229</v>
      </c>
      <c r="D1984" t="s">
        <v>101</v>
      </c>
      <c r="E1984" s="32">
        <v>0</v>
      </c>
      <c r="F1984" s="32">
        <v>99000</v>
      </c>
      <c r="G1984" s="32">
        <v>25927266</v>
      </c>
      <c r="H1984" t="s">
        <v>522</v>
      </c>
    </row>
    <row r="1985" spans="1:8" hidden="1" x14ac:dyDescent="0.3">
      <c r="A1985" s="28">
        <v>15151</v>
      </c>
      <c r="B1985" s="35">
        <v>45229.5</v>
      </c>
      <c r="C1985" s="18">
        <v>45229</v>
      </c>
      <c r="D1985" t="s">
        <v>100</v>
      </c>
      <c r="E1985" s="32">
        <v>682000</v>
      </c>
      <c r="F1985" s="32">
        <v>0</v>
      </c>
      <c r="G1985" s="32">
        <v>26026266</v>
      </c>
      <c r="H1985" t="s">
        <v>523</v>
      </c>
    </row>
    <row r="1986" spans="1:8" hidden="1" x14ac:dyDescent="0.3">
      <c r="A1986" s="28">
        <v>15150</v>
      </c>
      <c r="B1986" s="35">
        <v>45229.494444444441</v>
      </c>
      <c r="C1986" s="18">
        <v>45229</v>
      </c>
      <c r="D1986" t="s">
        <v>100</v>
      </c>
      <c r="E1986" s="32">
        <v>2212100</v>
      </c>
      <c r="F1986" s="32">
        <v>0</v>
      </c>
      <c r="G1986" s="32">
        <v>25344266</v>
      </c>
      <c r="H1986" t="s">
        <v>523</v>
      </c>
    </row>
    <row r="1987" spans="1:8" hidden="1" x14ac:dyDescent="0.3">
      <c r="A1987" s="28">
        <v>15149</v>
      </c>
      <c r="B1987" s="35">
        <v>45229.489583333336</v>
      </c>
      <c r="C1987" s="18">
        <v>45229</v>
      </c>
      <c r="D1987" t="s">
        <v>100</v>
      </c>
      <c r="E1987" s="32">
        <v>665500</v>
      </c>
      <c r="F1987" s="32">
        <v>0</v>
      </c>
      <c r="G1987" s="32">
        <v>23132166</v>
      </c>
      <c r="H1987" t="s">
        <v>524</v>
      </c>
    </row>
    <row r="1988" spans="1:8" hidden="1" x14ac:dyDescent="0.3">
      <c r="A1988" s="28">
        <v>15146</v>
      </c>
      <c r="B1988" s="35">
        <v>45229.463888888888</v>
      </c>
      <c r="C1988" s="18">
        <v>45229</v>
      </c>
      <c r="D1988" t="s">
        <v>100</v>
      </c>
      <c r="E1988" s="32">
        <v>378400</v>
      </c>
      <c r="F1988" s="32">
        <v>0</v>
      </c>
      <c r="G1988" s="32">
        <v>22466666</v>
      </c>
      <c r="H1988" t="s">
        <v>454</v>
      </c>
    </row>
    <row r="1989" spans="1:8" hidden="1" x14ac:dyDescent="0.3">
      <c r="A1989" s="28">
        <v>15145</v>
      </c>
      <c r="B1989" s="35">
        <v>45229.463888888888</v>
      </c>
      <c r="C1989" s="18">
        <v>45229</v>
      </c>
      <c r="D1989" t="s">
        <v>100</v>
      </c>
      <c r="E1989" s="32">
        <v>1343100</v>
      </c>
      <c r="F1989" s="32">
        <v>0</v>
      </c>
      <c r="G1989" s="32">
        <v>22088266</v>
      </c>
      <c r="H1989" t="s">
        <v>454</v>
      </c>
    </row>
    <row r="1990" spans="1:8" hidden="1" x14ac:dyDescent="0.3">
      <c r="A1990" s="28">
        <v>15143</v>
      </c>
      <c r="B1990" s="35">
        <v>45229.43472222222</v>
      </c>
      <c r="C1990" s="18">
        <v>45229</v>
      </c>
      <c r="D1990" t="s">
        <v>100</v>
      </c>
      <c r="E1990" s="32">
        <v>381700</v>
      </c>
      <c r="F1990" s="32">
        <v>0</v>
      </c>
      <c r="G1990" s="32">
        <v>20745166</v>
      </c>
      <c r="H1990" t="s">
        <v>525</v>
      </c>
    </row>
    <row r="1991" spans="1:8" hidden="1" x14ac:dyDescent="0.3">
      <c r="A1991" s="28">
        <v>15142</v>
      </c>
      <c r="B1991" s="35">
        <v>45229.415277777778</v>
      </c>
      <c r="C1991" s="18">
        <v>45229</v>
      </c>
      <c r="D1991" t="s">
        <v>100</v>
      </c>
      <c r="E1991" s="32">
        <v>346500</v>
      </c>
      <c r="F1991" s="32">
        <v>0</v>
      </c>
      <c r="G1991" s="32">
        <v>20363466</v>
      </c>
      <c r="H1991" t="s">
        <v>365</v>
      </c>
    </row>
    <row r="1992" spans="1:8" hidden="1" x14ac:dyDescent="0.3">
      <c r="A1992" s="28">
        <v>15140</v>
      </c>
      <c r="B1992" s="35">
        <v>45226.626388888886</v>
      </c>
      <c r="C1992" s="18">
        <v>45226</v>
      </c>
      <c r="D1992" t="s">
        <v>100</v>
      </c>
      <c r="E1992" s="32">
        <v>489500</v>
      </c>
      <c r="F1992" s="32">
        <v>0</v>
      </c>
      <c r="G1992" s="32">
        <v>20016966</v>
      </c>
      <c r="H1992" t="s">
        <v>429</v>
      </c>
    </row>
    <row r="1993" spans="1:8" hidden="1" x14ac:dyDescent="0.3">
      <c r="A1993" s="28">
        <v>15139</v>
      </c>
      <c r="B1993" s="35">
        <v>45226.59652777778</v>
      </c>
      <c r="C1993" s="18">
        <v>45226</v>
      </c>
      <c r="D1993" t="s">
        <v>100</v>
      </c>
      <c r="E1993" s="32">
        <v>563200</v>
      </c>
      <c r="F1993" s="32">
        <v>0</v>
      </c>
      <c r="G1993" s="32">
        <v>19527466</v>
      </c>
      <c r="H1993" t="s">
        <v>526</v>
      </c>
    </row>
    <row r="1994" spans="1:8" hidden="1" x14ac:dyDescent="0.3">
      <c r="A1994" s="28">
        <v>15138</v>
      </c>
      <c r="B1994" s="35">
        <v>45226.575694444444</v>
      </c>
      <c r="C1994" s="18">
        <v>45226</v>
      </c>
      <c r="D1994" t="s">
        <v>100</v>
      </c>
      <c r="E1994" s="32">
        <v>1746800</v>
      </c>
      <c r="F1994" s="32">
        <v>0</v>
      </c>
      <c r="G1994" s="32">
        <v>18964266</v>
      </c>
      <c r="H1994" t="s">
        <v>228</v>
      </c>
    </row>
    <row r="1995" spans="1:8" hidden="1" x14ac:dyDescent="0.3">
      <c r="A1995" s="28">
        <v>15137</v>
      </c>
      <c r="B1995" s="35">
        <v>45226.575694444444</v>
      </c>
      <c r="C1995" s="18">
        <v>45226</v>
      </c>
      <c r="D1995" t="s">
        <v>100</v>
      </c>
      <c r="E1995" s="32">
        <v>600600</v>
      </c>
      <c r="F1995" s="32">
        <v>0</v>
      </c>
      <c r="G1995" s="32">
        <v>17217466</v>
      </c>
      <c r="H1995" t="s">
        <v>228</v>
      </c>
    </row>
    <row r="1996" spans="1:8" hidden="1" x14ac:dyDescent="0.3">
      <c r="A1996" s="28">
        <v>15136</v>
      </c>
      <c r="B1996" s="35">
        <v>45226.575694444444</v>
      </c>
      <c r="C1996" s="18">
        <v>45226</v>
      </c>
      <c r="D1996" t="s">
        <v>100</v>
      </c>
      <c r="E1996" s="32">
        <v>817300</v>
      </c>
      <c r="F1996" s="32">
        <v>0</v>
      </c>
      <c r="G1996" s="32">
        <v>16616866</v>
      </c>
      <c r="H1996" t="s">
        <v>228</v>
      </c>
    </row>
    <row r="1997" spans="1:8" hidden="1" x14ac:dyDescent="0.3">
      <c r="A1997" s="28">
        <v>15135</v>
      </c>
      <c r="B1997" s="35">
        <v>45226.564583333333</v>
      </c>
      <c r="C1997" s="18">
        <v>45226</v>
      </c>
      <c r="D1997" t="s">
        <v>100</v>
      </c>
      <c r="E1997" s="32">
        <v>1286600</v>
      </c>
      <c r="F1997" s="32">
        <v>0</v>
      </c>
      <c r="G1997" s="32">
        <v>15799566</v>
      </c>
      <c r="H1997" t="s">
        <v>263</v>
      </c>
    </row>
    <row r="1998" spans="1:8" hidden="1" x14ac:dyDescent="0.3">
      <c r="A1998" s="28">
        <v>15134</v>
      </c>
      <c r="B1998" s="35">
        <v>45226.541666666664</v>
      </c>
      <c r="C1998" s="18">
        <v>45226</v>
      </c>
      <c r="D1998" t="s">
        <v>100</v>
      </c>
      <c r="E1998" s="32">
        <v>1085000</v>
      </c>
      <c r="F1998" s="32">
        <v>0</v>
      </c>
      <c r="G1998" s="32">
        <v>14512966</v>
      </c>
      <c r="H1998" t="s">
        <v>263</v>
      </c>
    </row>
    <row r="1999" spans="1:8" hidden="1" x14ac:dyDescent="0.3">
      <c r="A1999" s="28">
        <v>15132</v>
      </c>
      <c r="B1999" s="35">
        <v>45226.402777777781</v>
      </c>
      <c r="C1999" s="18">
        <v>45226</v>
      </c>
      <c r="D1999" t="s">
        <v>100</v>
      </c>
      <c r="E1999" s="32">
        <v>2768700</v>
      </c>
      <c r="F1999" s="32">
        <v>0</v>
      </c>
      <c r="G1999" s="32">
        <v>13427966</v>
      </c>
      <c r="H1999" t="s">
        <v>527</v>
      </c>
    </row>
    <row r="2000" spans="1:8" hidden="1" x14ac:dyDescent="0.3">
      <c r="A2000" s="28">
        <v>15126</v>
      </c>
      <c r="B2000" s="35">
        <v>45225.408333333333</v>
      </c>
      <c r="C2000" s="18">
        <v>45225</v>
      </c>
      <c r="D2000" t="s">
        <v>101</v>
      </c>
      <c r="E2000" s="32">
        <v>0</v>
      </c>
      <c r="F2000" s="32">
        <v>8000</v>
      </c>
      <c r="G2000" s="32">
        <v>10659266</v>
      </c>
      <c r="H2000" t="s">
        <v>241</v>
      </c>
    </row>
    <row r="2001" spans="1:8" hidden="1" x14ac:dyDescent="0.3">
      <c r="A2001" s="28">
        <v>15125</v>
      </c>
      <c r="B2001" s="35">
        <v>45225.386805555558</v>
      </c>
      <c r="C2001" s="18">
        <v>45225</v>
      </c>
      <c r="D2001" t="s">
        <v>101</v>
      </c>
      <c r="E2001" s="32">
        <v>0</v>
      </c>
      <c r="F2001" s="32">
        <v>40383300</v>
      </c>
      <c r="G2001" s="32">
        <v>10667266</v>
      </c>
      <c r="H2001" t="s">
        <v>242</v>
      </c>
    </row>
    <row r="2002" spans="1:8" hidden="1" x14ac:dyDescent="0.3">
      <c r="A2002" s="28">
        <v>15124</v>
      </c>
      <c r="B2002" s="35">
        <v>45225.386111111111</v>
      </c>
      <c r="C2002" s="18">
        <v>45225</v>
      </c>
      <c r="D2002" t="s">
        <v>101</v>
      </c>
      <c r="E2002" s="32">
        <v>0</v>
      </c>
      <c r="F2002" s="32">
        <v>40225500</v>
      </c>
      <c r="G2002" s="32">
        <v>51050566</v>
      </c>
      <c r="H2002" t="s">
        <v>242</v>
      </c>
    </row>
    <row r="2003" spans="1:8" hidden="1" x14ac:dyDescent="0.3">
      <c r="A2003" s="28">
        <v>15123</v>
      </c>
      <c r="B2003" s="35">
        <v>45225.386111111111</v>
      </c>
      <c r="C2003" s="18">
        <v>45225</v>
      </c>
      <c r="D2003" t="s">
        <v>101</v>
      </c>
      <c r="E2003" s="32">
        <v>0</v>
      </c>
      <c r="F2003" s="32">
        <v>40495800</v>
      </c>
      <c r="G2003" s="32">
        <v>91276066</v>
      </c>
      <c r="H2003" t="s">
        <v>242</v>
      </c>
    </row>
    <row r="2004" spans="1:8" hidden="1" x14ac:dyDescent="0.3">
      <c r="A2004" s="28">
        <v>15122</v>
      </c>
      <c r="B2004" s="35">
        <v>45225.384722222225</v>
      </c>
      <c r="C2004" s="18">
        <v>45225</v>
      </c>
      <c r="D2004" t="s">
        <v>100</v>
      </c>
      <c r="E2004" s="32">
        <v>30000000</v>
      </c>
      <c r="F2004" s="32">
        <v>0</v>
      </c>
      <c r="G2004" s="32">
        <v>131771866</v>
      </c>
      <c r="H2004" t="s">
        <v>259</v>
      </c>
    </row>
    <row r="2005" spans="1:8" hidden="1" x14ac:dyDescent="0.3">
      <c r="A2005" s="28">
        <v>15118</v>
      </c>
      <c r="B2005" s="35">
        <v>45224.832638888889</v>
      </c>
      <c r="C2005" s="18">
        <v>45224</v>
      </c>
      <c r="D2005" t="s">
        <v>101</v>
      </c>
      <c r="E2005" s="32">
        <v>0</v>
      </c>
      <c r="F2005" s="32">
        <v>440000</v>
      </c>
      <c r="G2005" s="32">
        <v>101771866</v>
      </c>
      <c r="H2005" t="s">
        <v>413</v>
      </c>
    </row>
    <row r="2006" spans="1:8" hidden="1" x14ac:dyDescent="0.3">
      <c r="A2006" s="28">
        <v>15115</v>
      </c>
      <c r="B2006" s="35">
        <v>45224.632638888892</v>
      </c>
      <c r="C2006" s="18">
        <v>45224</v>
      </c>
      <c r="D2006" t="s">
        <v>100</v>
      </c>
      <c r="E2006" s="32">
        <v>147400</v>
      </c>
      <c r="F2006" s="32">
        <v>0</v>
      </c>
      <c r="G2006" s="32">
        <v>102211866</v>
      </c>
      <c r="H2006" t="s">
        <v>309</v>
      </c>
    </row>
    <row r="2007" spans="1:8" hidden="1" x14ac:dyDescent="0.3">
      <c r="A2007" s="28">
        <v>15114</v>
      </c>
      <c r="B2007" s="35">
        <v>45224.56527777778</v>
      </c>
      <c r="C2007" s="18">
        <v>45224</v>
      </c>
      <c r="D2007" t="s">
        <v>100</v>
      </c>
      <c r="E2007" s="32">
        <v>1951400</v>
      </c>
      <c r="F2007" s="32">
        <v>0</v>
      </c>
      <c r="G2007" s="32">
        <v>102064466</v>
      </c>
      <c r="H2007" t="s">
        <v>220</v>
      </c>
    </row>
    <row r="2008" spans="1:8" hidden="1" x14ac:dyDescent="0.3">
      <c r="A2008" s="28">
        <v>15113</v>
      </c>
      <c r="B2008" s="35">
        <v>45224.526388888888</v>
      </c>
      <c r="C2008" s="18">
        <v>45224</v>
      </c>
      <c r="D2008" t="s">
        <v>100</v>
      </c>
      <c r="E2008" s="32">
        <v>160600</v>
      </c>
      <c r="F2008" s="32">
        <v>0</v>
      </c>
      <c r="G2008" s="32">
        <v>100113066</v>
      </c>
      <c r="H2008" t="s">
        <v>528</v>
      </c>
    </row>
    <row r="2009" spans="1:8" hidden="1" x14ac:dyDescent="0.3">
      <c r="A2009" s="28">
        <v>15112</v>
      </c>
      <c r="B2009" s="35">
        <v>45224.472916666666</v>
      </c>
      <c r="C2009" s="18">
        <v>45224</v>
      </c>
      <c r="D2009" t="s">
        <v>101</v>
      </c>
      <c r="E2009" s="32">
        <v>0</v>
      </c>
      <c r="F2009" s="32">
        <v>843700</v>
      </c>
      <c r="G2009" s="32">
        <v>99952466</v>
      </c>
      <c r="H2009" t="s">
        <v>529</v>
      </c>
    </row>
    <row r="2010" spans="1:8" hidden="1" x14ac:dyDescent="0.3">
      <c r="A2010" s="28">
        <v>15111</v>
      </c>
      <c r="B2010" s="35">
        <v>45224.432638888888</v>
      </c>
      <c r="C2010" s="18">
        <v>45224</v>
      </c>
      <c r="D2010" t="s">
        <v>101</v>
      </c>
      <c r="E2010" s="32">
        <v>0</v>
      </c>
      <c r="F2010" s="32">
        <v>450000</v>
      </c>
      <c r="G2010" s="32">
        <v>100796166</v>
      </c>
      <c r="H2010" t="s">
        <v>282</v>
      </c>
    </row>
    <row r="2011" spans="1:8" hidden="1" x14ac:dyDescent="0.3">
      <c r="A2011" s="28">
        <v>15110</v>
      </c>
      <c r="B2011" s="35">
        <v>45224.390277777777</v>
      </c>
      <c r="C2011" s="18">
        <v>45224</v>
      </c>
      <c r="D2011" t="s">
        <v>101</v>
      </c>
      <c r="E2011" s="32">
        <v>0</v>
      </c>
      <c r="F2011" s="32">
        <v>136995</v>
      </c>
      <c r="G2011" s="32">
        <v>101246166</v>
      </c>
      <c r="H2011" t="s">
        <v>221</v>
      </c>
    </row>
    <row r="2012" spans="1:8" hidden="1" x14ac:dyDescent="0.3">
      <c r="A2012" s="28">
        <v>15109</v>
      </c>
      <c r="B2012" s="35">
        <v>45223.693055555559</v>
      </c>
      <c r="C2012" s="18">
        <v>45223</v>
      </c>
      <c r="D2012" t="s">
        <v>100</v>
      </c>
      <c r="E2012" s="32">
        <v>176000</v>
      </c>
      <c r="F2012" s="32">
        <v>0</v>
      </c>
      <c r="G2012" s="32">
        <v>101383161</v>
      </c>
      <c r="H2012" t="s">
        <v>404</v>
      </c>
    </row>
    <row r="2013" spans="1:8" hidden="1" x14ac:dyDescent="0.3">
      <c r="A2013" s="28">
        <v>15108</v>
      </c>
      <c r="B2013" s="35">
        <v>45223.57916666667</v>
      </c>
      <c r="C2013" s="18">
        <v>45223</v>
      </c>
      <c r="D2013" t="s">
        <v>100</v>
      </c>
      <c r="E2013" s="32">
        <v>775500</v>
      </c>
      <c r="F2013" s="32">
        <v>0</v>
      </c>
      <c r="G2013" s="32">
        <v>101207161</v>
      </c>
      <c r="H2013" t="s">
        <v>357</v>
      </c>
    </row>
    <row r="2014" spans="1:8" hidden="1" x14ac:dyDescent="0.3">
      <c r="A2014" s="28">
        <v>15107</v>
      </c>
      <c r="B2014" s="35">
        <v>45223.461111111108</v>
      </c>
      <c r="C2014" s="18">
        <v>45223</v>
      </c>
      <c r="D2014" t="s">
        <v>100</v>
      </c>
      <c r="E2014" s="32">
        <v>165000</v>
      </c>
      <c r="F2014" s="32">
        <v>0</v>
      </c>
      <c r="G2014" s="32">
        <v>100431661</v>
      </c>
      <c r="H2014" t="s">
        <v>220</v>
      </c>
    </row>
    <row r="2015" spans="1:8" hidden="1" x14ac:dyDescent="0.3">
      <c r="A2015" s="28">
        <v>15106</v>
      </c>
      <c r="B2015" s="35">
        <v>45223.425000000003</v>
      </c>
      <c r="C2015" s="18">
        <v>45223</v>
      </c>
      <c r="D2015" t="s">
        <v>101</v>
      </c>
      <c r="E2015" s="32">
        <v>0</v>
      </c>
      <c r="F2015" s="32">
        <v>99000</v>
      </c>
      <c r="G2015" s="32">
        <v>100266661</v>
      </c>
      <c r="H2015" t="s">
        <v>530</v>
      </c>
    </row>
    <row r="2016" spans="1:8" hidden="1" x14ac:dyDescent="0.3">
      <c r="A2016" s="28">
        <v>15105</v>
      </c>
      <c r="B2016" s="35">
        <v>45223.422222222223</v>
      </c>
      <c r="C2016" s="18">
        <v>45223</v>
      </c>
      <c r="D2016" t="s">
        <v>101</v>
      </c>
      <c r="E2016" s="32">
        <v>0</v>
      </c>
      <c r="F2016" s="32">
        <v>155100</v>
      </c>
      <c r="G2016" s="32">
        <v>100365661</v>
      </c>
      <c r="H2016" t="s">
        <v>280</v>
      </c>
    </row>
    <row r="2017" spans="1:8" hidden="1" x14ac:dyDescent="0.3">
      <c r="A2017" s="28">
        <v>15104</v>
      </c>
      <c r="B2017" s="35">
        <v>45223.415972222225</v>
      </c>
      <c r="C2017" s="18">
        <v>45223</v>
      </c>
      <c r="D2017" t="s">
        <v>101</v>
      </c>
      <c r="E2017" s="32">
        <v>0</v>
      </c>
      <c r="F2017" s="32">
        <v>130000</v>
      </c>
      <c r="G2017" s="32">
        <v>100520761</v>
      </c>
      <c r="H2017" t="s">
        <v>531</v>
      </c>
    </row>
    <row r="2018" spans="1:8" hidden="1" x14ac:dyDescent="0.3">
      <c r="A2018" s="28">
        <v>15103</v>
      </c>
      <c r="B2018" s="35">
        <v>45223.414583333331</v>
      </c>
      <c r="C2018" s="18">
        <v>45223</v>
      </c>
      <c r="D2018" t="s">
        <v>101</v>
      </c>
      <c r="E2018" s="32">
        <v>0</v>
      </c>
      <c r="F2018" s="32">
        <v>2703903</v>
      </c>
      <c r="G2018" s="32">
        <v>100650761</v>
      </c>
      <c r="H2018" t="s">
        <v>532</v>
      </c>
    </row>
    <row r="2019" spans="1:8" hidden="1" x14ac:dyDescent="0.3">
      <c r="A2019" s="28">
        <v>15097</v>
      </c>
      <c r="B2019" s="35">
        <v>45222.716666666667</v>
      </c>
      <c r="C2019" s="18">
        <v>45222</v>
      </c>
      <c r="D2019" t="s">
        <v>101</v>
      </c>
      <c r="E2019" s="32">
        <v>0</v>
      </c>
      <c r="F2019" s="32">
        <v>58470220</v>
      </c>
      <c r="G2019" s="32">
        <v>103354664</v>
      </c>
      <c r="H2019" t="s">
        <v>356</v>
      </c>
    </row>
    <row r="2020" spans="1:8" hidden="1" x14ac:dyDescent="0.3">
      <c r="A2020" s="28">
        <v>15096</v>
      </c>
      <c r="B2020" s="35">
        <v>45222.644444444442</v>
      </c>
      <c r="C2020" s="18">
        <v>45222</v>
      </c>
      <c r="D2020" t="s">
        <v>100</v>
      </c>
      <c r="E2020" s="32">
        <v>1314500</v>
      </c>
      <c r="F2020" s="32">
        <v>0</v>
      </c>
      <c r="G2020" s="32">
        <v>161824884</v>
      </c>
      <c r="H2020" t="s">
        <v>279</v>
      </c>
    </row>
    <row r="2021" spans="1:8" hidden="1" x14ac:dyDescent="0.3">
      <c r="A2021" s="28">
        <v>15095</v>
      </c>
      <c r="B2021" s="35">
        <v>45222.496527777781</v>
      </c>
      <c r="C2021" s="18">
        <v>45222</v>
      </c>
      <c r="D2021" t="s">
        <v>100</v>
      </c>
      <c r="E2021" s="32">
        <v>50000000</v>
      </c>
      <c r="F2021" s="32">
        <v>0</v>
      </c>
      <c r="G2021" s="32">
        <v>160510384</v>
      </c>
      <c r="H2021" t="s">
        <v>259</v>
      </c>
    </row>
    <row r="2022" spans="1:8" hidden="1" x14ac:dyDescent="0.3">
      <c r="A2022" s="28">
        <v>15092</v>
      </c>
      <c r="B2022" s="35">
        <v>45222.412499999999</v>
      </c>
      <c r="C2022" s="18">
        <v>45222</v>
      </c>
      <c r="D2022" t="s">
        <v>100</v>
      </c>
      <c r="E2022" s="32">
        <v>441100</v>
      </c>
      <c r="F2022" s="32">
        <v>0</v>
      </c>
      <c r="G2022" s="32">
        <v>110510384</v>
      </c>
      <c r="H2022" t="s">
        <v>365</v>
      </c>
    </row>
    <row r="2023" spans="1:8" hidden="1" x14ac:dyDescent="0.3">
      <c r="A2023" s="28">
        <v>15091</v>
      </c>
      <c r="B2023" s="35">
        <v>45222.410416666666</v>
      </c>
      <c r="C2023" s="18">
        <v>45222</v>
      </c>
      <c r="D2023" t="s">
        <v>100</v>
      </c>
      <c r="E2023" s="32">
        <v>26700000</v>
      </c>
      <c r="F2023" s="32">
        <v>0</v>
      </c>
      <c r="G2023" s="32">
        <v>110069284</v>
      </c>
      <c r="H2023" t="s">
        <v>533</v>
      </c>
    </row>
    <row r="2024" spans="1:8" hidden="1" x14ac:dyDescent="0.3">
      <c r="A2024" s="28">
        <v>15089</v>
      </c>
      <c r="B2024" s="35">
        <v>45222.408333333333</v>
      </c>
      <c r="C2024" s="18">
        <v>45222</v>
      </c>
      <c r="D2024" t="s">
        <v>100</v>
      </c>
      <c r="E2024" s="32">
        <v>28800000</v>
      </c>
      <c r="F2024" s="32">
        <v>0</v>
      </c>
      <c r="G2024" s="32">
        <v>83369284</v>
      </c>
      <c r="H2024" t="s">
        <v>534</v>
      </c>
    </row>
    <row r="2025" spans="1:8" hidden="1" x14ac:dyDescent="0.3">
      <c r="A2025" s="28">
        <v>15086</v>
      </c>
      <c r="B2025" s="35">
        <v>45219.847222222219</v>
      </c>
      <c r="C2025" s="18">
        <v>45219</v>
      </c>
      <c r="D2025" t="s">
        <v>101</v>
      </c>
      <c r="E2025" s="32">
        <v>0</v>
      </c>
      <c r="F2025" s="32">
        <v>598530</v>
      </c>
      <c r="G2025" s="32">
        <v>54569284</v>
      </c>
      <c r="H2025" t="s">
        <v>422</v>
      </c>
    </row>
    <row r="2026" spans="1:8" hidden="1" x14ac:dyDescent="0.3">
      <c r="A2026" s="28">
        <v>15085</v>
      </c>
      <c r="B2026" s="35">
        <v>45219.829861111109</v>
      </c>
      <c r="C2026" s="18">
        <v>45219</v>
      </c>
      <c r="D2026" t="s">
        <v>101</v>
      </c>
      <c r="E2026" s="32">
        <v>0</v>
      </c>
      <c r="F2026" s="32">
        <v>286736</v>
      </c>
      <c r="G2026" s="32">
        <v>55167814</v>
      </c>
      <c r="H2026" t="s">
        <v>423</v>
      </c>
    </row>
    <row r="2027" spans="1:8" hidden="1" x14ac:dyDescent="0.3">
      <c r="A2027" s="28">
        <v>15084</v>
      </c>
      <c r="B2027" s="35">
        <v>45219.820833333331</v>
      </c>
      <c r="C2027" s="18">
        <v>45219</v>
      </c>
      <c r="D2027" t="s">
        <v>101</v>
      </c>
      <c r="E2027" s="32">
        <v>0</v>
      </c>
      <c r="F2027" s="32">
        <v>77429</v>
      </c>
      <c r="G2027" s="32">
        <v>55454550</v>
      </c>
      <c r="H2027" t="s">
        <v>535</v>
      </c>
    </row>
    <row r="2028" spans="1:8" hidden="1" x14ac:dyDescent="0.3">
      <c r="A2028" s="28">
        <v>15083</v>
      </c>
      <c r="B2028" s="35">
        <v>45219.815972222219</v>
      </c>
      <c r="C2028" s="18">
        <v>45219</v>
      </c>
      <c r="D2028" t="s">
        <v>101</v>
      </c>
      <c r="E2028" s="32">
        <v>0</v>
      </c>
      <c r="F2028" s="32">
        <v>1000000</v>
      </c>
      <c r="G2028" s="32">
        <v>55531979</v>
      </c>
      <c r="H2028" t="s">
        <v>536</v>
      </c>
    </row>
    <row r="2029" spans="1:8" hidden="1" x14ac:dyDescent="0.3">
      <c r="A2029" s="28">
        <v>15082</v>
      </c>
      <c r="B2029" s="35">
        <v>45219.668055555558</v>
      </c>
      <c r="C2029" s="18">
        <v>45219</v>
      </c>
      <c r="D2029" t="s">
        <v>100</v>
      </c>
      <c r="E2029" s="32">
        <v>543000</v>
      </c>
      <c r="F2029" s="32">
        <v>0</v>
      </c>
      <c r="G2029" s="32">
        <v>56531979</v>
      </c>
      <c r="H2029" t="s">
        <v>537</v>
      </c>
    </row>
    <row r="2030" spans="1:8" hidden="1" x14ac:dyDescent="0.3">
      <c r="A2030" s="28">
        <v>15081</v>
      </c>
      <c r="B2030" s="35">
        <v>45219.642361111109</v>
      </c>
      <c r="C2030" s="18">
        <v>45219</v>
      </c>
      <c r="D2030" t="s">
        <v>101</v>
      </c>
      <c r="E2030" s="32">
        <v>0</v>
      </c>
      <c r="F2030" s="32">
        <v>811800</v>
      </c>
      <c r="G2030" s="32">
        <v>55988979</v>
      </c>
      <c r="H2030" t="s">
        <v>538</v>
      </c>
    </row>
    <row r="2031" spans="1:8" hidden="1" x14ac:dyDescent="0.3">
      <c r="A2031" s="28">
        <v>15080</v>
      </c>
      <c r="B2031" s="35">
        <v>45219.606944444444</v>
      </c>
      <c r="C2031" s="18">
        <v>45219</v>
      </c>
      <c r="D2031" t="s">
        <v>100</v>
      </c>
      <c r="E2031" s="32">
        <v>222200</v>
      </c>
      <c r="F2031" s="32">
        <v>0</v>
      </c>
      <c r="G2031" s="32">
        <v>56800779</v>
      </c>
      <c r="H2031" t="s">
        <v>454</v>
      </c>
    </row>
    <row r="2032" spans="1:8" hidden="1" x14ac:dyDescent="0.3">
      <c r="A2032" s="28">
        <v>15079</v>
      </c>
      <c r="B2032" s="35">
        <v>45219.532638888886</v>
      </c>
      <c r="C2032" s="18">
        <v>45219</v>
      </c>
      <c r="D2032" t="s">
        <v>100</v>
      </c>
      <c r="E2032" s="32">
        <v>71400</v>
      </c>
      <c r="F2032" s="32">
        <v>0</v>
      </c>
      <c r="G2032" s="32">
        <v>56578579</v>
      </c>
      <c r="H2032" t="s">
        <v>539</v>
      </c>
    </row>
    <row r="2033" spans="1:8" hidden="1" x14ac:dyDescent="0.3">
      <c r="A2033" s="28">
        <v>15078</v>
      </c>
      <c r="B2033" s="35">
        <v>45219.53125</v>
      </c>
      <c r="C2033" s="18">
        <v>45219</v>
      </c>
      <c r="D2033" t="s">
        <v>100</v>
      </c>
      <c r="E2033" s="32">
        <v>714000</v>
      </c>
      <c r="F2033" s="32">
        <v>0</v>
      </c>
      <c r="G2033" s="32">
        <v>56507179</v>
      </c>
      <c r="H2033" t="s">
        <v>539</v>
      </c>
    </row>
    <row r="2034" spans="1:8" hidden="1" x14ac:dyDescent="0.3">
      <c r="A2034" s="28">
        <v>15077</v>
      </c>
      <c r="B2034" s="35">
        <v>45219.427083333336</v>
      </c>
      <c r="C2034" s="18">
        <v>45219</v>
      </c>
      <c r="D2034" t="s">
        <v>101</v>
      </c>
      <c r="E2034" s="32">
        <v>0</v>
      </c>
      <c r="F2034" s="32">
        <v>2319910</v>
      </c>
      <c r="G2034" s="32">
        <v>55793179</v>
      </c>
      <c r="H2034" t="s">
        <v>294</v>
      </c>
    </row>
    <row r="2035" spans="1:8" hidden="1" x14ac:dyDescent="0.3">
      <c r="A2035" s="28">
        <v>15076</v>
      </c>
      <c r="B2035" s="35">
        <v>45219.425694444442</v>
      </c>
      <c r="C2035" s="18">
        <v>45219</v>
      </c>
      <c r="D2035" t="s">
        <v>101</v>
      </c>
      <c r="E2035" s="32">
        <v>0</v>
      </c>
      <c r="F2035" s="32">
        <v>1055342</v>
      </c>
      <c r="G2035" s="32">
        <v>58113089</v>
      </c>
      <c r="H2035" t="s">
        <v>291</v>
      </c>
    </row>
    <row r="2036" spans="1:8" hidden="1" x14ac:dyDescent="0.3">
      <c r="A2036" s="28">
        <v>15075</v>
      </c>
      <c r="B2036" s="35">
        <v>45219.425000000003</v>
      </c>
      <c r="C2036" s="18">
        <v>45219</v>
      </c>
      <c r="D2036" t="s">
        <v>101</v>
      </c>
      <c r="E2036" s="32">
        <v>0</v>
      </c>
      <c r="F2036" s="32">
        <v>381590</v>
      </c>
      <c r="G2036" s="32">
        <v>59168431</v>
      </c>
      <c r="H2036" t="s">
        <v>280</v>
      </c>
    </row>
    <row r="2037" spans="1:8" hidden="1" x14ac:dyDescent="0.3">
      <c r="A2037" s="28">
        <v>15074</v>
      </c>
      <c r="B2037" s="35">
        <v>45218.70416666667</v>
      </c>
      <c r="C2037" s="18">
        <v>45218</v>
      </c>
      <c r="D2037" t="s">
        <v>101</v>
      </c>
      <c r="E2037" s="32">
        <v>0</v>
      </c>
      <c r="F2037" s="32">
        <v>12494920</v>
      </c>
      <c r="G2037" s="32">
        <v>59550021</v>
      </c>
      <c r="H2037" t="s">
        <v>258</v>
      </c>
    </row>
    <row r="2038" spans="1:8" hidden="1" x14ac:dyDescent="0.3">
      <c r="A2038" s="28">
        <v>15073</v>
      </c>
      <c r="B2038" s="35">
        <v>45218.679166666669</v>
      </c>
      <c r="C2038" s="18">
        <v>45218</v>
      </c>
      <c r="D2038" t="s">
        <v>101</v>
      </c>
      <c r="E2038" s="32">
        <v>0</v>
      </c>
      <c r="F2038" s="32">
        <v>660000</v>
      </c>
      <c r="G2038" s="32">
        <v>72044941</v>
      </c>
      <c r="H2038" t="s">
        <v>540</v>
      </c>
    </row>
    <row r="2039" spans="1:8" hidden="1" x14ac:dyDescent="0.3">
      <c r="A2039" s="28">
        <v>15072</v>
      </c>
      <c r="B2039" s="35">
        <v>45218.637499999997</v>
      </c>
      <c r="C2039" s="18">
        <v>45218</v>
      </c>
      <c r="D2039" t="s">
        <v>101</v>
      </c>
      <c r="E2039" s="32">
        <v>0</v>
      </c>
      <c r="F2039" s="32">
        <v>8360130</v>
      </c>
      <c r="G2039" s="32">
        <v>72704941</v>
      </c>
      <c r="H2039" t="s">
        <v>289</v>
      </c>
    </row>
    <row r="2040" spans="1:8" hidden="1" x14ac:dyDescent="0.3">
      <c r="A2040" s="28">
        <v>15071</v>
      </c>
      <c r="B2040" s="35">
        <v>45218.609027777777</v>
      </c>
      <c r="C2040" s="18">
        <v>45218</v>
      </c>
      <c r="D2040" t="s">
        <v>101</v>
      </c>
      <c r="E2040" s="32">
        <v>0</v>
      </c>
      <c r="F2040" s="32">
        <v>160000</v>
      </c>
      <c r="G2040" s="32">
        <v>81065071</v>
      </c>
      <c r="H2040" t="s">
        <v>541</v>
      </c>
    </row>
    <row r="2041" spans="1:8" hidden="1" x14ac:dyDescent="0.3">
      <c r="A2041" s="28">
        <v>15070</v>
      </c>
      <c r="B2041" s="35">
        <v>45218.607638888891</v>
      </c>
      <c r="C2041" s="18">
        <v>45218</v>
      </c>
      <c r="D2041" t="s">
        <v>101</v>
      </c>
      <c r="E2041" s="32">
        <v>0</v>
      </c>
      <c r="F2041" s="32">
        <v>381590</v>
      </c>
      <c r="G2041" s="32">
        <v>81225071</v>
      </c>
      <c r="H2041" t="s">
        <v>280</v>
      </c>
    </row>
    <row r="2042" spans="1:8" hidden="1" x14ac:dyDescent="0.3">
      <c r="A2042" s="28">
        <v>15067</v>
      </c>
      <c r="B2042" s="35">
        <v>45218.474305555559</v>
      </c>
      <c r="C2042" s="18">
        <v>45218</v>
      </c>
      <c r="D2042" t="s">
        <v>100</v>
      </c>
      <c r="E2042" s="32">
        <v>66000</v>
      </c>
      <c r="F2042" s="32">
        <v>0</v>
      </c>
      <c r="G2042" s="32">
        <v>81606661</v>
      </c>
      <c r="H2042" t="s">
        <v>542</v>
      </c>
    </row>
    <row r="2043" spans="1:8" hidden="1" x14ac:dyDescent="0.3">
      <c r="A2043" s="28">
        <v>15066</v>
      </c>
      <c r="B2043" s="35">
        <v>45218.474305555559</v>
      </c>
      <c r="C2043" s="18">
        <v>45218</v>
      </c>
      <c r="D2043" t="s">
        <v>100</v>
      </c>
      <c r="E2043" s="32">
        <v>649000</v>
      </c>
      <c r="F2043" s="32">
        <v>0</v>
      </c>
      <c r="G2043" s="32">
        <v>81540661</v>
      </c>
      <c r="H2043" t="s">
        <v>542</v>
      </c>
    </row>
    <row r="2044" spans="1:8" hidden="1" x14ac:dyDescent="0.3">
      <c r="A2044" s="28">
        <v>15065</v>
      </c>
      <c r="B2044" s="35">
        <v>45218.469444444447</v>
      </c>
      <c r="C2044" s="18">
        <v>45218</v>
      </c>
      <c r="D2044" t="s">
        <v>100</v>
      </c>
      <c r="E2044" s="32">
        <v>1678600</v>
      </c>
      <c r="F2044" s="32">
        <v>0</v>
      </c>
      <c r="G2044" s="32">
        <v>80891661</v>
      </c>
      <c r="H2044" t="s">
        <v>543</v>
      </c>
    </row>
    <row r="2045" spans="1:8" hidden="1" x14ac:dyDescent="0.3">
      <c r="A2045" s="28">
        <v>15064</v>
      </c>
      <c r="B2045" s="35">
        <v>45218.447916666664</v>
      </c>
      <c r="C2045" s="18">
        <v>45218</v>
      </c>
      <c r="D2045" t="s">
        <v>100</v>
      </c>
      <c r="E2045" s="32">
        <v>410300</v>
      </c>
      <c r="F2045" s="32">
        <v>0</v>
      </c>
      <c r="G2045" s="32">
        <v>79213061</v>
      </c>
      <c r="H2045" t="s">
        <v>544</v>
      </c>
    </row>
    <row r="2046" spans="1:8" hidden="1" x14ac:dyDescent="0.3">
      <c r="A2046" s="28">
        <v>15062</v>
      </c>
      <c r="B2046" s="35">
        <v>45217.65902777778</v>
      </c>
      <c r="C2046" s="18">
        <v>45217</v>
      </c>
      <c r="D2046" t="s">
        <v>101</v>
      </c>
      <c r="E2046" s="32">
        <v>0</v>
      </c>
      <c r="F2046" s="32">
        <v>200000</v>
      </c>
      <c r="G2046" s="32">
        <v>78802761</v>
      </c>
      <c r="H2046" t="s">
        <v>545</v>
      </c>
    </row>
    <row r="2047" spans="1:8" hidden="1" x14ac:dyDescent="0.3">
      <c r="A2047" s="28">
        <v>15060</v>
      </c>
      <c r="B2047" s="35">
        <v>45217.570138888892</v>
      </c>
      <c r="C2047" s="18">
        <v>45217</v>
      </c>
      <c r="D2047" t="s">
        <v>101</v>
      </c>
      <c r="E2047" s="32">
        <v>0</v>
      </c>
      <c r="F2047" s="32">
        <v>60000</v>
      </c>
      <c r="G2047" s="32">
        <v>79002761</v>
      </c>
      <c r="H2047" t="s">
        <v>546</v>
      </c>
    </row>
    <row r="2048" spans="1:8" hidden="1" x14ac:dyDescent="0.3">
      <c r="A2048" s="28">
        <v>15057</v>
      </c>
      <c r="B2048" s="35">
        <v>45217.295138888891</v>
      </c>
      <c r="C2048" s="18">
        <v>45217</v>
      </c>
      <c r="D2048" t="s">
        <v>100</v>
      </c>
      <c r="E2048" s="32">
        <v>429000</v>
      </c>
      <c r="F2048" s="32">
        <v>0</v>
      </c>
      <c r="G2048" s="32">
        <v>79062761</v>
      </c>
      <c r="H2048" t="s">
        <v>476</v>
      </c>
    </row>
    <row r="2049" spans="1:8" hidden="1" x14ac:dyDescent="0.3">
      <c r="A2049" s="28">
        <v>15056</v>
      </c>
      <c r="B2049" s="35">
        <v>45216.586805555555</v>
      </c>
      <c r="C2049" s="18">
        <v>45216</v>
      </c>
      <c r="D2049" t="s">
        <v>100</v>
      </c>
      <c r="E2049" s="32">
        <v>614900</v>
      </c>
      <c r="F2049" s="32">
        <v>0</v>
      </c>
      <c r="G2049" s="32">
        <v>78633761</v>
      </c>
      <c r="H2049" t="s">
        <v>547</v>
      </c>
    </row>
    <row r="2050" spans="1:8" hidden="1" x14ac:dyDescent="0.3">
      <c r="A2050" s="28">
        <v>15055</v>
      </c>
      <c r="B2050" s="35">
        <v>45216.496527777781</v>
      </c>
      <c r="C2050" s="18">
        <v>45216</v>
      </c>
      <c r="D2050" t="s">
        <v>100</v>
      </c>
      <c r="E2050" s="32">
        <v>277200</v>
      </c>
      <c r="F2050" s="32">
        <v>0</v>
      </c>
      <c r="G2050" s="32">
        <v>78018861</v>
      </c>
      <c r="H2050" t="s">
        <v>329</v>
      </c>
    </row>
    <row r="2051" spans="1:8" hidden="1" x14ac:dyDescent="0.3">
      <c r="A2051" s="28">
        <v>15054</v>
      </c>
      <c r="B2051" s="35">
        <v>45216.496527777781</v>
      </c>
      <c r="C2051" s="18">
        <v>45216</v>
      </c>
      <c r="D2051" t="s">
        <v>100</v>
      </c>
      <c r="E2051" s="32">
        <v>721600</v>
      </c>
      <c r="F2051" s="32">
        <v>0</v>
      </c>
      <c r="G2051" s="32">
        <v>77741661</v>
      </c>
      <c r="H2051" t="s">
        <v>329</v>
      </c>
    </row>
    <row r="2052" spans="1:8" hidden="1" x14ac:dyDescent="0.3">
      <c r="A2052" s="28">
        <v>15051</v>
      </c>
      <c r="B2052" s="35">
        <v>45215.847222222219</v>
      </c>
      <c r="C2052" s="18">
        <v>45215</v>
      </c>
      <c r="D2052" t="s">
        <v>101</v>
      </c>
      <c r="E2052" s="32">
        <v>0</v>
      </c>
      <c r="F2052" s="32">
        <v>334500</v>
      </c>
      <c r="G2052" s="32">
        <v>77020061</v>
      </c>
      <c r="H2052" t="s">
        <v>433</v>
      </c>
    </row>
    <row r="2053" spans="1:8" hidden="1" x14ac:dyDescent="0.3">
      <c r="A2053" s="28">
        <v>15050</v>
      </c>
      <c r="B2053" s="35">
        <v>45215.8125</v>
      </c>
      <c r="C2053" s="18">
        <v>45215</v>
      </c>
      <c r="D2053" t="s">
        <v>101</v>
      </c>
      <c r="E2053" s="32">
        <v>0</v>
      </c>
      <c r="F2053" s="32">
        <v>624540</v>
      </c>
      <c r="G2053" s="32">
        <v>77354561</v>
      </c>
      <c r="H2053" t="s">
        <v>432</v>
      </c>
    </row>
    <row r="2054" spans="1:8" hidden="1" x14ac:dyDescent="0.3">
      <c r="A2054" s="28">
        <v>15049</v>
      </c>
      <c r="B2054" s="35">
        <v>45215.8125</v>
      </c>
      <c r="C2054" s="18">
        <v>45215</v>
      </c>
      <c r="D2054" t="s">
        <v>101</v>
      </c>
      <c r="E2054" s="32">
        <v>0</v>
      </c>
      <c r="F2054" s="32">
        <v>299570</v>
      </c>
      <c r="G2054" s="32">
        <v>77979101</v>
      </c>
      <c r="H2054" t="s">
        <v>432</v>
      </c>
    </row>
    <row r="2055" spans="1:8" hidden="1" x14ac:dyDescent="0.3">
      <c r="A2055" s="28">
        <v>15048</v>
      </c>
      <c r="B2055" s="35">
        <v>45215.8125</v>
      </c>
      <c r="C2055" s="18">
        <v>45215</v>
      </c>
      <c r="D2055" t="s">
        <v>101</v>
      </c>
      <c r="E2055" s="32">
        <v>0</v>
      </c>
      <c r="F2055" s="32">
        <v>999100</v>
      </c>
      <c r="G2055" s="32">
        <v>78278671</v>
      </c>
      <c r="H2055" t="s">
        <v>432</v>
      </c>
    </row>
    <row r="2056" spans="1:8" hidden="1" x14ac:dyDescent="0.3">
      <c r="A2056" s="28">
        <v>15047</v>
      </c>
      <c r="B2056" s="35">
        <v>45215.8125</v>
      </c>
      <c r="C2056" s="18">
        <v>45215</v>
      </c>
      <c r="D2056" t="s">
        <v>101</v>
      </c>
      <c r="E2056" s="32">
        <v>0</v>
      </c>
      <c r="F2056" s="32">
        <v>690300</v>
      </c>
      <c r="G2056" s="32">
        <v>79277771</v>
      </c>
      <c r="H2056" t="s">
        <v>432</v>
      </c>
    </row>
    <row r="2057" spans="1:8" hidden="1" x14ac:dyDescent="0.3">
      <c r="A2057" s="28">
        <v>15046</v>
      </c>
      <c r="B2057" s="35">
        <v>45215.809027777781</v>
      </c>
      <c r="C2057" s="18">
        <v>45215</v>
      </c>
      <c r="D2057" t="s">
        <v>101</v>
      </c>
      <c r="E2057" s="32">
        <v>0</v>
      </c>
      <c r="F2057" s="32">
        <v>99000</v>
      </c>
      <c r="G2057" s="32">
        <v>79968071</v>
      </c>
      <c r="H2057" t="s">
        <v>301</v>
      </c>
    </row>
    <row r="2058" spans="1:8" hidden="1" x14ac:dyDescent="0.3">
      <c r="A2058" s="28">
        <v>15045</v>
      </c>
      <c r="B2058" s="35">
        <v>45215.800694444442</v>
      </c>
      <c r="C2058" s="18">
        <v>45215</v>
      </c>
      <c r="D2058" t="s">
        <v>101</v>
      </c>
      <c r="E2058" s="32">
        <v>0</v>
      </c>
      <c r="F2058" s="32">
        <v>684420</v>
      </c>
      <c r="G2058" s="32">
        <v>80067071</v>
      </c>
      <c r="H2058" t="s">
        <v>435</v>
      </c>
    </row>
    <row r="2059" spans="1:8" hidden="1" x14ac:dyDescent="0.3">
      <c r="A2059" s="28">
        <v>15044</v>
      </c>
      <c r="B2059" s="35">
        <v>45215.776388888888</v>
      </c>
      <c r="C2059" s="18">
        <v>45215</v>
      </c>
      <c r="D2059" t="s">
        <v>101</v>
      </c>
      <c r="E2059" s="32">
        <v>0</v>
      </c>
      <c r="F2059" s="32">
        <v>13388739</v>
      </c>
      <c r="G2059" s="32">
        <v>80751491</v>
      </c>
      <c r="H2059" t="s">
        <v>303</v>
      </c>
    </row>
    <row r="2060" spans="1:8" hidden="1" x14ac:dyDescent="0.3">
      <c r="A2060" s="28">
        <v>15042</v>
      </c>
      <c r="B2060" s="35">
        <v>45215.688888888886</v>
      </c>
      <c r="C2060" s="18">
        <v>45215</v>
      </c>
      <c r="D2060" t="s">
        <v>100</v>
      </c>
      <c r="E2060" s="32">
        <v>1309000</v>
      </c>
      <c r="F2060" s="32">
        <v>0</v>
      </c>
      <c r="G2060" s="32">
        <v>94140230</v>
      </c>
      <c r="H2060" t="s">
        <v>396</v>
      </c>
    </row>
    <row r="2061" spans="1:8" hidden="1" x14ac:dyDescent="0.3">
      <c r="A2061" s="28">
        <v>15041</v>
      </c>
      <c r="B2061" s="35">
        <v>45215.629861111112</v>
      </c>
      <c r="C2061" s="18">
        <v>45215</v>
      </c>
      <c r="D2061" t="s">
        <v>101</v>
      </c>
      <c r="E2061" s="32">
        <v>0</v>
      </c>
      <c r="F2061" s="32">
        <v>20000</v>
      </c>
      <c r="G2061" s="32">
        <v>92831230</v>
      </c>
      <c r="H2061" t="s">
        <v>295</v>
      </c>
    </row>
    <row r="2062" spans="1:8" hidden="1" x14ac:dyDescent="0.3">
      <c r="A2062" s="28">
        <v>15039</v>
      </c>
      <c r="B2062" s="35">
        <v>45215.628472222219</v>
      </c>
      <c r="C2062" s="18">
        <v>45215</v>
      </c>
      <c r="D2062" t="s">
        <v>101</v>
      </c>
      <c r="E2062" s="32">
        <v>0</v>
      </c>
      <c r="F2062" s="32">
        <v>99000</v>
      </c>
      <c r="G2062" s="32">
        <v>92851230</v>
      </c>
      <c r="H2062" t="s">
        <v>548</v>
      </c>
    </row>
    <row r="2063" spans="1:8" hidden="1" x14ac:dyDescent="0.3">
      <c r="A2063" s="28">
        <v>15038</v>
      </c>
      <c r="B2063" s="35">
        <v>45215.619444444441</v>
      </c>
      <c r="C2063" s="18">
        <v>45215</v>
      </c>
      <c r="D2063" t="s">
        <v>100</v>
      </c>
      <c r="E2063" s="32">
        <v>171600</v>
      </c>
      <c r="F2063" s="32">
        <v>0</v>
      </c>
      <c r="G2063" s="32">
        <v>92950230</v>
      </c>
      <c r="H2063" t="s">
        <v>220</v>
      </c>
    </row>
    <row r="2064" spans="1:8" hidden="1" x14ac:dyDescent="0.3">
      <c r="A2064" s="28">
        <v>15037</v>
      </c>
      <c r="B2064" s="35">
        <v>45215.594444444447</v>
      </c>
      <c r="C2064" s="18">
        <v>45215</v>
      </c>
      <c r="D2064" t="s">
        <v>100</v>
      </c>
      <c r="E2064" s="32">
        <v>327800</v>
      </c>
      <c r="F2064" s="32">
        <v>0</v>
      </c>
      <c r="G2064" s="32">
        <v>92778630</v>
      </c>
      <c r="H2064" t="s">
        <v>252</v>
      </c>
    </row>
    <row r="2065" spans="1:8" hidden="1" x14ac:dyDescent="0.3">
      <c r="A2065" s="28">
        <v>15036</v>
      </c>
      <c r="B2065" s="35">
        <v>45215.594444444447</v>
      </c>
      <c r="C2065" s="18">
        <v>45215</v>
      </c>
      <c r="D2065" t="s">
        <v>100</v>
      </c>
      <c r="E2065" s="32">
        <v>270600</v>
      </c>
      <c r="F2065" s="32">
        <v>0</v>
      </c>
      <c r="G2065" s="32">
        <v>92450830</v>
      </c>
      <c r="H2065" t="s">
        <v>252</v>
      </c>
    </row>
    <row r="2066" spans="1:8" hidden="1" x14ac:dyDescent="0.3">
      <c r="A2066" s="28">
        <v>15035</v>
      </c>
      <c r="B2066" s="35">
        <v>45215.594444444447</v>
      </c>
      <c r="C2066" s="18">
        <v>45215</v>
      </c>
      <c r="D2066" t="s">
        <v>100</v>
      </c>
      <c r="E2066" s="32">
        <v>339900</v>
      </c>
      <c r="F2066" s="32">
        <v>0</v>
      </c>
      <c r="G2066" s="32">
        <v>92180230</v>
      </c>
      <c r="H2066" t="s">
        <v>252</v>
      </c>
    </row>
    <row r="2067" spans="1:8" hidden="1" x14ac:dyDescent="0.3">
      <c r="A2067" s="28">
        <v>15034</v>
      </c>
      <c r="B2067" s="35">
        <v>45215.594444444447</v>
      </c>
      <c r="C2067" s="18">
        <v>45215</v>
      </c>
      <c r="D2067" t="s">
        <v>100</v>
      </c>
      <c r="E2067" s="32">
        <v>905300</v>
      </c>
      <c r="F2067" s="32">
        <v>0</v>
      </c>
      <c r="G2067" s="32">
        <v>91840330</v>
      </c>
      <c r="H2067" t="s">
        <v>252</v>
      </c>
    </row>
    <row r="2068" spans="1:8" hidden="1" x14ac:dyDescent="0.3">
      <c r="A2068" s="28">
        <v>15033</v>
      </c>
      <c r="B2068" s="35">
        <v>45215.594444444447</v>
      </c>
      <c r="C2068" s="18">
        <v>45215</v>
      </c>
      <c r="D2068" t="s">
        <v>100</v>
      </c>
      <c r="E2068" s="32">
        <v>128700</v>
      </c>
      <c r="F2068" s="32">
        <v>0</v>
      </c>
      <c r="G2068" s="32">
        <v>90935030</v>
      </c>
      <c r="H2068" t="s">
        <v>252</v>
      </c>
    </row>
    <row r="2069" spans="1:8" hidden="1" x14ac:dyDescent="0.3">
      <c r="A2069" s="28">
        <v>15032</v>
      </c>
      <c r="B2069" s="35">
        <v>45215.568055555559</v>
      </c>
      <c r="C2069" s="18">
        <v>45215</v>
      </c>
      <c r="D2069" t="s">
        <v>100</v>
      </c>
      <c r="E2069" s="32">
        <v>3148200</v>
      </c>
      <c r="F2069" s="32">
        <v>0</v>
      </c>
      <c r="G2069" s="32">
        <v>90806330</v>
      </c>
      <c r="H2069" t="s">
        <v>453</v>
      </c>
    </row>
    <row r="2070" spans="1:8" hidden="1" x14ac:dyDescent="0.3">
      <c r="A2070" s="28">
        <v>15031</v>
      </c>
      <c r="B2070" s="35">
        <v>45215.567361111112</v>
      </c>
      <c r="C2070" s="18">
        <v>45215</v>
      </c>
      <c r="D2070" t="s">
        <v>100</v>
      </c>
      <c r="E2070" s="32">
        <v>760100</v>
      </c>
      <c r="F2070" s="32">
        <v>0</v>
      </c>
      <c r="G2070" s="32">
        <v>87658130</v>
      </c>
      <c r="H2070" t="s">
        <v>453</v>
      </c>
    </row>
    <row r="2071" spans="1:8" hidden="1" x14ac:dyDescent="0.3">
      <c r="A2071" s="28">
        <v>15030</v>
      </c>
      <c r="B2071" s="35">
        <v>45215.495138888888</v>
      </c>
      <c r="C2071" s="18">
        <v>45215</v>
      </c>
      <c r="D2071" t="s">
        <v>100</v>
      </c>
      <c r="E2071" s="32">
        <v>287100</v>
      </c>
      <c r="F2071" s="32">
        <v>0</v>
      </c>
      <c r="G2071" s="32">
        <v>86898030</v>
      </c>
      <c r="H2071" t="s">
        <v>454</v>
      </c>
    </row>
    <row r="2072" spans="1:8" hidden="1" x14ac:dyDescent="0.3">
      <c r="A2072" s="28">
        <v>15027</v>
      </c>
      <c r="B2072" s="35">
        <v>45212.805555555555</v>
      </c>
      <c r="C2072" s="18">
        <v>45212</v>
      </c>
      <c r="D2072" t="s">
        <v>101</v>
      </c>
      <c r="E2072" s="32">
        <v>0</v>
      </c>
      <c r="F2072" s="32">
        <v>348383</v>
      </c>
      <c r="G2072" s="32">
        <v>86610930</v>
      </c>
      <c r="H2072" t="s">
        <v>434</v>
      </c>
    </row>
    <row r="2073" spans="1:8" hidden="1" x14ac:dyDescent="0.3">
      <c r="A2073" s="28">
        <v>15022</v>
      </c>
      <c r="B2073" s="35">
        <v>45212.670138888891</v>
      </c>
      <c r="C2073" s="18">
        <v>45212</v>
      </c>
      <c r="D2073" t="s">
        <v>100</v>
      </c>
      <c r="E2073" s="32">
        <v>22964700</v>
      </c>
      <c r="F2073" s="32">
        <v>0</v>
      </c>
      <c r="G2073" s="32">
        <v>86959313</v>
      </c>
      <c r="H2073" t="s">
        <v>306</v>
      </c>
    </row>
    <row r="2074" spans="1:8" hidden="1" x14ac:dyDescent="0.3">
      <c r="A2074" s="28">
        <v>15015</v>
      </c>
      <c r="B2074" s="35">
        <v>45212.624305555553</v>
      </c>
      <c r="C2074" s="18">
        <v>45212</v>
      </c>
      <c r="D2074" t="s">
        <v>100</v>
      </c>
      <c r="E2074" s="32">
        <v>286000</v>
      </c>
      <c r="F2074" s="32">
        <v>0</v>
      </c>
      <c r="G2074" s="32">
        <v>63994613</v>
      </c>
      <c r="H2074" t="s">
        <v>230</v>
      </c>
    </row>
    <row r="2075" spans="1:8" hidden="1" x14ac:dyDescent="0.3">
      <c r="A2075" s="28">
        <v>15014</v>
      </c>
      <c r="B2075" s="35">
        <v>45212.597222222219</v>
      </c>
      <c r="C2075" s="18">
        <v>45212</v>
      </c>
      <c r="D2075" t="s">
        <v>101</v>
      </c>
      <c r="E2075" s="32">
        <v>0</v>
      </c>
      <c r="F2075" s="32">
        <v>87534</v>
      </c>
      <c r="G2075" s="32">
        <v>63708613</v>
      </c>
      <c r="H2075" t="s">
        <v>221</v>
      </c>
    </row>
    <row r="2076" spans="1:8" hidden="1" x14ac:dyDescent="0.3">
      <c r="A2076" s="28">
        <v>15013</v>
      </c>
      <c r="B2076" s="35">
        <v>45212.490277777775</v>
      </c>
      <c r="C2076" s="18">
        <v>45212</v>
      </c>
      <c r="D2076" t="s">
        <v>101</v>
      </c>
      <c r="E2076" s="32">
        <v>0</v>
      </c>
      <c r="F2076" s="32">
        <v>629640</v>
      </c>
      <c r="G2076" s="32">
        <v>63796147</v>
      </c>
      <c r="H2076" t="s">
        <v>293</v>
      </c>
    </row>
    <row r="2077" spans="1:8" hidden="1" x14ac:dyDescent="0.3">
      <c r="A2077" s="28">
        <v>15011</v>
      </c>
      <c r="B2077" s="35">
        <v>45212.377083333333</v>
      </c>
      <c r="C2077" s="18">
        <v>45212</v>
      </c>
      <c r="D2077" t="s">
        <v>101</v>
      </c>
      <c r="E2077" s="32">
        <v>0</v>
      </c>
      <c r="F2077" s="32">
        <v>1710000</v>
      </c>
      <c r="G2077" s="32">
        <v>64425787</v>
      </c>
      <c r="H2077" t="s">
        <v>549</v>
      </c>
    </row>
    <row r="2078" spans="1:8" hidden="1" x14ac:dyDescent="0.3">
      <c r="A2078" s="28">
        <v>15010</v>
      </c>
      <c r="B2078" s="35">
        <v>45211.709722222222</v>
      </c>
      <c r="C2078" s="18">
        <v>45211</v>
      </c>
      <c r="D2078" t="s">
        <v>100</v>
      </c>
      <c r="E2078" s="32">
        <v>122100</v>
      </c>
      <c r="F2078" s="32">
        <v>0</v>
      </c>
      <c r="G2078" s="32">
        <v>66135787</v>
      </c>
      <c r="H2078" t="s">
        <v>251</v>
      </c>
    </row>
    <row r="2079" spans="1:8" hidden="1" x14ac:dyDescent="0.3">
      <c r="A2079" s="28">
        <v>15009</v>
      </c>
      <c r="B2079" s="35">
        <v>45211.640277777777</v>
      </c>
      <c r="C2079" s="18">
        <v>45211</v>
      </c>
      <c r="D2079" t="s">
        <v>100</v>
      </c>
      <c r="E2079" s="32">
        <v>446600</v>
      </c>
      <c r="F2079" s="32">
        <v>0</v>
      </c>
      <c r="G2079" s="32">
        <v>66013687</v>
      </c>
      <c r="H2079" t="s">
        <v>550</v>
      </c>
    </row>
    <row r="2080" spans="1:8" hidden="1" x14ac:dyDescent="0.3">
      <c r="A2080" s="28">
        <v>15008</v>
      </c>
      <c r="B2080" s="35">
        <v>45211.613888888889</v>
      </c>
      <c r="C2080" s="18">
        <v>45211</v>
      </c>
      <c r="D2080" t="s">
        <v>100</v>
      </c>
      <c r="E2080" s="32">
        <v>179300</v>
      </c>
      <c r="F2080" s="32">
        <v>0</v>
      </c>
      <c r="G2080" s="32">
        <v>65567087</v>
      </c>
      <c r="H2080" t="s">
        <v>474</v>
      </c>
    </row>
    <row r="2081" spans="1:8" hidden="1" x14ac:dyDescent="0.3">
      <c r="A2081" s="28">
        <v>15007</v>
      </c>
      <c r="B2081" s="35">
        <v>45211.591666666667</v>
      </c>
      <c r="C2081" s="18">
        <v>45211</v>
      </c>
      <c r="D2081" t="s">
        <v>101</v>
      </c>
      <c r="E2081" s="32">
        <v>0</v>
      </c>
      <c r="F2081" s="32">
        <v>97359</v>
      </c>
      <c r="G2081" s="32">
        <v>65387787</v>
      </c>
      <c r="H2081" t="s">
        <v>221</v>
      </c>
    </row>
    <row r="2082" spans="1:8" hidden="1" x14ac:dyDescent="0.3">
      <c r="A2082" s="28">
        <v>15004</v>
      </c>
      <c r="B2082" s="35">
        <v>45211.424305555556</v>
      </c>
      <c r="C2082" s="18">
        <v>45211</v>
      </c>
      <c r="D2082" t="s">
        <v>100</v>
      </c>
      <c r="E2082" s="32">
        <v>245300</v>
      </c>
      <c r="F2082" s="32">
        <v>0</v>
      </c>
      <c r="G2082" s="32">
        <v>65485146</v>
      </c>
      <c r="H2082" t="s">
        <v>528</v>
      </c>
    </row>
    <row r="2083" spans="1:8" hidden="1" x14ac:dyDescent="0.3">
      <c r="A2083" s="28">
        <v>15003</v>
      </c>
      <c r="B2083" s="35">
        <v>45211.413888888892</v>
      </c>
      <c r="C2083" s="18">
        <v>45211</v>
      </c>
      <c r="D2083" t="s">
        <v>100</v>
      </c>
      <c r="E2083" s="32">
        <v>1171500</v>
      </c>
      <c r="F2083" s="32">
        <v>0</v>
      </c>
      <c r="G2083" s="32">
        <v>65239846</v>
      </c>
      <c r="H2083" t="s">
        <v>551</v>
      </c>
    </row>
    <row r="2084" spans="1:8" hidden="1" x14ac:dyDescent="0.3">
      <c r="A2084" s="28">
        <v>15002</v>
      </c>
      <c r="B2084" s="35">
        <v>45210.8125</v>
      </c>
      <c r="C2084" s="18">
        <v>45210</v>
      </c>
      <c r="D2084" t="s">
        <v>101</v>
      </c>
      <c r="E2084" s="32">
        <v>0</v>
      </c>
      <c r="F2084" s="32">
        <v>35500</v>
      </c>
      <c r="G2084" s="32">
        <v>64068346</v>
      </c>
      <c r="H2084" t="s">
        <v>552</v>
      </c>
    </row>
    <row r="2085" spans="1:8" hidden="1" x14ac:dyDescent="0.3">
      <c r="A2085" s="28">
        <v>14999</v>
      </c>
      <c r="B2085" s="35">
        <v>45210.601388888892</v>
      </c>
      <c r="C2085" s="18">
        <v>45210</v>
      </c>
      <c r="D2085" t="s">
        <v>100</v>
      </c>
      <c r="E2085" s="32">
        <v>457600</v>
      </c>
      <c r="F2085" s="32">
        <v>0</v>
      </c>
      <c r="G2085" s="32">
        <v>64103846</v>
      </c>
      <c r="H2085" t="s">
        <v>553</v>
      </c>
    </row>
    <row r="2086" spans="1:8" hidden="1" x14ac:dyDescent="0.3">
      <c r="A2086" s="28">
        <v>14998</v>
      </c>
      <c r="B2086" s="35">
        <v>45210.568749999999</v>
      </c>
      <c r="C2086" s="18">
        <v>45210</v>
      </c>
      <c r="D2086" t="s">
        <v>100</v>
      </c>
      <c r="E2086" s="32">
        <v>295900</v>
      </c>
      <c r="F2086" s="32">
        <v>0</v>
      </c>
      <c r="G2086" s="32">
        <v>63646246</v>
      </c>
      <c r="H2086" t="s">
        <v>454</v>
      </c>
    </row>
    <row r="2087" spans="1:8" hidden="1" x14ac:dyDescent="0.3">
      <c r="A2087" s="28">
        <v>14996</v>
      </c>
      <c r="B2087" s="35">
        <v>45210.421527777777</v>
      </c>
      <c r="C2087" s="18">
        <v>45210</v>
      </c>
      <c r="D2087" t="s">
        <v>101</v>
      </c>
      <c r="E2087" s="32">
        <v>0</v>
      </c>
      <c r="F2087" s="32">
        <v>491506</v>
      </c>
      <c r="G2087" s="32">
        <v>63350346</v>
      </c>
      <c r="H2087" t="s">
        <v>226</v>
      </c>
    </row>
    <row r="2088" spans="1:8" hidden="1" x14ac:dyDescent="0.3">
      <c r="A2088" s="28">
        <v>14995</v>
      </c>
      <c r="B2088" s="35">
        <v>45210.375</v>
      </c>
      <c r="C2088" s="18">
        <v>45210</v>
      </c>
      <c r="D2088" t="s">
        <v>101</v>
      </c>
      <c r="E2088" s="32">
        <v>0</v>
      </c>
      <c r="F2088" s="32">
        <v>6000000</v>
      </c>
      <c r="G2088" s="32">
        <v>63841852</v>
      </c>
      <c r="H2088" t="s">
        <v>554</v>
      </c>
    </row>
    <row r="2089" spans="1:8" hidden="1" x14ac:dyDescent="0.3">
      <c r="A2089" s="28">
        <v>14994</v>
      </c>
      <c r="B2089" s="35">
        <v>45210.35833333333</v>
      </c>
      <c r="C2089" s="18">
        <v>45210</v>
      </c>
      <c r="D2089" t="s">
        <v>100</v>
      </c>
      <c r="E2089" s="32">
        <v>443300</v>
      </c>
      <c r="F2089" s="32">
        <v>0</v>
      </c>
      <c r="G2089" s="32">
        <v>69841852</v>
      </c>
      <c r="H2089" t="s">
        <v>220</v>
      </c>
    </row>
    <row r="2090" spans="1:8" hidden="1" x14ac:dyDescent="0.3">
      <c r="A2090" s="28">
        <v>14993</v>
      </c>
      <c r="B2090" s="35">
        <v>45210.357638888891</v>
      </c>
      <c r="C2090" s="18">
        <v>45210</v>
      </c>
      <c r="D2090" t="s">
        <v>100</v>
      </c>
      <c r="E2090" s="32">
        <v>357500</v>
      </c>
      <c r="F2090" s="32">
        <v>0</v>
      </c>
      <c r="G2090" s="32">
        <v>69398552</v>
      </c>
      <c r="H2090" t="s">
        <v>476</v>
      </c>
    </row>
    <row r="2091" spans="1:8" hidden="1" x14ac:dyDescent="0.3">
      <c r="A2091" s="28">
        <v>14992</v>
      </c>
      <c r="B2091" s="35">
        <v>45210.352777777778</v>
      </c>
      <c r="C2091" s="18">
        <v>45210</v>
      </c>
      <c r="D2091" t="s">
        <v>101</v>
      </c>
      <c r="E2091" s="32">
        <v>0</v>
      </c>
      <c r="F2091" s="32">
        <v>2530000</v>
      </c>
      <c r="G2091" s="32">
        <v>69041052</v>
      </c>
      <c r="H2091" t="s">
        <v>555</v>
      </c>
    </row>
    <row r="2092" spans="1:8" hidden="1" x14ac:dyDescent="0.3">
      <c r="A2092" s="28">
        <v>14987</v>
      </c>
      <c r="B2092" s="35">
        <v>45209.675694444442</v>
      </c>
      <c r="C2092" s="18">
        <v>45209</v>
      </c>
      <c r="D2092" t="s">
        <v>100</v>
      </c>
      <c r="E2092" s="32">
        <v>2014100</v>
      </c>
      <c r="F2092" s="32">
        <v>0</v>
      </c>
      <c r="G2092" s="32">
        <v>71571052</v>
      </c>
      <c r="H2092" t="s">
        <v>556</v>
      </c>
    </row>
    <row r="2093" spans="1:8" hidden="1" x14ac:dyDescent="0.3">
      <c r="A2093" s="28">
        <v>14986</v>
      </c>
      <c r="B2093" s="35">
        <v>45209.62777777778</v>
      </c>
      <c r="C2093" s="18">
        <v>45209</v>
      </c>
      <c r="D2093" t="s">
        <v>100</v>
      </c>
      <c r="E2093" s="32">
        <v>2905100</v>
      </c>
      <c r="F2093" s="32">
        <v>0</v>
      </c>
      <c r="G2093" s="32">
        <v>69556952</v>
      </c>
      <c r="H2093" t="s">
        <v>487</v>
      </c>
    </row>
    <row r="2094" spans="1:8" hidden="1" x14ac:dyDescent="0.3">
      <c r="A2094" s="28">
        <v>14985</v>
      </c>
      <c r="B2094" s="35">
        <v>45209.605555555558</v>
      </c>
      <c r="C2094" s="18">
        <v>45209</v>
      </c>
      <c r="D2094" t="s">
        <v>100</v>
      </c>
      <c r="E2094" s="32">
        <v>1464100</v>
      </c>
      <c r="F2094" s="32">
        <v>0</v>
      </c>
      <c r="G2094" s="32">
        <v>66651852</v>
      </c>
      <c r="H2094" t="s">
        <v>382</v>
      </c>
    </row>
    <row r="2095" spans="1:8" hidden="1" x14ac:dyDescent="0.3">
      <c r="A2095" s="28">
        <v>14984</v>
      </c>
      <c r="B2095" s="35">
        <v>45209.567361111112</v>
      </c>
      <c r="C2095" s="18">
        <v>45209</v>
      </c>
      <c r="D2095" t="s">
        <v>100</v>
      </c>
      <c r="E2095" s="32">
        <v>56100</v>
      </c>
      <c r="F2095" s="32">
        <v>0</v>
      </c>
      <c r="G2095" s="32">
        <v>65187752</v>
      </c>
      <c r="H2095" t="s">
        <v>501</v>
      </c>
    </row>
    <row r="2096" spans="1:8" hidden="1" x14ac:dyDescent="0.3">
      <c r="A2096" s="28">
        <v>14983</v>
      </c>
      <c r="B2096" s="35">
        <v>45209.567361111112</v>
      </c>
      <c r="C2096" s="18">
        <v>45209</v>
      </c>
      <c r="D2096" t="s">
        <v>100</v>
      </c>
      <c r="E2096" s="32">
        <v>561000</v>
      </c>
      <c r="F2096" s="32">
        <v>0</v>
      </c>
      <c r="G2096" s="32">
        <v>65131652</v>
      </c>
      <c r="H2096" t="s">
        <v>501</v>
      </c>
    </row>
    <row r="2097" spans="1:8" hidden="1" x14ac:dyDescent="0.3">
      <c r="A2097" s="28">
        <v>14982</v>
      </c>
      <c r="B2097" s="35">
        <v>45209.549305555556</v>
      </c>
      <c r="C2097" s="18">
        <v>45209</v>
      </c>
      <c r="D2097" t="s">
        <v>100</v>
      </c>
      <c r="E2097" s="32">
        <v>178200</v>
      </c>
      <c r="F2097" s="32">
        <v>0</v>
      </c>
      <c r="G2097" s="32">
        <v>64570652</v>
      </c>
      <c r="H2097" t="s">
        <v>365</v>
      </c>
    </row>
    <row r="2098" spans="1:8" hidden="1" x14ac:dyDescent="0.3">
      <c r="A2098" s="28">
        <v>14980</v>
      </c>
      <c r="B2098" s="35">
        <v>45209.462500000001</v>
      </c>
      <c r="C2098" s="18">
        <v>45209</v>
      </c>
      <c r="D2098" t="s">
        <v>100</v>
      </c>
      <c r="E2098" s="32">
        <v>90200</v>
      </c>
      <c r="F2098" s="32">
        <v>0</v>
      </c>
      <c r="G2098" s="32">
        <v>64392452</v>
      </c>
      <c r="H2098" t="s">
        <v>502</v>
      </c>
    </row>
    <row r="2099" spans="1:8" hidden="1" x14ac:dyDescent="0.3">
      <c r="A2099" s="28">
        <v>14979</v>
      </c>
      <c r="B2099" s="35">
        <v>45209.459027777775</v>
      </c>
      <c r="C2099" s="18">
        <v>45209</v>
      </c>
      <c r="D2099" t="s">
        <v>100</v>
      </c>
      <c r="E2099" s="32">
        <v>1116500</v>
      </c>
      <c r="F2099" s="32">
        <v>0</v>
      </c>
      <c r="G2099" s="32">
        <v>64302252</v>
      </c>
      <c r="H2099" t="s">
        <v>454</v>
      </c>
    </row>
    <row r="2100" spans="1:8" hidden="1" x14ac:dyDescent="0.3">
      <c r="A2100" s="28">
        <v>14974</v>
      </c>
      <c r="B2100" s="35">
        <v>45205.594444444447</v>
      </c>
      <c r="C2100" s="18">
        <v>45205</v>
      </c>
      <c r="D2100" t="s">
        <v>100</v>
      </c>
      <c r="E2100" s="32">
        <v>3524400</v>
      </c>
      <c r="F2100" s="32">
        <v>0</v>
      </c>
      <c r="G2100" s="32">
        <v>63185752</v>
      </c>
      <c r="H2100" t="s">
        <v>557</v>
      </c>
    </row>
    <row r="2101" spans="1:8" hidden="1" x14ac:dyDescent="0.3">
      <c r="A2101" s="28">
        <v>14973</v>
      </c>
      <c r="B2101" s="35">
        <v>45204.827777777777</v>
      </c>
      <c r="C2101" s="18">
        <v>45204</v>
      </c>
      <c r="D2101" t="s">
        <v>101</v>
      </c>
      <c r="E2101" s="32">
        <v>0</v>
      </c>
      <c r="F2101" s="32">
        <v>626472</v>
      </c>
      <c r="G2101" s="32">
        <v>59661352</v>
      </c>
      <c r="H2101" t="s">
        <v>558</v>
      </c>
    </row>
    <row r="2102" spans="1:8" hidden="1" x14ac:dyDescent="0.3">
      <c r="A2102" s="28">
        <v>14972</v>
      </c>
      <c r="B2102" s="35">
        <v>45204.797222222223</v>
      </c>
      <c r="C2102" s="18">
        <v>45204</v>
      </c>
      <c r="D2102" t="s">
        <v>101</v>
      </c>
      <c r="E2102" s="32">
        <v>0</v>
      </c>
      <c r="F2102" s="32">
        <v>711920</v>
      </c>
      <c r="G2102" s="32">
        <v>60287824</v>
      </c>
      <c r="H2102" t="s">
        <v>435</v>
      </c>
    </row>
    <row r="2103" spans="1:8" hidden="1" x14ac:dyDescent="0.3">
      <c r="A2103" s="28">
        <v>14970</v>
      </c>
      <c r="B2103" s="35">
        <v>45204.683333333334</v>
      </c>
      <c r="C2103" s="18">
        <v>45204</v>
      </c>
      <c r="D2103" t="s">
        <v>100</v>
      </c>
      <c r="E2103" s="32">
        <v>271700</v>
      </c>
      <c r="F2103" s="32">
        <v>0</v>
      </c>
      <c r="G2103" s="32">
        <v>60999744</v>
      </c>
      <c r="H2103" t="s">
        <v>528</v>
      </c>
    </row>
    <row r="2104" spans="1:8" hidden="1" x14ac:dyDescent="0.3">
      <c r="A2104" s="28">
        <v>14968</v>
      </c>
      <c r="B2104" s="35">
        <v>45204.622916666667</v>
      </c>
      <c r="C2104" s="18">
        <v>45204</v>
      </c>
      <c r="D2104" t="s">
        <v>101</v>
      </c>
      <c r="E2104" s="32">
        <v>0</v>
      </c>
      <c r="F2104" s="32">
        <v>825150</v>
      </c>
      <c r="G2104" s="32">
        <v>60728044</v>
      </c>
      <c r="H2104" t="s">
        <v>319</v>
      </c>
    </row>
    <row r="2105" spans="1:8" hidden="1" x14ac:dyDescent="0.3">
      <c r="A2105" s="28">
        <v>14967</v>
      </c>
      <c r="B2105" s="35">
        <v>45204.62222222222</v>
      </c>
      <c r="C2105" s="18">
        <v>45204</v>
      </c>
      <c r="D2105" t="s">
        <v>101</v>
      </c>
      <c r="E2105" s="32">
        <v>0</v>
      </c>
      <c r="F2105" s="32">
        <v>8243510</v>
      </c>
      <c r="G2105" s="32">
        <v>61553194</v>
      </c>
      <c r="H2105" t="s">
        <v>320</v>
      </c>
    </row>
    <row r="2106" spans="1:8" hidden="1" x14ac:dyDescent="0.3">
      <c r="A2106" s="28">
        <v>14966</v>
      </c>
      <c r="B2106" s="35">
        <v>45204.62222222222</v>
      </c>
      <c r="C2106" s="18">
        <v>45204</v>
      </c>
      <c r="D2106" t="s">
        <v>101</v>
      </c>
      <c r="E2106" s="32">
        <v>0</v>
      </c>
      <c r="F2106" s="32">
        <v>9300</v>
      </c>
      <c r="G2106" s="32">
        <v>69796704</v>
      </c>
      <c r="H2106" t="s">
        <v>321</v>
      </c>
    </row>
    <row r="2107" spans="1:8" hidden="1" x14ac:dyDescent="0.3">
      <c r="A2107" s="28">
        <v>14965</v>
      </c>
      <c r="B2107" s="35">
        <v>45204.59375</v>
      </c>
      <c r="C2107" s="18">
        <v>45204</v>
      </c>
      <c r="D2107" t="s">
        <v>101</v>
      </c>
      <c r="E2107" s="32">
        <v>0</v>
      </c>
      <c r="F2107" s="32">
        <v>212384</v>
      </c>
      <c r="G2107" s="32">
        <v>69806004</v>
      </c>
      <c r="H2107" t="s">
        <v>221</v>
      </c>
    </row>
    <row r="2108" spans="1:8" hidden="1" x14ac:dyDescent="0.3">
      <c r="A2108" s="28">
        <v>14964</v>
      </c>
      <c r="B2108" s="35">
        <v>45204.592361111114</v>
      </c>
      <c r="C2108" s="18">
        <v>45204</v>
      </c>
      <c r="D2108" t="s">
        <v>101</v>
      </c>
      <c r="E2108" s="32">
        <v>0</v>
      </c>
      <c r="F2108" s="32">
        <v>744900</v>
      </c>
      <c r="G2108" s="32">
        <v>70018388</v>
      </c>
      <c r="H2108" t="s">
        <v>559</v>
      </c>
    </row>
    <row r="2109" spans="1:8" hidden="1" x14ac:dyDescent="0.3">
      <c r="A2109" s="28">
        <v>14963</v>
      </c>
      <c r="B2109" s="35">
        <v>45204.561111111114</v>
      </c>
      <c r="C2109" s="18">
        <v>45204</v>
      </c>
      <c r="D2109" t="s">
        <v>100</v>
      </c>
      <c r="E2109" s="32">
        <v>2986500</v>
      </c>
      <c r="F2109" s="32">
        <v>0</v>
      </c>
      <c r="G2109" s="32">
        <v>70763288</v>
      </c>
      <c r="H2109" t="s">
        <v>404</v>
      </c>
    </row>
    <row r="2110" spans="1:8" hidden="1" x14ac:dyDescent="0.3">
      <c r="A2110" s="28">
        <v>14961</v>
      </c>
      <c r="B2110" s="35">
        <v>45203.797222222223</v>
      </c>
      <c r="C2110" s="18">
        <v>45203</v>
      </c>
      <c r="D2110" t="s">
        <v>101</v>
      </c>
      <c r="E2110" s="32">
        <v>0</v>
      </c>
      <c r="F2110" s="32">
        <v>400510</v>
      </c>
      <c r="G2110" s="32">
        <v>67776788</v>
      </c>
      <c r="H2110" t="s">
        <v>435</v>
      </c>
    </row>
    <row r="2111" spans="1:8" hidden="1" x14ac:dyDescent="0.3">
      <c r="A2111" s="28">
        <v>14959</v>
      </c>
      <c r="B2111" s="35">
        <v>45203.622916666667</v>
      </c>
      <c r="C2111" s="18">
        <v>45203</v>
      </c>
      <c r="D2111" t="s">
        <v>100</v>
      </c>
      <c r="E2111" s="32">
        <v>70400</v>
      </c>
      <c r="F2111" s="32">
        <v>0</v>
      </c>
      <c r="G2111" s="32">
        <v>68177298</v>
      </c>
      <c r="H2111" t="s">
        <v>560</v>
      </c>
    </row>
    <row r="2112" spans="1:8" hidden="1" x14ac:dyDescent="0.3">
      <c r="A2112" s="28">
        <v>14958</v>
      </c>
      <c r="B2112" s="35">
        <v>45203.62222222222</v>
      </c>
      <c r="C2112" s="18">
        <v>45203</v>
      </c>
      <c r="D2112" t="s">
        <v>100</v>
      </c>
      <c r="E2112" s="32">
        <v>867900</v>
      </c>
      <c r="F2112" s="32">
        <v>0</v>
      </c>
      <c r="G2112" s="32">
        <v>68106898</v>
      </c>
      <c r="H2112" t="s">
        <v>561</v>
      </c>
    </row>
    <row r="2113" spans="1:8" hidden="1" x14ac:dyDescent="0.3">
      <c r="A2113" s="28">
        <v>14957</v>
      </c>
      <c r="B2113" s="35">
        <v>45203.602777777778</v>
      </c>
      <c r="C2113" s="18">
        <v>45203</v>
      </c>
      <c r="D2113" t="s">
        <v>100</v>
      </c>
      <c r="E2113" s="32">
        <v>706200</v>
      </c>
      <c r="F2113" s="32">
        <v>0</v>
      </c>
      <c r="G2113" s="32">
        <v>67238998</v>
      </c>
      <c r="H2113" t="s">
        <v>309</v>
      </c>
    </row>
    <row r="2114" spans="1:8" hidden="1" x14ac:dyDescent="0.3">
      <c r="A2114" s="28">
        <v>14956</v>
      </c>
      <c r="B2114" s="35">
        <v>45203.551388888889</v>
      </c>
      <c r="C2114" s="18">
        <v>45203</v>
      </c>
      <c r="D2114" t="s">
        <v>100</v>
      </c>
      <c r="E2114" s="32">
        <v>2649900</v>
      </c>
      <c r="F2114" s="32">
        <v>0</v>
      </c>
      <c r="G2114" s="32">
        <v>66532798</v>
      </c>
      <c r="H2114" t="s">
        <v>562</v>
      </c>
    </row>
    <row r="2115" spans="1:8" hidden="1" x14ac:dyDescent="0.3">
      <c r="A2115" s="28">
        <v>14954</v>
      </c>
      <c r="B2115" s="35">
        <v>45203.486805555556</v>
      </c>
      <c r="C2115" s="18">
        <v>45203</v>
      </c>
      <c r="D2115" t="s">
        <v>100</v>
      </c>
      <c r="E2115" s="32">
        <v>1349700</v>
      </c>
      <c r="F2115" s="32">
        <v>0</v>
      </c>
      <c r="G2115" s="32">
        <v>63882898</v>
      </c>
      <c r="H2115" t="s">
        <v>376</v>
      </c>
    </row>
    <row r="2116" spans="1:8" hidden="1" x14ac:dyDescent="0.3">
      <c r="A2116" s="28">
        <v>14953</v>
      </c>
      <c r="B2116" s="35">
        <v>45203.470138888886</v>
      </c>
      <c r="C2116" s="18">
        <v>45203</v>
      </c>
      <c r="D2116" t="s">
        <v>100</v>
      </c>
      <c r="E2116" s="32">
        <v>536800</v>
      </c>
      <c r="F2116" s="32">
        <v>0</v>
      </c>
      <c r="G2116" s="32">
        <v>62533198</v>
      </c>
      <c r="H2116" t="s">
        <v>454</v>
      </c>
    </row>
    <row r="2117" spans="1:8" hidden="1" x14ac:dyDescent="0.3">
      <c r="A2117" s="28">
        <v>14952</v>
      </c>
      <c r="B2117" s="35">
        <v>45203.461111111108</v>
      </c>
      <c r="C2117" s="18">
        <v>45203</v>
      </c>
      <c r="D2117" t="s">
        <v>100</v>
      </c>
      <c r="E2117" s="32">
        <v>524700</v>
      </c>
      <c r="F2117" s="32">
        <v>0</v>
      </c>
      <c r="G2117" s="32">
        <v>61996398</v>
      </c>
      <c r="H2117" t="s">
        <v>563</v>
      </c>
    </row>
    <row r="2118" spans="1:8" hidden="1" x14ac:dyDescent="0.3">
      <c r="A2118" s="28">
        <v>14951</v>
      </c>
      <c r="B2118" s="35">
        <v>45203.460416666669</v>
      </c>
      <c r="C2118" s="18">
        <v>45203</v>
      </c>
      <c r="D2118" t="s">
        <v>100</v>
      </c>
      <c r="E2118" s="32">
        <v>326700</v>
      </c>
      <c r="F2118" s="32">
        <v>0</v>
      </c>
      <c r="G2118" s="32">
        <v>61471698</v>
      </c>
      <c r="H2118" t="s">
        <v>220</v>
      </c>
    </row>
    <row r="2119" spans="1:8" hidden="1" x14ac:dyDescent="0.3">
      <c r="A2119" s="28">
        <v>14950</v>
      </c>
      <c r="B2119" s="35">
        <v>45203.446527777778</v>
      </c>
      <c r="C2119" s="18">
        <v>45203</v>
      </c>
      <c r="D2119" t="s">
        <v>100</v>
      </c>
      <c r="E2119" s="32">
        <v>683100</v>
      </c>
      <c r="F2119" s="32">
        <v>0</v>
      </c>
      <c r="G2119" s="32">
        <v>61144998</v>
      </c>
      <c r="H2119" t="s">
        <v>564</v>
      </c>
    </row>
    <row r="2120" spans="1:8" hidden="1" x14ac:dyDescent="0.3">
      <c r="A2120" s="28">
        <v>14949</v>
      </c>
      <c r="B2120" s="35">
        <v>45203.412499999999</v>
      </c>
      <c r="C2120" s="18">
        <v>45203</v>
      </c>
      <c r="D2120" t="s">
        <v>100</v>
      </c>
      <c r="E2120" s="32">
        <v>13567854</v>
      </c>
      <c r="F2120" s="32">
        <v>0</v>
      </c>
      <c r="G2120" s="32">
        <v>60461898</v>
      </c>
      <c r="H2120" t="s">
        <v>370</v>
      </c>
    </row>
    <row r="2121" spans="1:8" hidden="1" x14ac:dyDescent="0.3">
      <c r="A2121" s="28">
        <v>14939</v>
      </c>
      <c r="B2121" s="35">
        <v>45196.636805555558</v>
      </c>
      <c r="C2121" s="18">
        <v>45196</v>
      </c>
      <c r="D2121" t="s">
        <v>100</v>
      </c>
      <c r="E2121" s="32">
        <v>1387100</v>
      </c>
      <c r="F2121" s="32">
        <v>0</v>
      </c>
      <c r="G2121" s="32">
        <v>46894044</v>
      </c>
      <c r="H2121" t="s">
        <v>228</v>
      </c>
    </row>
    <row r="2122" spans="1:8" hidden="1" x14ac:dyDescent="0.3">
      <c r="A2122" s="28">
        <v>14937</v>
      </c>
      <c r="B2122" s="35">
        <v>45196.593055555553</v>
      </c>
      <c r="C2122" s="18">
        <v>45196</v>
      </c>
      <c r="D2122" t="s">
        <v>100</v>
      </c>
      <c r="E2122" s="32">
        <v>729300</v>
      </c>
      <c r="F2122" s="32">
        <v>0</v>
      </c>
      <c r="G2122" s="32">
        <v>45506944</v>
      </c>
      <c r="H2122" t="s">
        <v>315</v>
      </c>
    </row>
    <row r="2123" spans="1:8" hidden="1" x14ac:dyDescent="0.3">
      <c r="A2123" s="28">
        <v>14936</v>
      </c>
      <c r="B2123" s="35">
        <v>45196.574999999997</v>
      </c>
      <c r="C2123" s="18">
        <v>45196</v>
      </c>
      <c r="D2123" t="s">
        <v>100</v>
      </c>
      <c r="E2123" s="32">
        <v>331100</v>
      </c>
      <c r="F2123" s="32">
        <v>0</v>
      </c>
      <c r="G2123" s="32">
        <v>44777644</v>
      </c>
      <c r="H2123" t="s">
        <v>248</v>
      </c>
    </row>
    <row r="2124" spans="1:8" hidden="1" x14ac:dyDescent="0.3">
      <c r="A2124" s="28">
        <v>14935</v>
      </c>
      <c r="B2124" s="35">
        <v>45196.574305555558</v>
      </c>
      <c r="C2124" s="18">
        <v>45196</v>
      </c>
      <c r="D2124" t="s">
        <v>100</v>
      </c>
      <c r="E2124" s="32">
        <v>223300</v>
      </c>
      <c r="F2124" s="32">
        <v>0</v>
      </c>
      <c r="G2124" s="32">
        <v>44446544</v>
      </c>
      <c r="H2124" t="s">
        <v>251</v>
      </c>
    </row>
    <row r="2125" spans="1:8" hidden="1" x14ac:dyDescent="0.3">
      <c r="A2125" s="28">
        <v>14934</v>
      </c>
      <c r="B2125" s="35">
        <v>45196.570138888892</v>
      </c>
      <c r="C2125" s="18">
        <v>45196</v>
      </c>
      <c r="D2125" t="s">
        <v>100</v>
      </c>
      <c r="E2125" s="32">
        <v>580800</v>
      </c>
      <c r="F2125" s="32">
        <v>0</v>
      </c>
      <c r="G2125" s="32">
        <v>44223244</v>
      </c>
      <c r="H2125" t="s">
        <v>565</v>
      </c>
    </row>
    <row r="2126" spans="1:8" hidden="1" x14ac:dyDescent="0.3">
      <c r="A2126" s="28">
        <v>14933</v>
      </c>
      <c r="B2126" s="35">
        <v>45196.544444444444</v>
      </c>
      <c r="C2126" s="18">
        <v>45196</v>
      </c>
      <c r="D2126" t="s">
        <v>100</v>
      </c>
      <c r="E2126" s="32">
        <v>3993000</v>
      </c>
      <c r="F2126" s="32">
        <v>0</v>
      </c>
      <c r="G2126" s="32">
        <v>43642444</v>
      </c>
      <c r="H2126" t="s">
        <v>264</v>
      </c>
    </row>
    <row r="2127" spans="1:8" hidden="1" x14ac:dyDescent="0.3">
      <c r="A2127" s="28">
        <v>14932</v>
      </c>
      <c r="B2127" s="35">
        <v>45196.497916666667</v>
      </c>
      <c r="C2127" s="18">
        <v>45196</v>
      </c>
      <c r="D2127" t="s">
        <v>100</v>
      </c>
      <c r="E2127" s="32">
        <v>2984300</v>
      </c>
      <c r="F2127" s="32">
        <v>0</v>
      </c>
      <c r="G2127" s="32">
        <v>39649444</v>
      </c>
      <c r="H2127" t="s">
        <v>566</v>
      </c>
    </row>
    <row r="2128" spans="1:8" hidden="1" x14ac:dyDescent="0.3">
      <c r="A2128" s="28">
        <v>14930</v>
      </c>
      <c r="B2128" s="35">
        <v>45196.489583333336</v>
      </c>
      <c r="C2128" s="18">
        <v>45196</v>
      </c>
      <c r="D2128" t="s">
        <v>100</v>
      </c>
      <c r="E2128" s="32">
        <v>544500</v>
      </c>
      <c r="F2128" s="32">
        <v>0</v>
      </c>
      <c r="G2128" s="32">
        <v>36665144</v>
      </c>
      <c r="H2128" t="s">
        <v>255</v>
      </c>
    </row>
    <row r="2129" spans="1:8" hidden="1" x14ac:dyDescent="0.3">
      <c r="A2129" s="28">
        <v>14928</v>
      </c>
      <c r="B2129" s="35">
        <v>45196.481944444444</v>
      </c>
      <c r="C2129" s="18">
        <v>45196</v>
      </c>
      <c r="D2129" t="s">
        <v>100</v>
      </c>
      <c r="E2129" s="32">
        <v>1051600</v>
      </c>
      <c r="F2129" s="32">
        <v>0</v>
      </c>
      <c r="G2129" s="32">
        <v>36120644</v>
      </c>
      <c r="H2129" t="s">
        <v>453</v>
      </c>
    </row>
    <row r="2130" spans="1:8" hidden="1" x14ac:dyDescent="0.3">
      <c r="A2130" s="28">
        <v>14927</v>
      </c>
      <c r="B2130" s="35">
        <v>45196.481944444444</v>
      </c>
      <c r="C2130" s="18">
        <v>45196</v>
      </c>
      <c r="D2130" t="s">
        <v>100</v>
      </c>
      <c r="E2130" s="32">
        <v>759000</v>
      </c>
      <c r="F2130" s="32">
        <v>0</v>
      </c>
      <c r="G2130" s="32">
        <v>35069044</v>
      </c>
      <c r="H2130" t="s">
        <v>453</v>
      </c>
    </row>
    <row r="2131" spans="1:8" hidden="1" x14ac:dyDescent="0.3">
      <c r="A2131" s="28">
        <v>14926</v>
      </c>
      <c r="B2131" s="35">
        <v>45196.459027777775</v>
      </c>
      <c r="C2131" s="18">
        <v>45196</v>
      </c>
      <c r="D2131" t="s">
        <v>100</v>
      </c>
      <c r="E2131" s="32">
        <v>343200</v>
      </c>
      <c r="F2131" s="32">
        <v>0</v>
      </c>
      <c r="G2131" s="32">
        <v>34310044</v>
      </c>
      <c r="H2131" t="s">
        <v>252</v>
      </c>
    </row>
    <row r="2132" spans="1:8" hidden="1" x14ac:dyDescent="0.3">
      <c r="A2132" s="28">
        <v>14925</v>
      </c>
      <c r="B2132" s="35">
        <v>45196.459027777775</v>
      </c>
      <c r="C2132" s="18">
        <v>45196</v>
      </c>
      <c r="D2132" t="s">
        <v>100</v>
      </c>
      <c r="E2132" s="32">
        <v>81400</v>
      </c>
      <c r="F2132" s="32">
        <v>0</v>
      </c>
      <c r="G2132" s="32">
        <v>33966844</v>
      </c>
      <c r="H2132" t="s">
        <v>252</v>
      </c>
    </row>
    <row r="2133" spans="1:8" hidden="1" x14ac:dyDescent="0.3">
      <c r="A2133" s="28">
        <v>14924</v>
      </c>
      <c r="B2133" s="35">
        <v>45196.449305555558</v>
      </c>
      <c r="C2133" s="18">
        <v>45196</v>
      </c>
      <c r="D2133" t="s">
        <v>100</v>
      </c>
      <c r="E2133" s="32">
        <v>136400</v>
      </c>
      <c r="F2133" s="32">
        <v>0</v>
      </c>
      <c r="G2133" s="32">
        <v>33885444</v>
      </c>
      <c r="H2133" t="s">
        <v>409</v>
      </c>
    </row>
    <row r="2134" spans="1:8" hidden="1" x14ac:dyDescent="0.3">
      <c r="A2134" s="28">
        <v>14923</v>
      </c>
      <c r="B2134" s="35">
        <v>45196.442361111112</v>
      </c>
      <c r="C2134" s="18">
        <v>45196</v>
      </c>
      <c r="D2134" t="s">
        <v>100</v>
      </c>
      <c r="E2134" s="32">
        <v>1546600</v>
      </c>
      <c r="F2134" s="32">
        <v>0</v>
      </c>
      <c r="G2134" s="32">
        <v>33749044</v>
      </c>
      <c r="H2134" t="s">
        <v>414</v>
      </c>
    </row>
    <row r="2135" spans="1:8" hidden="1" x14ac:dyDescent="0.3">
      <c r="A2135" s="28">
        <v>14922</v>
      </c>
      <c r="B2135" s="35">
        <v>45196.436111111114</v>
      </c>
      <c r="C2135" s="18">
        <v>45196</v>
      </c>
      <c r="D2135" t="s">
        <v>100</v>
      </c>
      <c r="E2135" s="32">
        <v>259600</v>
      </c>
      <c r="F2135" s="32">
        <v>0</v>
      </c>
      <c r="G2135" s="32">
        <v>32202444</v>
      </c>
      <c r="H2135" t="s">
        <v>567</v>
      </c>
    </row>
    <row r="2136" spans="1:8" hidden="1" x14ac:dyDescent="0.3">
      <c r="A2136" s="28">
        <v>14921</v>
      </c>
      <c r="B2136" s="35">
        <v>45196.434027777781</v>
      </c>
      <c r="C2136" s="18">
        <v>45196</v>
      </c>
      <c r="D2136" t="s">
        <v>100</v>
      </c>
      <c r="E2136" s="32">
        <v>100100</v>
      </c>
      <c r="F2136" s="32">
        <v>0</v>
      </c>
      <c r="G2136" s="32">
        <v>31942844</v>
      </c>
      <c r="H2136" t="s">
        <v>313</v>
      </c>
    </row>
    <row r="2137" spans="1:8" hidden="1" x14ac:dyDescent="0.3">
      <c r="A2137" s="28">
        <v>14920</v>
      </c>
      <c r="B2137" s="35">
        <v>45196.433333333334</v>
      </c>
      <c r="C2137" s="18">
        <v>45196</v>
      </c>
      <c r="D2137" t="s">
        <v>100</v>
      </c>
      <c r="E2137" s="32">
        <v>515900</v>
      </c>
      <c r="F2137" s="32">
        <v>0</v>
      </c>
      <c r="G2137" s="32">
        <v>31842744</v>
      </c>
      <c r="H2137" t="s">
        <v>313</v>
      </c>
    </row>
    <row r="2138" spans="1:8" hidden="1" x14ac:dyDescent="0.3">
      <c r="A2138" s="28">
        <v>14919</v>
      </c>
      <c r="B2138" s="35">
        <v>45196.433333333334</v>
      </c>
      <c r="C2138" s="18">
        <v>45196</v>
      </c>
      <c r="D2138" t="s">
        <v>100</v>
      </c>
      <c r="E2138" s="32">
        <v>361900</v>
      </c>
      <c r="F2138" s="32">
        <v>0</v>
      </c>
      <c r="G2138" s="32">
        <v>31326844</v>
      </c>
      <c r="H2138" t="s">
        <v>313</v>
      </c>
    </row>
    <row r="2139" spans="1:8" hidden="1" x14ac:dyDescent="0.3">
      <c r="A2139" s="28">
        <v>14918</v>
      </c>
      <c r="B2139" s="35">
        <v>45196.433333333334</v>
      </c>
      <c r="C2139" s="18">
        <v>45196</v>
      </c>
      <c r="D2139" t="s">
        <v>100</v>
      </c>
      <c r="E2139" s="32">
        <v>932800</v>
      </c>
      <c r="F2139" s="32">
        <v>0</v>
      </c>
      <c r="G2139" s="32">
        <v>30964944</v>
      </c>
      <c r="H2139" t="s">
        <v>313</v>
      </c>
    </row>
    <row r="2140" spans="1:8" hidden="1" x14ac:dyDescent="0.3">
      <c r="A2140" s="28">
        <v>14917</v>
      </c>
      <c r="B2140" s="35">
        <v>45196.425000000003</v>
      </c>
      <c r="C2140" s="18">
        <v>45196</v>
      </c>
      <c r="D2140" t="s">
        <v>101</v>
      </c>
      <c r="E2140" s="32">
        <v>0</v>
      </c>
      <c r="F2140" s="32">
        <v>8000</v>
      </c>
      <c r="G2140" s="32">
        <v>30032144</v>
      </c>
      <c r="H2140" t="s">
        <v>241</v>
      </c>
    </row>
    <row r="2141" spans="1:8" hidden="1" x14ac:dyDescent="0.3">
      <c r="A2141" s="28">
        <v>14916</v>
      </c>
      <c r="B2141" s="35">
        <v>45196.418055555558</v>
      </c>
      <c r="C2141" s="18">
        <v>45196</v>
      </c>
      <c r="D2141" t="s">
        <v>100</v>
      </c>
      <c r="E2141" s="32">
        <v>90200</v>
      </c>
      <c r="F2141" s="32">
        <v>0</v>
      </c>
      <c r="G2141" s="32">
        <v>30040144</v>
      </c>
      <c r="H2141" t="s">
        <v>568</v>
      </c>
    </row>
    <row r="2142" spans="1:8" hidden="1" x14ac:dyDescent="0.3">
      <c r="A2142" s="28">
        <v>14915</v>
      </c>
      <c r="B2142" s="35">
        <v>45196.405555555553</v>
      </c>
      <c r="C2142" s="18">
        <v>45196</v>
      </c>
      <c r="D2142" t="s">
        <v>100</v>
      </c>
      <c r="E2142" s="32">
        <v>3099800</v>
      </c>
      <c r="F2142" s="32">
        <v>0</v>
      </c>
      <c r="G2142" s="32">
        <v>29949944</v>
      </c>
      <c r="H2142" t="s">
        <v>254</v>
      </c>
    </row>
    <row r="2143" spans="1:8" hidden="1" x14ac:dyDescent="0.3">
      <c r="A2143" s="28">
        <v>14914</v>
      </c>
      <c r="B2143" s="35">
        <v>45196.405555555553</v>
      </c>
      <c r="C2143" s="18">
        <v>45196</v>
      </c>
      <c r="D2143" t="s">
        <v>100</v>
      </c>
      <c r="E2143" s="32">
        <v>4854300</v>
      </c>
      <c r="F2143" s="32">
        <v>0</v>
      </c>
      <c r="G2143" s="32">
        <v>26850144</v>
      </c>
      <c r="H2143" t="s">
        <v>254</v>
      </c>
    </row>
    <row r="2144" spans="1:8" hidden="1" x14ac:dyDescent="0.3">
      <c r="A2144" s="28">
        <v>14913</v>
      </c>
      <c r="B2144" s="35">
        <v>45196.405555555553</v>
      </c>
      <c r="C2144" s="18">
        <v>45196</v>
      </c>
      <c r="D2144" t="s">
        <v>100</v>
      </c>
      <c r="E2144" s="32">
        <v>906400</v>
      </c>
      <c r="F2144" s="32">
        <v>0</v>
      </c>
      <c r="G2144" s="32">
        <v>21995844</v>
      </c>
      <c r="H2144" t="s">
        <v>254</v>
      </c>
    </row>
    <row r="2145" spans="1:8" hidden="1" x14ac:dyDescent="0.3">
      <c r="A2145" s="28">
        <v>14912</v>
      </c>
      <c r="B2145" s="35">
        <v>45196.397916666669</v>
      </c>
      <c r="C2145" s="18">
        <v>45196</v>
      </c>
      <c r="D2145" t="s">
        <v>101</v>
      </c>
      <c r="E2145" s="32">
        <v>0</v>
      </c>
      <c r="F2145" s="32">
        <v>36587700</v>
      </c>
      <c r="G2145" s="32">
        <v>21089444</v>
      </c>
      <c r="H2145" t="s">
        <v>569</v>
      </c>
    </row>
    <row r="2146" spans="1:8" hidden="1" x14ac:dyDescent="0.3">
      <c r="A2146" s="28">
        <v>14911</v>
      </c>
      <c r="B2146" s="35">
        <v>45196.382638888892</v>
      </c>
      <c r="C2146" s="18">
        <v>45196</v>
      </c>
      <c r="D2146" t="s">
        <v>100</v>
      </c>
      <c r="E2146" s="32">
        <v>829400</v>
      </c>
      <c r="F2146" s="32">
        <v>0</v>
      </c>
      <c r="G2146" s="32">
        <v>57677144</v>
      </c>
      <c r="H2146" t="s">
        <v>327</v>
      </c>
    </row>
    <row r="2147" spans="1:8" hidden="1" x14ac:dyDescent="0.3">
      <c r="A2147" s="28">
        <v>14909</v>
      </c>
      <c r="B2147" s="35">
        <v>45195.720833333333</v>
      </c>
      <c r="C2147" s="18">
        <v>45195</v>
      </c>
      <c r="D2147" t="s">
        <v>100</v>
      </c>
      <c r="E2147" s="32">
        <v>746900</v>
      </c>
      <c r="F2147" s="32">
        <v>0</v>
      </c>
      <c r="G2147" s="32">
        <v>56847744</v>
      </c>
      <c r="H2147" t="s">
        <v>247</v>
      </c>
    </row>
    <row r="2148" spans="1:8" hidden="1" x14ac:dyDescent="0.3">
      <c r="A2148" s="28">
        <v>14908</v>
      </c>
      <c r="B2148" s="35">
        <v>45195.716666666667</v>
      </c>
      <c r="C2148" s="18">
        <v>45195</v>
      </c>
      <c r="D2148" t="s">
        <v>100</v>
      </c>
      <c r="E2148" s="32">
        <v>451300</v>
      </c>
      <c r="F2148" s="32">
        <v>0</v>
      </c>
      <c r="G2148" s="32">
        <v>56100844</v>
      </c>
      <c r="H2148" t="s">
        <v>570</v>
      </c>
    </row>
    <row r="2149" spans="1:8" hidden="1" x14ac:dyDescent="0.3">
      <c r="A2149" s="28">
        <v>14907</v>
      </c>
      <c r="B2149" s="35">
        <v>45195.712500000001</v>
      </c>
      <c r="C2149" s="18">
        <v>45195</v>
      </c>
      <c r="D2149" t="s">
        <v>100</v>
      </c>
      <c r="E2149" s="32">
        <v>320100</v>
      </c>
      <c r="F2149" s="32">
        <v>0</v>
      </c>
      <c r="G2149" s="32">
        <v>55649544</v>
      </c>
      <c r="H2149" t="s">
        <v>375</v>
      </c>
    </row>
    <row r="2150" spans="1:8" hidden="1" x14ac:dyDescent="0.3">
      <c r="A2150" s="28">
        <v>14906</v>
      </c>
      <c r="B2150" s="35">
        <v>45195.710416666669</v>
      </c>
      <c r="C2150" s="18">
        <v>45195</v>
      </c>
      <c r="D2150" t="s">
        <v>100</v>
      </c>
      <c r="E2150" s="32">
        <v>4513000</v>
      </c>
      <c r="F2150" s="32">
        <v>0</v>
      </c>
      <c r="G2150" s="32">
        <v>55329444</v>
      </c>
      <c r="H2150" t="s">
        <v>571</v>
      </c>
    </row>
    <row r="2151" spans="1:8" hidden="1" x14ac:dyDescent="0.3">
      <c r="A2151" s="28">
        <v>14905</v>
      </c>
      <c r="B2151" s="35">
        <v>45195.59652777778</v>
      </c>
      <c r="C2151" s="18">
        <v>45195</v>
      </c>
      <c r="D2151" t="s">
        <v>101</v>
      </c>
      <c r="E2151" s="32">
        <v>0</v>
      </c>
      <c r="F2151" s="32">
        <v>99000</v>
      </c>
      <c r="G2151" s="32">
        <v>50816444</v>
      </c>
      <c r="H2151" t="s">
        <v>572</v>
      </c>
    </row>
    <row r="2152" spans="1:8" hidden="1" x14ac:dyDescent="0.3">
      <c r="A2152" s="28">
        <v>14904</v>
      </c>
      <c r="B2152" s="35">
        <v>45195.595833333333</v>
      </c>
      <c r="C2152" s="18">
        <v>45195</v>
      </c>
      <c r="D2152" t="s">
        <v>101</v>
      </c>
      <c r="E2152" s="32">
        <v>0</v>
      </c>
      <c r="F2152" s="32">
        <v>93060</v>
      </c>
      <c r="G2152" s="32">
        <v>50915444</v>
      </c>
      <c r="H2152" t="s">
        <v>221</v>
      </c>
    </row>
    <row r="2153" spans="1:8" hidden="1" x14ac:dyDescent="0.3">
      <c r="A2153" s="28">
        <v>14903</v>
      </c>
      <c r="B2153" s="35">
        <v>45195.585416666669</v>
      </c>
      <c r="C2153" s="18">
        <v>45195</v>
      </c>
      <c r="D2153" t="s">
        <v>100</v>
      </c>
      <c r="E2153" s="32">
        <v>519200</v>
      </c>
      <c r="F2153" s="32">
        <v>0</v>
      </c>
      <c r="G2153" s="32">
        <v>51008504</v>
      </c>
      <c r="H2153" t="s">
        <v>292</v>
      </c>
    </row>
    <row r="2154" spans="1:8" hidden="1" x14ac:dyDescent="0.3">
      <c r="A2154" s="28">
        <v>14902</v>
      </c>
      <c r="B2154" s="35">
        <v>45195.558333333334</v>
      </c>
      <c r="C2154" s="18">
        <v>45195</v>
      </c>
      <c r="D2154" t="s">
        <v>100</v>
      </c>
      <c r="E2154" s="32">
        <v>523600</v>
      </c>
      <c r="F2154" s="32">
        <v>0</v>
      </c>
      <c r="G2154" s="32">
        <v>50489304</v>
      </c>
      <c r="H2154" t="s">
        <v>438</v>
      </c>
    </row>
    <row r="2155" spans="1:8" hidden="1" x14ac:dyDescent="0.3">
      <c r="A2155" s="28">
        <v>14901</v>
      </c>
      <c r="B2155" s="35">
        <v>45195.558333333334</v>
      </c>
      <c r="C2155" s="18">
        <v>45195</v>
      </c>
      <c r="D2155" t="s">
        <v>100</v>
      </c>
      <c r="E2155" s="32">
        <v>390800</v>
      </c>
      <c r="F2155" s="32">
        <v>0</v>
      </c>
      <c r="G2155" s="32">
        <v>49965704</v>
      </c>
      <c r="H2155" t="s">
        <v>263</v>
      </c>
    </row>
    <row r="2156" spans="1:8" hidden="1" x14ac:dyDescent="0.3">
      <c r="A2156" s="28">
        <v>14898</v>
      </c>
      <c r="B2156" s="35">
        <v>45195.457638888889</v>
      </c>
      <c r="C2156" s="18">
        <v>45195</v>
      </c>
      <c r="D2156" t="s">
        <v>101</v>
      </c>
      <c r="E2156" s="32">
        <v>0</v>
      </c>
      <c r="F2156" s="32">
        <v>44880</v>
      </c>
      <c r="G2156" s="32">
        <v>49574904</v>
      </c>
      <c r="H2156" t="s">
        <v>573</v>
      </c>
    </row>
    <row r="2157" spans="1:8" hidden="1" x14ac:dyDescent="0.3">
      <c r="A2157" s="28">
        <v>14894</v>
      </c>
      <c r="B2157" s="35">
        <v>45195.392361111109</v>
      </c>
      <c r="C2157" s="18">
        <v>45195</v>
      </c>
      <c r="D2157" t="s">
        <v>101</v>
      </c>
      <c r="E2157" s="32">
        <v>0</v>
      </c>
      <c r="F2157" s="32">
        <v>6600000</v>
      </c>
      <c r="G2157" s="32">
        <v>49619784</v>
      </c>
      <c r="H2157" t="s">
        <v>574</v>
      </c>
    </row>
    <row r="2158" spans="1:8" hidden="1" x14ac:dyDescent="0.3">
      <c r="A2158" s="28">
        <v>14893</v>
      </c>
      <c r="B2158" s="35">
        <v>45195.388194444444</v>
      </c>
      <c r="C2158" s="18">
        <v>45195</v>
      </c>
      <c r="D2158" t="s">
        <v>101</v>
      </c>
      <c r="E2158" s="32">
        <v>0</v>
      </c>
      <c r="F2158" s="32">
        <v>39793800</v>
      </c>
      <c r="G2158" s="32">
        <v>56219784</v>
      </c>
      <c r="H2158" t="s">
        <v>242</v>
      </c>
    </row>
    <row r="2159" spans="1:8" hidden="1" x14ac:dyDescent="0.3">
      <c r="A2159" s="28">
        <v>14892</v>
      </c>
      <c r="B2159" s="35">
        <v>45195.386805555558</v>
      </c>
      <c r="C2159" s="18">
        <v>45195</v>
      </c>
      <c r="D2159" t="s">
        <v>101</v>
      </c>
      <c r="E2159" s="32">
        <v>0</v>
      </c>
      <c r="F2159" s="32">
        <v>39650400</v>
      </c>
      <c r="G2159" s="32">
        <v>96013584</v>
      </c>
      <c r="H2159" t="s">
        <v>242</v>
      </c>
    </row>
    <row r="2160" spans="1:8" hidden="1" x14ac:dyDescent="0.3">
      <c r="A2160" s="28">
        <v>14890</v>
      </c>
      <c r="B2160" s="35">
        <v>45195.384027777778</v>
      </c>
      <c r="C2160" s="18">
        <v>45195</v>
      </c>
      <c r="D2160" t="s">
        <v>100</v>
      </c>
      <c r="E2160" s="32">
        <v>2132000</v>
      </c>
      <c r="F2160" s="32">
        <v>0</v>
      </c>
      <c r="G2160" s="32">
        <v>135663984</v>
      </c>
      <c r="H2160" t="s">
        <v>575</v>
      </c>
    </row>
    <row r="2161" spans="1:8" hidden="1" x14ac:dyDescent="0.3">
      <c r="A2161" s="28">
        <v>14889</v>
      </c>
      <c r="B2161" s="35">
        <v>45195.384027777778</v>
      </c>
      <c r="C2161" s="18">
        <v>45195</v>
      </c>
      <c r="D2161" t="s">
        <v>100</v>
      </c>
      <c r="E2161" s="32">
        <v>220000</v>
      </c>
      <c r="F2161" s="32">
        <v>0</v>
      </c>
      <c r="G2161" s="32">
        <v>133531984</v>
      </c>
      <c r="H2161" t="s">
        <v>575</v>
      </c>
    </row>
    <row r="2162" spans="1:8" hidden="1" x14ac:dyDescent="0.3">
      <c r="A2162" s="28">
        <v>14888</v>
      </c>
      <c r="B2162" s="35">
        <v>45195.384027777778</v>
      </c>
      <c r="C2162" s="18">
        <v>45195</v>
      </c>
      <c r="D2162" t="s">
        <v>100</v>
      </c>
      <c r="E2162" s="32">
        <v>855000</v>
      </c>
      <c r="F2162" s="32">
        <v>0</v>
      </c>
      <c r="G2162" s="32">
        <v>133311984</v>
      </c>
      <c r="H2162" t="s">
        <v>575</v>
      </c>
    </row>
    <row r="2163" spans="1:8" hidden="1" x14ac:dyDescent="0.3">
      <c r="A2163" s="28">
        <v>14887</v>
      </c>
      <c r="B2163" s="35">
        <v>45195.384027777778</v>
      </c>
      <c r="C2163" s="18">
        <v>45195</v>
      </c>
      <c r="D2163" t="s">
        <v>100</v>
      </c>
      <c r="E2163" s="32">
        <v>114000</v>
      </c>
      <c r="F2163" s="32">
        <v>0</v>
      </c>
      <c r="G2163" s="32">
        <v>132456984</v>
      </c>
      <c r="H2163" t="s">
        <v>575</v>
      </c>
    </row>
    <row r="2164" spans="1:8" hidden="1" x14ac:dyDescent="0.3">
      <c r="A2164" s="28">
        <v>14886</v>
      </c>
      <c r="B2164" s="35">
        <v>45195.384027777778</v>
      </c>
      <c r="C2164" s="18">
        <v>45195</v>
      </c>
      <c r="D2164" t="s">
        <v>100</v>
      </c>
      <c r="E2164" s="32">
        <v>62000</v>
      </c>
      <c r="F2164" s="32">
        <v>0</v>
      </c>
      <c r="G2164" s="32">
        <v>132342984</v>
      </c>
      <c r="H2164" t="s">
        <v>575</v>
      </c>
    </row>
    <row r="2165" spans="1:8" hidden="1" x14ac:dyDescent="0.3">
      <c r="A2165" s="28">
        <v>14885</v>
      </c>
      <c r="B2165" s="35">
        <v>45195.384027777778</v>
      </c>
      <c r="C2165" s="18">
        <v>45195</v>
      </c>
      <c r="D2165" t="s">
        <v>100</v>
      </c>
      <c r="E2165" s="32">
        <v>362000</v>
      </c>
      <c r="F2165" s="32">
        <v>0</v>
      </c>
      <c r="G2165" s="32">
        <v>132280984</v>
      </c>
      <c r="H2165" t="s">
        <v>575</v>
      </c>
    </row>
    <row r="2166" spans="1:8" hidden="1" x14ac:dyDescent="0.3">
      <c r="A2166" s="28">
        <v>14884</v>
      </c>
      <c r="B2166" s="35">
        <v>45195.384027777778</v>
      </c>
      <c r="C2166" s="18">
        <v>45195</v>
      </c>
      <c r="D2166" t="s">
        <v>100</v>
      </c>
      <c r="E2166" s="32">
        <v>163000</v>
      </c>
      <c r="F2166" s="32">
        <v>0</v>
      </c>
      <c r="G2166" s="32">
        <v>131918984</v>
      </c>
      <c r="H2166" t="s">
        <v>575</v>
      </c>
    </row>
    <row r="2167" spans="1:8" hidden="1" x14ac:dyDescent="0.3">
      <c r="A2167" s="28">
        <v>14883</v>
      </c>
      <c r="B2167" s="35">
        <v>45195.37222222222</v>
      </c>
      <c r="C2167" s="18">
        <v>45195</v>
      </c>
      <c r="D2167" t="s">
        <v>100</v>
      </c>
      <c r="E2167" s="32">
        <v>239800</v>
      </c>
      <c r="F2167" s="32">
        <v>0</v>
      </c>
      <c r="G2167" s="32">
        <v>131755984</v>
      </c>
      <c r="H2167" t="s">
        <v>220</v>
      </c>
    </row>
    <row r="2168" spans="1:8" hidden="1" x14ac:dyDescent="0.3">
      <c r="A2168" s="28">
        <v>14880</v>
      </c>
      <c r="B2168" s="35">
        <v>45194.840277777781</v>
      </c>
      <c r="C2168" s="18">
        <v>45194</v>
      </c>
      <c r="D2168" t="s">
        <v>101</v>
      </c>
      <c r="E2168" s="32">
        <v>0</v>
      </c>
      <c r="F2168" s="32">
        <v>440000</v>
      </c>
      <c r="G2168" s="32">
        <v>131516184</v>
      </c>
      <c r="H2168" t="s">
        <v>413</v>
      </c>
    </row>
    <row r="2169" spans="1:8" hidden="1" x14ac:dyDescent="0.3">
      <c r="A2169" s="28">
        <v>14877</v>
      </c>
      <c r="B2169" s="35">
        <v>45194.712500000001</v>
      </c>
      <c r="C2169" s="18">
        <v>45194</v>
      </c>
      <c r="D2169" t="s">
        <v>100</v>
      </c>
      <c r="E2169" s="32">
        <v>270600</v>
      </c>
      <c r="F2169" s="32">
        <v>0</v>
      </c>
      <c r="G2169" s="32">
        <v>131956184</v>
      </c>
      <c r="H2169" t="s">
        <v>576</v>
      </c>
    </row>
    <row r="2170" spans="1:8" hidden="1" x14ac:dyDescent="0.3">
      <c r="A2170" s="28">
        <v>14876</v>
      </c>
      <c r="B2170" s="35">
        <v>45194.685416666667</v>
      </c>
      <c r="C2170" s="18">
        <v>45194</v>
      </c>
      <c r="D2170" t="s">
        <v>100</v>
      </c>
      <c r="E2170" s="32">
        <v>49500000</v>
      </c>
      <c r="F2170" s="32">
        <v>0</v>
      </c>
      <c r="G2170" s="32">
        <v>131685584</v>
      </c>
      <c r="H2170" t="s">
        <v>534</v>
      </c>
    </row>
    <row r="2171" spans="1:8" hidden="1" x14ac:dyDescent="0.3">
      <c r="A2171" s="28">
        <v>14873</v>
      </c>
      <c r="B2171" s="35">
        <v>45194.637499999997</v>
      </c>
      <c r="C2171" s="18">
        <v>45194</v>
      </c>
      <c r="D2171" t="s">
        <v>100</v>
      </c>
      <c r="E2171" s="32">
        <v>465300</v>
      </c>
      <c r="F2171" s="32">
        <v>0</v>
      </c>
      <c r="G2171" s="32">
        <v>82185584</v>
      </c>
      <c r="H2171" t="s">
        <v>357</v>
      </c>
    </row>
    <row r="2172" spans="1:8" hidden="1" x14ac:dyDescent="0.3">
      <c r="A2172" s="28">
        <v>14872</v>
      </c>
      <c r="B2172" s="35">
        <v>45194.606249999997</v>
      </c>
      <c r="C2172" s="18">
        <v>45194</v>
      </c>
      <c r="D2172" t="s">
        <v>101</v>
      </c>
      <c r="E2172" s="32">
        <v>0</v>
      </c>
      <c r="F2172" s="32">
        <v>198000</v>
      </c>
      <c r="G2172" s="32">
        <v>81720284</v>
      </c>
      <c r="H2172" t="s">
        <v>577</v>
      </c>
    </row>
    <row r="2173" spans="1:8" hidden="1" x14ac:dyDescent="0.3">
      <c r="A2173" s="28">
        <v>14871</v>
      </c>
      <c r="B2173" s="35">
        <v>45194.595138888886</v>
      </c>
      <c r="C2173" s="18">
        <v>45194</v>
      </c>
      <c r="D2173" t="s">
        <v>100</v>
      </c>
      <c r="E2173" s="32">
        <v>116600</v>
      </c>
      <c r="F2173" s="32">
        <v>0</v>
      </c>
      <c r="G2173" s="32">
        <v>81918284</v>
      </c>
      <c r="H2173" t="s">
        <v>417</v>
      </c>
    </row>
    <row r="2174" spans="1:8" hidden="1" x14ac:dyDescent="0.3">
      <c r="A2174" s="28">
        <v>14870</v>
      </c>
      <c r="B2174" s="35">
        <v>45194.45416666667</v>
      </c>
      <c r="C2174" s="18">
        <v>45194</v>
      </c>
      <c r="D2174" t="s">
        <v>100</v>
      </c>
      <c r="E2174" s="32">
        <v>116600</v>
      </c>
      <c r="F2174" s="32">
        <v>0</v>
      </c>
      <c r="G2174" s="32">
        <v>81801684</v>
      </c>
      <c r="H2174" t="s">
        <v>365</v>
      </c>
    </row>
    <row r="2175" spans="1:8" hidden="1" x14ac:dyDescent="0.3">
      <c r="A2175" s="28">
        <v>14869</v>
      </c>
      <c r="B2175" s="35">
        <v>45194.434027777781</v>
      </c>
      <c r="C2175" s="18">
        <v>45194</v>
      </c>
      <c r="D2175" t="s">
        <v>100</v>
      </c>
      <c r="E2175" s="32">
        <v>1087900</v>
      </c>
      <c r="F2175" s="32">
        <v>0</v>
      </c>
      <c r="G2175" s="32">
        <v>81685084</v>
      </c>
      <c r="H2175" t="s">
        <v>228</v>
      </c>
    </row>
    <row r="2176" spans="1:8" hidden="1" x14ac:dyDescent="0.3">
      <c r="A2176" s="28">
        <v>14868</v>
      </c>
      <c r="B2176" s="35">
        <v>45194.340277777781</v>
      </c>
      <c r="C2176" s="18">
        <v>45194</v>
      </c>
      <c r="D2176" t="s">
        <v>101</v>
      </c>
      <c r="E2176" s="32">
        <v>0</v>
      </c>
      <c r="F2176" s="32">
        <v>2731839</v>
      </c>
      <c r="G2176" s="32">
        <v>80597184</v>
      </c>
      <c r="H2176" t="s">
        <v>578</v>
      </c>
    </row>
    <row r="2177" spans="1:8" hidden="1" x14ac:dyDescent="0.3">
      <c r="A2177" s="28">
        <v>14867</v>
      </c>
      <c r="B2177" s="35">
        <v>45194.337500000001</v>
      </c>
      <c r="C2177" s="18">
        <v>45194</v>
      </c>
      <c r="D2177" t="s">
        <v>101</v>
      </c>
      <c r="E2177" s="32">
        <v>0</v>
      </c>
      <c r="F2177" s="32">
        <v>130000</v>
      </c>
      <c r="G2177" s="32">
        <v>83329023</v>
      </c>
      <c r="H2177" t="s">
        <v>579</v>
      </c>
    </row>
    <row r="2178" spans="1:8" hidden="1" x14ac:dyDescent="0.3">
      <c r="A2178" s="28">
        <v>14866</v>
      </c>
      <c r="B2178" s="35">
        <v>45194.336805555555</v>
      </c>
      <c r="C2178" s="18">
        <v>45194</v>
      </c>
      <c r="D2178" t="s">
        <v>101</v>
      </c>
      <c r="E2178" s="32">
        <v>0</v>
      </c>
      <c r="F2178" s="32">
        <v>450000</v>
      </c>
      <c r="G2178" s="32">
        <v>83459023</v>
      </c>
      <c r="H2178" t="s">
        <v>282</v>
      </c>
    </row>
    <row r="2179" spans="1:8" hidden="1" x14ac:dyDescent="0.3">
      <c r="A2179" s="28">
        <v>14865</v>
      </c>
      <c r="B2179" s="35">
        <v>45191.633333333331</v>
      </c>
      <c r="C2179" s="18">
        <v>45191</v>
      </c>
      <c r="D2179" t="s">
        <v>101</v>
      </c>
      <c r="E2179" s="32">
        <v>0</v>
      </c>
      <c r="F2179" s="32">
        <v>36111460</v>
      </c>
      <c r="G2179" s="32">
        <v>83909023</v>
      </c>
      <c r="H2179" t="s">
        <v>258</v>
      </c>
    </row>
    <row r="2180" spans="1:8" hidden="1" x14ac:dyDescent="0.3">
      <c r="A2180" s="28">
        <v>14864</v>
      </c>
      <c r="B2180" s="35">
        <v>45191.631249999999</v>
      </c>
      <c r="C2180" s="18">
        <v>45191</v>
      </c>
      <c r="D2180" t="s">
        <v>101</v>
      </c>
      <c r="E2180" s="32">
        <v>0</v>
      </c>
      <c r="F2180" s="32">
        <v>13785380</v>
      </c>
      <c r="G2180" s="32">
        <v>120020483</v>
      </c>
      <c r="H2180" t="s">
        <v>258</v>
      </c>
    </row>
    <row r="2181" spans="1:8" hidden="1" x14ac:dyDescent="0.3">
      <c r="A2181" s="28">
        <v>14863</v>
      </c>
      <c r="B2181" s="35">
        <v>45191.594444444447</v>
      </c>
      <c r="C2181" s="18">
        <v>45191</v>
      </c>
      <c r="D2181" t="s">
        <v>100</v>
      </c>
      <c r="E2181" s="32">
        <v>462000</v>
      </c>
      <c r="F2181" s="32">
        <v>0</v>
      </c>
      <c r="G2181" s="32">
        <v>133805863</v>
      </c>
      <c r="H2181" t="s">
        <v>429</v>
      </c>
    </row>
    <row r="2182" spans="1:8" hidden="1" x14ac:dyDescent="0.3">
      <c r="A2182" s="28">
        <v>14862</v>
      </c>
      <c r="B2182" s="35">
        <v>45191.594444444447</v>
      </c>
      <c r="C2182" s="18">
        <v>45191</v>
      </c>
      <c r="D2182" t="s">
        <v>100</v>
      </c>
      <c r="E2182" s="32">
        <v>332200</v>
      </c>
      <c r="F2182" s="32">
        <v>0</v>
      </c>
      <c r="G2182" s="32">
        <v>133343863</v>
      </c>
      <c r="H2182" t="s">
        <v>429</v>
      </c>
    </row>
    <row r="2183" spans="1:8" hidden="1" x14ac:dyDescent="0.3">
      <c r="A2183" s="28">
        <v>14860</v>
      </c>
      <c r="B2183" s="35">
        <v>45191.506944444445</v>
      </c>
      <c r="C2183" s="18">
        <v>45191</v>
      </c>
      <c r="D2183" t="s">
        <v>100</v>
      </c>
      <c r="E2183" s="32">
        <v>47720</v>
      </c>
      <c r="F2183" s="32">
        <v>0</v>
      </c>
      <c r="G2183" s="32">
        <v>133011663</v>
      </c>
      <c r="H2183" t="s">
        <v>284</v>
      </c>
    </row>
    <row r="2184" spans="1:8" hidden="1" x14ac:dyDescent="0.3">
      <c r="A2184" s="28">
        <v>14859</v>
      </c>
      <c r="B2184" s="35">
        <v>45191.467361111114</v>
      </c>
      <c r="C2184" s="18">
        <v>45191</v>
      </c>
      <c r="D2184" t="s">
        <v>100</v>
      </c>
      <c r="E2184" s="32">
        <v>3993000</v>
      </c>
      <c r="F2184" s="32">
        <v>0</v>
      </c>
      <c r="G2184" s="32">
        <v>132963943</v>
      </c>
      <c r="H2184" t="s">
        <v>580</v>
      </c>
    </row>
    <row r="2185" spans="1:8" hidden="1" x14ac:dyDescent="0.3">
      <c r="A2185" s="28">
        <v>14857</v>
      </c>
      <c r="B2185" s="35">
        <v>45191.424305555556</v>
      </c>
      <c r="C2185" s="18">
        <v>45191</v>
      </c>
      <c r="D2185" t="s">
        <v>100</v>
      </c>
      <c r="E2185" s="32">
        <v>528000</v>
      </c>
      <c r="F2185" s="32">
        <v>0</v>
      </c>
      <c r="G2185" s="32">
        <v>128970943</v>
      </c>
      <c r="H2185" t="s">
        <v>220</v>
      </c>
    </row>
    <row r="2186" spans="1:8" hidden="1" x14ac:dyDescent="0.3">
      <c r="A2186" s="28">
        <v>14856</v>
      </c>
      <c r="B2186" s="35">
        <v>45191.401388888888</v>
      </c>
      <c r="C2186" s="18">
        <v>45191</v>
      </c>
      <c r="D2186" t="s">
        <v>100</v>
      </c>
      <c r="E2186" s="32">
        <v>243100</v>
      </c>
      <c r="F2186" s="32">
        <v>0</v>
      </c>
      <c r="G2186" s="32">
        <v>128442943</v>
      </c>
      <c r="H2186" t="s">
        <v>581</v>
      </c>
    </row>
    <row r="2187" spans="1:8" hidden="1" x14ac:dyDescent="0.3">
      <c r="A2187" s="28">
        <v>14855</v>
      </c>
      <c r="B2187" s="35">
        <v>45191.383333333331</v>
      </c>
      <c r="C2187" s="18">
        <v>45191</v>
      </c>
      <c r="D2187" t="s">
        <v>101</v>
      </c>
      <c r="E2187" s="32">
        <v>0</v>
      </c>
      <c r="F2187" s="32">
        <v>14520</v>
      </c>
      <c r="G2187" s="32">
        <v>128199843</v>
      </c>
      <c r="H2187" t="s">
        <v>573</v>
      </c>
    </row>
    <row r="2188" spans="1:8" hidden="1" x14ac:dyDescent="0.3">
      <c r="A2188" s="28">
        <v>14854</v>
      </c>
      <c r="B2188" s="35">
        <v>45191.343055555553</v>
      </c>
      <c r="C2188" s="18">
        <v>45191</v>
      </c>
      <c r="D2188" t="s">
        <v>101</v>
      </c>
      <c r="E2188" s="32">
        <v>0</v>
      </c>
      <c r="F2188" s="32">
        <v>9244500</v>
      </c>
      <c r="G2188" s="32">
        <v>128214363</v>
      </c>
      <c r="H2188" t="s">
        <v>289</v>
      </c>
    </row>
    <row r="2189" spans="1:8" hidden="1" x14ac:dyDescent="0.3">
      <c r="A2189" s="28">
        <v>14849</v>
      </c>
      <c r="B2189" s="35">
        <v>45190.737500000003</v>
      </c>
      <c r="C2189" s="18">
        <v>45190</v>
      </c>
      <c r="D2189" t="s">
        <v>100</v>
      </c>
      <c r="E2189" s="32">
        <v>521400</v>
      </c>
      <c r="F2189" s="32">
        <v>0</v>
      </c>
      <c r="G2189" s="32">
        <v>137458863</v>
      </c>
      <c r="H2189" t="s">
        <v>489</v>
      </c>
    </row>
    <row r="2190" spans="1:8" hidden="1" x14ac:dyDescent="0.3">
      <c r="A2190" s="28">
        <v>14848</v>
      </c>
      <c r="B2190" s="35">
        <v>45190.724305555559</v>
      </c>
      <c r="C2190" s="18">
        <v>45190</v>
      </c>
      <c r="D2190" t="s">
        <v>100</v>
      </c>
      <c r="E2190" s="32">
        <v>16012700</v>
      </c>
      <c r="F2190" s="32">
        <v>0</v>
      </c>
      <c r="G2190" s="32">
        <v>136937463</v>
      </c>
      <c r="H2190" t="s">
        <v>489</v>
      </c>
    </row>
    <row r="2191" spans="1:8" hidden="1" x14ac:dyDescent="0.3">
      <c r="A2191" s="28">
        <v>14847</v>
      </c>
      <c r="B2191" s="35">
        <v>45190.53125</v>
      </c>
      <c r="C2191" s="18">
        <v>45190</v>
      </c>
      <c r="D2191" t="s">
        <v>100</v>
      </c>
      <c r="E2191" s="32">
        <v>2185700</v>
      </c>
      <c r="F2191" s="32">
        <v>0</v>
      </c>
      <c r="G2191" s="32">
        <v>120924763</v>
      </c>
      <c r="H2191" t="s">
        <v>376</v>
      </c>
    </row>
    <row r="2192" spans="1:8" hidden="1" x14ac:dyDescent="0.3">
      <c r="A2192" s="28">
        <v>14845</v>
      </c>
      <c r="B2192" s="35">
        <v>45190.418055555558</v>
      </c>
      <c r="C2192" s="18">
        <v>45190</v>
      </c>
      <c r="D2192" t="s">
        <v>101</v>
      </c>
      <c r="E2192" s="32">
        <v>0</v>
      </c>
      <c r="F2192" s="32">
        <v>2542820</v>
      </c>
      <c r="G2192" s="32">
        <v>118739063</v>
      </c>
      <c r="H2192" t="s">
        <v>294</v>
      </c>
    </row>
    <row r="2193" spans="1:8" hidden="1" x14ac:dyDescent="0.3">
      <c r="A2193" s="28">
        <v>14844</v>
      </c>
      <c r="B2193" s="35">
        <v>45189.850694444445</v>
      </c>
      <c r="C2193" s="18">
        <v>45189</v>
      </c>
      <c r="D2193" t="s">
        <v>101</v>
      </c>
      <c r="E2193" s="32">
        <v>0</v>
      </c>
      <c r="F2193" s="32">
        <v>598530</v>
      </c>
      <c r="G2193" s="32">
        <v>121281883</v>
      </c>
      <c r="H2193" t="s">
        <v>422</v>
      </c>
    </row>
    <row r="2194" spans="1:8" hidden="1" x14ac:dyDescent="0.3">
      <c r="A2194" s="28">
        <v>14843</v>
      </c>
      <c r="B2194" s="35">
        <v>45189.82916666667</v>
      </c>
      <c r="C2194" s="18">
        <v>45189</v>
      </c>
      <c r="D2194" t="s">
        <v>101</v>
      </c>
      <c r="E2194" s="32">
        <v>0</v>
      </c>
      <c r="F2194" s="32">
        <v>283113</v>
      </c>
      <c r="G2194" s="32">
        <v>121880413</v>
      </c>
      <c r="H2194" t="s">
        <v>423</v>
      </c>
    </row>
    <row r="2195" spans="1:8" hidden="1" x14ac:dyDescent="0.3">
      <c r="A2195" s="28">
        <v>14842</v>
      </c>
      <c r="B2195" s="35">
        <v>45189.819444444445</v>
      </c>
      <c r="C2195" s="18">
        <v>45189</v>
      </c>
      <c r="D2195" t="s">
        <v>101</v>
      </c>
      <c r="E2195" s="32">
        <v>0</v>
      </c>
      <c r="F2195" s="32">
        <v>77429</v>
      </c>
      <c r="G2195" s="32">
        <v>122163526</v>
      </c>
      <c r="H2195" t="s">
        <v>582</v>
      </c>
    </row>
    <row r="2196" spans="1:8" hidden="1" x14ac:dyDescent="0.3">
      <c r="A2196" s="28">
        <v>14841</v>
      </c>
      <c r="B2196" s="35">
        <v>45189.817361111112</v>
      </c>
      <c r="C2196" s="18">
        <v>45189</v>
      </c>
      <c r="D2196" t="s">
        <v>101</v>
      </c>
      <c r="E2196" s="32">
        <v>0</v>
      </c>
      <c r="F2196" s="32">
        <v>1000000</v>
      </c>
      <c r="G2196" s="32">
        <v>122240955</v>
      </c>
      <c r="H2196" t="s">
        <v>583</v>
      </c>
    </row>
    <row r="2197" spans="1:8" hidden="1" x14ac:dyDescent="0.3">
      <c r="A2197" s="28">
        <v>14840</v>
      </c>
      <c r="B2197" s="35">
        <v>45189.627083333333</v>
      </c>
      <c r="C2197" s="18">
        <v>45189</v>
      </c>
      <c r="D2197" t="s">
        <v>100</v>
      </c>
      <c r="E2197" s="32">
        <v>551100</v>
      </c>
      <c r="F2197" s="32">
        <v>0</v>
      </c>
      <c r="G2197" s="32">
        <v>123240955</v>
      </c>
      <c r="H2197" t="s">
        <v>318</v>
      </c>
    </row>
    <row r="2198" spans="1:8" hidden="1" x14ac:dyDescent="0.3">
      <c r="A2198" s="28">
        <v>14837</v>
      </c>
      <c r="B2198" s="35">
        <v>45189.425694444442</v>
      </c>
      <c r="C2198" s="18">
        <v>45189</v>
      </c>
      <c r="D2198" t="s">
        <v>101</v>
      </c>
      <c r="E2198" s="32">
        <v>0</v>
      </c>
      <c r="F2198" s="32">
        <v>1090520</v>
      </c>
      <c r="G2198" s="32">
        <v>122689855</v>
      </c>
      <c r="H2198" t="s">
        <v>291</v>
      </c>
    </row>
    <row r="2199" spans="1:8" hidden="1" x14ac:dyDescent="0.3">
      <c r="A2199" s="28">
        <v>14836</v>
      </c>
      <c r="B2199" s="35">
        <v>45189.397916666669</v>
      </c>
      <c r="C2199" s="18">
        <v>45189</v>
      </c>
      <c r="D2199" t="s">
        <v>101</v>
      </c>
      <c r="E2199" s="32">
        <v>0</v>
      </c>
      <c r="F2199" s="32">
        <v>185900</v>
      </c>
      <c r="G2199" s="32">
        <v>123780375</v>
      </c>
      <c r="H2199" t="s">
        <v>221</v>
      </c>
    </row>
    <row r="2200" spans="1:8" hidden="1" x14ac:dyDescent="0.3">
      <c r="A2200" s="28">
        <v>14835</v>
      </c>
      <c r="B2200" s="35">
        <v>45188.688888888886</v>
      </c>
      <c r="C2200" s="18">
        <v>45188</v>
      </c>
      <c r="D2200" t="s">
        <v>100</v>
      </c>
      <c r="E2200" s="32">
        <v>1488300</v>
      </c>
      <c r="F2200" s="32">
        <v>0</v>
      </c>
      <c r="G2200" s="32">
        <v>123966275</v>
      </c>
      <c r="H2200" t="s">
        <v>322</v>
      </c>
    </row>
    <row r="2201" spans="1:8" hidden="1" x14ac:dyDescent="0.3">
      <c r="A2201" s="28">
        <v>14834</v>
      </c>
      <c r="B2201" s="35">
        <v>45188.629861111112</v>
      </c>
      <c r="C2201" s="18">
        <v>45188</v>
      </c>
      <c r="D2201" t="s">
        <v>101</v>
      </c>
      <c r="E2201" s="32">
        <v>0</v>
      </c>
      <c r="F2201" s="32">
        <v>15000</v>
      </c>
      <c r="G2201" s="32">
        <v>122477975</v>
      </c>
      <c r="H2201" t="s">
        <v>584</v>
      </c>
    </row>
    <row r="2202" spans="1:8" hidden="1" x14ac:dyDescent="0.3">
      <c r="A2202" s="28">
        <v>14833</v>
      </c>
      <c r="B2202" s="35">
        <v>45188.61041666667</v>
      </c>
      <c r="C2202" s="18">
        <v>45188</v>
      </c>
      <c r="D2202" t="s">
        <v>100</v>
      </c>
      <c r="E2202" s="32">
        <v>5000</v>
      </c>
      <c r="F2202" s="32">
        <v>0</v>
      </c>
      <c r="G2202" s="32">
        <v>122492975</v>
      </c>
      <c r="H2202" t="s">
        <v>585</v>
      </c>
    </row>
    <row r="2203" spans="1:8" hidden="1" x14ac:dyDescent="0.3">
      <c r="A2203" s="28">
        <v>14832</v>
      </c>
      <c r="B2203" s="35">
        <v>45188.595138888886</v>
      </c>
      <c r="C2203" s="18">
        <v>45188</v>
      </c>
      <c r="D2203" t="s">
        <v>100</v>
      </c>
      <c r="E2203" s="32">
        <v>66000</v>
      </c>
      <c r="F2203" s="32">
        <v>0</v>
      </c>
      <c r="G2203" s="32">
        <v>122487975</v>
      </c>
      <c r="H2203" t="s">
        <v>586</v>
      </c>
    </row>
    <row r="2204" spans="1:8" hidden="1" x14ac:dyDescent="0.3">
      <c r="A2204" s="28">
        <v>14831</v>
      </c>
      <c r="B2204" s="35">
        <v>45188.59375</v>
      </c>
      <c r="C2204" s="18">
        <v>45188</v>
      </c>
      <c r="D2204" t="s">
        <v>101</v>
      </c>
      <c r="E2204" s="32">
        <v>0</v>
      </c>
      <c r="F2204" s="32">
        <v>60000</v>
      </c>
      <c r="G2204" s="32">
        <v>122421975</v>
      </c>
      <c r="H2204" t="s">
        <v>359</v>
      </c>
    </row>
    <row r="2205" spans="1:8" hidden="1" x14ac:dyDescent="0.3">
      <c r="A2205" s="28">
        <v>14830</v>
      </c>
      <c r="B2205" s="35">
        <v>45188.590277777781</v>
      </c>
      <c r="C2205" s="18">
        <v>45188</v>
      </c>
      <c r="D2205" t="s">
        <v>101</v>
      </c>
      <c r="E2205" s="32">
        <v>0</v>
      </c>
      <c r="F2205" s="32">
        <v>66000</v>
      </c>
      <c r="G2205" s="32">
        <v>122481975</v>
      </c>
      <c r="H2205" t="s">
        <v>587</v>
      </c>
    </row>
    <row r="2206" spans="1:8" hidden="1" x14ac:dyDescent="0.3">
      <c r="A2206" s="28">
        <v>14829</v>
      </c>
      <c r="B2206" s="35">
        <v>45188.487500000003</v>
      </c>
      <c r="C2206" s="18">
        <v>45188</v>
      </c>
      <c r="D2206" t="s">
        <v>101</v>
      </c>
      <c r="E2206" s="32">
        <v>0</v>
      </c>
      <c r="F2206" s="32">
        <v>99000</v>
      </c>
      <c r="G2206" s="32">
        <v>122547975</v>
      </c>
      <c r="H2206" t="s">
        <v>588</v>
      </c>
    </row>
    <row r="2207" spans="1:8" hidden="1" x14ac:dyDescent="0.3">
      <c r="A2207" s="28">
        <v>14826</v>
      </c>
      <c r="B2207" s="35">
        <v>45188.417361111111</v>
      </c>
      <c r="C2207" s="18">
        <v>45188</v>
      </c>
      <c r="D2207" t="s">
        <v>100</v>
      </c>
      <c r="E2207" s="32">
        <v>2330900</v>
      </c>
      <c r="F2207" s="32">
        <v>0</v>
      </c>
      <c r="G2207" s="32">
        <v>122646975</v>
      </c>
      <c r="H2207" t="s">
        <v>220</v>
      </c>
    </row>
    <row r="2208" spans="1:8" hidden="1" x14ac:dyDescent="0.3">
      <c r="A2208" s="28">
        <v>14823</v>
      </c>
      <c r="B2208" s="35">
        <v>45188.388194444444</v>
      </c>
      <c r="C2208" s="18">
        <v>45188</v>
      </c>
      <c r="D2208" t="s">
        <v>100</v>
      </c>
      <c r="E2208" s="32">
        <v>201300</v>
      </c>
      <c r="F2208" s="32">
        <v>0</v>
      </c>
      <c r="G2208" s="32">
        <v>120316075</v>
      </c>
      <c r="H2208" t="s">
        <v>312</v>
      </c>
    </row>
    <row r="2209" spans="1:8" hidden="1" x14ac:dyDescent="0.3">
      <c r="A2209" s="28">
        <v>14822</v>
      </c>
      <c r="B2209" s="35">
        <v>45187.793749999997</v>
      </c>
      <c r="C2209" s="18">
        <v>45187</v>
      </c>
      <c r="D2209" t="s">
        <v>101</v>
      </c>
      <c r="E2209" s="32">
        <v>0</v>
      </c>
      <c r="F2209" s="32">
        <v>422750</v>
      </c>
      <c r="G2209" s="32">
        <v>120114775</v>
      </c>
      <c r="H2209" t="s">
        <v>432</v>
      </c>
    </row>
    <row r="2210" spans="1:8" hidden="1" x14ac:dyDescent="0.3">
      <c r="A2210" s="28">
        <v>14821</v>
      </c>
      <c r="B2210" s="35">
        <v>45187.793749999997</v>
      </c>
      <c r="C2210" s="18">
        <v>45187</v>
      </c>
      <c r="D2210" t="s">
        <v>101</v>
      </c>
      <c r="E2210" s="32">
        <v>0</v>
      </c>
      <c r="F2210" s="32">
        <v>1327530</v>
      </c>
      <c r="G2210" s="32">
        <v>120537525</v>
      </c>
      <c r="H2210" t="s">
        <v>432</v>
      </c>
    </row>
    <row r="2211" spans="1:8" hidden="1" x14ac:dyDescent="0.3">
      <c r="A2211" s="28">
        <v>14820</v>
      </c>
      <c r="B2211" s="35">
        <v>45187.793749999997</v>
      </c>
      <c r="C2211" s="18">
        <v>45187</v>
      </c>
      <c r="D2211" t="s">
        <v>101</v>
      </c>
      <c r="E2211" s="32">
        <v>0</v>
      </c>
      <c r="F2211" s="32">
        <v>581200</v>
      </c>
      <c r="G2211" s="32">
        <v>121865055</v>
      </c>
      <c r="H2211" t="s">
        <v>432</v>
      </c>
    </row>
    <row r="2212" spans="1:8" hidden="1" x14ac:dyDescent="0.3">
      <c r="A2212" s="28">
        <v>14819</v>
      </c>
      <c r="B2212" s="35">
        <v>45187.793749999997</v>
      </c>
      <c r="C2212" s="18">
        <v>45187</v>
      </c>
      <c r="D2212" t="s">
        <v>101</v>
      </c>
      <c r="E2212" s="32">
        <v>0</v>
      </c>
      <c r="F2212" s="32">
        <v>898010</v>
      </c>
      <c r="G2212" s="32">
        <v>122446255</v>
      </c>
      <c r="H2212" t="s">
        <v>432</v>
      </c>
    </row>
    <row r="2213" spans="1:8" hidden="1" x14ac:dyDescent="0.3">
      <c r="A2213" s="28">
        <v>14818</v>
      </c>
      <c r="B2213" s="35">
        <v>45187.673611111109</v>
      </c>
      <c r="C2213" s="18">
        <v>45187</v>
      </c>
      <c r="D2213" t="s">
        <v>101</v>
      </c>
      <c r="E2213" s="32">
        <v>0</v>
      </c>
      <c r="F2213" s="32">
        <v>254320</v>
      </c>
      <c r="G2213" s="32">
        <v>123344265</v>
      </c>
      <c r="H2213" t="s">
        <v>280</v>
      </c>
    </row>
    <row r="2214" spans="1:8" hidden="1" x14ac:dyDescent="0.3">
      <c r="A2214" s="28">
        <v>14817</v>
      </c>
      <c r="B2214" s="35">
        <v>45187.665972222225</v>
      </c>
      <c r="C2214" s="18">
        <v>45187</v>
      </c>
      <c r="D2214" t="s">
        <v>100</v>
      </c>
      <c r="E2214" s="32">
        <v>193600</v>
      </c>
      <c r="F2214" s="32">
        <v>0</v>
      </c>
      <c r="G2214" s="32">
        <v>123598585</v>
      </c>
      <c r="H2214" t="s">
        <v>589</v>
      </c>
    </row>
    <row r="2215" spans="1:8" hidden="1" x14ac:dyDescent="0.3">
      <c r="A2215" s="28">
        <v>14816</v>
      </c>
      <c r="B2215" s="35">
        <v>45187.464583333334</v>
      </c>
      <c r="C2215" s="18">
        <v>45187</v>
      </c>
      <c r="D2215" t="s">
        <v>100</v>
      </c>
      <c r="E2215" s="32">
        <v>504900</v>
      </c>
      <c r="F2215" s="32">
        <v>0</v>
      </c>
      <c r="G2215" s="32">
        <v>123404985</v>
      </c>
      <c r="H2215" t="s">
        <v>590</v>
      </c>
    </row>
    <row r="2216" spans="1:8" hidden="1" x14ac:dyDescent="0.3">
      <c r="A2216" s="28">
        <v>14814</v>
      </c>
      <c r="B2216" s="35">
        <v>45187.383333333331</v>
      </c>
      <c r="C2216" s="18">
        <v>45187</v>
      </c>
      <c r="D2216" t="s">
        <v>100</v>
      </c>
      <c r="E2216" s="32">
        <v>548900</v>
      </c>
      <c r="F2216" s="32">
        <v>0</v>
      </c>
      <c r="G2216" s="32">
        <v>122900085</v>
      </c>
      <c r="H2216" t="s">
        <v>453</v>
      </c>
    </row>
    <row r="2217" spans="1:8" hidden="1" x14ac:dyDescent="0.3">
      <c r="A2217" s="28">
        <v>14813</v>
      </c>
      <c r="B2217" s="35">
        <v>45187.383333333331</v>
      </c>
      <c r="C2217" s="18">
        <v>45187</v>
      </c>
      <c r="D2217" t="s">
        <v>100</v>
      </c>
      <c r="E2217" s="32">
        <v>268400</v>
      </c>
      <c r="F2217" s="32">
        <v>0</v>
      </c>
      <c r="G2217" s="32">
        <v>122351185</v>
      </c>
      <c r="H2217" t="s">
        <v>453</v>
      </c>
    </row>
    <row r="2218" spans="1:8" hidden="1" x14ac:dyDescent="0.3">
      <c r="A2218" s="28">
        <v>14812</v>
      </c>
      <c r="B2218" s="35">
        <v>45187.382638888892</v>
      </c>
      <c r="C2218" s="18">
        <v>45187</v>
      </c>
      <c r="D2218" t="s">
        <v>100</v>
      </c>
      <c r="E2218" s="32">
        <v>1828200</v>
      </c>
      <c r="F2218" s="32">
        <v>0</v>
      </c>
      <c r="G2218" s="32">
        <v>122082785</v>
      </c>
      <c r="H2218" t="s">
        <v>453</v>
      </c>
    </row>
    <row r="2219" spans="1:8" hidden="1" x14ac:dyDescent="0.3">
      <c r="A2219" s="28">
        <v>14811</v>
      </c>
      <c r="B2219" s="35">
        <v>45187.36041666667</v>
      </c>
      <c r="C2219" s="18">
        <v>45187</v>
      </c>
      <c r="D2219" t="s">
        <v>100</v>
      </c>
      <c r="E2219" s="32">
        <v>151800</v>
      </c>
      <c r="F2219" s="32">
        <v>0</v>
      </c>
      <c r="G2219" s="32">
        <v>120254585</v>
      </c>
      <c r="H2219" t="s">
        <v>220</v>
      </c>
    </row>
    <row r="2220" spans="1:8" hidden="1" x14ac:dyDescent="0.3">
      <c r="A2220" s="28">
        <v>14808</v>
      </c>
      <c r="B2220" s="35">
        <v>45184.835416666669</v>
      </c>
      <c r="C2220" s="18">
        <v>45184</v>
      </c>
      <c r="D2220" t="s">
        <v>101</v>
      </c>
      <c r="E2220" s="32">
        <v>0</v>
      </c>
      <c r="F2220" s="32">
        <v>592600</v>
      </c>
      <c r="G2220" s="32">
        <v>120102785</v>
      </c>
      <c r="H2220" t="s">
        <v>433</v>
      </c>
    </row>
    <row r="2221" spans="1:8" hidden="1" x14ac:dyDescent="0.3">
      <c r="A2221" s="28">
        <v>14807</v>
      </c>
      <c r="B2221" s="35">
        <v>45184.809027777781</v>
      </c>
      <c r="C2221" s="18">
        <v>45184</v>
      </c>
      <c r="D2221" t="s">
        <v>101</v>
      </c>
      <c r="E2221" s="32">
        <v>0</v>
      </c>
      <c r="F2221" s="32">
        <v>99000</v>
      </c>
      <c r="G2221" s="32">
        <v>120695385</v>
      </c>
      <c r="H2221" t="s">
        <v>301</v>
      </c>
    </row>
    <row r="2222" spans="1:8" hidden="1" x14ac:dyDescent="0.3">
      <c r="A2222" s="28">
        <v>14806</v>
      </c>
      <c r="B2222" s="35">
        <v>45184.807638888888</v>
      </c>
      <c r="C2222" s="18">
        <v>45184</v>
      </c>
      <c r="D2222" t="s">
        <v>101</v>
      </c>
      <c r="E2222" s="32">
        <v>0</v>
      </c>
      <c r="F2222" s="32">
        <v>242361</v>
      </c>
      <c r="G2222" s="32">
        <v>120794385</v>
      </c>
      <c r="H2222" t="s">
        <v>434</v>
      </c>
    </row>
    <row r="2223" spans="1:8" hidden="1" x14ac:dyDescent="0.3">
      <c r="A2223" s="28">
        <v>14805</v>
      </c>
      <c r="B2223" s="35">
        <v>45184.800694444442</v>
      </c>
      <c r="C2223" s="18">
        <v>45184</v>
      </c>
      <c r="D2223" t="s">
        <v>101</v>
      </c>
      <c r="E2223" s="32">
        <v>0</v>
      </c>
      <c r="F2223" s="32">
        <v>684420</v>
      </c>
      <c r="G2223" s="32">
        <v>121036746</v>
      </c>
      <c r="H2223" t="s">
        <v>435</v>
      </c>
    </row>
    <row r="2224" spans="1:8" hidden="1" x14ac:dyDescent="0.3">
      <c r="A2224" s="28">
        <v>14803</v>
      </c>
      <c r="B2224" s="35">
        <v>45184.759722222225</v>
      </c>
      <c r="C2224" s="18">
        <v>45184</v>
      </c>
      <c r="D2224" t="s">
        <v>101</v>
      </c>
      <c r="E2224" s="32">
        <v>0</v>
      </c>
      <c r="F2224" s="32">
        <v>11205737</v>
      </c>
      <c r="G2224" s="32">
        <v>121721166</v>
      </c>
      <c r="H2224" t="s">
        <v>303</v>
      </c>
    </row>
    <row r="2225" spans="1:8" hidden="1" x14ac:dyDescent="0.3">
      <c r="A2225" s="28">
        <v>14800</v>
      </c>
      <c r="B2225" s="35">
        <v>45184.599305555559</v>
      </c>
      <c r="C2225" s="18">
        <v>45184</v>
      </c>
      <c r="D2225" t="s">
        <v>100</v>
      </c>
      <c r="E2225" s="32">
        <v>215600</v>
      </c>
      <c r="F2225" s="32">
        <v>0</v>
      </c>
      <c r="G2225" s="32">
        <v>132926903</v>
      </c>
      <c r="H2225" t="s">
        <v>396</v>
      </c>
    </row>
    <row r="2226" spans="1:8" hidden="1" x14ac:dyDescent="0.3">
      <c r="A2226" s="28">
        <v>14799</v>
      </c>
      <c r="B2226" s="35">
        <v>45184.581250000003</v>
      </c>
      <c r="C2226" s="18">
        <v>45184</v>
      </c>
      <c r="D2226" t="s">
        <v>100</v>
      </c>
      <c r="E2226" s="32">
        <v>432300</v>
      </c>
      <c r="F2226" s="32">
        <v>0</v>
      </c>
      <c r="G2226" s="32">
        <v>132711303</v>
      </c>
      <c r="H2226" t="s">
        <v>448</v>
      </c>
    </row>
    <row r="2227" spans="1:8" hidden="1" x14ac:dyDescent="0.3">
      <c r="A2227" s="28">
        <v>14798</v>
      </c>
      <c r="B2227" s="35">
        <v>45184.536805555559</v>
      </c>
      <c r="C2227" s="18">
        <v>45184</v>
      </c>
      <c r="D2227" t="s">
        <v>100</v>
      </c>
      <c r="E2227" s="32">
        <v>2411200</v>
      </c>
      <c r="F2227" s="32">
        <v>0</v>
      </c>
      <c r="G2227" s="32">
        <v>132279003</v>
      </c>
      <c r="H2227" t="s">
        <v>252</v>
      </c>
    </row>
    <row r="2228" spans="1:8" hidden="1" x14ac:dyDescent="0.3">
      <c r="A2228" s="28">
        <v>14797</v>
      </c>
      <c r="B2228" s="35">
        <v>45184.536805555559</v>
      </c>
      <c r="C2228" s="18">
        <v>45184</v>
      </c>
      <c r="D2228" t="s">
        <v>100</v>
      </c>
      <c r="E2228" s="32">
        <v>1562000</v>
      </c>
      <c r="F2228" s="32">
        <v>0</v>
      </c>
      <c r="G2228" s="32">
        <v>129867803</v>
      </c>
      <c r="H2228" t="s">
        <v>252</v>
      </c>
    </row>
    <row r="2229" spans="1:8" hidden="1" x14ac:dyDescent="0.3">
      <c r="A2229" s="28">
        <v>14796</v>
      </c>
      <c r="B2229" s="35">
        <v>45184.536805555559</v>
      </c>
      <c r="C2229" s="18">
        <v>45184</v>
      </c>
      <c r="D2229" t="s">
        <v>100</v>
      </c>
      <c r="E2229" s="32">
        <v>473000</v>
      </c>
      <c r="F2229" s="32">
        <v>0</v>
      </c>
      <c r="G2229" s="32">
        <v>128305803</v>
      </c>
      <c r="H2229" t="s">
        <v>252</v>
      </c>
    </row>
    <row r="2230" spans="1:8" hidden="1" x14ac:dyDescent="0.3">
      <c r="A2230" s="28">
        <v>14795</v>
      </c>
      <c r="B2230" s="35">
        <v>45184.536805555559</v>
      </c>
      <c r="C2230" s="18">
        <v>45184</v>
      </c>
      <c r="D2230" t="s">
        <v>100</v>
      </c>
      <c r="E2230" s="32">
        <v>1020800</v>
      </c>
      <c r="F2230" s="32">
        <v>0</v>
      </c>
      <c r="G2230" s="32">
        <v>127832803</v>
      </c>
      <c r="H2230" t="s">
        <v>252</v>
      </c>
    </row>
    <row r="2231" spans="1:8" hidden="1" x14ac:dyDescent="0.3">
      <c r="A2231" s="28">
        <v>14793</v>
      </c>
      <c r="B2231" s="35">
        <v>45184.463888888888</v>
      </c>
      <c r="C2231" s="18">
        <v>45184</v>
      </c>
      <c r="D2231" t="s">
        <v>100</v>
      </c>
      <c r="E2231" s="32">
        <v>15008400</v>
      </c>
      <c r="F2231" s="32">
        <v>0</v>
      </c>
      <c r="G2231" s="32">
        <v>126812003</v>
      </c>
      <c r="H2231" t="s">
        <v>306</v>
      </c>
    </row>
    <row r="2232" spans="1:8" hidden="1" x14ac:dyDescent="0.3">
      <c r="A2232" s="28">
        <v>14792</v>
      </c>
      <c r="B2232" s="35">
        <v>45184.383333333331</v>
      </c>
      <c r="C2232" s="18">
        <v>45184</v>
      </c>
      <c r="D2232" t="s">
        <v>101</v>
      </c>
      <c r="E2232" s="32">
        <v>0</v>
      </c>
      <c r="F2232" s="32">
        <v>20000</v>
      </c>
      <c r="G2232" s="32">
        <v>111803603</v>
      </c>
      <c r="H2232" t="s">
        <v>295</v>
      </c>
    </row>
    <row r="2233" spans="1:8" hidden="1" x14ac:dyDescent="0.3">
      <c r="A2233" s="28">
        <v>14791</v>
      </c>
      <c r="B2233" s="35">
        <v>45184.381249999999</v>
      </c>
      <c r="C2233" s="18">
        <v>45184</v>
      </c>
      <c r="D2233" t="s">
        <v>101</v>
      </c>
      <c r="E2233" s="32">
        <v>0</v>
      </c>
      <c r="F2233" s="32">
        <v>507430</v>
      </c>
      <c r="G2233" s="32">
        <v>111823603</v>
      </c>
      <c r="H2233" t="s">
        <v>221</v>
      </c>
    </row>
    <row r="2234" spans="1:8" hidden="1" x14ac:dyDescent="0.3">
      <c r="A2234" s="28">
        <v>14790</v>
      </c>
      <c r="B2234" s="35">
        <v>45184.379861111112</v>
      </c>
      <c r="C2234" s="18">
        <v>45184</v>
      </c>
      <c r="D2234" t="s">
        <v>101</v>
      </c>
      <c r="E2234" s="32">
        <v>0</v>
      </c>
      <c r="F2234" s="32">
        <v>2361150</v>
      </c>
      <c r="G2234" s="32">
        <v>112331033</v>
      </c>
      <c r="H2234" t="s">
        <v>280</v>
      </c>
    </row>
    <row r="2235" spans="1:8" hidden="1" x14ac:dyDescent="0.3">
      <c r="A2235" s="28">
        <v>14789</v>
      </c>
      <c r="B2235" s="35">
        <v>45183.614583333336</v>
      </c>
      <c r="C2235" s="18">
        <v>45183</v>
      </c>
      <c r="D2235" t="s">
        <v>100</v>
      </c>
      <c r="E2235" s="32">
        <v>962500</v>
      </c>
      <c r="F2235" s="32">
        <v>0</v>
      </c>
      <c r="G2235" s="32">
        <v>114692183</v>
      </c>
      <c r="H2235" t="s">
        <v>591</v>
      </c>
    </row>
    <row r="2236" spans="1:8" hidden="1" x14ac:dyDescent="0.3">
      <c r="A2236" s="28">
        <v>14788</v>
      </c>
      <c r="B2236" s="35">
        <v>45183.609027777777</v>
      </c>
      <c r="C2236" s="18">
        <v>45183</v>
      </c>
      <c r="D2236" t="s">
        <v>101</v>
      </c>
      <c r="E2236" s="32">
        <v>0</v>
      </c>
      <c r="F2236" s="32">
        <v>732000</v>
      </c>
      <c r="G2236" s="32">
        <v>113729683</v>
      </c>
      <c r="H2236" t="s">
        <v>592</v>
      </c>
    </row>
    <row r="2237" spans="1:8" hidden="1" x14ac:dyDescent="0.3">
      <c r="A2237" s="28">
        <v>14787</v>
      </c>
      <c r="B2237" s="35">
        <v>45183.606944444444</v>
      </c>
      <c r="C2237" s="18">
        <v>45183</v>
      </c>
      <c r="D2237" t="s">
        <v>101</v>
      </c>
      <c r="E2237" s="32">
        <v>0</v>
      </c>
      <c r="F2237" s="32">
        <v>184690</v>
      </c>
      <c r="G2237" s="32">
        <v>114461683</v>
      </c>
      <c r="H2237" t="s">
        <v>280</v>
      </c>
    </row>
    <row r="2238" spans="1:8" hidden="1" x14ac:dyDescent="0.3">
      <c r="A2238" s="28">
        <v>14786</v>
      </c>
      <c r="B2238" s="35">
        <v>45183.537499999999</v>
      </c>
      <c r="C2238" s="18">
        <v>45183</v>
      </c>
      <c r="D2238" t="s">
        <v>100</v>
      </c>
      <c r="E2238" s="32">
        <v>266200</v>
      </c>
      <c r="F2238" s="32">
        <v>0</v>
      </c>
      <c r="G2238" s="32">
        <v>114646373</v>
      </c>
      <c r="H2238" t="s">
        <v>528</v>
      </c>
    </row>
    <row r="2239" spans="1:8" hidden="1" x14ac:dyDescent="0.3">
      <c r="A2239" s="28">
        <v>14783</v>
      </c>
      <c r="B2239" s="35">
        <v>45183.397222222222</v>
      </c>
      <c r="C2239" s="18">
        <v>45183</v>
      </c>
      <c r="D2239" t="s">
        <v>100</v>
      </c>
      <c r="E2239" s="32">
        <v>261800</v>
      </c>
      <c r="F2239" s="32">
        <v>0</v>
      </c>
      <c r="G2239" s="32">
        <v>114380173</v>
      </c>
      <c r="H2239" t="s">
        <v>568</v>
      </c>
    </row>
    <row r="2240" spans="1:8" hidden="1" x14ac:dyDescent="0.3">
      <c r="A2240" s="28">
        <v>14782</v>
      </c>
      <c r="B2240" s="35">
        <v>45183.397222222222</v>
      </c>
      <c r="C2240" s="18">
        <v>45183</v>
      </c>
      <c r="D2240" t="s">
        <v>100</v>
      </c>
      <c r="E2240" s="32">
        <v>90200</v>
      </c>
      <c r="F2240" s="32">
        <v>0</v>
      </c>
      <c r="G2240" s="32">
        <v>114118373</v>
      </c>
      <c r="H2240" t="s">
        <v>568</v>
      </c>
    </row>
    <row r="2241" spans="1:8" hidden="1" x14ac:dyDescent="0.3">
      <c r="A2241" s="28">
        <v>14781</v>
      </c>
      <c r="B2241" s="35">
        <v>45183.397222222222</v>
      </c>
      <c r="C2241" s="18">
        <v>45183</v>
      </c>
      <c r="D2241" t="s">
        <v>100</v>
      </c>
      <c r="E2241" s="32">
        <v>1291400</v>
      </c>
      <c r="F2241" s="32">
        <v>0</v>
      </c>
      <c r="G2241" s="32">
        <v>114028173</v>
      </c>
      <c r="H2241" t="s">
        <v>568</v>
      </c>
    </row>
    <row r="2242" spans="1:8" hidden="1" x14ac:dyDescent="0.3">
      <c r="A2242" s="28">
        <v>14780</v>
      </c>
      <c r="B2242" s="35">
        <v>45183.397222222222</v>
      </c>
      <c r="C2242" s="18">
        <v>45183</v>
      </c>
      <c r="D2242" t="s">
        <v>100</v>
      </c>
      <c r="E2242" s="32">
        <v>1041700</v>
      </c>
      <c r="F2242" s="32">
        <v>0</v>
      </c>
      <c r="G2242" s="32">
        <v>112736773</v>
      </c>
      <c r="H2242" t="s">
        <v>568</v>
      </c>
    </row>
    <row r="2243" spans="1:8" hidden="1" x14ac:dyDescent="0.3">
      <c r="A2243" s="28">
        <v>14779</v>
      </c>
      <c r="B2243" s="35">
        <v>45183.397222222222</v>
      </c>
      <c r="C2243" s="18">
        <v>45183</v>
      </c>
      <c r="D2243" t="s">
        <v>100</v>
      </c>
      <c r="E2243" s="32">
        <v>79200</v>
      </c>
      <c r="F2243" s="32">
        <v>0</v>
      </c>
      <c r="G2243" s="32">
        <v>111695073</v>
      </c>
      <c r="H2243" t="s">
        <v>568</v>
      </c>
    </row>
    <row r="2244" spans="1:8" hidden="1" x14ac:dyDescent="0.3">
      <c r="A2244" s="28">
        <v>14778</v>
      </c>
      <c r="B2244" s="35">
        <v>45183.397222222222</v>
      </c>
      <c r="C2244" s="18">
        <v>45183</v>
      </c>
      <c r="D2244" t="s">
        <v>100</v>
      </c>
      <c r="E2244" s="32">
        <v>294800</v>
      </c>
      <c r="F2244" s="32">
        <v>0</v>
      </c>
      <c r="G2244" s="32">
        <v>111615873</v>
      </c>
      <c r="H2244" t="s">
        <v>568</v>
      </c>
    </row>
    <row r="2245" spans="1:8" hidden="1" x14ac:dyDescent="0.3">
      <c r="A2245" s="28">
        <v>14777</v>
      </c>
      <c r="B2245" s="35">
        <v>45183.38958333333</v>
      </c>
      <c r="C2245" s="18">
        <v>45183</v>
      </c>
      <c r="D2245" t="s">
        <v>100</v>
      </c>
      <c r="E2245" s="32">
        <v>209000</v>
      </c>
      <c r="F2245" s="32">
        <v>0</v>
      </c>
      <c r="G2245" s="32">
        <v>111321073</v>
      </c>
      <c r="H2245" t="s">
        <v>220</v>
      </c>
    </row>
    <row r="2246" spans="1:8" hidden="1" x14ac:dyDescent="0.3">
      <c r="A2246" s="28">
        <v>14776</v>
      </c>
      <c r="B2246" s="35">
        <v>45183.355555555558</v>
      </c>
      <c r="C2246" s="18">
        <v>45183</v>
      </c>
      <c r="D2246" t="s">
        <v>101</v>
      </c>
      <c r="E2246" s="32">
        <v>0</v>
      </c>
      <c r="F2246" s="32">
        <v>623000</v>
      </c>
      <c r="G2246" s="32">
        <v>111112073</v>
      </c>
      <c r="H2246" t="s">
        <v>593</v>
      </c>
    </row>
    <row r="2247" spans="1:8" hidden="1" x14ac:dyDescent="0.3">
      <c r="A2247" s="28">
        <v>14775</v>
      </c>
      <c r="B2247" s="35">
        <v>45182.622916666667</v>
      </c>
      <c r="C2247" s="18">
        <v>45182</v>
      </c>
      <c r="D2247" t="s">
        <v>100</v>
      </c>
      <c r="E2247" s="32">
        <v>451900</v>
      </c>
      <c r="F2247" s="32">
        <v>0</v>
      </c>
      <c r="G2247" s="32">
        <v>111735073</v>
      </c>
      <c r="H2247" t="s">
        <v>570</v>
      </c>
    </row>
    <row r="2248" spans="1:8" hidden="1" x14ac:dyDescent="0.3">
      <c r="A2248" s="28">
        <v>14774</v>
      </c>
      <c r="B2248" s="35">
        <v>45182.622916666667</v>
      </c>
      <c r="C2248" s="18">
        <v>45182</v>
      </c>
      <c r="D2248" t="s">
        <v>100</v>
      </c>
      <c r="E2248" s="32">
        <v>187900</v>
      </c>
      <c r="F2248" s="32">
        <v>0</v>
      </c>
      <c r="G2248" s="32">
        <v>111283173</v>
      </c>
      <c r="H2248" t="s">
        <v>570</v>
      </c>
    </row>
    <row r="2249" spans="1:8" hidden="1" x14ac:dyDescent="0.3">
      <c r="A2249" s="28">
        <v>14773</v>
      </c>
      <c r="B2249" s="35">
        <v>45182.620833333334</v>
      </c>
      <c r="C2249" s="18">
        <v>45182</v>
      </c>
      <c r="D2249" t="s">
        <v>100</v>
      </c>
      <c r="E2249" s="32">
        <v>510400</v>
      </c>
      <c r="F2249" s="32">
        <v>0</v>
      </c>
      <c r="G2249" s="32">
        <v>111095273</v>
      </c>
      <c r="H2249" t="s">
        <v>594</v>
      </c>
    </row>
    <row r="2250" spans="1:8" hidden="1" x14ac:dyDescent="0.3">
      <c r="A2250" s="28">
        <v>14772</v>
      </c>
      <c r="B2250" s="35">
        <v>45182.611805555556</v>
      </c>
      <c r="C2250" s="18">
        <v>45182</v>
      </c>
      <c r="D2250" t="s">
        <v>101</v>
      </c>
      <c r="E2250" s="32">
        <v>0</v>
      </c>
      <c r="F2250" s="32">
        <v>118470</v>
      </c>
      <c r="G2250" s="32">
        <v>110584873</v>
      </c>
      <c r="H2250" t="s">
        <v>221</v>
      </c>
    </row>
    <row r="2251" spans="1:8" hidden="1" x14ac:dyDescent="0.3">
      <c r="A2251" s="28">
        <v>14771</v>
      </c>
      <c r="B2251" s="35">
        <v>45182.594444444447</v>
      </c>
      <c r="C2251" s="18">
        <v>45182</v>
      </c>
      <c r="D2251" t="s">
        <v>100</v>
      </c>
      <c r="E2251" s="32">
        <v>4519000</v>
      </c>
      <c r="F2251" s="32">
        <v>0</v>
      </c>
      <c r="G2251" s="32">
        <v>110703343</v>
      </c>
      <c r="H2251" t="s">
        <v>571</v>
      </c>
    </row>
    <row r="2252" spans="1:8" hidden="1" x14ac:dyDescent="0.3">
      <c r="A2252" s="28">
        <v>14770</v>
      </c>
      <c r="B2252" s="35">
        <v>45182.594444444447</v>
      </c>
      <c r="C2252" s="18">
        <v>45182</v>
      </c>
      <c r="D2252" t="s">
        <v>100</v>
      </c>
      <c r="E2252" s="32">
        <v>1879000</v>
      </c>
      <c r="F2252" s="32">
        <v>0</v>
      </c>
      <c r="G2252" s="32">
        <v>106184343</v>
      </c>
      <c r="H2252" t="s">
        <v>571</v>
      </c>
    </row>
    <row r="2253" spans="1:8" hidden="1" x14ac:dyDescent="0.3">
      <c r="A2253" s="28">
        <v>14763</v>
      </c>
      <c r="B2253" s="35">
        <v>45181.691666666666</v>
      </c>
      <c r="C2253" s="18">
        <v>45181</v>
      </c>
      <c r="D2253" t="s">
        <v>101</v>
      </c>
      <c r="E2253" s="32">
        <v>0</v>
      </c>
      <c r="F2253" s="32">
        <v>99000</v>
      </c>
      <c r="G2253" s="32">
        <v>104305343</v>
      </c>
      <c r="H2253" t="s">
        <v>595</v>
      </c>
    </row>
    <row r="2254" spans="1:8" hidden="1" x14ac:dyDescent="0.3">
      <c r="A2254" s="28">
        <v>14762</v>
      </c>
      <c r="B2254" s="35">
        <v>45181.481249999997</v>
      </c>
      <c r="C2254" s="18">
        <v>45181</v>
      </c>
      <c r="D2254" t="s">
        <v>101</v>
      </c>
      <c r="E2254" s="32">
        <v>0</v>
      </c>
      <c r="F2254" s="32">
        <v>99000</v>
      </c>
      <c r="G2254" s="32">
        <v>104404343</v>
      </c>
      <c r="H2254" t="s">
        <v>596</v>
      </c>
    </row>
    <row r="2255" spans="1:8" hidden="1" x14ac:dyDescent="0.3">
      <c r="A2255" s="28">
        <v>14760</v>
      </c>
      <c r="B2255" s="35">
        <v>45181.438194444447</v>
      </c>
      <c r="C2255" s="18">
        <v>45181</v>
      </c>
      <c r="D2255" t="s">
        <v>100</v>
      </c>
      <c r="E2255" s="32">
        <v>188100</v>
      </c>
      <c r="F2255" s="32">
        <v>0</v>
      </c>
      <c r="G2255" s="32">
        <v>104503343</v>
      </c>
      <c r="H2255" t="s">
        <v>220</v>
      </c>
    </row>
    <row r="2256" spans="1:8" hidden="1" x14ac:dyDescent="0.3">
      <c r="A2256" s="28">
        <v>14759</v>
      </c>
      <c r="B2256" s="35">
        <v>45181.438194444447</v>
      </c>
      <c r="C2256" s="18">
        <v>45181</v>
      </c>
      <c r="D2256" t="s">
        <v>100</v>
      </c>
      <c r="E2256" s="32">
        <v>1317800</v>
      </c>
      <c r="F2256" s="32">
        <v>0</v>
      </c>
      <c r="G2256" s="32">
        <v>104315243</v>
      </c>
      <c r="H2256" t="s">
        <v>220</v>
      </c>
    </row>
    <row r="2257" spans="1:8" hidden="1" x14ac:dyDescent="0.3">
      <c r="A2257" s="28">
        <v>14758</v>
      </c>
      <c r="B2257" s="35">
        <v>45181.436805555553</v>
      </c>
      <c r="C2257" s="18">
        <v>45181</v>
      </c>
      <c r="D2257" t="s">
        <v>100</v>
      </c>
      <c r="E2257" s="32">
        <v>6768300</v>
      </c>
      <c r="F2257" s="32">
        <v>0</v>
      </c>
      <c r="G2257" s="32">
        <v>102997443</v>
      </c>
      <c r="H2257" t="s">
        <v>234</v>
      </c>
    </row>
    <row r="2258" spans="1:8" hidden="1" x14ac:dyDescent="0.3">
      <c r="A2258" s="28">
        <v>14757</v>
      </c>
      <c r="B2258" s="35">
        <v>45180.835416666669</v>
      </c>
      <c r="C2258" s="18">
        <v>45180</v>
      </c>
      <c r="D2258" t="s">
        <v>101</v>
      </c>
      <c r="E2258" s="32">
        <v>0</v>
      </c>
      <c r="F2258" s="32">
        <v>35500</v>
      </c>
      <c r="G2258" s="32">
        <v>96229143</v>
      </c>
      <c r="H2258" t="s">
        <v>597</v>
      </c>
    </row>
    <row r="2259" spans="1:8" hidden="1" x14ac:dyDescent="0.3">
      <c r="A2259" s="28">
        <v>14752</v>
      </c>
      <c r="B2259" s="35">
        <v>45180.743750000001</v>
      </c>
      <c r="C2259" s="18">
        <v>45180</v>
      </c>
      <c r="D2259" t="s">
        <v>100</v>
      </c>
      <c r="E2259" s="32">
        <v>4642000</v>
      </c>
      <c r="F2259" s="32">
        <v>0</v>
      </c>
      <c r="G2259" s="32">
        <v>96264643</v>
      </c>
      <c r="H2259" t="s">
        <v>382</v>
      </c>
    </row>
    <row r="2260" spans="1:8" hidden="1" x14ac:dyDescent="0.3">
      <c r="A2260" s="28">
        <v>14750</v>
      </c>
      <c r="B2260" s="35">
        <v>45180.613194444442</v>
      </c>
      <c r="C2260" s="18">
        <v>45180</v>
      </c>
      <c r="D2260" t="s">
        <v>100</v>
      </c>
      <c r="E2260" s="32">
        <v>286000</v>
      </c>
      <c r="F2260" s="32">
        <v>0</v>
      </c>
      <c r="G2260" s="32">
        <v>91622643</v>
      </c>
      <c r="H2260" t="s">
        <v>454</v>
      </c>
    </row>
    <row r="2261" spans="1:8" hidden="1" x14ac:dyDescent="0.3">
      <c r="A2261" s="28">
        <v>14749</v>
      </c>
      <c r="B2261" s="35">
        <v>45180.613194444442</v>
      </c>
      <c r="C2261" s="18">
        <v>45180</v>
      </c>
      <c r="D2261" t="s">
        <v>100</v>
      </c>
      <c r="E2261" s="32">
        <v>1372800</v>
      </c>
      <c r="F2261" s="32">
        <v>0</v>
      </c>
      <c r="G2261" s="32">
        <v>91336643</v>
      </c>
      <c r="H2261" t="s">
        <v>454</v>
      </c>
    </row>
    <row r="2262" spans="1:8" hidden="1" x14ac:dyDescent="0.3">
      <c r="A2262" s="28">
        <v>14748</v>
      </c>
      <c r="B2262" s="35">
        <v>45180.588888888888</v>
      </c>
      <c r="C2262" s="18">
        <v>45180</v>
      </c>
      <c r="D2262" t="s">
        <v>101</v>
      </c>
      <c r="E2262" s="32">
        <v>0</v>
      </c>
      <c r="F2262" s="32">
        <v>414150</v>
      </c>
      <c r="G2262" s="32">
        <v>89963843</v>
      </c>
      <c r="H2262" t="s">
        <v>221</v>
      </c>
    </row>
    <row r="2263" spans="1:8" hidden="1" x14ac:dyDescent="0.3">
      <c r="A2263" s="28">
        <v>14747</v>
      </c>
      <c r="B2263" s="35">
        <v>45180.54583333333</v>
      </c>
      <c r="C2263" s="18">
        <v>45180</v>
      </c>
      <c r="D2263" t="s">
        <v>101</v>
      </c>
      <c r="E2263" s="32">
        <v>0</v>
      </c>
      <c r="F2263" s="32">
        <v>96360</v>
      </c>
      <c r="G2263" s="32">
        <v>90377993</v>
      </c>
      <c r="H2263" t="s">
        <v>221</v>
      </c>
    </row>
    <row r="2264" spans="1:8" hidden="1" x14ac:dyDescent="0.3">
      <c r="A2264" s="28">
        <v>14744</v>
      </c>
      <c r="B2264" s="35">
        <v>45180.463194444441</v>
      </c>
      <c r="C2264" s="18">
        <v>45180</v>
      </c>
      <c r="D2264" t="s">
        <v>100</v>
      </c>
      <c r="E2264" s="32">
        <v>2576200</v>
      </c>
      <c r="F2264" s="32">
        <v>0</v>
      </c>
      <c r="G2264" s="32">
        <v>90474353</v>
      </c>
      <c r="H2264" t="s">
        <v>391</v>
      </c>
    </row>
    <row r="2265" spans="1:8" hidden="1" x14ac:dyDescent="0.3">
      <c r="A2265" s="28">
        <v>14742</v>
      </c>
      <c r="B2265" s="35">
        <v>45180.43472222222</v>
      </c>
      <c r="C2265" s="18">
        <v>45180</v>
      </c>
      <c r="D2265" t="s">
        <v>101</v>
      </c>
      <c r="E2265" s="32">
        <v>0</v>
      </c>
      <c r="F2265" s="32">
        <v>507890</v>
      </c>
      <c r="G2265" s="32">
        <v>87898153</v>
      </c>
      <c r="H2265" t="s">
        <v>226</v>
      </c>
    </row>
    <row r="2266" spans="1:8" hidden="1" x14ac:dyDescent="0.3">
      <c r="A2266" s="28">
        <v>14740</v>
      </c>
      <c r="B2266" s="35">
        <v>45180.422222222223</v>
      </c>
      <c r="C2266" s="18">
        <v>45180</v>
      </c>
      <c r="D2266" t="s">
        <v>101</v>
      </c>
      <c r="E2266" s="32">
        <v>0</v>
      </c>
      <c r="F2266" s="32">
        <v>100000000</v>
      </c>
      <c r="G2266" s="32">
        <v>88406043</v>
      </c>
      <c r="H2266" t="s">
        <v>270</v>
      </c>
    </row>
    <row r="2267" spans="1:8" hidden="1" x14ac:dyDescent="0.3">
      <c r="A2267" s="28">
        <v>14737</v>
      </c>
      <c r="B2267" s="35">
        <v>45177.625694444447</v>
      </c>
      <c r="C2267" s="18">
        <v>45177</v>
      </c>
      <c r="D2267" t="s">
        <v>100</v>
      </c>
      <c r="E2267" s="32">
        <v>222200</v>
      </c>
      <c r="F2267" s="32">
        <v>0</v>
      </c>
      <c r="G2267" s="32">
        <v>188406043</v>
      </c>
      <c r="H2267" t="s">
        <v>598</v>
      </c>
    </row>
    <row r="2268" spans="1:8" hidden="1" x14ac:dyDescent="0.3">
      <c r="A2268" s="28">
        <v>14736</v>
      </c>
      <c r="B2268" s="35">
        <v>45177.588888888888</v>
      </c>
      <c r="C2268" s="18">
        <v>45177</v>
      </c>
      <c r="D2268" t="s">
        <v>100</v>
      </c>
      <c r="E2268" s="32">
        <v>173800</v>
      </c>
      <c r="F2268" s="32">
        <v>0</v>
      </c>
      <c r="G2268" s="32">
        <v>188183843</v>
      </c>
      <c r="H2268" t="s">
        <v>365</v>
      </c>
    </row>
    <row r="2269" spans="1:8" hidden="1" x14ac:dyDescent="0.3">
      <c r="A2269" s="28">
        <v>14735</v>
      </c>
      <c r="B2269" s="35">
        <v>45177.582638888889</v>
      </c>
      <c r="C2269" s="18">
        <v>45177</v>
      </c>
      <c r="D2269" t="s">
        <v>100</v>
      </c>
      <c r="E2269" s="32">
        <v>1581800</v>
      </c>
      <c r="F2269" s="32">
        <v>0</v>
      </c>
      <c r="G2269" s="32">
        <v>188010043</v>
      </c>
      <c r="H2269" t="s">
        <v>228</v>
      </c>
    </row>
    <row r="2270" spans="1:8" hidden="1" x14ac:dyDescent="0.3">
      <c r="A2270" s="28">
        <v>14734</v>
      </c>
      <c r="B2270" s="35">
        <v>45177.581944444442</v>
      </c>
      <c r="C2270" s="18">
        <v>45177</v>
      </c>
      <c r="D2270" t="s">
        <v>100</v>
      </c>
      <c r="E2270" s="32">
        <v>279510</v>
      </c>
      <c r="F2270" s="32">
        <v>0</v>
      </c>
      <c r="G2270" s="32">
        <v>186428243</v>
      </c>
      <c r="H2270" t="s">
        <v>315</v>
      </c>
    </row>
    <row r="2271" spans="1:8" hidden="1" x14ac:dyDescent="0.3">
      <c r="A2271" s="28">
        <v>14733</v>
      </c>
      <c r="B2271" s="35">
        <v>45177.579861111109</v>
      </c>
      <c r="C2271" s="18">
        <v>45177</v>
      </c>
      <c r="D2271" t="s">
        <v>100</v>
      </c>
      <c r="E2271" s="32">
        <v>58000</v>
      </c>
      <c r="F2271" s="32">
        <v>0</v>
      </c>
      <c r="G2271" s="32">
        <v>186148733</v>
      </c>
      <c r="H2271" t="s">
        <v>501</v>
      </c>
    </row>
    <row r="2272" spans="1:8" hidden="1" x14ac:dyDescent="0.3">
      <c r="A2272" s="28">
        <v>14732</v>
      </c>
      <c r="B2272" s="35">
        <v>45177.579861111109</v>
      </c>
      <c r="C2272" s="18">
        <v>45177</v>
      </c>
      <c r="D2272" t="s">
        <v>100</v>
      </c>
      <c r="E2272" s="32">
        <v>580000</v>
      </c>
      <c r="F2272" s="32">
        <v>0</v>
      </c>
      <c r="G2272" s="32">
        <v>186090733</v>
      </c>
      <c r="H2272" t="s">
        <v>501</v>
      </c>
    </row>
    <row r="2273" spans="1:8" hidden="1" x14ac:dyDescent="0.3">
      <c r="A2273" s="28">
        <v>14729</v>
      </c>
      <c r="B2273" s="35">
        <v>45177.378472222219</v>
      </c>
      <c r="C2273" s="18">
        <v>45177</v>
      </c>
      <c r="D2273" t="s">
        <v>100</v>
      </c>
      <c r="E2273" s="32">
        <v>2493700</v>
      </c>
      <c r="F2273" s="32">
        <v>0</v>
      </c>
      <c r="G2273" s="32">
        <v>185510733</v>
      </c>
      <c r="H2273" t="s">
        <v>327</v>
      </c>
    </row>
    <row r="2274" spans="1:8" hidden="1" x14ac:dyDescent="0.3">
      <c r="A2274" s="28">
        <v>14727</v>
      </c>
      <c r="B2274" s="35">
        <v>45176.824999999997</v>
      </c>
      <c r="C2274" s="18">
        <v>45176</v>
      </c>
      <c r="D2274" t="s">
        <v>100</v>
      </c>
      <c r="E2274" s="32">
        <v>155100</v>
      </c>
      <c r="F2274" s="32">
        <v>0</v>
      </c>
      <c r="G2274" s="32">
        <v>183017033</v>
      </c>
      <c r="H2274" t="s">
        <v>251</v>
      </c>
    </row>
    <row r="2275" spans="1:8" hidden="1" x14ac:dyDescent="0.3">
      <c r="A2275" s="28">
        <v>14726</v>
      </c>
      <c r="B2275" s="35">
        <v>45176.703472222223</v>
      </c>
      <c r="C2275" s="18">
        <v>45176</v>
      </c>
      <c r="D2275" t="s">
        <v>100</v>
      </c>
      <c r="E2275" s="32">
        <v>408100</v>
      </c>
      <c r="F2275" s="32">
        <v>0</v>
      </c>
      <c r="G2275" s="32">
        <v>182861933</v>
      </c>
      <c r="H2275" t="s">
        <v>454</v>
      </c>
    </row>
    <row r="2276" spans="1:8" hidden="1" x14ac:dyDescent="0.3">
      <c r="A2276" s="28">
        <v>14725</v>
      </c>
      <c r="B2276" s="35">
        <v>45176.68472222222</v>
      </c>
      <c r="C2276" s="18">
        <v>45176</v>
      </c>
      <c r="D2276" t="s">
        <v>100</v>
      </c>
      <c r="E2276" s="32">
        <v>4742100</v>
      </c>
      <c r="F2276" s="32">
        <v>0</v>
      </c>
      <c r="G2276" s="32">
        <v>182453833</v>
      </c>
      <c r="H2276" t="s">
        <v>414</v>
      </c>
    </row>
    <row r="2277" spans="1:8" hidden="1" x14ac:dyDescent="0.3">
      <c r="A2277" s="28">
        <v>14724</v>
      </c>
      <c r="B2277" s="35">
        <v>45176.595138888886</v>
      </c>
      <c r="C2277" s="18">
        <v>45176</v>
      </c>
      <c r="D2277" t="s">
        <v>101</v>
      </c>
      <c r="E2277" s="32">
        <v>0</v>
      </c>
      <c r="F2277" s="32">
        <v>82610</v>
      </c>
      <c r="G2277" s="32">
        <v>177711733</v>
      </c>
      <c r="H2277" t="s">
        <v>221</v>
      </c>
    </row>
    <row r="2278" spans="1:8" hidden="1" x14ac:dyDescent="0.3">
      <c r="A2278" s="28">
        <v>14723</v>
      </c>
      <c r="B2278" s="35">
        <v>45176.569444444445</v>
      </c>
      <c r="C2278" s="18">
        <v>45176</v>
      </c>
      <c r="D2278" t="s">
        <v>100</v>
      </c>
      <c r="E2278" s="32">
        <v>522000</v>
      </c>
      <c r="F2278" s="32">
        <v>0</v>
      </c>
      <c r="G2278" s="32">
        <v>177794343</v>
      </c>
      <c r="H2278" t="s">
        <v>599</v>
      </c>
    </row>
    <row r="2279" spans="1:8" hidden="1" x14ac:dyDescent="0.3">
      <c r="A2279" s="28">
        <v>14722</v>
      </c>
      <c r="B2279" s="35">
        <v>45176.561805555553</v>
      </c>
      <c r="C2279" s="18">
        <v>45176</v>
      </c>
      <c r="D2279" t="s">
        <v>100</v>
      </c>
      <c r="E2279" s="32">
        <v>199000</v>
      </c>
      <c r="F2279" s="32">
        <v>0</v>
      </c>
      <c r="G2279" s="32">
        <v>177272343</v>
      </c>
      <c r="H2279" t="s">
        <v>508</v>
      </c>
    </row>
    <row r="2280" spans="1:8" hidden="1" x14ac:dyDescent="0.3">
      <c r="A2280" s="28">
        <v>14721</v>
      </c>
      <c r="B2280" s="35">
        <v>45176.552777777775</v>
      </c>
      <c r="C2280" s="18">
        <v>45176</v>
      </c>
      <c r="D2280" t="s">
        <v>100</v>
      </c>
      <c r="E2280" s="32">
        <v>19900</v>
      </c>
      <c r="F2280" s="32">
        <v>0</v>
      </c>
      <c r="G2280" s="32">
        <v>177073343</v>
      </c>
      <c r="H2280" t="s">
        <v>507</v>
      </c>
    </row>
    <row r="2281" spans="1:8" hidden="1" x14ac:dyDescent="0.3">
      <c r="A2281" s="28">
        <v>14720</v>
      </c>
      <c r="B2281" s="35">
        <v>45176.552777777775</v>
      </c>
      <c r="C2281" s="18">
        <v>45176</v>
      </c>
      <c r="D2281" t="s">
        <v>100</v>
      </c>
      <c r="E2281" s="32">
        <v>52200</v>
      </c>
      <c r="F2281" s="32">
        <v>0</v>
      </c>
      <c r="G2281" s="32">
        <v>177053443</v>
      </c>
      <c r="H2281" t="s">
        <v>507</v>
      </c>
    </row>
    <row r="2282" spans="1:8" hidden="1" x14ac:dyDescent="0.3">
      <c r="A2282" s="28">
        <v>14719</v>
      </c>
      <c r="B2282" s="35">
        <v>45176.498611111114</v>
      </c>
      <c r="C2282" s="18">
        <v>45176</v>
      </c>
      <c r="D2282" t="s">
        <v>101</v>
      </c>
      <c r="E2282" s="32">
        <v>0</v>
      </c>
      <c r="F2282" s="32">
        <v>344000</v>
      </c>
      <c r="G2282" s="32">
        <v>177001243</v>
      </c>
      <c r="H2282" t="s">
        <v>319</v>
      </c>
    </row>
    <row r="2283" spans="1:8" hidden="1" x14ac:dyDescent="0.3">
      <c r="A2283" s="28">
        <v>14718</v>
      </c>
      <c r="B2283" s="35">
        <v>45176.497916666667</v>
      </c>
      <c r="C2283" s="18">
        <v>45176</v>
      </c>
      <c r="D2283" t="s">
        <v>101</v>
      </c>
      <c r="E2283" s="32">
        <v>0</v>
      </c>
      <c r="F2283" s="32">
        <v>3431290</v>
      </c>
      <c r="G2283" s="32">
        <v>177345243</v>
      </c>
      <c r="H2283" t="s">
        <v>320</v>
      </c>
    </row>
    <row r="2284" spans="1:8" hidden="1" x14ac:dyDescent="0.3">
      <c r="A2284" s="28">
        <v>14717</v>
      </c>
      <c r="B2284" s="35">
        <v>45176.49722222222</v>
      </c>
      <c r="C2284" s="18">
        <v>45176</v>
      </c>
      <c r="D2284" t="s">
        <v>101</v>
      </c>
      <c r="E2284" s="32">
        <v>0</v>
      </c>
      <c r="F2284" s="32">
        <v>9300</v>
      </c>
      <c r="G2284" s="32">
        <v>180776533</v>
      </c>
      <c r="H2284" t="s">
        <v>321</v>
      </c>
    </row>
    <row r="2285" spans="1:8" hidden="1" x14ac:dyDescent="0.3">
      <c r="A2285" s="28">
        <v>14716</v>
      </c>
      <c r="B2285" s="35">
        <v>45176.495833333334</v>
      </c>
      <c r="C2285" s="18">
        <v>45176</v>
      </c>
      <c r="D2285" t="s">
        <v>101</v>
      </c>
      <c r="E2285" s="32">
        <v>0</v>
      </c>
      <c r="F2285" s="32">
        <v>60500</v>
      </c>
      <c r="G2285" s="32">
        <v>180785833</v>
      </c>
      <c r="H2285" t="s">
        <v>600</v>
      </c>
    </row>
    <row r="2286" spans="1:8" hidden="1" x14ac:dyDescent="0.3">
      <c r="A2286" s="28">
        <v>14714</v>
      </c>
      <c r="B2286" s="35">
        <v>45176.37777777778</v>
      </c>
      <c r="C2286" s="18">
        <v>45176</v>
      </c>
      <c r="D2286" t="s">
        <v>100</v>
      </c>
      <c r="E2286" s="32">
        <v>585200</v>
      </c>
      <c r="F2286" s="32">
        <v>0</v>
      </c>
      <c r="G2286" s="32">
        <v>180846333</v>
      </c>
      <c r="H2286" t="s">
        <v>327</v>
      </c>
    </row>
    <row r="2287" spans="1:8" hidden="1" x14ac:dyDescent="0.3">
      <c r="A2287" s="28">
        <v>14713</v>
      </c>
      <c r="B2287" s="35">
        <v>45176.37777777778</v>
      </c>
      <c r="C2287" s="18">
        <v>45176</v>
      </c>
      <c r="D2287" t="s">
        <v>100</v>
      </c>
      <c r="E2287" s="32">
        <v>2675200</v>
      </c>
      <c r="F2287" s="32">
        <v>0</v>
      </c>
      <c r="G2287" s="32">
        <v>180261133</v>
      </c>
      <c r="H2287" t="s">
        <v>327</v>
      </c>
    </row>
    <row r="2288" spans="1:8" hidden="1" x14ac:dyDescent="0.3">
      <c r="A2288" s="28">
        <v>14712</v>
      </c>
      <c r="B2288" s="35">
        <v>45175.775694444441</v>
      </c>
      <c r="C2288" s="18">
        <v>45175</v>
      </c>
      <c r="D2288" t="s">
        <v>100</v>
      </c>
      <c r="E2288" s="32">
        <v>37600</v>
      </c>
      <c r="F2288" s="32">
        <v>0</v>
      </c>
      <c r="G2288" s="32">
        <v>177585933</v>
      </c>
      <c r="H2288" t="s">
        <v>601</v>
      </c>
    </row>
    <row r="2289" spans="1:8" hidden="1" x14ac:dyDescent="0.3">
      <c r="A2289" s="28">
        <v>14711</v>
      </c>
      <c r="B2289" s="35">
        <v>45175.775000000001</v>
      </c>
      <c r="C2289" s="18">
        <v>45175</v>
      </c>
      <c r="D2289" t="s">
        <v>100</v>
      </c>
      <c r="E2289" s="32">
        <v>376000</v>
      </c>
      <c r="F2289" s="32">
        <v>0</v>
      </c>
      <c r="G2289" s="32">
        <v>177548333</v>
      </c>
      <c r="H2289" t="s">
        <v>601</v>
      </c>
    </row>
    <row r="2290" spans="1:8" hidden="1" x14ac:dyDescent="0.3">
      <c r="A2290" s="28">
        <v>14710</v>
      </c>
      <c r="B2290" s="35">
        <v>45175.559027777781</v>
      </c>
      <c r="C2290" s="18">
        <v>45175</v>
      </c>
      <c r="D2290" t="s">
        <v>100</v>
      </c>
      <c r="E2290" s="32">
        <v>2964500</v>
      </c>
      <c r="F2290" s="32">
        <v>0</v>
      </c>
      <c r="G2290" s="32">
        <v>177172333</v>
      </c>
      <c r="H2290" t="s">
        <v>602</v>
      </c>
    </row>
    <row r="2291" spans="1:8" hidden="1" x14ac:dyDescent="0.3">
      <c r="A2291" s="28">
        <v>14707</v>
      </c>
      <c r="B2291" s="35">
        <v>45174.833333333336</v>
      </c>
      <c r="C2291" s="18">
        <v>45174</v>
      </c>
      <c r="D2291" t="s">
        <v>101</v>
      </c>
      <c r="E2291" s="32">
        <v>0</v>
      </c>
      <c r="F2291" s="32">
        <v>626472</v>
      </c>
      <c r="G2291" s="32">
        <v>174207833</v>
      </c>
      <c r="H2291" t="s">
        <v>603</v>
      </c>
    </row>
    <row r="2292" spans="1:8" hidden="1" x14ac:dyDescent="0.3">
      <c r="A2292" s="28">
        <v>14706</v>
      </c>
      <c r="B2292" s="35">
        <v>45174.808333333334</v>
      </c>
      <c r="C2292" s="18">
        <v>45174</v>
      </c>
      <c r="D2292" t="s">
        <v>101</v>
      </c>
      <c r="E2292" s="32">
        <v>0</v>
      </c>
      <c r="F2292" s="32">
        <v>751920</v>
      </c>
      <c r="G2292" s="32">
        <v>174834305</v>
      </c>
      <c r="H2292" t="s">
        <v>435</v>
      </c>
    </row>
    <row r="2293" spans="1:8" hidden="1" x14ac:dyDescent="0.3">
      <c r="A2293" s="28">
        <v>14703</v>
      </c>
      <c r="B2293" s="35">
        <v>45174.615972222222</v>
      </c>
      <c r="C2293" s="18">
        <v>45174</v>
      </c>
      <c r="D2293" t="s">
        <v>101</v>
      </c>
      <c r="E2293" s="32">
        <v>0</v>
      </c>
      <c r="F2293" s="32">
        <v>2530000</v>
      </c>
      <c r="G2293" s="32">
        <v>175586225</v>
      </c>
      <c r="H2293" t="s">
        <v>555</v>
      </c>
    </row>
    <row r="2294" spans="1:8" hidden="1" x14ac:dyDescent="0.3">
      <c r="A2294" s="28">
        <v>14702</v>
      </c>
      <c r="B2294" s="35">
        <v>45174.597916666666</v>
      </c>
      <c r="C2294" s="18">
        <v>45174</v>
      </c>
      <c r="D2294" t="s">
        <v>100</v>
      </c>
      <c r="E2294" s="32">
        <v>6416300</v>
      </c>
      <c r="F2294" s="32">
        <v>0</v>
      </c>
      <c r="G2294" s="32">
        <v>178116225</v>
      </c>
      <c r="H2294" t="s">
        <v>228</v>
      </c>
    </row>
    <row r="2295" spans="1:8" hidden="1" x14ac:dyDescent="0.3">
      <c r="A2295" s="28">
        <v>14701</v>
      </c>
      <c r="B2295" s="35">
        <v>45174.567361111112</v>
      </c>
      <c r="C2295" s="18">
        <v>45174</v>
      </c>
      <c r="D2295" t="s">
        <v>100</v>
      </c>
      <c r="E2295" s="32">
        <v>845900</v>
      </c>
      <c r="F2295" s="32">
        <v>0</v>
      </c>
      <c r="G2295" s="32">
        <v>171699925</v>
      </c>
      <c r="H2295" t="s">
        <v>220</v>
      </c>
    </row>
    <row r="2296" spans="1:8" hidden="1" x14ac:dyDescent="0.3">
      <c r="A2296" s="28">
        <v>14698</v>
      </c>
      <c r="B2296" s="35">
        <v>45174.445138888892</v>
      </c>
      <c r="C2296" s="18">
        <v>45174</v>
      </c>
      <c r="D2296" t="s">
        <v>101</v>
      </c>
      <c r="E2296" s="32">
        <v>0</v>
      </c>
      <c r="F2296" s="32">
        <v>767500</v>
      </c>
      <c r="G2296" s="32">
        <v>170854025</v>
      </c>
      <c r="H2296" t="s">
        <v>604</v>
      </c>
    </row>
    <row r="2297" spans="1:8" hidden="1" x14ac:dyDescent="0.3">
      <c r="A2297" s="28">
        <v>14697</v>
      </c>
      <c r="B2297" s="35">
        <v>45174.361805555556</v>
      </c>
      <c r="C2297" s="18">
        <v>45174</v>
      </c>
      <c r="D2297" t="s">
        <v>101</v>
      </c>
      <c r="E2297" s="32">
        <v>0</v>
      </c>
      <c r="F2297" s="32">
        <v>300000</v>
      </c>
      <c r="G2297" s="32">
        <v>171621525</v>
      </c>
      <c r="H2297" t="s">
        <v>605</v>
      </c>
    </row>
    <row r="2298" spans="1:8" hidden="1" x14ac:dyDescent="0.3">
      <c r="A2298" s="28">
        <v>14696</v>
      </c>
      <c r="B2298" s="35">
        <v>45173.567361111112</v>
      </c>
      <c r="C2298" s="18">
        <v>45173</v>
      </c>
      <c r="D2298" t="s">
        <v>100</v>
      </c>
      <c r="E2298" s="32">
        <v>751300</v>
      </c>
      <c r="F2298" s="32">
        <v>0</v>
      </c>
      <c r="G2298" s="32">
        <v>171921525</v>
      </c>
      <c r="H2298" t="s">
        <v>606</v>
      </c>
    </row>
    <row r="2299" spans="1:8" hidden="1" x14ac:dyDescent="0.3">
      <c r="A2299" s="28">
        <v>14695</v>
      </c>
      <c r="B2299" s="35">
        <v>45173.506944444445</v>
      </c>
      <c r="C2299" s="18">
        <v>45173</v>
      </c>
      <c r="D2299" t="s">
        <v>100</v>
      </c>
      <c r="E2299" s="32">
        <v>697400</v>
      </c>
      <c r="F2299" s="32">
        <v>0</v>
      </c>
      <c r="G2299" s="32">
        <v>171170225</v>
      </c>
      <c r="H2299" t="s">
        <v>233</v>
      </c>
    </row>
    <row r="2300" spans="1:8" hidden="1" x14ac:dyDescent="0.3">
      <c r="A2300" s="28">
        <v>14693</v>
      </c>
      <c r="B2300" s="35">
        <v>45173.425694444442</v>
      </c>
      <c r="C2300" s="18">
        <v>45173</v>
      </c>
      <c r="D2300" t="s">
        <v>101</v>
      </c>
      <c r="E2300" s="32">
        <v>0</v>
      </c>
      <c r="F2300" s="32">
        <v>268290</v>
      </c>
      <c r="G2300" s="32">
        <v>170472825</v>
      </c>
      <c r="H2300" t="s">
        <v>280</v>
      </c>
    </row>
    <row r="2301" spans="1:8" hidden="1" x14ac:dyDescent="0.3">
      <c r="A2301" s="28">
        <v>14690</v>
      </c>
      <c r="B2301" s="35">
        <v>45173.384722222225</v>
      </c>
      <c r="C2301" s="18">
        <v>45173</v>
      </c>
      <c r="D2301" t="s">
        <v>101</v>
      </c>
      <c r="E2301" s="32">
        <v>0</v>
      </c>
      <c r="F2301" s="32">
        <v>300000000</v>
      </c>
      <c r="G2301" s="32">
        <v>170741115</v>
      </c>
      <c r="H2301" t="s">
        <v>270</v>
      </c>
    </row>
    <row r="2302" spans="1:8" hidden="1" x14ac:dyDescent="0.3">
      <c r="A2302" s="28">
        <v>14686</v>
      </c>
      <c r="B2302" s="35">
        <v>45170.426388888889</v>
      </c>
      <c r="C2302" s="18">
        <v>45170</v>
      </c>
      <c r="D2302" t="s">
        <v>100</v>
      </c>
      <c r="E2302" s="32">
        <v>402244480</v>
      </c>
      <c r="F2302" s="32">
        <v>0</v>
      </c>
      <c r="G2302" s="32">
        <v>470741115</v>
      </c>
      <c r="H2302" t="s">
        <v>607</v>
      </c>
    </row>
    <row r="2303" spans="1:8" hidden="1" x14ac:dyDescent="0.3">
      <c r="A2303" s="28">
        <v>14684</v>
      </c>
      <c r="B2303" s="35">
        <v>45169.797222222223</v>
      </c>
      <c r="C2303" s="18">
        <v>45169</v>
      </c>
      <c r="D2303" t="s">
        <v>101</v>
      </c>
      <c r="E2303" s="32">
        <v>0</v>
      </c>
      <c r="F2303" s="32">
        <v>400510</v>
      </c>
      <c r="G2303" s="32">
        <v>68496635</v>
      </c>
      <c r="H2303" t="s">
        <v>435</v>
      </c>
    </row>
    <row r="2304" spans="1:8" hidden="1" x14ac:dyDescent="0.3">
      <c r="A2304" s="28">
        <v>14683</v>
      </c>
      <c r="B2304" s="35">
        <v>45169.709027777775</v>
      </c>
      <c r="C2304" s="18">
        <v>45169</v>
      </c>
      <c r="D2304" t="s">
        <v>100</v>
      </c>
      <c r="E2304" s="32">
        <v>129800</v>
      </c>
      <c r="F2304" s="32">
        <v>0</v>
      </c>
      <c r="G2304" s="32">
        <v>68897145</v>
      </c>
      <c r="H2304" t="s">
        <v>608</v>
      </c>
    </row>
    <row r="2305" spans="1:8" hidden="1" x14ac:dyDescent="0.3">
      <c r="A2305" s="28">
        <v>14682</v>
      </c>
      <c r="B2305" s="35">
        <v>45169.707638888889</v>
      </c>
      <c r="C2305" s="18">
        <v>45169</v>
      </c>
      <c r="D2305" t="s">
        <v>101</v>
      </c>
      <c r="E2305" s="32">
        <v>0</v>
      </c>
      <c r="F2305" s="32">
        <v>53330</v>
      </c>
      <c r="G2305" s="32">
        <v>68767345</v>
      </c>
      <c r="H2305" t="s">
        <v>609</v>
      </c>
    </row>
    <row r="2306" spans="1:8" hidden="1" x14ac:dyDescent="0.3">
      <c r="A2306" s="28">
        <v>14676</v>
      </c>
      <c r="B2306" s="35">
        <v>45169.67083333333</v>
      </c>
      <c r="C2306" s="18">
        <v>45169</v>
      </c>
      <c r="D2306" t="s">
        <v>100</v>
      </c>
      <c r="E2306" s="32">
        <v>3775200</v>
      </c>
      <c r="F2306" s="32">
        <v>0</v>
      </c>
      <c r="G2306" s="32">
        <v>68820675</v>
      </c>
      <c r="H2306" t="s">
        <v>610</v>
      </c>
    </row>
    <row r="2307" spans="1:8" hidden="1" x14ac:dyDescent="0.3">
      <c r="A2307" s="28">
        <v>14675</v>
      </c>
      <c r="B2307" s="35">
        <v>45169.669444444444</v>
      </c>
      <c r="C2307" s="18">
        <v>45169</v>
      </c>
      <c r="D2307" t="s">
        <v>101</v>
      </c>
      <c r="E2307" s="32">
        <v>0</v>
      </c>
      <c r="F2307" s="32">
        <v>1350000</v>
      </c>
      <c r="G2307" s="32">
        <v>65045475</v>
      </c>
      <c r="H2307" t="s">
        <v>611</v>
      </c>
    </row>
    <row r="2308" spans="1:8" hidden="1" x14ac:dyDescent="0.3">
      <c r="A2308" s="28">
        <v>14674</v>
      </c>
      <c r="B2308" s="35">
        <v>45169.65347222222</v>
      </c>
      <c r="C2308" s="18">
        <v>45169</v>
      </c>
      <c r="D2308" t="s">
        <v>100</v>
      </c>
      <c r="E2308" s="32">
        <v>2752200</v>
      </c>
      <c r="F2308" s="32">
        <v>0</v>
      </c>
      <c r="G2308" s="32">
        <v>66395475</v>
      </c>
      <c r="H2308" t="s">
        <v>266</v>
      </c>
    </row>
    <row r="2309" spans="1:8" hidden="1" x14ac:dyDescent="0.3">
      <c r="A2309" s="28">
        <v>14673</v>
      </c>
      <c r="B2309" s="35">
        <v>45169.638888888891</v>
      </c>
      <c r="C2309" s="18">
        <v>45169</v>
      </c>
      <c r="D2309" t="s">
        <v>100</v>
      </c>
      <c r="E2309" s="32">
        <v>511500</v>
      </c>
      <c r="F2309" s="32">
        <v>0</v>
      </c>
      <c r="G2309" s="32">
        <v>63643275</v>
      </c>
      <c r="H2309" t="s">
        <v>248</v>
      </c>
    </row>
    <row r="2310" spans="1:8" hidden="1" x14ac:dyDescent="0.3">
      <c r="A2310" s="28">
        <v>14672</v>
      </c>
      <c r="B2310" s="35">
        <v>45169.629861111112</v>
      </c>
      <c r="C2310" s="18">
        <v>45169</v>
      </c>
      <c r="D2310" t="s">
        <v>100</v>
      </c>
      <c r="E2310" s="32">
        <v>2205500</v>
      </c>
      <c r="F2310" s="32">
        <v>0</v>
      </c>
      <c r="G2310" s="32">
        <v>63131775</v>
      </c>
      <c r="H2310" t="s">
        <v>254</v>
      </c>
    </row>
    <row r="2311" spans="1:8" hidden="1" x14ac:dyDescent="0.3">
      <c r="A2311" s="28">
        <v>14671</v>
      </c>
      <c r="B2311" s="35">
        <v>45169.629861111112</v>
      </c>
      <c r="C2311" s="18">
        <v>45169</v>
      </c>
      <c r="D2311" t="s">
        <v>100</v>
      </c>
      <c r="E2311" s="32">
        <v>698500</v>
      </c>
      <c r="F2311" s="32">
        <v>0</v>
      </c>
      <c r="G2311" s="32">
        <v>60926275</v>
      </c>
      <c r="H2311" t="s">
        <v>254</v>
      </c>
    </row>
    <row r="2312" spans="1:8" hidden="1" x14ac:dyDescent="0.3">
      <c r="A2312" s="28">
        <v>14670</v>
      </c>
      <c r="B2312" s="35">
        <v>45169.629861111112</v>
      </c>
      <c r="C2312" s="18">
        <v>45169</v>
      </c>
      <c r="D2312" t="s">
        <v>100</v>
      </c>
      <c r="E2312" s="32">
        <v>3170200</v>
      </c>
      <c r="F2312" s="32">
        <v>0</v>
      </c>
      <c r="G2312" s="32">
        <v>60227775</v>
      </c>
      <c r="H2312" t="s">
        <v>254</v>
      </c>
    </row>
    <row r="2313" spans="1:8" hidden="1" x14ac:dyDescent="0.3">
      <c r="A2313" s="28">
        <v>14669</v>
      </c>
      <c r="B2313" s="35">
        <v>45169.5625</v>
      </c>
      <c r="C2313" s="18">
        <v>45169</v>
      </c>
      <c r="D2313" t="s">
        <v>100</v>
      </c>
      <c r="E2313" s="32">
        <v>442200</v>
      </c>
      <c r="F2313" s="32">
        <v>0</v>
      </c>
      <c r="G2313" s="32">
        <v>57057575</v>
      </c>
      <c r="H2313" t="s">
        <v>255</v>
      </c>
    </row>
    <row r="2314" spans="1:8" hidden="1" x14ac:dyDescent="0.3">
      <c r="A2314" s="28">
        <v>14668</v>
      </c>
      <c r="B2314" s="35">
        <v>45169.556250000001</v>
      </c>
      <c r="C2314" s="18">
        <v>45169</v>
      </c>
      <c r="D2314" t="s">
        <v>100</v>
      </c>
      <c r="E2314" s="32">
        <v>335534</v>
      </c>
      <c r="F2314" s="32">
        <v>0</v>
      </c>
      <c r="G2314" s="32">
        <v>56615375</v>
      </c>
      <c r="H2314" t="s">
        <v>516</v>
      </c>
    </row>
    <row r="2315" spans="1:8" hidden="1" x14ac:dyDescent="0.3">
      <c r="A2315" s="28">
        <v>14667</v>
      </c>
      <c r="B2315" s="35">
        <v>45169.556250000001</v>
      </c>
      <c r="C2315" s="18">
        <v>45169</v>
      </c>
      <c r="D2315" t="s">
        <v>100</v>
      </c>
      <c r="E2315" s="32">
        <v>75900</v>
      </c>
      <c r="F2315" s="32">
        <v>0</v>
      </c>
      <c r="G2315" s="32">
        <v>56279841</v>
      </c>
      <c r="H2315" t="s">
        <v>516</v>
      </c>
    </row>
    <row r="2316" spans="1:8" hidden="1" x14ac:dyDescent="0.3">
      <c r="A2316" s="28">
        <v>14666</v>
      </c>
      <c r="B2316" s="35">
        <v>45169.554166666669</v>
      </c>
      <c r="C2316" s="18">
        <v>45169</v>
      </c>
      <c r="D2316" t="s">
        <v>100</v>
      </c>
      <c r="E2316" s="32">
        <v>525800</v>
      </c>
      <c r="F2316" s="32">
        <v>0</v>
      </c>
      <c r="G2316" s="32">
        <v>56203941</v>
      </c>
      <c r="H2316" t="s">
        <v>612</v>
      </c>
    </row>
    <row r="2317" spans="1:8" hidden="1" x14ac:dyDescent="0.3">
      <c r="A2317" s="28">
        <v>14665</v>
      </c>
      <c r="B2317" s="35">
        <v>45169.527083333334</v>
      </c>
      <c r="C2317" s="18">
        <v>45169</v>
      </c>
      <c r="D2317" t="s">
        <v>100</v>
      </c>
      <c r="E2317" s="32">
        <v>116600</v>
      </c>
      <c r="F2317" s="32">
        <v>0</v>
      </c>
      <c r="G2317" s="32">
        <v>55678141</v>
      </c>
      <c r="H2317" t="s">
        <v>409</v>
      </c>
    </row>
    <row r="2318" spans="1:8" hidden="1" x14ac:dyDescent="0.3">
      <c r="A2318" s="28">
        <v>14663</v>
      </c>
      <c r="B2318" s="35">
        <v>45169.467361111114</v>
      </c>
      <c r="C2318" s="18">
        <v>45169</v>
      </c>
      <c r="D2318" t="s">
        <v>100</v>
      </c>
      <c r="E2318" s="32">
        <v>1394800</v>
      </c>
      <c r="F2318" s="32">
        <v>0</v>
      </c>
      <c r="G2318" s="32">
        <v>55561541</v>
      </c>
      <c r="H2318" t="s">
        <v>453</v>
      </c>
    </row>
    <row r="2319" spans="1:8" hidden="1" x14ac:dyDescent="0.3">
      <c r="A2319" s="28">
        <v>14662</v>
      </c>
      <c r="B2319" s="35">
        <v>45169.467361111114</v>
      </c>
      <c r="C2319" s="18">
        <v>45169</v>
      </c>
      <c r="D2319" t="s">
        <v>100</v>
      </c>
      <c r="E2319" s="32">
        <v>2891900</v>
      </c>
      <c r="F2319" s="32">
        <v>0</v>
      </c>
      <c r="G2319" s="32">
        <v>54166741</v>
      </c>
      <c r="H2319" t="s">
        <v>453</v>
      </c>
    </row>
    <row r="2320" spans="1:8" hidden="1" x14ac:dyDescent="0.3">
      <c r="A2320" s="28">
        <v>14661</v>
      </c>
      <c r="B2320" s="35">
        <v>45169.466666666667</v>
      </c>
      <c r="C2320" s="18">
        <v>45169</v>
      </c>
      <c r="D2320" t="s">
        <v>100</v>
      </c>
      <c r="E2320" s="32">
        <v>2670800</v>
      </c>
      <c r="F2320" s="32">
        <v>0</v>
      </c>
      <c r="G2320" s="32">
        <v>51274841</v>
      </c>
      <c r="H2320" t="s">
        <v>453</v>
      </c>
    </row>
    <row r="2321" spans="1:8" hidden="1" x14ac:dyDescent="0.3">
      <c r="A2321" s="28">
        <v>14660</v>
      </c>
      <c r="B2321" s="35">
        <v>45169.46597222222</v>
      </c>
      <c r="C2321" s="18">
        <v>45169</v>
      </c>
      <c r="D2321" t="s">
        <v>100</v>
      </c>
      <c r="E2321" s="32">
        <v>315700</v>
      </c>
      <c r="F2321" s="32">
        <v>0</v>
      </c>
      <c r="G2321" s="32">
        <v>48604041</v>
      </c>
      <c r="H2321" t="s">
        <v>453</v>
      </c>
    </row>
    <row r="2322" spans="1:8" hidden="1" x14ac:dyDescent="0.3">
      <c r="A2322" s="28">
        <v>14659</v>
      </c>
      <c r="B2322" s="35">
        <v>45169.429166666669</v>
      </c>
      <c r="C2322" s="18">
        <v>45169</v>
      </c>
      <c r="D2322" t="s">
        <v>100</v>
      </c>
      <c r="E2322" s="32">
        <v>1119800</v>
      </c>
      <c r="F2322" s="32">
        <v>0</v>
      </c>
      <c r="G2322" s="32">
        <v>48288341</v>
      </c>
      <c r="H2322" t="s">
        <v>613</v>
      </c>
    </row>
    <row r="2323" spans="1:8" hidden="1" x14ac:dyDescent="0.3">
      <c r="A2323" s="28">
        <v>14658</v>
      </c>
      <c r="B2323" s="35">
        <v>45169.415277777778</v>
      </c>
      <c r="C2323" s="18">
        <v>45169</v>
      </c>
      <c r="D2323" t="s">
        <v>100</v>
      </c>
      <c r="E2323" s="32">
        <v>423466</v>
      </c>
      <c r="F2323" s="32">
        <v>0</v>
      </c>
      <c r="G2323" s="32">
        <v>47168541</v>
      </c>
      <c r="H2323" t="s">
        <v>614</v>
      </c>
    </row>
    <row r="2324" spans="1:8" hidden="1" x14ac:dyDescent="0.3">
      <c r="A2324" s="28">
        <v>14657</v>
      </c>
      <c r="B2324" s="35">
        <v>45169.40347222222</v>
      </c>
      <c r="C2324" s="18">
        <v>45169</v>
      </c>
      <c r="D2324" t="s">
        <v>101</v>
      </c>
      <c r="E2324" s="32">
        <v>0</v>
      </c>
      <c r="F2324" s="32">
        <v>8000</v>
      </c>
      <c r="G2324" s="32">
        <v>46745075</v>
      </c>
      <c r="H2324" t="s">
        <v>241</v>
      </c>
    </row>
    <row r="2325" spans="1:8" hidden="1" x14ac:dyDescent="0.3">
      <c r="A2325" s="28">
        <v>14656</v>
      </c>
      <c r="B2325" s="35">
        <v>45169.383333333331</v>
      </c>
      <c r="C2325" s="18">
        <v>45169</v>
      </c>
      <c r="D2325" t="s">
        <v>100</v>
      </c>
      <c r="E2325" s="32">
        <v>621500</v>
      </c>
      <c r="F2325" s="32">
        <v>0</v>
      </c>
      <c r="G2325" s="32">
        <v>46753075</v>
      </c>
      <c r="H2325" t="s">
        <v>264</v>
      </c>
    </row>
    <row r="2326" spans="1:8" hidden="1" x14ac:dyDescent="0.3">
      <c r="A2326" s="28">
        <v>14655</v>
      </c>
      <c r="B2326" s="35">
        <v>45169.380555555559</v>
      </c>
      <c r="C2326" s="18">
        <v>45169</v>
      </c>
      <c r="D2326" t="s">
        <v>101</v>
      </c>
      <c r="E2326" s="32">
        <v>0</v>
      </c>
      <c r="F2326" s="32">
        <v>13222000</v>
      </c>
      <c r="G2326" s="32">
        <v>46131575</v>
      </c>
      <c r="H2326" t="s">
        <v>615</v>
      </c>
    </row>
    <row r="2327" spans="1:8" hidden="1" x14ac:dyDescent="0.3">
      <c r="A2327" s="28">
        <v>14654</v>
      </c>
      <c r="B2327" s="35">
        <v>45168.659722222219</v>
      </c>
      <c r="C2327" s="18">
        <v>45168</v>
      </c>
      <c r="D2327" t="s">
        <v>100</v>
      </c>
      <c r="E2327" s="32">
        <v>371800</v>
      </c>
      <c r="F2327" s="32">
        <v>0</v>
      </c>
      <c r="G2327" s="32">
        <v>59353575</v>
      </c>
      <c r="H2327" t="s">
        <v>247</v>
      </c>
    </row>
    <row r="2328" spans="1:8" hidden="1" x14ac:dyDescent="0.3">
      <c r="A2328" s="28">
        <v>14653</v>
      </c>
      <c r="B2328" s="35">
        <v>45168.598611111112</v>
      </c>
      <c r="C2328" s="18">
        <v>45168</v>
      </c>
      <c r="D2328" t="s">
        <v>100</v>
      </c>
      <c r="E2328" s="32">
        <v>1105500</v>
      </c>
      <c r="F2328" s="32">
        <v>0</v>
      </c>
      <c r="G2328" s="32">
        <v>58981775</v>
      </c>
      <c r="H2328" t="s">
        <v>417</v>
      </c>
    </row>
    <row r="2329" spans="1:8" hidden="1" x14ac:dyDescent="0.3">
      <c r="A2329" s="28">
        <v>14651</v>
      </c>
      <c r="B2329" s="35">
        <v>45168.464583333334</v>
      </c>
      <c r="C2329" s="18">
        <v>45168</v>
      </c>
      <c r="D2329" t="s">
        <v>101</v>
      </c>
      <c r="E2329" s="32">
        <v>0</v>
      </c>
      <c r="F2329" s="32">
        <v>99000</v>
      </c>
      <c r="G2329" s="32">
        <v>57876275</v>
      </c>
      <c r="H2329" t="s">
        <v>616</v>
      </c>
    </row>
    <row r="2330" spans="1:8" hidden="1" x14ac:dyDescent="0.3">
      <c r="A2330" s="28">
        <v>14650</v>
      </c>
      <c r="B2330" s="35">
        <v>45168.448611111111</v>
      </c>
      <c r="C2330" s="18">
        <v>45168</v>
      </c>
      <c r="D2330" t="s">
        <v>100</v>
      </c>
      <c r="E2330" s="32">
        <v>1371400</v>
      </c>
      <c r="F2330" s="32">
        <v>0</v>
      </c>
      <c r="G2330" s="32">
        <v>57975275</v>
      </c>
      <c r="H2330" t="s">
        <v>263</v>
      </c>
    </row>
    <row r="2331" spans="1:8" hidden="1" x14ac:dyDescent="0.3">
      <c r="A2331" s="28">
        <v>14649</v>
      </c>
      <c r="B2331" s="35">
        <v>45168.426388888889</v>
      </c>
      <c r="C2331" s="18">
        <v>45168</v>
      </c>
      <c r="D2331" t="s">
        <v>100</v>
      </c>
      <c r="E2331" s="32">
        <v>115000</v>
      </c>
      <c r="F2331" s="32">
        <v>0</v>
      </c>
      <c r="G2331" s="32">
        <v>56603875</v>
      </c>
      <c r="H2331" t="s">
        <v>575</v>
      </c>
    </row>
    <row r="2332" spans="1:8" hidden="1" x14ac:dyDescent="0.3">
      <c r="A2332" s="28">
        <v>14648</v>
      </c>
      <c r="B2332" s="35">
        <v>45168.426388888889</v>
      </c>
      <c r="C2332" s="18">
        <v>45168</v>
      </c>
      <c r="D2332" t="s">
        <v>100</v>
      </c>
      <c r="E2332" s="32">
        <v>44000</v>
      </c>
      <c r="F2332" s="32">
        <v>0</v>
      </c>
      <c r="G2332" s="32">
        <v>56488875</v>
      </c>
      <c r="H2332" t="s">
        <v>575</v>
      </c>
    </row>
    <row r="2333" spans="1:8" hidden="1" x14ac:dyDescent="0.3">
      <c r="A2333" s="28">
        <v>14647</v>
      </c>
      <c r="B2333" s="35">
        <v>45168.426388888889</v>
      </c>
      <c r="C2333" s="18">
        <v>45168</v>
      </c>
      <c r="D2333" t="s">
        <v>100</v>
      </c>
      <c r="E2333" s="32">
        <v>64000</v>
      </c>
      <c r="F2333" s="32">
        <v>0</v>
      </c>
      <c r="G2333" s="32">
        <v>56444875</v>
      </c>
      <c r="H2333" t="s">
        <v>575</v>
      </c>
    </row>
    <row r="2334" spans="1:8" hidden="1" x14ac:dyDescent="0.3">
      <c r="A2334" s="28">
        <v>14646</v>
      </c>
      <c r="B2334" s="35">
        <v>45168.426388888889</v>
      </c>
      <c r="C2334" s="18">
        <v>45168</v>
      </c>
      <c r="D2334" t="s">
        <v>100</v>
      </c>
      <c r="E2334" s="32">
        <v>71000</v>
      </c>
      <c r="F2334" s="32">
        <v>0</v>
      </c>
      <c r="G2334" s="32">
        <v>56380875</v>
      </c>
      <c r="H2334" t="s">
        <v>575</v>
      </c>
    </row>
    <row r="2335" spans="1:8" hidden="1" x14ac:dyDescent="0.3">
      <c r="A2335" s="28">
        <v>14645</v>
      </c>
      <c r="B2335" s="35">
        <v>45168.402777777781</v>
      </c>
      <c r="C2335" s="18">
        <v>45168</v>
      </c>
      <c r="D2335" t="s">
        <v>101</v>
      </c>
      <c r="E2335" s="32">
        <v>0</v>
      </c>
      <c r="F2335" s="32">
        <v>40117200</v>
      </c>
      <c r="G2335" s="32">
        <v>56309875</v>
      </c>
      <c r="H2335" t="s">
        <v>242</v>
      </c>
    </row>
    <row r="2336" spans="1:8" hidden="1" x14ac:dyDescent="0.3">
      <c r="A2336" s="28">
        <v>14644</v>
      </c>
      <c r="B2336" s="35">
        <v>45168.402777777781</v>
      </c>
      <c r="C2336" s="18">
        <v>45168</v>
      </c>
      <c r="D2336" t="s">
        <v>101</v>
      </c>
      <c r="E2336" s="32">
        <v>0</v>
      </c>
      <c r="F2336" s="32">
        <v>39835200</v>
      </c>
      <c r="G2336" s="32">
        <v>96427075</v>
      </c>
      <c r="H2336" t="s">
        <v>242</v>
      </c>
    </row>
    <row r="2337" spans="1:8" hidden="1" x14ac:dyDescent="0.3">
      <c r="A2337" s="28">
        <v>14643</v>
      </c>
      <c r="B2337" s="35">
        <v>45167.688194444447</v>
      </c>
      <c r="C2337" s="18">
        <v>45167</v>
      </c>
      <c r="D2337" t="s">
        <v>101</v>
      </c>
      <c r="E2337" s="32">
        <v>0</v>
      </c>
      <c r="F2337" s="32">
        <v>198000</v>
      </c>
      <c r="G2337" s="32">
        <v>136262275</v>
      </c>
      <c r="H2337" t="s">
        <v>617</v>
      </c>
    </row>
    <row r="2338" spans="1:8" hidden="1" x14ac:dyDescent="0.3">
      <c r="A2338" s="28">
        <v>14642</v>
      </c>
      <c r="B2338" s="35">
        <v>45167.67291666667</v>
      </c>
      <c r="C2338" s="18">
        <v>45167</v>
      </c>
      <c r="D2338" t="s">
        <v>101</v>
      </c>
      <c r="E2338" s="32">
        <v>0</v>
      </c>
      <c r="F2338" s="32">
        <v>14951410</v>
      </c>
      <c r="G2338" s="32">
        <v>136460275</v>
      </c>
      <c r="H2338" t="s">
        <v>518</v>
      </c>
    </row>
    <row r="2339" spans="1:8" hidden="1" x14ac:dyDescent="0.3">
      <c r="A2339" s="28">
        <v>14641</v>
      </c>
      <c r="B2339" s="35">
        <v>45167.672222222223</v>
      </c>
      <c r="C2339" s="18">
        <v>45167</v>
      </c>
      <c r="D2339" t="s">
        <v>100</v>
      </c>
      <c r="E2339" s="32">
        <v>130000000</v>
      </c>
      <c r="F2339" s="32">
        <v>0</v>
      </c>
      <c r="G2339" s="32">
        <v>151411685</v>
      </c>
      <c r="H2339" t="s">
        <v>259</v>
      </c>
    </row>
    <row r="2340" spans="1:8" hidden="1" x14ac:dyDescent="0.3">
      <c r="A2340" s="28">
        <v>14638</v>
      </c>
      <c r="B2340" s="35">
        <v>45167.621527777781</v>
      </c>
      <c r="C2340" s="18">
        <v>45167</v>
      </c>
      <c r="D2340" t="s">
        <v>101</v>
      </c>
      <c r="E2340" s="32">
        <v>0</v>
      </c>
      <c r="F2340" s="32">
        <v>4277570</v>
      </c>
      <c r="G2340" s="32">
        <v>21411685</v>
      </c>
      <c r="H2340" t="s">
        <v>221</v>
      </c>
    </row>
    <row r="2341" spans="1:8" hidden="1" x14ac:dyDescent="0.3">
      <c r="A2341" s="28">
        <v>14637</v>
      </c>
      <c r="B2341" s="35">
        <v>45167.454861111109</v>
      </c>
      <c r="C2341" s="18">
        <v>45167</v>
      </c>
      <c r="D2341" t="s">
        <v>101</v>
      </c>
      <c r="E2341" s="32">
        <v>0</v>
      </c>
      <c r="F2341" s="32">
        <v>18000</v>
      </c>
      <c r="G2341" s="32">
        <v>25689255</v>
      </c>
      <c r="H2341" t="s">
        <v>385</v>
      </c>
    </row>
    <row r="2342" spans="1:8" hidden="1" x14ac:dyDescent="0.3">
      <c r="A2342" s="28">
        <v>14636</v>
      </c>
      <c r="B2342" s="35">
        <v>45167.453472222223</v>
      </c>
      <c r="C2342" s="18">
        <v>45167</v>
      </c>
      <c r="D2342" t="s">
        <v>101</v>
      </c>
      <c r="E2342" s="32">
        <v>0</v>
      </c>
      <c r="F2342" s="32">
        <v>34980490</v>
      </c>
      <c r="G2342" s="32">
        <v>25707255</v>
      </c>
      <c r="H2342" t="s">
        <v>258</v>
      </c>
    </row>
    <row r="2343" spans="1:8" hidden="1" x14ac:dyDescent="0.3">
      <c r="A2343" s="28">
        <v>14635</v>
      </c>
      <c r="B2343" s="35">
        <v>45167.452777777777</v>
      </c>
      <c r="C2343" s="18">
        <v>45167</v>
      </c>
      <c r="D2343" t="s">
        <v>101</v>
      </c>
      <c r="E2343" s="32">
        <v>0</v>
      </c>
      <c r="F2343" s="32">
        <v>11729380</v>
      </c>
      <c r="G2343" s="32">
        <v>60687745</v>
      </c>
      <c r="H2343" t="s">
        <v>258</v>
      </c>
    </row>
    <row r="2344" spans="1:8" hidden="1" x14ac:dyDescent="0.3">
      <c r="A2344" s="28">
        <v>14634</v>
      </c>
      <c r="B2344" s="35">
        <v>45167.419444444444</v>
      </c>
      <c r="C2344" s="18">
        <v>45167</v>
      </c>
      <c r="D2344" t="s">
        <v>100</v>
      </c>
      <c r="E2344" s="32">
        <v>2222000</v>
      </c>
      <c r="F2344" s="32">
        <v>0</v>
      </c>
      <c r="G2344" s="32">
        <v>72417125</v>
      </c>
      <c r="H2344" t="s">
        <v>618</v>
      </c>
    </row>
    <row r="2345" spans="1:8" hidden="1" x14ac:dyDescent="0.3">
      <c r="A2345" s="28">
        <v>14633</v>
      </c>
      <c r="B2345" s="35">
        <v>45167.395138888889</v>
      </c>
      <c r="C2345" s="18">
        <v>45167</v>
      </c>
      <c r="D2345" t="s">
        <v>101</v>
      </c>
      <c r="E2345" s="32">
        <v>0</v>
      </c>
      <c r="F2345" s="32">
        <v>50490</v>
      </c>
      <c r="G2345" s="32">
        <v>70195125</v>
      </c>
      <c r="H2345" t="s">
        <v>293</v>
      </c>
    </row>
    <row r="2346" spans="1:8" hidden="1" x14ac:dyDescent="0.3">
      <c r="A2346" s="28">
        <v>14632</v>
      </c>
      <c r="B2346" s="35">
        <v>45167.368055555555</v>
      </c>
      <c r="C2346" s="18">
        <v>45167</v>
      </c>
      <c r="D2346" t="s">
        <v>100</v>
      </c>
      <c r="E2346" s="32">
        <v>541200</v>
      </c>
      <c r="F2346" s="32">
        <v>0</v>
      </c>
      <c r="G2346" s="32">
        <v>70245615</v>
      </c>
      <c r="H2346" t="s">
        <v>220</v>
      </c>
    </row>
    <row r="2347" spans="1:8" hidden="1" x14ac:dyDescent="0.3">
      <c r="A2347" s="28">
        <v>14631</v>
      </c>
      <c r="B2347" s="35">
        <v>45167.368055555555</v>
      </c>
      <c r="C2347" s="18">
        <v>45167</v>
      </c>
      <c r="D2347" t="s">
        <v>100</v>
      </c>
      <c r="E2347" s="32">
        <v>249700</v>
      </c>
      <c r="F2347" s="32">
        <v>0</v>
      </c>
      <c r="G2347" s="32">
        <v>69704415</v>
      </c>
      <c r="H2347" t="s">
        <v>220</v>
      </c>
    </row>
    <row r="2348" spans="1:8" hidden="1" x14ac:dyDescent="0.3">
      <c r="A2348" s="28">
        <v>14630</v>
      </c>
      <c r="B2348" s="35">
        <v>45166.711805555555</v>
      </c>
      <c r="C2348" s="18">
        <v>45166</v>
      </c>
      <c r="D2348" t="s">
        <v>101</v>
      </c>
      <c r="E2348" s="32">
        <v>0</v>
      </c>
      <c r="F2348" s="32">
        <v>6600000</v>
      </c>
      <c r="G2348" s="32">
        <v>69454715</v>
      </c>
      <c r="H2348" t="s">
        <v>619</v>
      </c>
    </row>
    <row r="2349" spans="1:8" hidden="1" x14ac:dyDescent="0.3">
      <c r="A2349" s="28">
        <v>14629</v>
      </c>
      <c r="B2349" s="35">
        <v>45166.651388888888</v>
      </c>
      <c r="C2349" s="18">
        <v>45166</v>
      </c>
      <c r="D2349" t="s">
        <v>100</v>
      </c>
      <c r="E2349" s="32">
        <v>2748900</v>
      </c>
      <c r="F2349" s="32">
        <v>0</v>
      </c>
      <c r="G2349" s="32">
        <v>76054715</v>
      </c>
      <c r="H2349" t="s">
        <v>218</v>
      </c>
    </row>
    <row r="2350" spans="1:8" hidden="1" x14ac:dyDescent="0.3">
      <c r="A2350" s="28">
        <v>14628</v>
      </c>
      <c r="B2350" s="35">
        <v>45166.62777777778</v>
      </c>
      <c r="C2350" s="18">
        <v>45166</v>
      </c>
      <c r="D2350" t="s">
        <v>100</v>
      </c>
      <c r="E2350" s="32">
        <v>90200</v>
      </c>
      <c r="F2350" s="32">
        <v>0</v>
      </c>
      <c r="G2350" s="32">
        <v>73305815</v>
      </c>
      <c r="H2350" t="s">
        <v>275</v>
      </c>
    </row>
    <row r="2351" spans="1:8" hidden="1" x14ac:dyDescent="0.3">
      <c r="A2351" s="28">
        <v>14627</v>
      </c>
      <c r="B2351" s="35">
        <v>45166.62777777778</v>
      </c>
      <c r="C2351" s="18">
        <v>45166</v>
      </c>
      <c r="D2351" t="s">
        <v>100</v>
      </c>
      <c r="E2351" s="32">
        <v>361900</v>
      </c>
      <c r="F2351" s="32">
        <v>0</v>
      </c>
      <c r="G2351" s="32">
        <v>73215615</v>
      </c>
      <c r="H2351" t="s">
        <v>275</v>
      </c>
    </row>
    <row r="2352" spans="1:8" hidden="1" x14ac:dyDescent="0.3">
      <c r="A2352" s="28">
        <v>14626</v>
      </c>
      <c r="B2352" s="35">
        <v>45166.611805555556</v>
      </c>
      <c r="C2352" s="18">
        <v>45166</v>
      </c>
      <c r="D2352" t="s">
        <v>100</v>
      </c>
      <c r="E2352" s="32">
        <v>2438700</v>
      </c>
      <c r="F2352" s="32">
        <v>0</v>
      </c>
      <c r="G2352" s="32">
        <v>72853715</v>
      </c>
      <c r="H2352" t="s">
        <v>620</v>
      </c>
    </row>
    <row r="2353" spans="1:8" hidden="1" x14ac:dyDescent="0.3">
      <c r="A2353" s="28">
        <v>14625</v>
      </c>
      <c r="B2353" s="35">
        <v>45166.604861111111</v>
      </c>
      <c r="C2353" s="18">
        <v>45166</v>
      </c>
      <c r="D2353" t="s">
        <v>101</v>
      </c>
      <c r="E2353" s="32">
        <v>0</v>
      </c>
      <c r="F2353" s="32">
        <v>99000</v>
      </c>
      <c r="G2353" s="32">
        <v>70415015</v>
      </c>
      <c r="H2353" t="s">
        <v>621</v>
      </c>
    </row>
    <row r="2354" spans="1:8" hidden="1" x14ac:dyDescent="0.3">
      <c r="A2354" s="28">
        <v>14624</v>
      </c>
      <c r="B2354" s="35">
        <v>45166.500694444447</v>
      </c>
      <c r="C2354" s="18">
        <v>45166</v>
      </c>
      <c r="D2354" t="s">
        <v>100</v>
      </c>
      <c r="E2354" s="32">
        <v>44138947</v>
      </c>
      <c r="F2354" s="32">
        <v>0</v>
      </c>
      <c r="G2354" s="32">
        <v>70514015</v>
      </c>
      <c r="H2354" t="s">
        <v>370</v>
      </c>
    </row>
    <row r="2355" spans="1:8" hidden="1" x14ac:dyDescent="0.3">
      <c r="A2355" s="28">
        <v>14623</v>
      </c>
      <c r="B2355" s="35">
        <v>45166.500694444447</v>
      </c>
      <c r="C2355" s="18">
        <v>45166</v>
      </c>
      <c r="D2355" t="s">
        <v>100</v>
      </c>
      <c r="E2355" s="32">
        <v>5405950</v>
      </c>
      <c r="F2355" s="32">
        <v>0</v>
      </c>
      <c r="G2355" s="32">
        <v>26375068</v>
      </c>
      <c r="H2355" t="s">
        <v>370</v>
      </c>
    </row>
    <row r="2356" spans="1:8" hidden="1" x14ac:dyDescent="0.3">
      <c r="A2356" s="28">
        <v>14622</v>
      </c>
      <c r="B2356" s="35">
        <v>45166.48541666667</v>
      </c>
      <c r="C2356" s="18">
        <v>45166</v>
      </c>
      <c r="D2356" t="s">
        <v>100</v>
      </c>
      <c r="E2356" s="32">
        <v>350900</v>
      </c>
      <c r="F2356" s="32">
        <v>0</v>
      </c>
      <c r="G2356" s="32">
        <v>20969118</v>
      </c>
      <c r="H2356" t="s">
        <v>454</v>
      </c>
    </row>
    <row r="2357" spans="1:8" hidden="1" x14ac:dyDescent="0.3">
      <c r="A2357" s="28">
        <v>14619</v>
      </c>
      <c r="B2357" s="35">
        <v>45166.45208333333</v>
      </c>
      <c r="C2357" s="18">
        <v>45166</v>
      </c>
      <c r="D2357" t="s">
        <v>100</v>
      </c>
      <c r="E2357" s="32">
        <v>396000</v>
      </c>
      <c r="F2357" s="32">
        <v>0</v>
      </c>
      <c r="G2357" s="32">
        <v>20618218</v>
      </c>
      <c r="H2357" t="s">
        <v>622</v>
      </c>
    </row>
    <row r="2358" spans="1:8" hidden="1" x14ac:dyDescent="0.3">
      <c r="A2358" s="28">
        <v>14618</v>
      </c>
      <c r="B2358" s="35">
        <v>45166.439583333333</v>
      </c>
      <c r="C2358" s="18">
        <v>45166</v>
      </c>
      <c r="D2358" t="s">
        <v>100</v>
      </c>
      <c r="E2358" s="32">
        <v>89100</v>
      </c>
      <c r="F2358" s="32">
        <v>0</v>
      </c>
      <c r="G2358" s="32">
        <v>20222218</v>
      </c>
      <c r="H2358" t="s">
        <v>623</v>
      </c>
    </row>
    <row r="2359" spans="1:8" hidden="1" x14ac:dyDescent="0.3">
      <c r="A2359" s="28">
        <v>14613</v>
      </c>
      <c r="B2359" s="35">
        <v>45163.832638888889</v>
      </c>
      <c r="C2359" s="18">
        <v>45163</v>
      </c>
      <c r="D2359" t="s">
        <v>101</v>
      </c>
      <c r="E2359" s="32">
        <v>0</v>
      </c>
      <c r="F2359" s="32">
        <v>440000</v>
      </c>
      <c r="G2359" s="32">
        <v>20133118</v>
      </c>
      <c r="H2359" t="s">
        <v>413</v>
      </c>
    </row>
    <row r="2360" spans="1:8" hidden="1" x14ac:dyDescent="0.3">
      <c r="A2360" s="28">
        <v>14610</v>
      </c>
      <c r="B2360" s="35">
        <v>45163.62777777778</v>
      </c>
      <c r="C2360" s="18">
        <v>45163</v>
      </c>
      <c r="D2360" t="s">
        <v>100</v>
      </c>
      <c r="E2360" s="32">
        <v>2356200</v>
      </c>
      <c r="F2360" s="32">
        <v>0</v>
      </c>
      <c r="G2360" s="32">
        <v>20573118</v>
      </c>
      <c r="H2360" t="s">
        <v>249</v>
      </c>
    </row>
    <row r="2361" spans="1:8" hidden="1" x14ac:dyDescent="0.3">
      <c r="A2361" s="28">
        <v>14609</v>
      </c>
      <c r="B2361" s="35">
        <v>45163.598611111112</v>
      </c>
      <c r="C2361" s="18">
        <v>45163</v>
      </c>
      <c r="D2361" t="s">
        <v>100</v>
      </c>
      <c r="E2361" s="32">
        <v>2039400</v>
      </c>
      <c r="F2361" s="32">
        <v>0</v>
      </c>
      <c r="G2361" s="32">
        <v>18216918</v>
      </c>
      <c r="H2361" t="s">
        <v>602</v>
      </c>
    </row>
    <row r="2362" spans="1:8" hidden="1" x14ac:dyDescent="0.3">
      <c r="A2362" s="28">
        <v>14608</v>
      </c>
      <c r="B2362" s="35">
        <v>45163.48541666667</v>
      </c>
      <c r="C2362" s="18">
        <v>45163</v>
      </c>
      <c r="D2362" t="s">
        <v>100</v>
      </c>
      <c r="E2362" s="32">
        <v>293700</v>
      </c>
      <c r="F2362" s="32">
        <v>0</v>
      </c>
      <c r="G2362" s="32">
        <v>16177518</v>
      </c>
      <c r="H2362" t="s">
        <v>230</v>
      </c>
    </row>
    <row r="2363" spans="1:8" hidden="1" x14ac:dyDescent="0.3">
      <c r="A2363" s="28">
        <v>14606</v>
      </c>
      <c r="B2363" s="35">
        <v>45163.47152777778</v>
      </c>
      <c r="C2363" s="18">
        <v>45163</v>
      </c>
      <c r="D2363" t="s">
        <v>101</v>
      </c>
      <c r="E2363" s="32">
        <v>0</v>
      </c>
      <c r="F2363" s="32">
        <v>587070</v>
      </c>
      <c r="G2363" s="32">
        <v>15883818</v>
      </c>
      <c r="H2363" t="s">
        <v>293</v>
      </c>
    </row>
    <row r="2364" spans="1:8" hidden="1" x14ac:dyDescent="0.3">
      <c r="A2364" s="28">
        <v>14604</v>
      </c>
      <c r="B2364" s="35">
        <v>45163.363888888889</v>
      </c>
      <c r="C2364" s="18">
        <v>45163</v>
      </c>
      <c r="D2364" t="s">
        <v>101</v>
      </c>
      <c r="E2364" s="32">
        <v>0</v>
      </c>
      <c r="F2364" s="32">
        <v>130000</v>
      </c>
      <c r="G2364" s="32">
        <v>16470888</v>
      </c>
      <c r="H2364" t="s">
        <v>624</v>
      </c>
    </row>
    <row r="2365" spans="1:8" hidden="1" x14ac:dyDescent="0.3">
      <c r="A2365" s="28">
        <v>14603</v>
      </c>
      <c r="B2365" s="35">
        <v>45163.362500000003</v>
      </c>
      <c r="C2365" s="18">
        <v>45163</v>
      </c>
      <c r="D2365" t="s">
        <v>101</v>
      </c>
      <c r="E2365" s="32">
        <v>0</v>
      </c>
      <c r="F2365" s="32">
        <v>450000</v>
      </c>
      <c r="G2365" s="32">
        <v>16600888</v>
      </c>
      <c r="H2365" t="s">
        <v>282</v>
      </c>
    </row>
    <row r="2366" spans="1:8" hidden="1" x14ac:dyDescent="0.3">
      <c r="A2366" s="28">
        <v>14602</v>
      </c>
      <c r="B2366" s="35">
        <v>45163.361805555556</v>
      </c>
      <c r="C2366" s="18">
        <v>45163</v>
      </c>
      <c r="D2366" t="s">
        <v>101</v>
      </c>
      <c r="E2366" s="32">
        <v>0</v>
      </c>
      <c r="F2366" s="32">
        <v>2622281</v>
      </c>
      <c r="G2366" s="32">
        <v>17050888</v>
      </c>
      <c r="H2366" t="s">
        <v>625</v>
      </c>
    </row>
    <row r="2367" spans="1:8" hidden="1" x14ac:dyDescent="0.3">
      <c r="A2367" s="28">
        <v>14601</v>
      </c>
      <c r="B2367" s="35">
        <v>45162.64166666667</v>
      </c>
      <c r="C2367" s="18">
        <v>45162</v>
      </c>
      <c r="D2367" t="s">
        <v>100</v>
      </c>
      <c r="E2367" s="32">
        <v>2550900</v>
      </c>
      <c r="F2367" s="32">
        <v>0</v>
      </c>
      <c r="G2367" s="32">
        <v>19673169</v>
      </c>
      <c r="H2367" t="s">
        <v>620</v>
      </c>
    </row>
    <row r="2368" spans="1:8" hidden="1" x14ac:dyDescent="0.3">
      <c r="A2368" s="28">
        <v>14600</v>
      </c>
      <c r="B2368" s="35">
        <v>45162.592361111114</v>
      </c>
      <c r="C2368" s="18">
        <v>45162</v>
      </c>
      <c r="D2368" t="s">
        <v>101</v>
      </c>
      <c r="E2368" s="32">
        <v>0</v>
      </c>
      <c r="F2368" s="32">
        <v>10442910</v>
      </c>
      <c r="G2368" s="32">
        <v>17122269</v>
      </c>
      <c r="H2368" t="s">
        <v>289</v>
      </c>
    </row>
    <row r="2369" spans="1:8" hidden="1" x14ac:dyDescent="0.3">
      <c r="A2369" s="28">
        <v>14599</v>
      </c>
      <c r="B2369" s="35">
        <v>45162.506944444445</v>
      </c>
      <c r="C2369" s="18">
        <v>45162</v>
      </c>
      <c r="D2369" t="s">
        <v>100</v>
      </c>
      <c r="E2369" s="32">
        <v>75780</v>
      </c>
      <c r="F2369" s="32">
        <v>0</v>
      </c>
      <c r="G2369" s="32">
        <v>27565179</v>
      </c>
      <c r="H2369" t="s">
        <v>284</v>
      </c>
    </row>
    <row r="2370" spans="1:8" hidden="1" x14ac:dyDescent="0.3">
      <c r="A2370" s="28">
        <v>14596</v>
      </c>
      <c r="B2370" s="35">
        <v>45161.8125</v>
      </c>
      <c r="C2370" s="18">
        <v>45161</v>
      </c>
      <c r="D2370" t="s">
        <v>100</v>
      </c>
      <c r="E2370" s="32">
        <v>160600</v>
      </c>
      <c r="F2370" s="32">
        <v>0</v>
      </c>
      <c r="G2370" s="32">
        <v>27489399</v>
      </c>
      <c r="H2370" t="s">
        <v>375</v>
      </c>
    </row>
    <row r="2371" spans="1:8" hidden="1" x14ac:dyDescent="0.3">
      <c r="A2371" s="28">
        <v>14595</v>
      </c>
      <c r="B2371" s="35">
        <v>45161.761111111111</v>
      </c>
      <c r="C2371" s="18">
        <v>45161</v>
      </c>
      <c r="D2371" t="s">
        <v>100</v>
      </c>
      <c r="E2371" s="32">
        <v>940000</v>
      </c>
      <c r="F2371" s="32">
        <v>0</v>
      </c>
      <c r="G2371" s="32">
        <v>27328799</v>
      </c>
      <c r="H2371" t="s">
        <v>601</v>
      </c>
    </row>
    <row r="2372" spans="1:8" hidden="1" x14ac:dyDescent="0.3">
      <c r="A2372" s="28">
        <v>14594</v>
      </c>
      <c r="B2372" s="35">
        <v>45161.761111111111</v>
      </c>
      <c r="C2372" s="18">
        <v>45161</v>
      </c>
      <c r="D2372" t="s">
        <v>100</v>
      </c>
      <c r="E2372" s="32">
        <v>3557000</v>
      </c>
      <c r="F2372" s="32">
        <v>0</v>
      </c>
      <c r="G2372" s="32">
        <v>26388799</v>
      </c>
      <c r="H2372" t="s">
        <v>601</v>
      </c>
    </row>
    <row r="2373" spans="1:8" hidden="1" x14ac:dyDescent="0.3">
      <c r="A2373" s="28">
        <v>14593</v>
      </c>
      <c r="B2373" s="35">
        <v>45161.760416666664</v>
      </c>
      <c r="C2373" s="18">
        <v>45161</v>
      </c>
      <c r="D2373" t="s">
        <v>100</v>
      </c>
      <c r="E2373" s="32">
        <v>355700</v>
      </c>
      <c r="F2373" s="32">
        <v>0</v>
      </c>
      <c r="G2373" s="32">
        <v>22831799</v>
      </c>
      <c r="H2373" t="s">
        <v>601</v>
      </c>
    </row>
    <row r="2374" spans="1:8" hidden="1" x14ac:dyDescent="0.3">
      <c r="A2374" s="28">
        <v>14592</v>
      </c>
      <c r="B2374" s="35">
        <v>45161.760416666664</v>
      </c>
      <c r="C2374" s="18">
        <v>45161</v>
      </c>
      <c r="D2374" t="s">
        <v>100</v>
      </c>
      <c r="E2374" s="32">
        <v>94000</v>
      </c>
      <c r="F2374" s="32">
        <v>0</v>
      </c>
      <c r="G2374" s="32">
        <v>22476099</v>
      </c>
      <c r="H2374" t="s">
        <v>601</v>
      </c>
    </row>
    <row r="2375" spans="1:8" hidden="1" x14ac:dyDescent="0.3">
      <c r="A2375" s="28">
        <v>14591</v>
      </c>
      <c r="B2375" s="35">
        <v>45161.62222222222</v>
      </c>
      <c r="C2375" s="18">
        <v>45161</v>
      </c>
      <c r="D2375" t="s">
        <v>100</v>
      </c>
      <c r="E2375" s="32">
        <v>1254000</v>
      </c>
      <c r="F2375" s="32">
        <v>0</v>
      </c>
      <c r="G2375" s="32">
        <v>22382099</v>
      </c>
      <c r="H2375" t="s">
        <v>474</v>
      </c>
    </row>
    <row r="2376" spans="1:8" hidden="1" x14ac:dyDescent="0.3">
      <c r="A2376" s="28">
        <v>14587</v>
      </c>
      <c r="B2376" s="35">
        <v>45161.592361111114</v>
      </c>
      <c r="C2376" s="18">
        <v>45161</v>
      </c>
      <c r="D2376" t="s">
        <v>100</v>
      </c>
      <c r="E2376" s="32">
        <v>251900</v>
      </c>
      <c r="F2376" s="32">
        <v>0</v>
      </c>
      <c r="G2376" s="32">
        <v>21128099</v>
      </c>
      <c r="H2376" t="s">
        <v>309</v>
      </c>
    </row>
    <row r="2377" spans="1:8" hidden="1" x14ac:dyDescent="0.3">
      <c r="A2377" s="28">
        <v>14586</v>
      </c>
      <c r="B2377" s="35">
        <v>45161.57708333333</v>
      </c>
      <c r="C2377" s="18">
        <v>45161</v>
      </c>
      <c r="D2377" t="s">
        <v>100</v>
      </c>
      <c r="E2377" s="32">
        <v>162800</v>
      </c>
      <c r="F2377" s="32">
        <v>0</v>
      </c>
      <c r="G2377" s="32">
        <v>20876199</v>
      </c>
      <c r="H2377" t="s">
        <v>454</v>
      </c>
    </row>
    <row r="2378" spans="1:8" hidden="1" x14ac:dyDescent="0.3">
      <c r="A2378" s="28">
        <v>14585</v>
      </c>
      <c r="B2378" s="35">
        <v>45161.550694444442</v>
      </c>
      <c r="C2378" s="18">
        <v>45161</v>
      </c>
      <c r="D2378" t="s">
        <v>101</v>
      </c>
      <c r="E2378" s="32">
        <v>0</v>
      </c>
      <c r="F2378" s="32">
        <v>57420</v>
      </c>
      <c r="G2378" s="32">
        <v>20713399</v>
      </c>
      <c r="H2378" t="s">
        <v>293</v>
      </c>
    </row>
    <row r="2379" spans="1:8" hidden="1" x14ac:dyDescent="0.3">
      <c r="A2379" s="28">
        <v>14583</v>
      </c>
      <c r="B2379" s="35">
        <v>45160.71875</v>
      </c>
      <c r="C2379" s="18">
        <v>45160</v>
      </c>
      <c r="D2379" t="s">
        <v>100</v>
      </c>
      <c r="E2379" s="32">
        <v>599500</v>
      </c>
      <c r="F2379" s="32">
        <v>0</v>
      </c>
      <c r="G2379" s="32">
        <v>20770819</v>
      </c>
      <c r="H2379" t="s">
        <v>228</v>
      </c>
    </row>
    <row r="2380" spans="1:8" hidden="1" x14ac:dyDescent="0.3">
      <c r="A2380" s="28">
        <v>14582</v>
      </c>
      <c r="B2380" s="35">
        <v>45160.71875</v>
      </c>
      <c r="C2380" s="18">
        <v>45160</v>
      </c>
      <c r="D2380" t="s">
        <v>100</v>
      </c>
      <c r="E2380" s="32">
        <v>402600</v>
      </c>
      <c r="F2380" s="32">
        <v>0</v>
      </c>
      <c r="G2380" s="32">
        <v>20171319</v>
      </c>
      <c r="H2380" t="s">
        <v>228</v>
      </c>
    </row>
    <row r="2381" spans="1:8" hidden="1" x14ac:dyDescent="0.3">
      <c r="A2381" s="28">
        <v>14581</v>
      </c>
      <c r="B2381" s="35">
        <v>45160.71875</v>
      </c>
      <c r="C2381" s="18">
        <v>45160</v>
      </c>
      <c r="D2381" t="s">
        <v>100</v>
      </c>
      <c r="E2381" s="32">
        <v>1712700</v>
      </c>
      <c r="F2381" s="32">
        <v>0</v>
      </c>
      <c r="G2381" s="32">
        <v>19768719</v>
      </c>
      <c r="H2381" t="s">
        <v>228</v>
      </c>
    </row>
    <row r="2382" spans="1:8" hidden="1" x14ac:dyDescent="0.3">
      <c r="A2382" s="28">
        <v>14577</v>
      </c>
      <c r="B2382" s="35">
        <v>45160.679861111108</v>
      </c>
      <c r="C2382" s="18">
        <v>45160</v>
      </c>
      <c r="D2382" t="s">
        <v>101</v>
      </c>
      <c r="E2382" s="32">
        <v>0</v>
      </c>
      <c r="F2382" s="32">
        <v>51490</v>
      </c>
      <c r="G2382" s="32">
        <v>18056019</v>
      </c>
      <c r="H2382" t="s">
        <v>356</v>
      </c>
    </row>
    <row r="2383" spans="1:8" hidden="1" x14ac:dyDescent="0.3">
      <c r="A2383" s="28">
        <v>14576</v>
      </c>
      <c r="B2383" s="35">
        <v>45160.552777777775</v>
      </c>
      <c r="C2383" s="18">
        <v>45160</v>
      </c>
      <c r="D2383" t="s">
        <v>101</v>
      </c>
      <c r="E2383" s="32">
        <v>0</v>
      </c>
      <c r="F2383" s="32">
        <v>346500</v>
      </c>
      <c r="G2383" s="32">
        <v>18107509</v>
      </c>
      <c r="H2383" t="s">
        <v>626</v>
      </c>
    </row>
    <row r="2384" spans="1:8" hidden="1" x14ac:dyDescent="0.3">
      <c r="A2384" s="28">
        <v>14574</v>
      </c>
      <c r="B2384" s="35">
        <v>45160.459722222222</v>
      </c>
      <c r="C2384" s="18">
        <v>45160</v>
      </c>
      <c r="D2384" t="s">
        <v>100</v>
      </c>
      <c r="E2384" s="32">
        <v>102300</v>
      </c>
      <c r="F2384" s="32">
        <v>0</v>
      </c>
      <c r="G2384" s="32">
        <v>18454009</v>
      </c>
      <c r="H2384" t="s">
        <v>240</v>
      </c>
    </row>
    <row r="2385" spans="1:8" hidden="1" x14ac:dyDescent="0.3">
      <c r="A2385" s="28">
        <v>14573</v>
      </c>
      <c r="B2385" s="35">
        <v>45160.444444444445</v>
      </c>
      <c r="C2385" s="18">
        <v>45160</v>
      </c>
      <c r="D2385" t="s">
        <v>100</v>
      </c>
      <c r="E2385" s="32">
        <v>1023000</v>
      </c>
      <c r="F2385" s="32">
        <v>0</v>
      </c>
      <c r="G2385" s="32">
        <v>18351709</v>
      </c>
      <c r="H2385" t="s">
        <v>240</v>
      </c>
    </row>
    <row r="2386" spans="1:8" hidden="1" x14ac:dyDescent="0.3">
      <c r="A2386" s="28">
        <v>14572</v>
      </c>
      <c r="B2386" s="35">
        <v>45159.870138888888</v>
      </c>
      <c r="C2386" s="18">
        <v>45159</v>
      </c>
      <c r="D2386" t="s">
        <v>101</v>
      </c>
      <c r="E2386" s="32">
        <v>0</v>
      </c>
      <c r="F2386" s="32">
        <v>598530</v>
      </c>
      <c r="G2386" s="32">
        <v>17328709</v>
      </c>
      <c r="H2386" t="s">
        <v>422</v>
      </c>
    </row>
    <row r="2387" spans="1:8" hidden="1" x14ac:dyDescent="0.3">
      <c r="A2387" s="28">
        <v>14571</v>
      </c>
      <c r="B2387" s="35">
        <v>45159.842361111114</v>
      </c>
      <c r="C2387" s="18">
        <v>45159</v>
      </c>
      <c r="D2387" t="s">
        <v>101</v>
      </c>
      <c r="E2387" s="32">
        <v>0</v>
      </c>
      <c r="F2387" s="32">
        <v>280875</v>
      </c>
      <c r="G2387" s="32">
        <v>17927239</v>
      </c>
      <c r="H2387" t="s">
        <v>423</v>
      </c>
    </row>
    <row r="2388" spans="1:8" hidden="1" x14ac:dyDescent="0.3">
      <c r="A2388" s="28">
        <v>14570</v>
      </c>
      <c r="B2388" s="35">
        <v>45159.823611111111</v>
      </c>
      <c r="C2388" s="18">
        <v>45159</v>
      </c>
      <c r="D2388" t="s">
        <v>101</v>
      </c>
      <c r="E2388" s="32">
        <v>0</v>
      </c>
      <c r="F2388" s="32">
        <v>77429</v>
      </c>
      <c r="G2388" s="32">
        <v>18208114</v>
      </c>
      <c r="H2388" t="s">
        <v>627</v>
      </c>
    </row>
    <row r="2389" spans="1:8" hidden="1" x14ac:dyDescent="0.3">
      <c r="A2389" s="28">
        <v>14569</v>
      </c>
      <c r="B2389" s="35">
        <v>45159.818055555559</v>
      </c>
      <c r="C2389" s="18">
        <v>45159</v>
      </c>
      <c r="D2389" t="s">
        <v>101</v>
      </c>
      <c r="E2389" s="32">
        <v>0</v>
      </c>
      <c r="F2389" s="32">
        <v>1000000</v>
      </c>
      <c r="G2389" s="32">
        <v>18285543</v>
      </c>
      <c r="H2389" t="s">
        <v>628</v>
      </c>
    </row>
    <row r="2390" spans="1:8" hidden="1" x14ac:dyDescent="0.3">
      <c r="A2390" s="28">
        <v>14563</v>
      </c>
      <c r="B2390" s="35">
        <v>45159.656944444447</v>
      </c>
      <c r="C2390" s="18">
        <v>45159</v>
      </c>
      <c r="D2390" t="s">
        <v>101</v>
      </c>
      <c r="E2390" s="32">
        <v>0</v>
      </c>
      <c r="F2390" s="32">
        <v>1896710</v>
      </c>
      <c r="G2390" s="32">
        <v>19285543</v>
      </c>
      <c r="H2390" t="s">
        <v>294</v>
      </c>
    </row>
    <row r="2391" spans="1:8" hidden="1" x14ac:dyDescent="0.3">
      <c r="A2391" s="28">
        <v>14562</v>
      </c>
      <c r="B2391" s="35">
        <v>45159.580555555556</v>
      </c>
      <c r="C2391" s="18">
        <v>45159</v>
      </c>
      <c r="D2391" t="s">
        <v>101</v>
      </c>
      <c r="E2391" s="32">
        <v>0</v>
      </c>
      <c r="F2391" s="32">
        <v>99000</v>
      </c>
      <c r="G2391" s="32">
        <v>21182253</v>
      </c>
      <c r="H2391" t="s">
        <v>629</v>
      </c>
    </row>
    <row r="2392" spans="1:8" hidden="1" x14ac:dyDescent="0.3">
      <c r="A2392" s="28">
        <v>14561</v>
      </c>
      <c r="B2392" s="35">
        <v>45159.548611111109</v>
      </c>
      <c r="C2392" s="18">
        <v>45159</v>
      </c>
      <c r="D2392" t="s">
        <v>100</v>
      </c>
      <c r="E2392" s="32">
        <v>126500</v>
      </c>
      <c r="F2392" s="32">
        <v>0</v>
      </c>
      <c r="G2392" s="32">
        <v>21281253</v>
      </c>
      <c r="H2392" t="s">
        <v>256</v>
      </c>
    </row>
    <row r="2393" spans="1:8" hidden="1" x14ac:dyDescent="0.3">
      <c r="A2393" s="28">
        <v>14559</v>
      </c>
      <c r="B2393" s="35">
        <v>45159.488194444442</v>
      </c>
      <c r="C2393" s="18">
        <v>45159</v>
      </c>
      <c r="D2393" t="s">
        <v>100</v>
      </c>
      <c r="E2393" s="32">
        <v>471900</v>
      </c>
      <c r="F2393" s="32">
        <v>0</v>
      </c>
      <c r="G2393" s="32">
        <v>21154753</v>
      </c>
      <c r="H2393" t="s">
        <v>220</v>
      </c>
    </row>
    <row r="2394" spans="1:8" hidden="1" x14ac:dyDescent="0.3">
      <c r="A2394" s="28">
        <v>14558</v>
      </c>
      <c r="B2394" s="35">
        <v>45159.425000000003</v>
      </c>
      <c r="C2394" s="18">
        <v>45159</v>
      </c>
      <c r="D2394" t="s">
        <v>101</v>
      </c>
      <c r="E2394" s="32">
        <v>0</v>
      </c>
      <c r="F2394" s="32">
        <v>1090520</v>
      </c>
      <c r="G2394" s="32">
        <v>20682853</v>
      </c>
      <c r="H2394" t="s">
        <v>291</v>
      </c>
    </row>
    <row r="2395" spans="1:8" hidden="1" x14ac:dyDescent="0.3">
      <c r="A2395" s="28">
        <v>14554</v>
      </c>
      <c r="B2395" s="35">
        <v>45155.627083333333</v>
      </c>
      <c r="C2395" s="18">
        <v>45155</v>
      </c>
      <c r="D2395" t="s">
        <v>100</v>
      </c>
      <c r="E2395" s="32">
        <v>136400</v>
      </c>
      <c r="F2395" s="32">
        <v>0</v>
      </c>
      <c r="G2395" s="32">
        <v>21773373</v>
      </c>
      <c r="H2395" t="s">
        <v>489</v>
      </c>
    </row>
    <row r="2396" spans="1:8" hidden="1" x14ac:dyDescent="0.3">
      <c r="A2396" s="28">
        <v>14553</v>
      </c>
      <c r="B2396" s="35">
        <v>45155.5625</v>
      </c>
      <c r="C2396" s="18">
        <v>45155</v>
      </c>
      <c r="D2396" t="s">
        <v>100</v>
      </c>
      <c r="E2396" s="32">
        <v>1090100</v>
      </c>
      <c r="F2396" s="32">
        <v>0</v>
      </c>
      <c r="G2396" s="32">
        <v>21636973</v>
      </c>
      <c r="H2396" t="s">
        <v>315</v>
      </c>
    </row>
    <row r="2397" spans="1:8" hidden="1" x14ac:dyDescent="0.3">
      <c r="A2397" s="28">
        <v>14552</v>
      </c>
      <c r="B2397" s="35">
        <v>45155.46875</v>
      </c>
      <c r="C2397" s="18">
        <v>45155</v>
      </c>
      <c r="D2397" t="s">
        <v>100</v>
      </c>
      <c r="E2397" s="32">
        <v>124300</v>
      </c>
      <c r="F2397" s="32">
        <v>0</v>
      </c>
      <c r="G2397" s="32">
        <v>20546873</v>
      </c>
      <c r="H2397" t="s">
        <v>329</v>
      </c>
    </row>
    <row r="2398" spans="1:8" hidden="1" x14ac:dyDescent="0.3">
      <c r="A2398" s="28">
        <v>14551</v>
      </c>
      <c r="B2398" s="35">
        <v>45155.459722222222</v>
      </c>
      <c r="C2398" s="18">
        <v>45155</v>
      </c>
      <c r="D2398" t="s">
        <v>100</v>
      </c>
      <c r="E2398" s="32">
        <v>1945900</v>
      </c>
      <c r="F2398" s="32">
        <v>0</v>
      </c>
      <c r="G2398" s="32">
        <v>20422573</v>
      </c>
      <c r="H2398" t="s">
        <v>528</v>
      </c>
    </row>
    <row r="2399" spans="1:8" hidden="1" x14ac:dyDescent="0.3">
      <c r="A2399" s="28">
        <v>14550</v>
      </c>
      <c r="B2399" s="35">
        <v>45155.386805555558</v>
      </c>
      <c r="C2399" s="18">
        <v>45155</v>
      </c>
      <c r="D2399" t="s">
        <v>100</v>
      </c>
      <c r="E2399" s="32">
        <v>144100</v>
      </c>
      <c r="F2399" s="32">
        <v>0</v>
      </c>
      <c r="G2399" s="32">
        <v>18476673</v>
      </c>
      <c r="H2399" t="s">
        <v>502</v>
      </c>
    </row>
    <row r="2400" spans="1:8" hidden="1" x14ac:dyDescent="0.3">
      <c r="A2400" s="28">
        <v>14549</v>
      </c>
      <c r="B2400" s="35">
        <v>45155.379861111112</v>
      </c>
      <c r="C2400" s="18">
        <v>45155</v>
      </c>
      <c r="D2400" t="s">
        <v>100</v>
      </c>
      <c r="E2400" s="32">
        <v>1472900</v>
      </c>
      <c r="F2400" s="32">
        <v>0</v>
      </c>
      <c r="G2400" s="32">
        <v>18332573</v>
      </c>
      <c r="H2400" t="s">
        <v>327</v>
      </c>
    </row>
    <row r="2401" spans="1:8" hidden="1" x14ac:dyDescent="0.3">
      <c r="A2401" s="28">
        <v>14548</v>
      </c>
      <c r="B2401" s="35">
        <v>45154.836805555555</v>
      </c>
      <c r="C2401" s="18">
        <v>45154</v>
      </c>
      <c r="D2401" t="s">
        <v>101</v>
      </c>
      <c r="E2401" s="32">
        <v>0</v>
      </c>
      <c r="F2401" s="32">
        <v>412500</v>
      </c>
      <c r="G2401" s="32">
        <v>16859673</v>
      </c>
      <c r="H2401" t="s">
        <v>433</v>
      </c>
    </row>
    <row r="2402" spans="1:8" hidden="1" x14ac:dyDescent="0.3">
      <c r="A2402" s="28">
        <v>14547</v>
      </c>
      <c r="B2402" s="35">
        <v>45154.8125</v>
      </c>
      <c r="C2402" s="18">
        <v>45154</v>
      </c>
      <c r="D2402" t="s">
        <v>101</v>
      </c>
      <c r="E2402" s="32">
        <v>0</v>
      </c>
      <c r="F2402" s="32">
        <v>810770</v>
      </c>
      <c r="G2402" s="32">
        <v>17272173</v>
      </c>
      <c r="H2402" t="s">
        <v>432</v>
      </c>
    </row>
    <row r="2403" spans="1:8" hidden="1" x14ac:dyDescent="0.3">
      <c r="A2403" s="28">
        <v>14546</v>
      </c>
      <c r="B2403" s="35">
        <v>45154.8125</v>
      </c>
      <c r="C2403" s="18">
        <v>45154</v>
      </c>
      <c r="D2403" t="s">
        <v>101</v>
      </c>
      <c r="E2403" s="32">
        <v>0</v>
      </c>
      <c r="F2403" s="32">
        <v>167850</v>
      </c>
      <c r="G2403" s="32">
        <v>18082943</v>
      </c>
      <c r="H2403" t="s">
        <v>432</v>
      </c>
    </row>
    <row r="2404" spans="1:8" hidden="1" x14ac:dyDescent="0.3">
      <c r="A2404" s="28">
        <v>14545</v>
      </c>
      <c r="B2404" s="35">
        <v>45154.8125</v>
      </c>
      <c r="C2404" s="18">
        <v>45154</v>
      </c>
      <c r="D2404" t="s">
        <v>101</v>
      </c>
      <c r="E2404" s="32">
        <v>0</v>
      </c>
      <c r="F2404" s="32">
        <v>987550</v>
      </c>
      <c r="G2404" s="32">
        <v>18250793</v>
      </c>
      <c r="H2404" t="s">
        <v>432</v>
      </c>
    </row>
    <row r="2405" spans="1:8" hidden="1" x14ac:dyDescent="0.3">
      <c r="A2405" s="28">
        <v>14544</v>
      </c>
      <c r="B2405" s="35">
        <v>45154.8125</v>
      </c>
      <c r="C2405" s="18">
        <v>45154</v>
      </c>
      <c r="D2405" t="s">
        <v>101</v>
      </c>
      <c r="E2405" s="32">
        <v>0</v>
      </c>
      <c r="F2405" s="32">
        <v>573100</v>
      </c>
      <c r="G2405" s="32">
        <v>19238343</v>
      </c>
      <c r="H2405" t="s">
        <v>432</v>
      </c>
    </row>
    <row r="2406" spans="1:8" hidden="1" x14ac:dyDescent="0.3">
      <c r="A2406" s="28">
        <v>14543</v>
      </c>
      <c r="B2406" s="35">
        <v>45154.807638888888</v>
      </c>
      <c r="C2406" s="18">
        <v>45154</v>
      </c>
      <c r="D2406" t="s">
        <v>101</v>
      </c>
      <c r="E2406" s="32">
        <v>0</v>
      </c>
      <c r="F2406" s="32">
        <v>99000</v>
      </c>
      <c r="G2406" s="32">
        <v>19811443</v>
      </c>
      <c r="H2406" t="s">
        <v>301</v>
      </c>
    </row>
    <row r="2407" spans="1:8" hidden="1" x14ac:dyDescent="0.3">
      <c r="A2407" s="28">
        <v>14542</v>
      </c>
      <c r="B2407" s="35">
        <v>45154.800694444442</v>
      </c>
      <c r="C2407" s="18">
        <v>45154</v>
      </c>
      <c r="D2407" t="s">
        <v>101</v>
      </c>
      <c r="E2407" s="32">
        <v>0</v>
      </c>
      <c r="F2407" s="32">
        <v>684420</v>
      </c>
      <c r="G2407" s="32">
        <v>19910443</v>
      </c>
      <c r="H2407" t="s">
        <v>435</v>
      </c>
    </row>
    <row r="2408" spans="1:8" hidden="1" x14ac:dyDescent="0.3">
      <c r="A2408" s="28">
        <v>14540</v>
      </c>
      <c r="B2408" s="35">
        <v>45154.76458333333</v>
      </c>
      <c r="C2408" s="18">
        <v>45154</v>
      </c>
      <c r="D2408" t="s">
        <v>101</v>
      </c>
      <c r="E2408" s="32">
        <v>0</v>
      </c>
      <c r="F2408" s="32">
        <v>14149786</v>
      </c>
      <c r="G2408" s="32">
        <v>20594863</v>
      </c>
      <c r="H2408" t="s">
        <v>303</v>
      </c>
    </row>
    <row r="2409" spans="1:8" hidden="1" x14ac:dyDescent="0.3">
      <c r="A2409" s="28">
        <v>14538</v>
      </c>
      <c r="B2409" s="35">
        <v>45154.64166666667</v>
      </c>
      <c r="C2409" s="18">
        <v>45154</v>
      </c>
      <c r="D2409" t="s">
        <v>100</v>
      </c>
      <c r="E2409" s="32">
        <v>191400</v>
      </c>
      <c r="F2409" s="32">
        <v>0</v>
      </c>
      <c r="G2409" s="32">
        <v>34744649</v>
      </c>
      <c r="H2409" t="s">
        <v>454</v>
      </c>
    </row>
    <row r="2410" spans="1:8" hidden="1" x14ac:dyDescent="0.3">
      <c r="A2410" s="28">
        <v>14537</v>
      </c>
      <c r="B2410" s="35">
        <v>45154.636805555558</v>
      </c>
      <c r="C2410" s="18">
        <v>45154</v>
      </c>
      <c r="D2410" t="s">
        <v>100</v>
      </c>
      <c r="E2410" s="32">
        <v>351000</v>
      </c>
      <c r="F2410" s="32">
        <v>0</v>
      </c>
      <c r="G2410" s="32">
        <v>34553249</v>
      </c>
      <c r="H2410" t="s">
        <v>390</v>
      </c>
    </row>
    <row r="2411" spans="1:8" hidden="1" x14ac:dyDescent="0.3">
      <c r="A2411" s="28">
        <v>14536</v>
      </c>
      <c r="B2411" s="35">
        <v>45154.615277777775</v>
      </c>
      <c r="C2411" s="18">
        <v>45154</v>
      </c>
      <c r="D2411" t="s">
        <v>100</v>
      </c>
      <c r="E2411" s="32">
        <v>552200</v>
      </c>
      <c r="F2411" s="32">
        <v>0</v>
      </c>
      <c r="G2411" s="32">
        <v>34202249</v>
      </c>
      <c r="H2411" t="s">
        <v>630</v>
      </c>
    </row>
    <row r="2412" spans="1:8" hidden="1" x14ac:dyDescent="0.3">
      <c r="A2412" s="28">
        <v>14535</v>
      </c>
      <c r="B2412" s="35">
        <v>45154.593055555553</v>
      </c>
      <c r="C2412" s="18">
        <v>45154</v>
      </c>
      <c r="D2412" t="s">
        <v>100</v>
      </c>
      <c r="E2412" s="32">
        <v>2028400</v>
      </c>
      <c r="F2412" s="32">
        <v>0</v>
      </c>
      <c r="G2412" s="32">
        <v>33650049</v>
      </c>
      <c r="H2412" t="s">
        <v>631</v>
      </c>
    </row>
    <row r="2413" spans="1:8" hidden="1" x14ac:dyDescent="0.3">
      <c r="A2413" s="28">
        <v>14534</v>
      </c>
      <c r="B2413" s="35">
        <v>45154.583333333336</v>
      </c>
      <c r="C2413" s="18">
        <v>45154</v>
      </c>
      <c r="D2413" t="s">
        <v>100</v>
      </c>
      <c r="E2413" s="32">
        <v>35100</v>
      </c>
      <c r="F2413" s="32">
        <v>0</v>
      </c>
      <c r="G2413" s="32">
        <v>31621649</v>
      </c>
      <c r="H2413" t="s">
        <v>391</v>
      </c>
    </row>
    <row r="2414" spans="1:8" hidden="1" x14ac:dyDescent="0.3">
      <c r="A2414" s="28">
        <v>14533</v>
      </c>
      <c r="B2414" s="35">
        <v>45154.552777777775</v>
      </c>
      <c r="C2414" s="18">
        <v>45154</v>
      </c>
      <c r="D2414" t="s">
        <v>101</v>
      </c>
      <c r="E2414" s="32">
        <v>0</v>
      </c>
      <c r="F2414" s="32">
        <v>3053600</v>
      </c>
      <c r="G2414" s="32">
        <v>31586549</v>
      </c>
      <c r="H2414" t="s">
        <v>632</v>
      </c>
    </row>
    <row r="2415" spans="1:8" hidden="1" x14ac:dyDescent="0.3">
      <c r="A2415" s="28">
        <v>14532</v>
      </c>
      <c r="B2415" s="35">
        <v>45154.48333333333</v>
      </c>
      <c r="C2415" s="18">
        <v>45154</v>
      </c>
      <c r="D2415" t="s">
        <v>100</v>
      </c>
      <c r="E2415" s="32">
        <v>128700</v>
      </c>
      <c r="F2415" s="32">
        <v>0</v>
      </c>
      <c r="G2415" s="32">
        <v>34640149</v>
      </c>
      <c r="H2415" t="s">
        <v>454</v>
      </c>
    </row>
    <row r="2416" spans="1:8" hidden="1" x14ac:dyDescent="0.3">
      <c r="A2416" s="28">
        <v>14531</v>
      </c>
      <c r="B2416" s="35">
        <v>45154.48333333333</v>
      </c>
      <c r="C2416" s="18">
        <v>45154</v>
      </c>
      <c r="D2416" t="s">
        <v>100</v>
      </c>
      <c r="E2416" s="32">
        <v>1536700</v>
      </c>
      <c r="F2416" s="32">
        <v>0</v>
      </c>
      <c r="G2416" s="32">
        <v>34511449</v>
      </c>
      <c r="H2416" t="s">
        <v>454</v>
      </c>
    </row>
    <row r="2417" spans="1:8" hidden="1" x14ac:dyDescent="0.3">
      <c r="A2417" s="28">
        <v>14529</v>
      </c>
      <c r="B2417" s="35">
        <v>45154.477777777778</v>
      </c>
      <c r="C2417" s="18">
        <v>45154</v>
      </c>
      <c r="D2417" t="s">
        <v>101</v>
      </c>
      <c r="E2417" s="32">
        <v>0</v>
      </c>
      <c r="F2417" s="32">
        <v>30000000</v>
      </c>
      <c r="G2417" s="32">
        <v>32974749</v>
      </c>
      <c r="H2417" t="s">
        <v>270</v>
      </c>
    </row>
    <row r="2418" spans="1:8" hidden="1" x14ac:dyDescent="0.3">
      <c r="A2418" s="28">
        <v>14528</v>
      </c>
      <c r="B2418" s="35">
        <v>45154.469444444447</v>
      </c>
      <c r="C2418" s="18">
        <v>45154</v>
      </c>
      <c r="D2418" t="s">
        <v>101</v>
      </c>
      <c r="E2418" s="32">
        <v>0</v>
      </c>
      <c r="F2418" s="32">
        <v>20000</v>
      </c>
      <c r="G2418" s="32">
        <v>62974749</v>
      </c>
      <c r="H2418" t="s">
        <v>633</v>
      </c>
    </row>
    <row r="2419" spans="1:8" hidden="1" x14ac:dyDescent="0.3">
      <c r="A2419" s="28">
        <v>14527</v>
      </c>
      <c r="B2419" s="35">
        <v>45154.435416666667</v>
      </c>
      <c r="C2419" s="18">
        <v>45154</v>
      </c>
      <c r="D2419" t="s">
        <v>100</v>
      </c>
      <c r="E2419" s="32">
        <v>534600</v>
      </c>
      <c r="F2419" s="32">
        <v>0</v>
      </c>
      <c r="G2419" s="32">
        <v>62994749</v>
      </c>
      <c r="H2419" t="s">
        <v>220</v>
      </c>
    </row>
    <row r="2420" spans="1:8" hidden="1" x14ac:dyDescent="0.3">
      <c r="A2420" s="28">
        <v>14526</v>
      </c>
      <c r="B2420" s="35">
        <v>45154.427777777775</v>
      </c>
      <c r="C2420" s="18">
        <v>45154</v>
      </c>
      <c r="D2420" t="s">
        <v>100</v>
      </c>
      <c r="E2420" s="32">
        <v>204600</v>
      </c>
      <c r="F2420" s="32">
        <v>0</v>
      </c>
      <c r="G2420" s="32">
        <v>62460149</v>
      </c>
      <c r="H2420" t="s">
        <v>476</v>
      </c>
    </row>
    <row r="2421" spans="1:8" hidden="1" x14ac:dyDescent="0.3">
      <c r="A2421" s="28">
        <v>14525</v>
      </c>
      <c r="B2421" s="35">
        <v>45152.805555555555</v>
      </c>
      <c r="C2421" s="18">
        <v>45152</v>
      </c>
      <c r="D2421" t="s">
        <v>101</v>
      </c>
      <c r="E2421" s="32">
        <v>0</v>
      </c>
      <c r="F2421" s="32">
        <v>111876</v>
      </c>
      <c r="G2421" s="32">
        <v>62255549</v>
      </c>
      <c r="H2421" t="s">
        <v>434</v>
      </c>
    </row>
    <row r="2422" spans="1:8" hidden="1" x14ac:dyDescent="0.3">
      <c r="A2422" s="28">
        <v>14524</v>
      </c>
      <c r="B2422" s="35">
        <v>45152.805555555555</v>
      </c>
      <c r="C2422" s="18">
        <v>45152</v>
      </c>
      <c r="D2422" t="s">
        <v>101</v>
      </c>
      <c r="E2422" s="32">
        <v>0</v>
      </c>
      <c r="F2422" s="32">
        <v>23080</v>
      </c>
      <c r="G2422" s="32">
        <v>62367425</v>
      </c>
      <c r="H2422" t="s">
        <v>434</v>
      </c>
    </row>
    <row r="2423" spans="1:8" hidden="1" x14ac:dyDescent="0.3">
      <c r="A2423" s="28">
        <v>14520</v>
      </c>
      <c r="B2423" s="35">
        <v>45152.550694444442</v>
      </c>
      <c r="C2423" s="18">
        <v>45152</v>
      </c>
      <c r="D2423" t="s">
        <v>100</v>
      </c>
      <c r="E2423" s="32">
        <v>823000</v>
      </c>
      <c r="F2423" s="32">
        <v>0</v>
      </c>
      <c r="G2423" s="32">
        <v>62390505</v>
      </c>
      <c r="H2423" t="s">
        <v>395</v>
      </c>
    </row>
    <row r="2424" spans="1:8" hidden="1" x14ac:dyDescent="0.3">
      <c r="A2424" s="28">
        <v>14519</v>
      </c>
      <c r="B2424" s="35">
        <v>45152.55</v>
      </c>
      <c r="C2424" s="18">
        <v>45152</v>
      </c>
      <c r="D2424" t="s">
        <v>100</v>
      </c>
      <c r="E2424" s="32">
        <v>82300</v>
      </c>
      <c r="F2424" s="32">
        <v>0</v>
      </c>
      <c r="G2424" s="32">
        <v>61567505</v>
      </c>
      <c r="H2424" t="s">
        <v>395</v>
      </c>
    </row>
    <row r="2425" spans="1:8" hidden="1" x14ac:dyDescent="0.3">
      <c r="A2425" s="28">
        <v>14518</v>
      </c>
      <c r="B2425" s="35">
        <v>45152.55</v>
      </c>
      <c r="C2425" s="18">
        <v>45152</v>
      </c>
      <c r="D2425" t="s">
        <v>100</v>
      </c>
      <c r="E2425" s="32">
        <v>866000</v>
      </c>
      <c r="F2425" s="32">
        <v>0</v>
      </c>
      <c r="G2425" s="32">
        <v>61485205</v>
      </c>
      <c r="H2425" t="s">
        <v>395</v>
      </c>
    </row>
    <row r="2426" spans="1:8" hidden="1" x14ac:dyDescent="0.3">
      <c r="A2426" s="28">
        <v>14517</v>
      </c>
      <c r="B2426" s="35">
        <v>45152.549305555556</v>
      </c>
      <c r="C2426" s="18">
        <v>45152</v>
      </c>
      <c r="D2426" t="s">
        <v>100</v>
      </c>
      <c r="E2426" s="32">
        <v>86600</v>
      </c>
      <c r="F2426" s="32">
        <v>0</v>
      </c>
      <c r="G2426" s="32">
        <v>60619205</v>
      </c>
      <c r="H2426" t="s">
        <v>395</v>
      </c>
    </row>
    <row r="2427" spans="1:8" hidden="1" x14ac:dyDescent="0.3">
      <c r="A2427" s="28">
        <v>14516</v>
      </c>
      <c r="B2427" s="35">
        <v>45152.549305555556</v>
      </c>
      <c r="C2427" s="18">
        <v>45152</v>
      </c>
      <c r="D2427" t="s">
        <v>100</v>
      </c>
      <c r="E2427" s="32">
        <v>407000</v>
      </c>
      <c r="F2427" s="32">
        <v>0</v>
      </c>
      <c r="G2427" s="32">
        <v>60532605</v>
      </c>
      <c r="H2427" t="s">
        <v>395</v>
      </c>
    </row>
    <row r="2428" spans="1:8" hidden="1" x14ac:dyDescent="0.3">
      <c r="A2428" s="28">
        <v>14515</v>
      </c>
      <c r="B2428" s="35">
        <v>45152.549305555556</v>
      </c>
      <c r="C2428" s="18">
        <v>45152</v>
      </c>
      <c r="D2428" t="s">
        <v>100</v>
      </c>
      <c r="E2428" s="32">
        <v>40700</v>
      </c>
      <c r="F2428" s="32">
        <v>0</v>
      </c>
      <c r="G2428" s="32">
        <v>60125605</v>
      </c>
      <c r="H2428" t="s">
        <v>395</v>
      </c>
    </row>
    <row r="2429" spans="1:8" hidden="1" x14ac:dyDescent="0.3">
      <c r="A2429" s="28">
        <v>14510</v>
      </c>
      <c r="B2429" s="35">
        <v>45152.466666666667</v>
      </c>
      <c r="C2429" s="18">
        <v>45152</v>
      </c>
      <c r="D2429" t="s">
        <v>100</v>
      </c>
      <c r="E2429" s="32">
        <v>308000</v>
      </c>
      <c r="F2429" s="32">
        <v>0</v>
      </c>
      <c r="G2429" s="32">
        <v>60084905</v>
      </c>
      <c r="H2429" t="s">
        <v>634</v>
      </c>
    </row>
    <row r="2430" spans="1:8" hidden="1" x14ac:dyDescent="0.3">
      <c r="A2430" s="28">
        <v>14509</v>
      </c>
      <c r="B2430" s="35">
        <v>45152.418055555558</v>
      </c>
      <c r="C2430" s="18">
        <v>45152</v>
      </c>
      <c r="D2430" t="s">
        <v>100</v>
      </c>
      <c r="E2430" s="32">
        <v>9758100</v>
      </c>
      <c r="F2430" s="32">
        <v>0</v>
      </c>
      <c r="G2430" s="32">
        <v>59776905</v>
      </c>
      <c r="H2430" t="s">
        <v>306</v>
      </c>
    </row>
    <row r="2431" spans="1:8" hidden="1" x14ac:dyDescent="0.3">
      <c r="A2431" s="28">
        <v>14508</v>
      </c>
      <c r="B2431" s="35">
        <v>45149.811805555553</v>
      </c>
      <c r="C2431" s="18">
        <v>45149</v>
      </c>
      <c r="D2431" t="s">
        <v>101</v>
      </c>
      <c r="E2431" s="32">
        <v>0</v>
      </c>
      <c r="F2431" s="32">
        <v>35500</v>
      </c>
      <c r="G2431" s="32">
        <v>50018805</v>
      </c>
      <c r="H2431" t="s">
        <v>635</v>
      </c>
    </row>
    <row r="2432" spans="1:8" hidden="1" x14ac:dyDescent="0.3">
      <c r="A2432" s="28">
        <v>14502</v>
      </c>
      <c r="B2432" s="35">
        <v>45149.614583333336</v>
      </c>
      <c r="C2432" s="18">
        <v>45149</v>
      </c>
      <c r="D2432" t="s">
        <v>101</v>
      </c>
      <c r="E2432" s="32">
        <v>0</v>
      </c>
      <c r="F2432" s="32">
        <v>341330</v>
      </c>
      <c r="G2432" s="32">
        <v>50054305</v>
      </c>
      <c r="H2432" t="s">
        <v>221</v>
      </c>
    </row>
    <row r="2433" spans="1:8" hidden="1" x14ac:dyDescent="0.3">
      <c r="A2433" s="28">
        <v>14500</v>
      </c>
      <c r="B2433" s="35">
        <v>45149.434027777781</v>
      </c>
      <c r="C2433" s="18">
        <v>45149</v>
      </c>
      <c r="D2433" t="s">
        <v>101</v>
      </c>
      <c r="E2433" s="32">
        <v>0</v>
      </c>
      <c r="F2433" s="32">
        <v>1416690</v>
      </c>
      <c r="G2433" s="32">
        <v>50395635</v>
      </c>
      <c r="H2433" t="s">
        <v>280</v>
      </c>
    </row>
    <row r="2434" spans="1:8" hidden="1" x14ac:dyDescent="0.3">
      <c r="A2434" s="28">
        <v>14499</v>
      </c>
      <c r="B2434" s="35">
        <v>45149.421527777777</v>
      </c>
      <c r="C2434" s="18">
        <v>45149</v>
      </c>
      <c r="D2434" t="s">
        <v>101</v>
      </c>
      <c r="E2434" s="32">
        <v>0</v>
      </c>
      <c r="F2434" s="32">
        <v>507890</v>
      </c>
      <c r="G2434" s="32">
        <v>51812325</v>
      </c>
      <c r="H2434" t="s">
        <v>226</v>
      </c>
    </row>
    <row r="2435" spans="1:8" hidden="1" x14ac:dyDescent="0.3">
      <c r="A2435" s="28">
        <v>14498</v>
      </c>
      <c r="B2435" s="35">
        <v>45149.367361111108</v>
      </c>
      <c r="C2435" s="18">
        <v>45149</v>
      </c>
      <c r="D2435" t="s">
        <v>101</v>
      </c>
      <c r="E2435" s="32">
        <v>0</v>
      </c>
      <c r="F2435" s="32">
        <v>50000</v>
      </c>
      <c r="G2435" s="32">
        <v>52320215</v>
      </c>
      <c r="H2435" t="s">
        <v>636</v>
      </c>
    </row>
    <row r="2436" spans="1:8" hidden="1" x14ac:dyDescent="0.3">
      <c r="A2436" s="28">
        <v>14497</v>
      </c>
      <c r="B2436" s="35">
        <v>45149.365972222222</v>
      </c>
      <c r="C2436" s="18">
        <v>45149</v>
      </c>
      <c r="D2436" t="s">
        <v>101</v>
      </c>
      <c r="E2436" s="32">
        <v>0</v>
      </c>
      <c r="F2436" s="32">
        <v>32000</v>
      </c>
      <c r="G2436" s="32">
        <v>52370215</v>
      </c>
      <c r="H2436" t="s">
        <v>637</v>
      </c>
    </row>
    <row r="2437" spans="1:8" hidden="1" x14ac:dyDescent="0.3">
      <c r="A2437" s="28">
        <v>14496</v>
      </c>
      <c r="B2437" s="35">
        <v>45149.365972222222</v>
      </c>
      <c r="C2437" s="18">
        <v>45149</v>
      </c>
      <c r="D2437" t="s">
        <v>101</v>
      </c>
      <c r="E2437" s="32">
        <v>0</v>
      </c>
      <c r="F2437" s="32">
        <v>32000</v>
      </c>
      <c r="G2437" s="32">
        <v>52402215</v>
      </c>
      <c r="H2437" t="s">
        <v>637</v>
      </c>
    </row>
    <row r="2438" spans="1:8" hidden="1" x14ac:dyDescent="0.3">
      <c r="A2438" s="28">
        <v>14491</v>
      </c>
      <c r="B2438" s="35">
        <v>45148.646527777775</v>
      </c>
      <c r="C2438" s="18">
        <v>45148</v>
      </c>
      <c r="D2438" t="s">
        <v>100</v>
      </c>
      <c r="E2438" s="32">
        <v>5236000</v>
      </c>
      <c r="F2438" s="32">
        <v>0</v>
      </c>
      <c r="G2438" s="32">
        <v>52434215</v>
      </c>
      <c r="H2438" t="s">
        <v>228</v>
      </c>
    </row>
    <row r="2439" spans="1:8" hidden="1" x14ac:dyDescent="0.3">
      <c r="A2439" s="28">
        <v>14490</v>
      </c>
      <c r="B2439" s="35">
        <v>45148.630555555559</v>
      </c>
      <c r="C2439" s="18">
        <v>45148</v>
      </c>
      <c r="D2439" t="s">
        <v>100</v>
      </c>
      <c r="E2439" s="32">
        <v>137500</v>
      </c>
      <c r="F2439" s="32">
        <v>0</v>
      </c>
      <c r="G2439" s="32">
        <v>47198215</v>
      </c>
      <c r="H2439" t="s">
        <v>315</v>
      </c>
    </row>
    <row r="2440" spans="1:8" hidden="1" x14ac:dyDescent="0.3">
      <c r="A2440" s="28">
        <v>14489</v>
      </c>
      <c r="B2440" s="35">
        <v>45148.563194444447</v>
      </c>
      <c r="C2440" s="18">
        <v>45148</v>
      </c>
      <c r="D2440" t="s">
        <v>100</v>
      </c>
      <c r="E2440" s="32">
        <v>618200</v>
      </c>
      <c r="F2440" s="32">
        <v>0</v>
      </c>
      <c r="G2440" s="32">
        <v>47060715</v>
      </c>
      <c r="H2440" t="s">
        <v>638</v>
      </c>
    </row>
    <row r="2441" spans="1:8" hidden="1" x14ac:dyDescent="0.3">
      <c r="A2441" s="28">
        <v>14485</v>
      </c>
      <c r="B2441" s="35">
        <v>45148.427777777775</v>
      </c>
      <c r="C2441" s="18">
        <v>45148</v>
      </c>
      <c r="D2441" t="s">
        <v>100</v>
      </c>
      <c r="E2441" s="32">
        <v>2957900</v>
      </c>
      <c r="F2441" s="32">
        <v>0</v>
      </c>
      <c r="G2441" s="32">
        <v>46442515</v>
      </c>
      <c r="H2441" t="s">
        <v>382</v>
      </c>
    </row>
    <row r="2442" spans="1:8" hidden="1" x14ac:dyDescent="0.3">
      <c r="A2442" s="28">
        <v>14483</v>
      </c>
      <c r="B2442" s="35">
        <v>45147.708333333336</v>
      </c>
      <c r="C2442" s="18">
        <v>45147</v>
      </c>
      <c r="D2442" t="s">
        <v>101</v>
      </c>
      <c r="E2442" s="32">
        <v>0</v>
      </c>
      <c r="F2442" s="32">
        <v>441760</v>
      </c>
      <c r="G2442" s="32">
        <v>43484615</v>
      </c>
      <c r="H2442" t="s">
        <v>221</v>
      </c>
    </row>
    <row r="2443" spans="1:8" hidden="1" x14ac:dyDescent="0.3">
      <c r="A2443" s="28">
        <v>14480</v>
      </c>
      <c r="B2443" s="35">
        <v>45147.620833333334</v>
      </c>
      <c r="C2443" s="18">
        <v>45147</v>
      </c>
      <c r="D2443" t="s">
        <v>100</v>
      </c>
      <c r="E2443" s="32">
        <v>12326600</v>
      </c>
      <c r="F2443" s="32">
        <v>0</v>
      </c>
      <c r="G2443" s="32">
        <v>43926375</v>
      </c>
      <c r="H2443" t="s">
        <v>315</v>
      </c>
    </row>
    <row r="2444" spans="1:8" hidden="1" x14ac:dyDescent="0.3">
      <c r="A2444" s="28">
        <v>14479</v>
      </c>
      <c r="B2444" s="35">
        <v>45147.575694444444</v>
      </c>
      <c r="C2444" s="18">
        <v>45147</v>
      </c>
      <c r="D2444" t="s">
        <v>101</v>
      </c>
      <c r="E2444" s="32">
        <v>0</v>
      </c>
      <c r="F2444" s="32">
        <v>68360</v>
      </c>
      <c r="G2444" s="32">
        <v>31599775</v>
      </c>
      <c r="H2444" t="s">
        <v>639</v>
      </c>
    </row>
    <row r="2445" spans="1:8" hidden="1" x14ac:dyDescent="0.3">
      <c r="A2445" s="28">
        <v>14476</v>
      </c>
      <c r="B2445" s="35">
        <v>45147.445833333331</v>
      </c>
      <c r="C2445" s="18">
        <v>45147</v>
      </c>
      <c r="D2445" t="s">
        <v>100</v>
      </c>
      <c r="E2445" s="32">
        <v>920700</v>
      </c>
      <c r="F2445" s="32">
        <v>0</v>
      </c>
      <c r="G2445" s="32">
        <v>31668135</v>
      </c>
      <c r="H2445" t="s">
        <v>606</v>
      </c>
    </row>
    <row r="2446" spans="1:8" hidden="1" x14ac:dyDescent="0.3">
      <c r="A2446" s="28">
        <v>14475</v>
      </c>
      <c r="B2446" s="35">
        <v>45147.313888888886</v>
      </c>
      <c r="C2446" s="18">
        <v>45147</v>
      </c>
      <c r="D2446" t="s">
        <v>100</v>
      </c>
      <c r="E2446" s="32">
        <v>664400</v>
      </c>
      <c r="F2446" s="32">
        <v>0</v>
      </c>
      <c r="G2446" s="32">
        <v>30747435</v>
      </c>
      <c r="H2446" t="s">
        <v>476</v>
      </c>
    </row>
    <row r="2447" spans="1:8" hidden="1" x14ac:dyDescent="0.3">
      <c r="A2447" s="28">
        <v>14474</v>
      </c>
      <c r="B2447" s="35">
        <v>45146.703472222223</v>
      </c>
      <c r="C2447" s="18">
        <v>45146</v>
      </c>
      <c r="D2447" t="s">
        <v>100</v>
      </c>
      <c r="E2447" s="32">
        <v>943800</v>
      </c>
      <c r="F2447" s="32">
        <v>0</v>
      </c>
      <c r="G2447" s="32">
        <v>30083035</v>
      </c>
      <c r="H2447" t="s">
        <v>454</v>
      </c>
    </row>
    <row r="2448" spans="1:8" hidden="1" x14ac:dyDescent="0.3">
      <c r="A2448" s="28">
        <v>14473</v>
      </c>
      <c r="B2448" s="35">
        <v>45146.568055555559</v>
      </c>
      <c r="C2448" s="18">
        <v>45146</v>
      </c>
      <c r="D2448" t="s">
        <v>101</v>
      </c>
      <c r="E2448" s="32">
        <v>0</v>
      </c>
      <c r="F2448" s="32">
        <v>47080</v>
      </c>
      <c r="G2448" s="32">
        <v>29139235</v>
      </c>
      <c r="H2448" t="s">
        <v>280</v>
      </c>
    </row>
    <row r="2449" spans="1:8" hidden="1" x14ac:dyDescent="0.3">
      <c r="A2449" s="28">
        <v>14472</v>
      </c>
      <c r="B2449" s="35">
        <v>45146.567361111112</v>
      </c>
      <c r="C2449" s="18">
        <v>45146</v>
      </c>
      <c r="D2449" t="s">
        <v>101</v>
      </c>
      <c r="E2449" s="32">
        <v>0</v>
      </c>
      <c r="F2449" s="32">
        <v>83160</v>
      </c>
      <c r="G2449" s="32">
        <v>29186315</v>
      </c>
      <c r="H2449" t="s">
        <v>293</v>
      </c>
    </row>
    <row r="2450" spans="1:8" hidden="1" x14ac:dyDescent="0.3">
      <c r="A2450" s="28">
        <v>14471</v>
      </c>
      <c r="B2450" s="35">
        <v>45146.490277777775</v>
      </c>
      <c r="C2450" s="18">
        <v>45146</v>
      </c>
      <c r="D2450" t="s">
        <v>101</v>
      </c>
      <c r="E2450" s="32">
        <v>0</v>
      </c>
      <c r="F2450" s="32">
        <v>9300</v>
      </c>
      <c r="G2450" s="32">
        <v>29269475</v>
      </c>
      <c r="H2450" t="s">
        <v>321</v>
      </c>
    </row>
    <row r="2451" spans="1:8" hidden="1" x14ac:dyDescent="0.3">
      <c r="A2451" s="28">
        <v>14470</v>
      </c>
      <c r="B2451" s="35">
        <v>45146.490277777775</v>
      </c>
      <c r="C2451" s="18">
        <v>45146</v>
      </c>
      <c r="D2451" t="s">
        <v>101</v>
      </c>
      <c r="E2451" s="32">
        <v>0</v>
      </c>
      <c r="F2451" s="32">
        <v>3331270</v>
      </c>
      <c r="G2451" s="32">
        <v>29278775</v>
      </c>
      <c r="H2451" t="s">
        <v>320</v>
      </c>
    </row>
    <row r="2452" spans="1:8" hidden="1" x14ac:dyDescent="0.3">
      <c r="A2452" s="28">
        <v>14469</v>
      </c>
      <c r="B2452" s="35">
        <v>45146.488888888889</v>
      </c>
      <c r="C2452" s="18">
        <v>45146</v>
      </c>
      <c r="D2452" t="s">
        <v>101</v>
      </c>
      <c r="E2452" s="32">
        <v>0</v>
      </c>
      <c r="F2452" s="32">
        <v>334040</v>
      </c>
      <c r="G2452" s="32">
        <v>32610045</v>
      </c>
      <c r="H2452" t="s">
        <v>319</v>
      </c>
    </row>
    <row r="2453" spans="1:8" hidden="1" x14ac:dyDescent="0.3">
      <c r="A2453" s="28">
        <v>14467</v>
      </c>
      <c r="B2453" s="35">
        <v>45145.832638888889</v>
      </c>
      <c r="C2453" s="18">
        <v>45145</v>
      </c>
      <c r="D2453" t="s">
        <v>101</v>
      </c>
      <c r="E2453" s="32">
        <v>0</v>
      </c>
      <c r="F2453" s="32">
        <v>626472</v>
      </c>
      <c r="G2453" s="32">
        <v>32944085</v>
      </c>
      <c r="H2453" t="s">
        <v>640</v>
      </c>
    </row>
    <row r="2454" spans="1:8" hidden="1" x14ac:dyDescent="0.3">
      <c r="A2454" s="28">
        <v>14466</v>
      </c>
      <c r="B2454" s="35">
        <v>45145.79791666667</v>
      </c>
      <c r="C2454" s="18">
        <v>45145</v>
      </c>
      <c r="D2454" t="s">
        <v>101</v>
      </c>
      <c r="E2454" s="32">
        <v>0</v>
      </c>
      <c r="F2454" s="32">
        <v>711920</v>
      </c>
      <c r="G2454" s="32">
        <v>33570557</v>
      </c>
      <c r="H2454" t="s">
        <v>435</v>
      </c>
    </row>
    <row r="2455" spans="1:8" hidden="1" x14ac:dyDescent="0.3">
      <c r="A2455" s="28">
        <v>14464</v>
      </c>
      <c r="B2455" s="35">
        <v>45145.675000000003</v>
      </c>
      <c r="C2455" s="18">
        <v>45145</v>
      </c>
      <c r="D2455" t="s">
        <v>101</v>
      </c>
      <c r="E2455" s="32">
        <v>0</v>
      </c>
      <c r="F2455" s="32">
        <v>165000</v>
      </c>
      <c r="G2455" s="32">
        <v>34282477</v>
      </c>
      <c r="H2455" t="s">
        <v>641</v>
      </c>
    </row>
    <row r="2456" spans="1:8" hidden="1" x14ac:dyDescent="0.3">
      <c r="A2456" s="28">
        <v>14463</v>
      </c>
      <c r="B2456" s="35">
        <v>45145.620138888888</v>
      </c>
      <c r="C2456" s="18">
        <v>45145</v>
      </c>
      <c r="D2456" t="s">
        <v>101</v>
      </c>
      <c r="E2456" s="32">
        <v>0</v>
      </c>
      <c r="F2456" s="32">
        <v>50490</v>
      </c>
      <c r="G2456" s="32">
        <v>34447477</v>
      </c>
      <c r="H2456" t="s">
        <v>280</v>
      </c>
    </row>
    <row r="2457" spans="1:8" hidden="1" x14ac:dyDescent="0.3">
      <c r="A2457" s="28">
        <v>14462</v>
      </c>
      <c r="B2457" s="35">
        <v>45145.59375</v>
      </c>
      <c r="C2457" s="18">
        <v>45145</v>
      </c>
      <c r="D2457" t="s">
        <v>100</v>
      </c>
      <c r="E2457" s="32">
        <v>710600</v>
      </c>
      <c r="F2457" s="32">
        <v>0</v>
      </c>
      <c r="G2457" s="32">
        <v>34497967</v>
      </c>
      <c r="H2457" t="s">
        <v>396</v>
      </c>
    </row>
    <row r="2458" spans="1:8" hidden="1" x14ac:dyDescent="0.3">
      <c r="A2458" s="28">
        <v>14458</v>
      </c>
      <c r="B2458" s="35">
        <v>45145.480555555558</v>
      </c>
      <c r="C2458" s="18">
        <v>45145</v>
      </c>
      <c r="D2458" t="s">
        <v>100</v>
      </c>
      <c r="E2458" s="32">
        <v>259600</v>
      </c>
      <c r="F2458" s="32">
        <v>0</v>
      </c>
      <c r="G2458" s="32">
        <v>33787367</v>
      </c>
      <c r="H2458" t="s">
        <v>454</v>
      </c>
    </row>
    <row r="2459" spans="1:8" hidden="1" x14ac:dyDescent="0.3">
      <c r="A2459" s="28">
        <v>14457</v>
      </c>
      <c r="B2459" s="35">
        <v>45145.466666666667</v>
      </c>
      <c r="C2459" s="18">
        <v>45145</v>
      </c>
      <c r="D2459" t="s">
        <v>100</v>
      </c>
      <c r="E2459" s="32">
        <v>490600</v>
      </c>
      <c r="F2459" s="32">
        <v>0</v>
      </c>
      <c r="G2459" s="32">
        <v>33527767</v>
      </c>
      <c r="H2459" t="s">
        <v>292</v>
      </c>
    </row>
    <row r="2460" spans="1:8" hidden="1" x14ac:dyDescent="0.3">
      <c r="A2460" s="28">
        <v>14456</v>
      </c>
      <c r="B2460" s="35">
        <v>45145.461805555555</v>
      </c>
      <c r="C2460" s="18">
        <v>45145</v>
      </c>
      <c r="D2460" t="s">
        <v>100</v>
      </c>
      <c r="E2460" s="32">
        <v>345400</v>
      </c>
      <c r="F2460" s="32">
        <v>0</v>
      </c>
      <c r="G2460" s="32">
        <v>33037167</v>
      </c>
      <c r="H2460" t="s">
        <v>365</v>
      </c>
    </row>
    <row r="2461" spans="1:8" hidden="1" x14ac:dyDescent="0.3">
      <c r="A2461" s="28">
        <v>14455</v>
      </c>
      <c r="B2461" s="35">
        <v>45145.387499999997</v>
      </c>
      <c r="C2461" s="18">
        <v>45145</v>
      </c>
      <c r="D2461" t="s">
        <v>101</v>
      </c>
      <c r="E2461" s="32">
        <v>0</v>
      </c>
      <c r="F2461" s="32">
        <v>108020</v>
      </c>
      <c r="G2461" s="32">
        <v>32691767</v>
      </c>
      <c r="H2461" t="s">
        <v>280</v>
      </c>
    </row>
    <row r="2462" spans="1:8" hidden="1" x14ac:dyDescent="0.3">
      <c r="A2462" s="28">
        <v>14451</v>
      </c>
      <c r="B2462" s="35">
        <v>45145.356249999997</v>
      </c>
      <c r="C2462" s="18">
        <v>45145</v>
      </c>
      <c r="D2462" t="s">
        <v>100</v>
      </c>
      <c r="E2462" s="32">
        <v>1048300</v>
      </c>
      <c r="F2462" s="32">
        <v>0</v>
      </c>
      <c r="G2462" s="32">
        <v>32799787</v>
      </c>
      <c r="H2462" t="s">
        <v>642</v>
      </c>
    </row>
    <row r="2463" spans="1:8" hidden="1" x14ac:dyDescent="0.3">
      <c r="A2463" s="28">
        <v>14450</v>
      </c>
      <c r="B2463" s="35">
        <v>45142.627083333333</v>
      </c>
      <c r="C2463" s="18">
        <v>45142</v>
      </c>
      <c r="D2463" t="s">
        <v>101</v>
      </c>
      <c r="E2463" s="32">
        <v>0</v>
      </c>
      <c r="F2463" s="32">
        <v>1538570</v>
      </c>
      <c r="G2463" s="32">
        <v>31751487</v>
      </c>
      <c r="H2463" t="s">
        <v>221</v>
      </c>
    </row>
    <row r="2464" spans="1:8" hidden="1" x14ac:dyDescent="0.3">
      <c r="A2464" s="28">
        <v>14449</v>
      </c>
      <c r="B2464" s="35">
        <v>45142.618055555555</v>
      </c>
      <c r="C2464" s="18">
        <v>45142</v>
      </c>
      <c r="D2464" t="s">
        <v>101</v>
      </c>
      <c r="E2464" s="32">
        <v>0</v>
      </c>
      <c r="F2464" s="32">
        <v>930800</v>
      </c>
      <c r="G2464" s="32">
        <v>33290057</v>
      </c>
      <c r="H2464" t="s">
        <v>643</v>
      </c>
    </row>
    <row r="2465" spans="1:8" hidden="1" x14ac:dyDescent="0.3">
      <c r="A2465" s="28">
        <v>14448</v>
      </c>
      <c r="B2465" s="35">
        <v>45142.582638888889</v>
      </c>
      <c r="C2465" s="18">
        <v>45142</v>
      </c>
      <c r="D2465" t="s">
        <v>100</v>
      </c>
      <c r="E2465" s="32">
        <v>1615900</v>
      </c>
      <c r="F2465" s="32">
        <v>0</v>
      </c>
      <c r="G2465" s="32">
        <v>34220857</v>
      </c>
      <c r="H2465" t="s">
        <v>228</v>
      </c>
    </row>
    <row r="2466" spans="1:8" hidden="1" x14ac:dyDescent="0.3">
      <c r="A2466" s="28">
        <v>14447</v>
      </c>
      <c r="B2466" s="35">
        <v>45142.582638888889</v>
      </c>
      <c r="C2466" s="18">
        <v>45142</v>
      </c>
      <c r="D2466" t="s">
        <v>100</v>
      </c>
      <c r="E2466" s="32">
        <v>916300</v>
      </c>
      <c r="F2466" s="32">
        <v>0</v>
      </c>
      <c r="G2466" s="32">
        <v>32604957</v>
      </c>
      <c r="H2466" t="s">
        <v>228</v>
      </c>
    </row>
    <row r="2467" spans="1:8" hidden="1" x14ac:dyDescent="0.3">
      <c r="A2467" s="28">
        <v>14446</v>
      </c>
      <c r="B2467" s="35">
        <v>45142.582638888889</v>
      </c>
      <c r="C2467" s="18">
        <v>45142</v>
      </c>
      <c r="D2467" t="s">
        <v>100</v>
      </c>
      <c r="E2467" s="32">
        <v>75900</v>
      </c>
      <c r="F2467" s="32">
        <v>0</v>
      </c>
      <c r="G2467" s="32">
        <v>31688657</v>
      </c>
      <c r="H2467" t="s">
        <v>228</v>
      </c>
    </row>
    <row r="2468" spans="1:8" hidden="1" x14ac:dyDescent="0.3">
      <c r="A2468" s="28">
        <v>14444</v>
      </c>
      <c r="B2468" s="35">
        <v>45142.405555555553</v>
      </c>
      <c r="C2468" s="18">
        <v>45142</v>
      </c>
      <c r="D2468" t="s">
        <v>100</v>
      </c>
      <c r="E2468" s="32">
        <v>220000</v>
      </c>
      <c r="F2468" s="32">
        <v>0</v>
      </c>
      <c r="G2468" s="32">
        <v>31612757</v>
      </c>
      <c r="H2468" t="s">
        <v>405</v>
      </c>
    </row>
    <row r="2469" spans="1:8" hidden="1" x14ac:dyDescent="0.3">
      <c r="A2469" s="28">
        <v>14443</v>
      </c>
      <c r="B2469" s="35">
        <v>45142.392361111109</v>
      </c>
      <c r="C2469" s="18">
        <v>45142</v>
      </c>
      <c r="D2469" t="s">
        <v>101</v>
      </c>
      <c r="E2469" s="32">
        <v>0</v>
      </c>
      <c r="F2469" s="32">
        <v>8000</v>
      </c>
      <c r="G2469" s="32">
        <v>31392757</v>
      </c>
      <c r="H2469" t="s">
        <v>241</v>
      </c>
    </row>
    <row r="2470" spans="1:8" hidden="1" x14ac:dyDescent="0.3">
      <c r="A2470" s="28">
        <v>14442</v>
      </c>
      <c r="B2470" s="35">
        <v>45141.643750000003</v>
      </c>
      <c r="C2470" s="18">
        <v>45141</v>
      </c>
      <c r="D2470" t="s">
        <v>100</v>
      </c>
      <c r="E2470" s="32">
        <v>187000</v>
      </c>
      <c r="F2470" s="32">
        <v>0</v>
      </c>
      <c r="G2470" s="32">
        <v>31400757</v>
      </c>
      <c r="H2470" t="s">
        <v>644</v>
      </c>
    </row>
    <row r="2471" spans="1:8" hidden="1" x14ac:dyDescent="0.3">
      <c r="A2471" s="28">
        <v>14441</v>
      </c>
      <c r="B2471" s="35">
        <v>45141.600694444445</v>
      </c>
      <c r="C2471" s="18">
        <v>45141</v>
      </c>
      <c r="D2471" t="s">
        <v>101</v>
      </c>
      <c r="E2471" s="32">
        <v>0</v>
      </c>
      <c r="F2471" s="32">
        <v>25993400</v>
      </c>
      <c r="G2471" s="32">
        <v>31213757</v>
      </c>
      <c r="H2471" t="s">
        <v>645</v>
      </c>
    </row>
    <row r="2472" spans="1:8" hidden="1" x14ac:dyDescent="0.3">
      <c r="A2472" s="28">
        <v>14440</v>
      </c>
      <c r="B2472" s="35">
        <v>45141.491666666669</v>
      </c>
      <c r="C2472" s="18">
        <v>45141</v>
      </c>
      <c r="D2472" t="s">
        <v>101</v>
      </c>
      <c r="E2472" s="32">
        <v>0</v>
      </c>
      <c r="F2472" s="32">
        <v>38940300</v>
      </c>
      <c r="G2472" s="32">
        <v>57207157</v>
      </c>
      <c r="H2472" t="s">
        <v>242</v>
      </c>
    </row>
    <row r="2473" spans="1:8" hidden="1" x14ac:dyDescent="0.3">
      <c r="A2473" s="28">
        <v>14439</v>
      </c>
      <c r="B2473" s="35">
        <v>45141.490972222222</v>
      </c>
      <c r="C2473" s="18">
        <v>45141</v>
      </c>
      <c r="D2473" t="s">
        <v>101</v>
      </c>
      <c r="E2473" s="32">
        <v>0</v>
      </c>
      <c r="F2473" s="32">
        <v>38653800</v>
      </c>
      <c r="G2473" s="32">
        <v>96147457</v>
      </c>
      <c r="H2473" t="s">
        <v>242</v>
      </c>
    </row>
    <row r="2474" spans="1:8" hidden="1" x14ac:dyDescent="0.3">
      <c r="A2474" s="28">
        <v>14437</v>
      </c>
      <c r="B2474" s="35">
        <v>45141.490277777775</v>
      </c>
      <c r="C2474" s="18">
        <v>45141</v>
      </c>
      <c r="D2474" t="s">
        <v>100</v>
      </c>
      <c r="E2474" s="32">
        <v>70000000</v>
      </c>
      <c r="F2474" s="32">
        <v>0</v>
      </c>
      <c r="G2474" s="32">
        <v>134801257</v>
      </c>
      <c r="H2474" t="s">
        <v>259</v>
      </c>
    </row>
    <row r="2475" spans="1:8" hidden="1" x14ac:dyDescent="0.3">
      <c r="A2475" s="28">
        <v>14434</v>
      </c>
      <c r="B2475" s="35">
        <v>45140.551388888889</v>
      </c>
      <c r="C2475" s="18">
        <v>45140</v>
      </c>
      <c r="D2475" t="s">
        <v>101</v>
      </c>
      <c r="E2475" s="32">
        <v>0</v>
      </c>
      <c r="F2475" s="32">
        <v>245407</v>
      </c>
      <c r="G2475" s="32">
        <v>64801257</v>
      </c>
      <c r="H2475" t="s">
        <v>221</v>
      </c>
    </row>
    <row r="2476" spans="1:8" hidden="1" x14ac:dyDescent="0.3">
      <c r="A2476" s="28">
        <v>14433</v>
      </c>
      <c r="B2476" s="35">
        <v>45140.549305555556</v>
      </c>
      <c r="C2476" s="18">
        <v>45140</v>
      </c>
      <c r="D2476" t="s">
        <v>101</v>
      </c>
      <c r="E2476" s="32">
        <v>0</v>
      </c>
      <c r="F2476" s="32">
        <v>2361150</v>
      </c>
      <c r="G2476" s="32">
        <v>65046664</v>
      </c>
      <c r="H2476" t="s">
        <v>280</v>
      </c>
    </row>
    <row r="2477" spans="1:8" hidden="1" x14ac:dyDescent="0.3">
      <c r="A2477" s="28">
        <v>14430</v>
      </c>
      <c r="B2477" s="35">
        <v>45140.463194444441</v>
      </c>
      <c r="C2477" s="18">
        <v>45140</v>
      </c>
      <c r="D2477" t="s">
        <v>100</v>
      </c>
      <c r="E2477" s="32">
        <v>512600</v>
      </c>
      <c r="F2477" s="32">
        <v>0</v>
      </c>
      <c r="G2477" s="32">
        <v>67407814</v>
      </c>
      <c r="H2477" t="s">
        <v>454</v>
      </c>
    </row>
    <row r="2478" spans="1:8" hidden="1" x14ac:dyDescent="0.3">
      <c r="A2478" s="28">
        <v>14429</v>
      </c>
      <c r="B2478" s="35">
        <v>45139.578472222223</v>
      </c>
      <c r="C2478" s="18">
        <v>45139</v>
      </c>
      <c r="D2478" t="s">
        <v>100</v>
      </c>
      <c r="E2478" s="32">
        <v>222200</v>
      </c>
      <c r="F2478" s="32">
        <v>0</v>
      </c>
      <c r="G2478" s="32">
        <v>66895214</v>
      </c>
      <c r="H2478" t="s">
        <v>646</v>
      </c>
    </row>
    <row r="2479" spans="1:8" hidden="1" x14ac:dyDescent="0.3">
      <c r="A2479" s="28">
        <v>14428</v>
      </c>
      <c r="B2479" s="35">
        <v>45139.556944444441</v>
      </c>
      <c r="C2479" s="18">
        <v>45139</v>
      </c>
      <c r="D2479" t="s">
        <v>100</v>
      </c>
      <c r="E2479" s="32">
        <v>288200</v>
      </c>
      <c r="F2479" s="32">
        <v>0</v>
      </c>
      <c r="G2479" s="32">
        <v>66673014</v>
      </c>
      <c r="H2479" t="s">
        <v>220</v>
      </c>
    </row>
    <row r="2480" spans="1:8" hidden="1" x14ac:dyDescent="0.3">
      <c r="A2480" s="28">
        <v>14426</v>
      </c>
      <c r="B2480" s="35">
        <v>45139.406944444447</v>
      </c>
      <c r="C2480" s="18">
        <v>45139</v>
      </c>
      <c r="D2480" t="s">
        <v>100</v>
      </c>
      <c r="E2480" s="32">
        <v>934000</v>
      </c>
      <c r="F2480" s="32">
        <v>0</v>
      </c>
      <c r="G2480" s="32">
        <v>66384814</v>
      </c>
      <c r="H2480" t="s">
        <v>390</v>
      </c>
    </row>
    <row r="2481" spans="1:8" hidden="1" x14ac:dyDescent="0.3">
      <c r="A2481" s="28">
        <v>14425</v>
      </c>
      <c r="B2481" s="35">
        <v>45139.402083333334</v>
      </c>
      <c r="C2481" s="18">
        <v>45139</v>
      </c>
      <c r="D2481" t="s">
        <v>100</v>
      </c>
      <c r="E2481" s="32">
        <v>93400</v>
      </c>
      <c r="F2481" s="32">
        <v>0</v>
      </c>
      <c r="G2481" s="32">
        <v>65450814</v>
      </c>
      <c r="H2481" t="s">
        <v>391</v>
      </c>
    </row>
    <row r="2482" spans="1:8" hidden="1" x14ac:dyDescent="0.3">
      <c r="A2482" s="28">
        <v>14424</v>
      </c>
      <c r="B2482" s="35">
        <v>45138.797222222223</v>
      </c>
      <c r="C2482" s="18">
        <v>45138</v>
      </c>
      <c r="D2482" t="s">
        <v>101</v>
      </c>
      <c r="E2482" s="32">
        <v>0</v>
      </c>
      <c r="F2482" s="32">
        <v>400510</v>
      </c>
      <c r="G2482" s="32">
        <v>65357414</v>
      </c>
      <c r="H2482" t="s">
        <v>435</v>
      </c>
    </row>
    <row r="2483" spans="1:8" hidden="1" x14ac:dyDescent="0.3">
      <c r="A2483" s="28">
        <v>14423</v>
      </c>
      <c r="B2483" s="35">
        <v>45138.716666666667</v>
      </c>
      <c r="C2483" s="18">
        <v>45138</v>
      </c>
      <c r="D2483" t="s">
        <v>100</v>
      </c>
      <c r="E2483" s="32">
        <v>281600</v>
      </c>
      <c r="F2483" s="32">
        <v>0</v>
      </c>
      <c r="G2483" s="32">
        <v>65757924</v>
      </c>
      <c r="H2483" t="s">
        <v>647</v>
      </c>
    </row>
    <row r="2484" spans="1:8" hidden="1" x14ac:dyDescent="0.3">
      <c r="A2484" s="28">
        <v>14422</v>
      </c>
      <c r="B2484" s="35">
        <v>45138.709722222222</v>
      </c>
      <c r="C2484" s="18">
        <v>45138</v>
      </c>
      <c r="D2484" t="s">
        <v>100</v>
      </c>
      <c r="E2484" s="32">
        <v>304700</v>
      </c>
      <c r="F2484" s="32">
        <v>0</v>
      </c>
      <c r="G2484" s="32">
        <v>65476324</v>
      </c>
      <c r="H2484" t="s">
        <v>648</v>
      </c>
    </row>
    <row r="2485" spans="1:8" hidden="1" x14ac:dyDescent="0.3">
      <c r="A2485" s="28">
        <v>14420</v>
      </c>
      <c r="B2485" s="35">
        <v>45138.627083333333</v>
      </c>
      <c r="C2485" s="18">
        <v>45138</v>
      </c>
      <c r="D2485" t="s">
        <v>101</v>
      </c>
      <c r="E2485" s="32">
        <v>0</v>
      </c>
      <c r="F2485" s="32">
        <v>674032</v>
      </c>
      <c r="G2485" s="32">
        <v>65171624</v>
      </c>
      <c r="H2485" t="s">
        <v>221</v>
      </c>
    </row>
    <row r="2486" spans="1:8" hidden="1" x14ac:dyDescent="0.3">
      <c r="A2486" s="28">
        <v>14419</v>
      </c>
      <c r="B2486" s="35">
        <v>45138.624305555553</v>
      </c>
      <c r="C2486" s="18">
        <v>45138</v>
      </c>
      <c r="D2486" t="s">
        <v>100</v>
      </c>
      <c r="E2486" s="32">
        <v>70400</v>
      </c>
      <c r="F2486" s="32">
        <v>0</v>
      </c>
      <c r="G2486" s="32">
        <v>65845656</v>
      </c>
      <c r="H2486" t="s">
        <v>252</v>
      </c>
    </row>
    <row r="2487" spans="1:8" hidden="1" x14ac:dyDescent="0.3">
      <c r="A2487" s="28">
        <v>14418</v>
      </c>
      <c r="B2487" s="35">
        <v>45138.518750000003</v>
      </c>
      <c r="C2487" s="18">
        <v>45138</v>
      </c>
      <c r="D2487" t="s">
        <v>100</v>
      </c>
      <c r="E2487" s="32">
        <v>149600</v>
      </c>
      <c r="F2487" s="32">
        <v>0</v>
      </c>
      <c r="G2487" s="32">
        <v>65775256</v>
      </c>
      <c r="H2487" t="s">
        <v>245</v>
      </c>
    </row>
    <row r="2488" spans="1:8" hidden="1" x14ac:dyDescent="0.3">
      <c r="A2488" s="28">
        <v>14417</v>
      </c>
      <c r="B2488" s="35">
        <v>45138.459027777775</v>
      </c>
      <c r="C2488" s="18">
        <v>45138</v>
      </c>
      <c r="D2488" t="s">
        <v>100</v>
      </c>
      <c r="E2488" s="32">
        <v>135300</v>
      </c>
      <c r="F2488" s="32">
        <v>0</v>
      </c>
      <c r="G2488" s="32">
        <v>65625656</v>
      </c>
      <c r="H2488" t="s">
        <v>389</v>
      </c>
    </row>
    <row r="2489" spans="1:8" hidden="1" x14ac:dyDescent="0.3">
      <c r="A2489" s="28">
        <v>14416</v>
      </c>
      <c r="B2489" s="35">
        <v>45138.455555555556</v>
      </c>
      <c r="C2489" s="18">
        <v>45138</v>
      </c>
      <c r="D2489" t="s">
        <v>100</v>
      </c>
      <c r="E2489" s="32">
        <v>3276900</v>
      </c>
      <c r="F2489" s="32">
        <v>0</v>
      </c>
      <c r="G2489" s="32">
        <v>65490356</v>
      </c>
      <c r="H2489" t="s">
        <v>649</v>
      </c>
    </row>
    <row r="2490" spans="1:8" hidden="1" x14ac:dyDescent="0.3">
      <c r="A2490" s="28">
        <v>14415</v>
      </c>
      <c r="B2490" s="35">
        <v>45138.445138888892</v>
      </c>
      <c r="C2490" s="18">
        <v>45138</v>
      </c>
      <c r="D2490" t="s">
        <v>100</v>
      </c>
      <c r="E2490" s="32">
        <v>1233100</v>
      </c>
      <c r="F2490" s="32">
        <v>0</v>
      </c>
      <c r="G2490" s="32">
        <v>62213456</v>
      </c>
      <c r="H2490" t="s">
        <v>264</v>
      </c>
    </row>
    <row r="2491" spans="1:8" hidden="1" x14ac:dyDescent="0.3">
      <c r="A2491" s="28">
        <v>14414</v>
      </c>
      <c r="B2491" s="35">
        <v>45138.436111111114</v>
      </c>
      <c r="C2491" s="18">
        <v>45138</v>
      </c>
      <c r="D2491" t="s">
        <v>100</v>
      </c>
      <c r="E2491" s="32">
        <v>1225400</v>
      </c>
      <c r="F2491" s="32">
        <v>0</v>
      </c>
      <c r="G2491" s="32">
        <v>60980356</v>
      </c>
      <c r="H2491" t="s">
        <v>454</v>
      </c>
    </row>
    <row r="2492" spans="1:8" hidden="1" x14ac:dyDescent="0.3">
      <c r="A2492" s="28">
        <v>14413</v>
      </c>
      <c r="B2492" s="35">
        <v>45138.412499999999</v>
      </c>
      <c r="C2492" s="18">
        <v>45138</v>
      </c>
      <c r="D2492" t="s">
        <v>100</v>
      </c>
      <c r="E2492" s="32">
        <v>3610094</v>
      </c>
      <c r="F2492" s="32">
        <v>0</v>
      </c>
      <c r="G2492" s="32">
        <v>59754956</v>
      </c>
      <c r="H2492" t="s">
        <v>370</v>
      </c>
    </row>
    <row r="2493" spans="1:8" hidden="1" x14ac:dyDescent="0.3">
      <c r="A2493" s="28">
        <v>14412</v>
      </c>
      <c r="B2493" s="35">
        <v>45138.412499999999</v>
      </c>
      <c r="C2493" s="18">
        <v>45138</v>
      </c>
      <c r="D2493" t="s">
        <v>100</v>
      </c>
      <c r="E2493" s="32">
        <v>8119737</v>
      </c>
      <c r="F2493" s="32">
        <v>0</v>
      </c>
      <c r="G2493" s="32">
        <v>56144862</v>
      </c>
      <c r="H2493" t="s">
        <v>370</v>
      </c>
    </row>
    <row r="2494" spans="1:8" hidden="1" x14ac:dyDescent="0.3">
      <c r="A2494" s="28">
        <v>14411</v>
      </c>
      <c r="B2494" s="35">
        <v>45138.412499999999</v>
      </c>
      <c r="C2494" s="18">
        <v>45138</v>
      </c>
      <c r="D2494" t="s">
        <v>100</v>
      </c>
      <c r="E2494" s="32">
        <v>3737347</v>
      </c>
      <c r="F2494" s="32">
        <v>0</v>
      </c>
      <c r="G2494" s="32">
        <v>48025125</v>
      </c>
      <c r="H2494" t="s">
        <v>370</v>
      </c>
    </row>
    <row r="2495" spans="1:8" hidden="1" x14ac:dyDescent="0.3">
      <c r="A2495" s="28">
        <v>14410</v>
      </c>
      <c r="B2495" s="35">
        <v>45138.412499999999</v>
      </c>
      <c r="C2495" s="18">
        <v>45138</v>
      </c>
      <c r="D2495" t="s">
        <v>100</v>
      </c>
      <c r="E2495" s="32">
        <v>7146666</v>
      </c>
      <c r="F2495" s="32">
        <v>0</v>
      </c>
      <c r="G2495" s="32">
        <v>44287778</v>
      </c>
      <c r="H2495" t="s">
        <v>370</v>
      </c>
    </row>
    <row r="2496" spans="1:8" hidden="1" x14ac:dyDescent="0.3">
      <c r="A2496" s="28">
        <v>14409</v>
      </c>
      <c r="B2496" s="35">
        <v>45138.412499999999</v>
      </c>
      <c r="C2496" s="18">
        <v>45138</v>
      </c>
      <c r="D2496" t="s">
        <v>100</v>
      </c>
      <c r="E2496" s="32">
        <v>1370949</v>
      </c>
      <c r="F2496" s="32">
        <v>0</v>
      </c>
      <c r="G2496" s="32">
        <v>37141112</v>
      </c>
      <c r="H2496" t="s">
        <v>370</v>
      </c>
    </row>
    <row r="2497" spans="1:8" hidden="1" x14ac:dyDescent="0.3">
      <c r="A2497" s="28">
        <v>14408</v>
      </c>
      <c r="B2497" s="35">
        <v>45138.400694444441</v>
      </c>
      <c r="C2497" s="18">
        <v>45138</v>
      </c>
      <c r="D2497" t="s">
        <v>100</v>
      </c>
      <c r="E2497" s="32">
        <v>3298900</v>
      </c>
      <c r="F2497" s="32">
        <v>0</v>
      </c>
      <c r="G2497" s="32">
        <v>35770163</v>
      </c>
      <c r="H2497" t="s">
        <v>254</v>
      </c>
    </row>
    <row r="2498" spans="1:8" hidden="1" x14ac:dyDescent="0.3">
      <c r="A2498" s="28">
        <v>14407</v>
      </c>
      <c r="B2498" s="35">
        <v>45138.400694444441</v>
      </c>
      <c r="C2498" s="18">
        <v>45138</v>
      </c>
      <c r="D2498" t="s">
        <v>100</v>
      </c>
      <c r="E2498" s="32">
        <v>926200</v>
      </c>
      <c r="F2498" s="32">
        <v>0</v>
      </c>
      <c r="G2498" s="32">
        <v>32471263</v>
      </c>
      <c r="H2498" t="s">
        <v>254</v>
      </c>
    </row>
    <row r="2499" spans="1:8" hidden="1" x14ac:dyDescent="0.3">
      <c r="A2499" s="28">
        <v>14406</v>
      </c>
      <c r="B2499" s="35">
        <v>45138.400694444441</v>
      </c>
      <c r="C2499" s="18">
        <v>45138</v>
      </c>
      <c r="D2499" t="s">
        <v>100</v>
      </c>
      <c r="E2499" s="32">
        <v>5827800</v>
      </c>
      <c r="F2499" s="32">
        <v>0</v>
      </c>
      <c r="G2499" s="32">
        <v>31545063</v>
      </c>
      <c r="H2499" t="s">
        <v>254</v>
      </c>
    </row>
    <row r="2500" spans="1:8" hidden="1" x14ac:dyDescent="0.3">
      <c r="A2500" s="28">
        <v>14400</v>
      </c>
      <c r="B2500" s="35">
        <v>45135.609722222223</v>
      </c>
      <c r="C2500" s="18">
        <v>45135</v>
      </c>
      <c r="D2500" t="s">
        <v>101</v>
      </c>
      <c r="E2500" s="32">
        <v>0</v>
      </c>
      <c r="F2500" s="32">
        <v>198000</v>
      </c>
      <c r="G2500" s="32">
        <v>25717263</v>
      </c>
      <c r="H2500" t="s">
        <v>650</v>
      </c>
    </row>
    <row r="2501" spans="1:8" hidden="1" x14ac:dyDescent="0.3">
      <c r="A2501" s="28">
        <v>14399</v>
      </c>
      <c r="B2501" s="35">
        <v>45135.552777777775</v>
      </c>
      <c r="C2501" s="18">
        <v>45135</v>
      </c>
      <c r="D2501" t="s">
        <v>100</v>
      </c>
      <c r="E2501" s="32">
        <v>893200</v>
      </c>
      <c r="F2501" s="32">
        <v>0</v>
      </c>
      <c r="G2501" s="32">
        <v>25915263</v>
      </c>
      <c r="H2501" t="s">
        <v>417</v>
      </c>
    </row>
    <row r="2502" spans="1:8" hidden="1" x14ac:dyDescent="0.3">
      <c r="A2502" s="28">
        <v>14398</v>
      </c>
      <c r="B2502" s="35">
        <v>45135.552777777775</v>
      </c>
      <c r="C2502" s="18">
        <v>45135</v>
      </c>
      <c r="D2502" t="s">
        <v>100</v>
      </c>
      <c r="E2502" s="32">
        <v>807400</v>
      </c>
      <c r="F2502" s="32">
        <v>0</v>
      </c>
      <c r="G2502" s="32">
        <v>25022063</v>
      </c>
      <c r="H2502" t="s">
        <v>417</v>
      </c>
    </row>
    <row r="2503" spans="1:8" hidden="1" x14ac:dyDescent="0.3">
      <c r="A2503" s="28">
        <v>14395</v>
      </c>
      <c r="B2503" s="35">
        <v>45135.46597222222</v>
      </c>
      <c r="C2503" s="18">
        <v>45135</v>
      </c>
      <c r="D2503" t="s">
        <v>101</v>
      </c>
      <c r="E2503" s="32">
        <v>0</v>
      </c>
      <c r="F2503" s="32">
        <v>750000</v>
      </c>
      <c r="G2503" s="32">
        <v>24214663</v>
      </c>
      <c r="H2503" t="s">
        <v>460</v>
      </c>
    </row>
    <row r="2504" spans="1:8" hidden="1" x14ac:dyDescent="0.3">
      <c r="A2504" s="28">
        <v>14394</v>
      </c>
      <c r="B2504" s="35">
        <v>45135.429861111108</v>
      </c>
      <c r="C2504" s="18">
        <v>45135</v>
      </c>
      <c r="D2504" t="s">
        <v>100</v>
      </c>
      <c r="E2504" s="32">
        <v>650100</v>
      </c>
      <c r="F2504" s="32">
        <v>0</v>
      </c>
      <c r="G2504" s="32">
        <v>24964663</v>
      </c>
      <c r="H2504" t="s">
        <v>263</v>
      </c>
    </row>
    <row r="2505" spans="1:8" hidden="1" x14ac:dyDescent="0.3">
      <c r="A2505" s="28">
        <v>14393</v>
      </c>
      <c r="B2505" s="35">
        <v>45135.40625</v>
      </c>
      <c r="C2505" s="18">
        <v>45135</v>
      </c>
      <c r="D2505" t="s">
        <v>100</v>
      </c>
      <c r="E2505" s="32">
        <v>78000</v>
      </c>
      <c r="F2505" s="32">
        <v>0</v>
      </c>
      <c r="G2505" s="32">
        <v>24314563</v>
      </c>
      <c r="H2505" t="s">
        <v>575</v>
      </c>
    </row>
    <row r="2506" spans="1:8" hidden="1" x14ac:dyDescent="0.3">
      <c r="A2506" s="28">
        <v>14392</v>
      </c>
      <c r="B2506" s="35">
        <v>45135.40625</v>
      </c>
      <c r="C2506" s="18">
        <v>45135</v>
      </c>
      <c r="D2506" t="s">
        <v>100</v>
      </c>
      <c r="E2506" s="32">
        <v>301000</v>
      </c>
      <c r="F2506" s="32">
        <v>0</v>
      </c>
      <c r="G2506" s="32">
        <v>24236563</v>
      </c>
      <c r="H2506" t="s">
        <v>575</v>
      </c>
    </row>
    <row r="2507" spans="1:8" hidden="1" x14ac:dyDescent="0.3">
      <c r="A2507" s="28">
        <v>14391</v>
      </c>
      <c r="B2507" s="35">
        <v>45135.40625</v>
      </c>
      <c r="C2507" s="18">
        <v>45135</v>
      </c>
      <c r="D2507" t="s">
        <v>100</v>
      </c>
      <c r="E2507" s="32">
        <v>940000</v>
      </c>
      <c r="F2507" s="32">
        <v>0</v>
      </c>
      <c r="G2507" s="32">
        <v>23935563</v>
      </c>
      <c r="H2507" t="s">
        <v>575</v>
      </c>
    </row>
    <row r="2508" spans="1:8" hidden="1" x14ac:dyDescent="0.3">
      <c r="A2508" s="28">
        <v>14390</v>
      </c>
      <c r="B2508" s="35">
        <v>45135.40625</v>
      </c>
      <c r="C2508" s="18">
        <v>45135</v>
      </c>
      <c r="D2508" t="s">
        <v>100</v>
      </c>
      <c r="E2508" s="32">
        <v>117000</v>
      </c>
      <c r="F2508" s="32">
        <v>0</v>
      </c>
      <c r="G2508" s="32">
        <v>22995563</v>
      </c>
      <c r="H2508" t="s">
        <v>575</v>
      </c>
    </row>
    <row r="2509" spans="1:8" hidden="1" x14ac:dyDescent="0.3">
      <c r="A2509" s="28">
        <v>14389</v>
      </c>
      <c r="B2509" s="35">
        <v>45135.40625</v>
      </c>
      <c r="C2509" s="18">
        <v>45135</v>
      </c>
      <c r="D2509" t="s">
        <v>100</v>
      </c>
      <c r="E2509" s="32">
        <v>137000</v>
      </c>
      <c r="F2509" s="32">
        <v>0</v>
      </c>
      <c r="G2509" s="32">
        <v>22878563</v>
      </c>
      <c r="H2509" t="s">
        <v>575</v>
      </c>
    </row>
    <row r="2510" spans="1:8" hidden="1" x14ac:dyDescent="0.3">
      <c r="A2510" s="28">
        <v>14388</v>
      </c>
      <c r="B2510" s="35">
        <v>45135.40625</v>
      </c>
      <c r="C2510" s="18">
        <v>45135</v>
      </c>
      <c r="D2510" t="s">
        <v>100</v>
      </c>
      <c r="E2510" s="32">
        <v>143000</v>
      </c>
      <c r="F2510" s="32">
        <v>0</v>
      </c>
      <c r="G2510" s="32">
        <v>22741563</v>
      </c>
      <c r="H2510" t="s">
        <v>575</v>
      </c>
    </row>
    <row r="2511" spans="1:8" hidden="1" x14ac:dyDescent="0.3">
      <c r="A2511" s="28">
        <v>14387</v>
      </c>
      <c r="B2511" s="35">
        <v>45134.724305555559</v>
      </c>
      <c r="C2511" s="18">
        <v>45134</v>
      </c>
      <c r="D2511" t="s">
        <v>100</v>
      </c>
      <c r="E2511" s="32">
        <v>379500</v>
      </c>
      <c r="F2511" s="32">
        <v>0</v>
      </c>
      <c r="G2511" s="32">
        <v>22598563</v>
      </c>
      <c r="H2511" t="s">
        <v>651</v>
      </c>
    </row>
    <row r="2512" spans="1:8" hidden="1" x14ac:dyDescent="0.3">
      <c r="A2512" s="28">
        <v>14386</v>
      </c>
      <c r="B2512" s="35">
        <v>45134.70208333333</v>
      </c>
      <c r="C2512" s="18">
        <v>45134</v>
      </c>
      <c r="D2512" t="s">
        <v>100</v>
      </c>
      <c r="E2512" s="32">
        <v>180500</v>
      </c>
      <c r="F2512" s="32">
        <v>0</v>
      </c>
      <c r="G2512" s="32">
        <v>22219063</v>
      </c>
      <c r="H2512" t="s">
        <v>260</v>
      </c>
    </row>
    <row r="2513" spans="1:8" hidden="1" x14ac:dyDescent="0.3">
      <c r="A2513" s="28">
        <v>14385</v>
      </c>
      <c r="B2513" s="35">
        <v>45134.694444444445</v>
      </c>
      <c r="C2513" s="18">
        <v>45134</v>
      </c>
      <c r="D2513" t="s">
        <v>101</v>
      </c>
      <c r="E2513" s="32">
        <v>0</v>
      </c>
      <c r="F2513" s="32">
        <v>262490</v>
      </c>
      <c r="G2513" s="32">
        <v>22038563</v>
      </c>
      <c r="H2513" t="s">
        <v>221</v>
      </c>
    </row>
    <row r="2514" spans="1:8" hidden="1" x14ac:dyDescent="0.3">
      <c r="A2514" s="28">
        <v>14384</v>
      </c>
      <c r="B2514" s="35">
        <v>45134.686805555553</v>
      </c>
      <c r="C2514" s="18">
        <v>45134</v>
      </c>
      <c r="D2514" t="s">
        <v>100</v>
      </c>
      <c r="E2514" s="32">
        <v>1805000</v>
      </c>
      <c r="F2514" s="32">
        <v>0</v>
      </c>
      <c r="G2514" s="32">
        <v>22301053</v>
      </c>
      <c r="H2514" t="s">
        <v>652</v>
      </c>
    </row>
    <row r="2515" spans="1:8" hidden="1" x14ac:dyDescent="0.3">
      <c r="A2515" s="28">
        <v>14383</v>
      </c>
      <c r="B2515" s="35">
        <v>45134.652777777781</v>
      </c>
      <c r="C2515" s="18">
        <v>45134</v>
      </c>
      <c r="D2515" t="s">
        <v>101</v>
      </c>
      <c r="E2515" s="32">
        <v>0</v>
      </c>
      <c r="F2515" s="32">
        <v>87310</v>
      </c>
      <c r="G2515" s="32">
        <v>20496053</v>
      </c>
      <c r="H2515" t="s">
        <v>221</v>
      </c>
    </row>
    <row r="2516" spans="1:8" hidden="1" x14ac:dyDescent="0.3">
      <c r="A2516" s="28">
        <v>14381</v>
      </c>
      <c r="B2516" s="35">
        <v>45134.621527777781</v>
      </c>
      <c r="C2516" s="18">
        <v>45134</v>
      </c>
      <c r="D2516" t="s">
        <v>100</v>
      </c>
      <c r="E2516" s="32">
        <v>1706650</v>
      </c>
      <c r="F2516" s="32">
        <v>0</v>
      </c>
      <c r="G2516" s="32">
        <v>20583363</v>
      </c>
      <c r="H2516" t="s">
        <v>235</v>
      </c>
    </row>
    <row r="2517" spans="1:8" hidden="1" x14ac:dyDescent="0.3">
      <c r="A2517" s="28">
        <v>14380</v>
      </c>
      <c r="B2517" s="35">
        <v>45134.620138888888</v>
      </c>
      <c r="C2517" s="18">
        <v>45134</v>
      </c>
      <c r="D2517" t="s">
        <v>101</v>
      </c>
      <c r="E2517" s="32">
        <v>0</v>
      </c>
      <c r="F2517" s="32">
        <v>6600000</v>
      </c>
      <c r="G2517" s="32">
        <v>18876713</v>
      </c>
      <c r="H2517" t="s">
        <v>653</v>
      </c>
    </row>
    <row r="2518" spans="1:8" hidden="1" x14ac:dyDescent="0.3">
      <c r="A2518" s="28">
        <v>14377</v>
      </c>
      <c r="B2518" s="35">
        <v>45134.463888888888</v>
      </c>
      <c r="C2518" s="18">
        <v>45134</v>
      </c>
      <c r="D2518" t="s">
        <v>100</v>
      </c>
      <c r="E2518" s="32">
        <v>1453000</v>
      </c>
      <c r="F2518" s="32">
        <v>0</v>
      </c>
      <c r="G2518" s="32">
        <v>25476713</v>
      </c>
      <c r="H2518" t="s">
        <v>508</v>
      </c>
    </row>
    <row r="2519" spans="1:8" hidden="1" x14ac:dyDescent="0.3">
      <c r="A2519" s="28">
        <v>14376</v>
      </c>
      <c r="B2519" s="35">
        <v>45134.461805555555</v>
      </c>
      <c r="C2519" s="18">
        <v>45134</v>
      </c>
      <c r="D2519" t="s">
        <v>100</v>
      </c>
      <c r="E2519" s="32">
        <v>785000</v>
      </c>
      <c r="F2519" s="32">
        <v>0</v>
      </c>
      <c r="G2519" s="32">
        <v>24023713</v>
      </c>
      <c r="H2519" t="s">
        <v>654</v>
      </c>
    </row>
    <row r="2520" spans="1:8" hidden="1" x14ac:dyDescent="0.3">
      <c r="A2520" s="28">
        <v>14375</v>
      </c>
      <c r="B2520" s="35">
        <v>45134.458333333336</v>
      </c>
      <c r="C2520" s="18">
        <v>45134</v>
      </c>
      <c r="D2520" t="s">
        <v>100</v>
      </c>
      <c r="E2520" s="32">
        <v>78500</v>
      </c>
      <c r="F2520" s="32">
        <v>0</v>
      </c>
      <c r="G2520" s="32">
        <v>23238713</v>
      </c>
      <c r="H2520" t="s">
        <v>507</v>
      </c>
    </row>
    <row r="2521" spans="1:8" hidden="1" x14ac:dyDescent="0.3">
      <c r="A2521" s="28">
        <v>14374</v>
      </c>
      <c r="B2521" s="35">
        <v>45134.458333333336</v>
      </c>
      <c r="C2521" s="18">
        <v>45134</v>
      </c>
      <c r="D2521" t="s">
        <v>100</v>
      </c>
      <c r="E2521" s="32">
        <v>145300</v>
      </c>
      <c r="F2521" s="32">
        <v>0</v>
      </c>
      <c r="G2521" s="32">
        <v>23160213</v>
      </c>
      <c r="H2521" t="s">
        <v>507</v>
      </c>
    </row>
    <row r="2522" spans="1:8" hidden="1" x14ac:dyDescent="0.3">
      <c r="A2522" s="28">
        <v>14373</v>
      </c>
      <c r="B2522" s="35">
        <v>45134.432638888888</v>
      </c>
      <c r="C2522" s="18">
        <v>45134</v>
      </c>
      <c r="D2522" t="s">
        <v>100</v>
      </c>
      <c r="E2522" s="32">
        <v>521400</v>
      </c>
      <c r="F2522" s="32">
        <v>0</v>
      </c>
      <c r="G2522" s="32">
        <v>23014913</v>
      </c>
      <c r="H2522" t="s">
        <v>438</v>
      </c>
    </row>
    <row r="2523" spans="1:8" hidden="1" x14ac:dyDescent="0.3">
      <c r="A2523" s="28">
        <v>14371</v>
      </c>
      <c r="B2523" s="35">
        <v>45133.709722222222</v>
      </c>
      <c r="C2523" s="18">
        <v>45133</v>
      </c>
      <c r="D2523" t="s">
        <v>100</v>
      </c>
      <c r="E2523" s="32">
        <v>3290100</v>
      </c>
      <c r="F2523" s="32">
        <v>0</v>
      </c>
      <c r="G2523" s="32">
        <v>22493513</v>
      </c>
      <c r="H2523" t="s">
        <v>487</v>
      </c>
    </row>
    <row r="2524" spans="1:8" hidden="1" x14ac:dyDescent="0.3">
      <c r="A2524" s="28">
        <v>14365</v>
      </c>
      <c r="B2524" s="35">
        <v>45132.834722222222</v>
      </c>
      <c r="C2524" s="18">
        <v>45132</v>
      </c>
      <c r="D2524" t="s">
        <v>101</v>
      </c>
      <c r="E2524" s="32">
        <v>0</v>
      </c>
      <c r="F2524" s="32">
        <v>440000</v>
      </c>
      <c r="G2524" s="32">
        <v>19203413</v>
      </c>
      <c r="H2524" t="s">
        <v>413</v>
      </c>
    </row>
    <row r="2525" spans="1:8" hidden="1" x14ac:dyDescent="0.3">
      <c r="A2525" s="28">
        <v>14362</v>
      </c>
      <c r="B2525" s="35">
        <v>45132.706250000003</v>
      </c>
      <c r="C2525" s="18">
        <v>45132</v>
      </c>
      <c r="D2525" t="s">
        <v>101</v>
      </c>
      <c r="E2525" s="32">
        <v>0</v>
      </c>
      <c r="F2525" s="32">
        <v>357500</v>
      </c>
      <c r="G2525" s="32">
        <v>19643413</v>
      </c>
      <c r="H2525" t="s">
        <v>655</v>
      </c>
    </row>
    <row r="2526" spans="1:8" hidden="1" x14ac:dyDescent="0.3">
      <c r="A2526" s="28">
        <v>14361</v>
      </c>
      <c r="B2526" s="35">
        <v>45132.677777777775</v>
      </c>
      <c r="C2526" s="18">
        <v>45132</v>
      </c>
      <c r="D2526" t="s">
        <v>100</v>
      </c>
      <c r="E2526" s="32">
        <v>3644300</v>
      </c>
      <c r="F2526" s="32">
        <v>0</v>
      </c>
      <c r="G2526" s="32">
        <v>20000913</v>
      </c>
      <c r="H2526" t="s">
        <v>249</v>
      </c>
    </row>
    <row r="2527" spans="1:8" hidden="1" x14ac:dyDescent="0.3">
      <c r="A2527" s="28">
        <v>14360</v>
      </c>
      <c r="B2527" s="35">
        <v>45132.62222222222</v>
      </c>
      <c r="C2527" s="18">
        <v>45132</v>
      </c>
      <c r="D2527" t="s">
        <v>101</v>
      </c>
      <c r="E2527" s="32">
        <v>0</v>
      </c>
      <c r="F2527" s="32">
        <v>57530</v>
      </c>
      <c r="G2527" s="32">
        <v>16356613</v>
      </c>
      <c r="H2527" t="s">
        <v>280</v>
      </c>
    </row>
    <row r="2528" spans="1:8" hidden="1" x14ac:dyDescent="0.3">
      <c r="A2528" s="28">
        <v>14359</v>
      </c>
      <c r="B2528" s="35">
        <v>45132.588888888888</v>
      </c>
      <c r="C2528" s="18">
        <v>45132</v>
      </c>
      <c r="D2528" t="s">
        <v>101</v>
      </c>
      <c r="E2528" s="32">
        <v>0</v>
      </c>
      <c r="F2528" s="32">
        <v>156087</v>
      </c>
      <c r="G2528" s="32">
        <v>16414143</v>
      </c>
      <c r="H2528" t="s">
        <v>221</v>
      </c>
    </row>
    <row r="2529" spans="1:8" hidden="1" x14ac:dyDescent="0.3">
      <c r="A2529" s="28">
        <v>14358</v>
      </c>
      <c r="B2529" s="35">
        <v>45132.563888888886</v>
      </c>
      <c r="C2529" s="18">
        <v>45132</v>
      </c>
      <c r="D2529" t="s">
        <v>100</v>
      </c>
      <c r="E2529" s="32">
        <v>985600</v>
      </c>
      <c r="F2529" s="32">
        <v>0</v>
      </c>
      <c r="G2529" s="32">
        <v>16570230</v>
      </c>
      <c r="H2529" t="s">
        <v>313</v>
      </c>
    </row>
    <row r="2530" spans="1:8" hidden="1" x14ac:dyDescent="0.3">
      <c r="A2530" s="28">
        <v>14357</v>
      </c>
      <c r="B2530" s="35">
        <v>45132.563888888886</v>
      </c>
      <c r="C2530" s="18">
        <v>45132</v>
      </c>
      <c r="D2530" t="s">
        <v>100</v>
      </c>
      <c r="E2530" s="32">
        <v>1953600</v>
      </c>
      <c r="F2530" s="32">
        <v>0</v>
      </c>
      <c r="G2530" s="32">
        <v>15584630</v>
      </c>
      <c r="H2530" t="s">
        <v>313</v>
      </c>
    </row>
    <row r="2531" spans="1:8" hidden="1" x14ac:dyDescent="0.3">
      <c r="A2531" s="28">
        <v>14355</v>
      </c>
      <c r="B2531" s="35">
        <v>45132.477083333331</v>
      </c>
      <c r="C2531" s="18">
        <v>45132</v>
      </c>
      <c r="D2531" t="s">
        <v>100</v>
      </c>
      <c r="E2531" s="32">
        <v>705100</v>
      </c>
      <c r="F2531" s="32">
        <v>0</v>
      </c>
      <c r="G2531" s="32">
        <v>13631030</v>
      </c>
      <c r="H2531" t="s">
        <v>594</v>
      </c>
    </row>
    <row r="2532" spans="1:8" hidden="1" x14ac:dyDescent="0.3">
      <c r="A2532" s="28">
        <v>14354</v>
      </c>
      <c r="B2532" s="35">
        <v>45132.37222222222</v>
      </c>
      <c r="C2532" s="18">
        <v>45132</v>
      </c>
      <c r="D2532" t="s">
        <v>101</v>
      </c>
      <c r="E2532" s="32">
        <v>0</v>
      </c>
      <c r="F2532" s="32">
        <v>2650203</v>
      </c>
      <c r="G2532" s="32">
        <v>12925930</v>
      </c>
      <c r="H2532" t="s">
        <v>656</v>
      </c>
    </row>
    <row r="2533" spans="1:8" hidden="1" x14ac:dyDescent="0.3">
      <c r="A2533" s="28">
        <v>14353</v>
      </c>
      <c r="B2533" s="35">
        <v>45132.370138888888</v>
      </c>
      <c r="C2533" s="18">
        <v>45132</v>
      </c>
      <c r="D2533" t="s">
        <v>101</v>
      </c>
      <c r="E2533" s="32">
        <v>0</v>
      </c>
      <c r="F2533" s="32">
        <v>130000</v>
      </c>
      <c r="G2533" s="32">
        <v>15576133</v>
      </c>
      <c r="H2533" t="s">
        <v>657</v>
      </c>
    </row>
    <row r="2534" spans="1:8" hidden="1" x14ac:dyDescent="0.3">
      <c r="A2534" s="28">
        <v>14352</v>
      </c>
      <c r="B2534" s="35">
        <v>45132.369444444441</v>
      </c>
      <c r="C2534" s="18">
        <v>45132</v>
      </c>
      <c r="D2534" t="s">
        <v>101</v>
      </c>
      <c r="E2534" s="32">
        <v>0</v>
      </c>
      <c r="F2534" s="32">
        <v>450000</v>
      </c>
      <c r="G2534" s="32">
        <v>15706133</v>
      </c>
      <c r="H2534" t="s">
        <v>282</v>
      </c>
    </row>
    <row r="2535" spans="1:8" hidden="1" x14ac:dyDescent="0.3">
      <c r="A2535" s="28">
        <v>14351</v>
      </c>
      <c r="B2535" s="35">
        <v>45131.550694444442</v>
      </c>
      <c r="C2535" s="18">
        <v>45131</v>
      </c>
      <c r="D2535" t="s">
        <v>100</v>
      </c>
      <c r="E2535" s="32">
        <v>79200</v>
      </c>
      <c r="F2535" s="32">
        <v>0</v>
      </c>
      <c r="G2535" s="32">
        <v>16156133</v>
      </c>
      <c r="H2535" t="s">
        <v>658</v>
      </c>
    </row>
    <row r="2536" spans="1:8" hidden="1" x14ac:dyDescent="0.3">
      <c r="A2536" s="28">
        <v>14350</v>
      </c>
      <c r="B2536" s="35">
        <v>45131.520138888889</v>
      </c>
      <c r="C2536" s="18">
        <v>45131</v>
      </c>
      <c r="D2536" t="s">
        <v>100</v>
      </c>
      <c r="E2536" s="32">
        <v>86900</v>
      </c>
      <c r="F2536" s="32">
        <v>0</v>
      </c>
      <c r="G2536" s="32">
        <v>16076933</v>
      </c>
      <c r="H2536" t="s">
        <v>659</v>
      </c>
    </row>
    <row r="2537" spans="1:8" hidden="1" x14ac:dyDescent="0.3">
      <c r="A2537" s="28">
        <v>14349</v>
      </c>
      <c r="B2537" s="35">
        <v>45131.382638888892</v>
      </c>
      <c r="C2537" s="18">
        <v>45131</v>
      </c>
      <c r="D2537" t="s">
        <v>100</v>
      </c>
      <c r="E2537" s="32">
        <v>2545950</v>
      </c>
      <c r="F2537" s="32">
        <v>0</v>
      </c>
      <c r="G2537" s="32">
        <v>15990033</v>
      </c>
      <c r="H2537" t="s">
        <v>660</v>
      </c>
    </row>
    <row r="2538" spans="1:8" hidden="1" x14ac:dyDescent="0.3">
      <c r="A2538" s="28">
        <v>14348</v>
      </c>
      <c r="B2538" s="35">
        <v>45131.382638888892</v>
      </c>
      <c r="C2538" s="18">
        <v>45131</v>
      </c>
      <c r="D2538" t="s">
        <v>100</v>
      </c>
      <c r="E2538" s="32">
        <v>2635050</v>
      </c>
      <c r="F2538" s="32">
        <v>0</v>
      </c>
      <c r="G2538" s="32">
        <v>13444083</v>
      </c>
      <c r="H2538" t="s">
        <v>660</v>
      </c>
    </row>
    <row r="2539" spans="1:8" hidden="1" x14ac:dyDescent="0.3">
      <c r="A2539" s="28">
        <v>14341</v>
      </c>
      <c r="B2539" s="35">
        <v>45128.35833333333</v>
      </c>
      <c r="C2539" s="18">
        <v>45128</v>
      </c>
      <c r="D2539" t="s">
        <v>101</v>
      </c>
      <c r="E2539" s="32">
        <v>0</v>
      </c>
      <c r="F2539" s="32">
        <v>12598120</v>
      </c>
      <c r="G2539" s="32">
        <v>10809033</v>
      </c>
      <c r="H2539" t="s">
        <v>661</v>
      </c>
    </row>
    <row r="2540" spans="1:8" hidden="1" x14ac:dyDescent="0.3">
      <c r="A2540" s="28">
        <v>14340</v>
      </c>
      <c r="B2540" s="35">
        <v>45127.85</v>
      </c>
      <c r="C2540" s="18">
        <v>45127</v>
      </c>
      <c r="D2540" t="s">
        <v>101</v>
      </c>
      <c r="E2540" s="32">
        <v>0</v>
      </c>
      <c r="F2540" s="32">
        <v>598530</v>
      </c>
      <c r="G2540" s="32">
        <v>23407153</v>
      </c>
      <c r="H2540" t="s">
        <v>662</v>
      </c>
    </row>
    <row r="2541" spans="1:8" hidden="1" x14ac:dyDescent="0.3">
      <c r="A2541" s="28">
        <v>14339</v>
      </c>
      <c r="B2541" s="35">
        <v>45127.829861111109</v>
      </c>
      <c r="C2541" s="18">
        <v>45127</v>
      </c>
      <c r="D2541" t="s">
        <v>101</v>
      </c>
      <c r="E2541" s="32">
        <v>0</v>
      </c>
      <c r="F2541" s="32">
        <v>282428</v>
      </c>
      <c r="G2541" s="32">
        <v>24005683</v>
      </c>
      <c r="H2541" t="s">
        <v>663</v>
      </c>
    </row>
    <row r="2542" spans="1:8" hidden="1" x14ac:dyDescent="0.3">
      <c r="A2542" s="28">
        <v>14338</v>
      </c>
      <c r="B2542" s="35">
        <v>45127.820833333331</v>
      </c>
      <c r="C2542" s="18">
        <v>45127</v>
      </c>
      <c r="D2542" t="s">
        <v>101</v>
      </c>
      <c r="E2542" s="32">
        <v>0</v>
      </c>
      <c r="F2542" s="32">
        <v>77429</v>
      </c>
      <c r="G2542" s="32">
        <v>24288111</v>
      </c>
      <c r="H2542" t="s">
        <v>664</v>
      </c>
    </row>
    <row r="2543" spans="1:8" hidden="1" x14ac:dyDescent="0.3">
      <c r="A2543" s="28">
        <v>14337</v>
      </c>
      <c r="B2543" s="35">
        <v>45127.816666666666</v>
      </c>
      <c r="C2543" s="18">
        <v>45127</v>
      </c>
      <c r="D2543" t="s">
        <v>101</v>
      </c>
      <c r="E2543" s="32">
        <v>0</v>
      </c>
      <c r="F2543" s="32">
        <v>1000000</v>
      </c>
      <c r="G2543" s="32">
        <v>24365540</v>
      </c>
      <c r="H2543" t="s">
        <v>665</v>
      </c>
    </row>
    <row r="2544" spans="1:8" hidden="1" x14ac:dyDescent="0.3">
      <c r="A2544" s="28">
        <v>14336</v>
      </c>
      <c r="B2544" s="35">
        <v>45127.695138888892</v>
      </c>
      <c r="C2544" s="18">
        <v>45127</v>
      </c>
      <c r="D2544" t="s">
        <v>101</v>
      </c>
      <c r="E2544" s="32">
        <v>0</v>
      </c>
      <c r="F2544" s="32">
        <v>346500</v>
      </c>
      <c r="G2544" s="32">
        <v>25365540</v>
      </c>
      <c r="H2544" t="s">
        <v>666</v>
      </c>
    </row>
    <row r="2545" spans="1:8" hidden="1" x14ac:dyDescent="0.3">
      <c r="A2545" s="28">
        <v>14335</v>
      </c>
      <c r="B2545" s="35">
        <v>45127.657638888886</v>
      </c>
      <c r="C2545" s="18">
        <v>45127</v>
      </c>
      <c r="D2545" t="s">
        <v>101</v>
      </c>
      <c r="E2545" s="32">
        <v>0</v>
      </c>
      <c r="F2545" s="32">
        <v>2968290</v>
      </c>
      <c r="G2545" s="32">
        <v>25712040</v>
      </c>
      <c r="H2545" t="s">
        <v>667</v>
      </c>
    </row>
    <row r="2546" spans="1:8" hidden="1" x14ac:dyDescent="0.3">
      <c r="A2546" s="28">
        <v>14334</v>
      </c>
      <c r="B2546" s="35">
        <v>45127.65625</v>
      </c>
      <c r="C2546" s="18">
        <v>45127</v>
      </c>
      <c r="D2546" t="s">
        <v>101</v>
      </c>
      <c r="E2546" s="32">
        <v>0</v>
      </c>
      <c r="F2546" s="32">
        <v>20000</v>
      </c>
      <c r="G2546" s="32">
        <v>28680330</v>
      </c>
      <c r="H2546" t="s">
        <v>668</v>
      </c>
    </row>
    <row r="2547" spans="1:8" hidden="1" x14ac:dyDescent="0.3">
      <c r="A2547" s="28">
        <v>14333</v>
      </c>
      <c r="B2547" s="35">
        <v>45127.620833333334</v>
      </c>
      <c r="C2547" s="18">
        <v>45127</v>
      </c>
      <c r="D2547" t="s">
        <v>100</v>
      </c>
      <c r="E2547" s="32">
        <v>214500</v>
      </c>
      <c r="F2547" s="32">
        <v>0</v>
      </c>
      <c r="G2547" s="32">
        <v>28700330</v>
      </c>
      <c r="H2547" t="s">
        <v>669</v>
      </c>
    </row>
    <row r="2548" spans="1:8" hidden="1" x14ac:dyDescent="0.3">
      <c r="A2548" s="28">
        <v>14332</v>
      </c>
      <c r="B2548" s="35">
        <v>45127.620833333334</v>
      </c>
      <c r="C2548" s="18">
        <v>45127</v>
      </c>
      <c r="D2548" t="s">
        <v>100</v>
      </c>
      <c r="E2548" s="32">
        <v>523600</v>
      </c>
      <c r="F2548" s="32">
        <v>0</v>
      </c>
      <c r="G2548" s="32">
        <v>28485830</v>
      </c>
      <c r="H2548" t="s">
        <v>669</v>
      </c>
    </row>
    <row r="2549" spans="1:8" hidden="1" x14ac:dyDescent="0.3">
      <c r="A2549" s="28">
        <v>14331</v>
      </c>
      <c r="B2549" s="35">
        <v>45127.584722222222</v>
      </c>
      <c r="C2549" s="18">
        <v>45127</v>
      </c>
      <c r="D2549" t="s">
        <v>100</v>
      </c>
      <c r="E2549" s="32">
        <v>1109900</v>
      </c>
      <c r="F2549" s="32">
        <v>0</v>
      </c>
      <c r="G2549" s="32">
        <v>27962230</v>
      </c>
      <c r="H2549" t="s">
        <v>670</v>
      </c>
    </row>
    <row r="2550" spans="1:8" hidden="1" x14ac:dyDescent="0.3">
      <c r="A2550" s="28">
        <v>14330</v>
      </c>
      <c r="B2550" s="35">
        <v>45127.583333333336</v>
      </c>
      <c r="C2550" s="18">
        <v>45127</v>
      </c>
      <c r="D2550" t="s">
        <v>100</v>
      </c>
      <c r="E2550" s="32">
        <v>536800</v>
      </c>
      <c r="F2550" s="32">
        <v>0</v>
      </c>
      <c r="G2550" s="32">
        <v>26852330</v>
      </c>
      <c r="H2550" t="s">
        <v>671</v>
      </c>
    </row>
    <row r="2551" spans="1:8" hidden="1" x14ac:dyDescent="0.3">
      <c r="A2551" s="28">
        <v>14329</v>
      </c>
      <c r="B2551" s="35">
        <v>45127.492361111108</v>
      </c>
      <c r="C2551" s="18">
        <v>45127</v>
      </c>
      <c r="D2551" t="s">
        <v>100</v>
      </c>
      <c r="E2551" s="32">
        <v>394900</v>
      </c>
      <c r="F2551" s="32">
        <v>0</v>
      </c>
      <c r="G2551" s="32">
        <v>26315530</v>
      </c>
      <c r="H2551" t="s">
        <v>659</v>
      </c>
    </row>
    <row r="2552" spans="1:8" hidden="1" x14ac:dyDescent="0.3">
      <c r="A2552" s="28">
        <v>14326</v>
      </c>
      <c r="B2552" s="35">
        <v>45127.443055555559</v>
      </c>
      <c r="C2552" s="18">
        <v>45127</v>
      </c>
      <c r="D2552" t="s">
        <v>100</v>
      </c>
      <c r="E2552" s="32">
        <v>452100</v>
      </c>
      <c r="F2552" s="32">
        <v>0</v>
      </c>
      <c r="G2552" s="32">
        <v>25920630</v>
      </c>
      <c r="H2552" t="s">
        <v>672</v>
      </c>
    </row>
    <row r="2553" spans="1:8" hidden="1" x14ac:dyDescent="0.3">
      <c r="A2553" s="28">
        <v>14325</v>
      </c>
      <c r="B2553" s="35">
        <v>45127.426388888889</v>
      </c>
      <c r="C2553" s="18">
        <v>45127</v>
      </c>
      <c r="D2553" t="s">
        <v>101</v>
      </c>
      <c r="E2553" s="32">
        <v>0</v>
      </c>
      <c r="F2553" s="32">
        <v>1055342</v>
      </c>
      <c r="G2553" s="32">
        <v>25468530</v>
      </c>
      <c r="H2553">
        <v>64971601470587</v>
      </c>
    </row>
    <row r="2554" spans="1:8" hidden="1" x14ac:dyDescent="0.3">
      <c r="A2554" s="28">
        <v>14324</v>
      </c>
      <c r="B2554" s="35">
        <v>45126.654861111114</v>
      </c>
      <c r="C2554" s="18">
        <v>45126</v>
      </c>
      <c r="D2554" t="s">
        <v>100</v>
      </c>
      <c r="E2554" s="32">
        <v>1269400</v>
      </c>
      <c r="F2554" s="32">
        <v>0</v>
      </c>
      <c r="G2554" s="32">
        <v>26523872</v>
      </c>
      <c r="H2554" t="s">
        <v>673</v>
      </c>
    </row>
    <row r="2555" spans="1:8" hidden="1" x14ac:dyDescent="0.3">
      <c r="A2555" s="28">
        <v>14323</v>
      </c>
      <c r="B2555" s="35">
        <v>45126.632638888892</v>
      </c>
      <c r="C2555" s="18">
        <v>45126</v>
      </c>
      <c r="D2555" t="s">
        <v>100</v>
      </c>
      <c r="E2555" s="32">
        <v>231000</v>
      </c>
      <c r="F2555" s="32">
        <v>0</v>
      </c>
      <c r="G2555" s="32">
        <v>25254472</v>
      </c>
      <c r="H2555" t="s">
        <v>674</v>
      </c>
    </row>
    <row r="2556" spans="1:8" hidden="1" x14ac:dyDescent="0.3">
      <c r="A2556" s="28">
        <v>14322</v>
      </c>
      <c r="B2556" s="35">
        <v>45126.580555555556</v>
      </c>
      <c r="C2556" s="18">
        <v>45126</v>
      </c>
      <c r="D2556" t="s">
        <v>101</v>
      </c>
      <c r="E2556" s="32">
        <v>0</v>
      </c>
      <c r="F2556" s="32">
        <v>7271790</v>
      </c>
      <c r="G2556" s="32">
        <v>25023472</v>
      </c>
      <c r="H2556" t="s">
        <v>675</v>
      </c>
    </row>
    <row r="2557" spans="1:8" hidden="1" x14ac:dyDescent="0.3">
      <c r="A2557" s="28">
        <v>14321</v>
      </c>
      <c r="B2557" s="35">
        <v>45126.564583333333</v>
      </c>
      <c r="C2557" s="18">
        <v>45126</v>
      </c>
      <c r="D2557" t="s">
        <v>101</v>
      </c>
      <c r="E2557" s="32">
        <v>0</v>
      </c>
      <c r="F2557" s="32">
        <v>124490</v>
      </c>
      <c r="G2557" s="32">
        <v>32295262</v>
      </c>
      <c r="H2557" t="s">
        <v>676</v>
      </c>
    </row>
    <row r="2558" spans="1:8" hidden="1" x14ac:dyDescent="0.3">
      <c r="A2558" s="28">
        <v>14320</v>
      </c>
      <c r="B2558" s="35">
        <v>45126.556250000001</v>
      </c>
      <c r="C2558" s="18">
        <v>45126</v>
      </c>
      <c r="D2558" t="s">
        <v>101</v>
      </c>
      <c r="E2558" s="32">
        <v>0</v>
      </c>
      <c r="F2558" s="32">
        <v>1813000</v>
      </c>
      <c r="G2558" s="32">
        <v>32419752</v>
      </c>
      <c r="H2558" t="s">
        <v>677</v>
      </c>
    </row>
    <row r="2559" spans="1:8" hidden="1" x14ac:dyDescent="0.3">
      <c r="A2559" s="28">
        <v>14319</v>
      </c>
      <c r="B2559" s="35">
        <v>45126.48541666667</v>
      </c>
      <c r="C2559" s="18">
        <v>45126</v>
      </c>
      <c r="D2559" t="s">
        <v>101</v>
      </c>
      <c r="E2559" s="32">
        <v>0</v>
      </c>
      <c r="F2559" s="32">
        <v>1972075</v>
      </c>
      <c r="G2559" s="32">
        <v>34232752</v>
      </c>
      <c r="H2559" t="s">
        <v>676</v>
      </c>
    </row>
    <row r="2560" spans="1:8" hidden="1" x14ac:dyDescent="0.3">
      <c r="A2560" s="28">
        <v>14317</v>
      </c>
      <c r="B2560" s="35">
        <v>45126.475694444445</v>
      </c>
      <c r="C2560" s="18">
        <v>45126</v>
      </c>
      <c r="D2560" t="s">
        <v>101</v>
      </c>
      <c r="E2560" s="32">
        <v>0</v>
      </c>
      <c r="F2560" s="32">
        <v>32487700</v>
      </c>
      <c r="G2560" s="32">
        <v>36204827</v>
      </c>
      <c r="H2560" t="s">
        <v>678</v>
      </c>
    </row>
    <row r="2561" spans="1:8" hidden="1" x14ac:dyDescent="0.3">
      <c r="A2561" s="28">
        <v>14316</v>
      </c>
      <c r="B2561" s="35">
        <v>45126.474999999999</v>
      </c>
      <c r="C2561" s="18">
        <v>45126</v>
      </c>
      <c r="D2561" t="s">
        <v>100</v>
      </c>
      <c r="E2561" s="32">
        <v>40000000</v>
      </c>
      <c r="F2561" s="32">
        <v>0</v>
      </c>
      <c r="G2561" s="32">
        <v>68692527</v>
      </c>
      <c r="H2561" t="s">
        <v>679</v>
      </c>
    </row>
    <row r="2562" spans="1:8" hidden="1" x14ac:dyDescent="0.3">
      <c r="A2562" s="28">
        <v>14312</v>
      </c>
      <c r="B2562" s="35">
        <v>45126.457638888889</v>
      </c>
      <c r="C2562" s="18">
        <v>45126</v>
      </c>
      <c r="D2562" t="s">
        <v>101</v>
      </c>
      <c r="E2562" s="32">
        <v>0</v>
      </c>
      <c r="F2562" s="32">
        <v>6430370</v>
      </c>
      <c r="G2562" s="32">
        <v>28692527</v>
      </c>
      <c r="H2562" t="s">
        <v>678</v>
      </c>
    </row>
    <row r="2563" spans="1:8" hidden="1" x14ac:dyDescent="0.3">
      <c r="A2563" s="28">
        <v>14309</v>
      </c>
      <c r="B2563" s="35">
        <v>45126.445833333331</v>
      </c>
      <c r="C2563" s="18">
        <v>45126</v>
      </c>
      <c r="D2563" t="s">
        <v>100</v>
      </c>
      <c r="E2563" s="32">
        <v>7500000</v>
      </c>
      <c r="F2563" s="32">
        <v>0</v>
      </c>
      <c r="G2563" s="32">
        <v>35122897</v>
      </c>
      <c r="H2563" t="s">
        <v>216</v>
      </c>
    </row>
    <row r="2564" spans="1:8" hidden="1" x14ac:dyDescent="0.3">
      <c r="A2564" s="28">
        <v>14308</v>
      </c>
      <c r="B2564" s="35">
        <v>45126.445138888892</v>
      </c>
      <c r="C2564" s="18">
        <v>45126</v>
      </c>
      <c r="D2564" t="s">
        <v>101</v>
      </c>
      <c r="E2564" s="32">
        <v>0</v>
      </c>
      <c r="F2564" s="32">
        <v>65175</v>
      </c>
      <c r="G2564" s="32">
        <v>27622897</v>
      </c>
      <c r="H2564" t="s">
        <v>680</v>
      </c>
    </row>
    <row r="2565" spans="1:8" hidden="1" x14ac:dyDescent="0.3">
      <c r="A2565" s="28">
        <v>14307</v>
      </c>
      <c r="B2565" s="35">
        <v>45126.405555555553</v>
      </c>
      <c r="C2565" s="18">
        <v>45126</v>
      </c>
      <c r="D2565" t="s">
        <v>100</v>
      </c>
      <c r="E2565" s="32">
        <v>700700</v>
      </c>
      <c r="F2565" s="32">
        <v>0</v>
      </c>
      <c r="G2565" s="32">
        <v>27688072</v>
      </c>
      <c r="H2565" t="s">
        <v>681</v>
      </c>
    </row>
    <row r="2566" spans="1:8" hidden="1" x14ac:dyDescent="0.3">
      <c r="A2566" s="28">
        <v>14306</v>
      </c>
      <c r="B2566" s="35">
        <v>45125.613888888889</v>
      </c>
      <c r="C2566" s="18">
        <v>45125</v>
      </c>
      <c r="D2566" t="s">
        <v>100</v>
      </c>
      <c r="E2566" s="32">
        <v>7271000</v>
      </c>
      <c r="F2566" s="32">
        <v>0</v>
      </c>
      <c r="G2566" s="32">
        <v>26987372</v>
      </c>
      <c r="H2566" t="s">
        <v>682</v>
      </c>
    </row>
    <row r="2567" spans="1:8" hidden="1" x14ac:dyDescent="0.3">
      <c r="A2567" s="28">
        <v>14301</v>
      </c>
      <c r="B2567" s="35">
        <v>45124.837500000001</v>
      </c>
      <c r="C2567" s="18">
        <v>45124</v>
      </c>
      <c r="D2567" t="s">
        <v>101</v>
      </c>
      <c r="E2567" s="32">
        <v>0</v>
      </c>
      <c r="F2567" s="32">
        <v>348050</v>
      </c>
      <c r="G2567" s="32">
        <v>19716372</v>
      </c>
      <c r="H2567" t="s">
        <v>683</v>
      </c>
    </row>
    <row r="2568" spans="1:8" hidden="1" x14ac:dyDescent="0.3">
      <c r="A2568" s="28">
        <v>14300</v>
      </c>
      <c r="B2568" s="35">
        <v>45124.811805555553</v>
      </c>
      <c r="C2568" s="18">
        <v>45124</v>
      </c>
      <c r="D2568" t="s">
        <v>101</v>
      </c>
      <c r="E2568" s="32">
        <v>0</v>
      </c>
      <c r="F2568" s="32">
        <v>762530</v>
      </c>
      <c r="G2568" s="32">
        <v>20064422</v>
      </c>
      <c r="H2568" t="s">
        <v>684</v>
      </c>
    </row>
    <row r="2569" spans="1:8" hidden="1" x14ac:dyDescent="0.3">
      <c r="A2569" s="28">
        <v>14299</v>
      </c>
      <c r="B2569" s="35">
        <v>45124.811805555553</v>
      </c>
      <c r="C2569" s="18">
        <v>45124</v>
      </c>
      <c r="D2569" t="s">
        <v>101</v>
      </c>
      <c r="E2569" s="32">
        <v>0</v>
      </c>
      <c r="F2569" s="32">
        <v>570790</v>
      </c>
      <c r="G2569" s="32">
        <v>20826952</v>
      </c>
      <c r="H2569" t="s">
        <v>684</v>
      </c>
    </row>
    <row r="2570" spans="1:8" hidden="1" x14ac:dyDescent="0.3">
      <c r="A2570" s="28">
        <v>14298</v>
      </c>
      <c r="B2570" s="35">
        <v>45124.811805555553</v>
      </c>
      <c r="C2570" s="18">
        <v>45124</v>
      </c>
      <c r="D2570" t="s">
        <v>101</v>
      </c>
      <c r="E2570" s="32">
        <v>0</v>
      </c>
      <c r="F2570" s="32">
        <v>1132360</v>
      </c>
      <c r="G2570" s="32">
        <v>21397742</v>
      </c>
      <c r="H2570" t="s">
        <v>684</v>
      </c>
    </row>
    <row r="2571" spans="1:8" hidden="1" x14ac:dyDescent="0.3">
      <c r="A2571" s="28">
        <v>14297</v>
      </c>
      <c r="B2571" s="35">
        <v>45124.811805555553</v>
      </c>
      <c r="C2571" s="18">
        <v>45124</v>
      </c>
      <c r="D2571" t="s">
        <v>101</v>
      </c>
      <c r="E2571" s="32">
        <v>0</v>
      </c>
      <c r="F2571" s="32">
        <v>846100</v>
      </c>
      <c r="G2571" s="32">
        <v>22530102</v>
      </c>
      <c r="H2571" t="s">
        <v>684</v>
      </c>
    </row>
    <row r="2572" spans="1:8" hidden="1" x14ac:dyDescent="0.3">
      <c r="A2572" s="28">
        <v>14296</v>
      </c>
      <c r="B2572" s="35">
        <v>45124.807638888888</v>
      </c>
      <c r="C2572" s="18">
        <v>45124</v>
      </c>
      <c r="D2572" t="s">
        <v>101</v>
      </c>
      <c r="E2572" s="32">
        <v>0</v>
      </c>
      <c r="F2572" s="32">
        <v>99000</v>
      </c>
      <c r="G2572" s="32">
        <v>23376202</v>
      </c>
      <c r="H2572" t="s">
        <v>685</v>
      </c>
    </row>
    <row r="2573" spans="1:8" hidden="1" x14ac:dyDescent="0.3">
      <c r="A2573" s="28">
        <v>14294</v>
      </c>
      <c r="B2573" s="35">
        <v>45124.800694444442</v>
      </c>
      <c r="C2573" s="18">
        <v>45124</v>
      </c>
      <c r="D2573" t="s">
        <v>101</v>
      </c>
      <c r="E2573" s="32">
        <v>0</v>
      </c>
      <c r="F2573" s="32">
        <v>684420</v>
      </c>
      <c r="G2573" s="32">
        <v>23475202</v>
      </c>
      <c r="H2573" t="s">
        <v>686</v>
      </c>
    </row>
    <row r="2574" spans="1:8" hidden="1" x14ac:dyDescent="0.3">
      <c r="A2574" s="28">
        <v>14292</v>
      </c>
      <c r="B2574" s="35">
        <v>45124.76458333333</v>
      </c>
      <c r="C2574" s="18">
        <v>45124</v>
      </c>
      <c r="D2574" t="s">
        <v>101</v>
      </c>
      <c r="E2574" s="32">
        <v>0</v>
      </c>
      <c r="F2574" s="32">
        <v>12574227</v>
      </c>
      <c r="G2574" s="32">
        <v>24159622</v>
      </c>
      <c r="H2574" t="s">
        <v>687</v>
      </c>
    </row>
    <row r="2575" spans="1:8" hidden="1" x14ac:dyDescent="0.3">
      <c r="A2575" s="28">
        <v>14291</v>
      </c>
      <c r="B2575" s="35">
        <v>45124.725694444445</v>
      </c>
      <c r="C2575" s="18">
        <v>45124</v>
      </c>
      <c r="D2575" t="s">
        <v>101</v>
      </c>
      <c r="E2575" s="32">
        <v>0</v>
      </c>
      <c r="F2575" s="32">
        <v>284931</v>
      </c>
      <c r="G2575" s="32">
        <v>36733849</v>
      </c>
      <c r="H2575" t="s">
        <v>676</v>
      </c>
    </row>
    <row r="2576" spans="1:8" hidden="1" x14ac:dyDescent="0.3">
      <c r="A2576" s="28">
        <v>14290</v>
      </c>
      <c r="B2576" s="35">
        <v>45124.684027777781</v>
      </c>
      <c r="C2576" s="18">
        <v>45124</v>
      </c>
      <c r="D2576" t="s">
        <v>101</v>
      </c>
      <c r="E2576" s="32">
        <v>0</v>
      </c>
      <c r="F2576" s="32">
        <v>433872</v>
      </c>
      <c r="G2576" s="32">
        <v>37018780</v>
      </c>
      <c r="H2576" t="s">
        <v>676</v>
      </c>
    </row>
    <row r="2577" spans="1:8" hidden="1" x14ac:dyDescent="0.3">
      <c r="A2577" s="28">
        <v>14289</v>
      </c>
      <c r="B2577" s="35">
        <v>45124.621527777781</v>
      </c>
      <c r="C2577" s="18">
        <v>45124</v>
      </c>
      <c r="D2577" t="s">
        <v>100</v>
      </c>
      <c r="E2577" s="32">
        <v>891000</v>
      </c>
      <c r="F2577" s="32">
        <v>0</v>
      </c>
      <c r="G2577" s="32">
        <v>37452652</v>
      </c>
      <c r="H2577" t="s">
        <v>688</v>
      </c>
    </row>
    <row r="2578" spans="1:8" hidden="1" x14ac:dyDescent="0.3">
      <c r="A2578" s="28">
        <v>14288</v>
      </c>
      <c r="B2578" s="35">
        <v>45124.621527777781</v>
      </c>
      <c r="C2578" s="18">
        <v>45124</v>
      </c>
      <c r="D2578" t="s">
        <v>100</v>
      </c>
      <c r="E2578" s="32">
        <v>1228700</v>
      </c>
      <c r="F2578" s="32">
        <v>0</v>
      </c>
      <c r="G2578" s="32">
        <v>36561652</v>
      </c>
      <c r="H2578" t="s">
        <v>688</v>
      </c>
    </row>
    <row r="2579" spans="1:8" hidden="1" x14ac:dyDescent="0.3">
      <c r="A2579" s="28">
        <v>14287</v>
      </c>
      <c r="B2579" s="35">
        <v>45124.621527777781</v>
      </c>
      <c r="C2579" s="18">
        <v>45124</v>
      </c>
      <c r="D2579" t="s">
        <v>100</v>
      </c>
      <c r="E2579" s="32">
        <v>4049100</v>
      </c>
      <c r="F2579" s="32">
        <v>0</v>
      </c>
      <c r="G2579" s="32">
        <v>35332952</v>
      </c>
      <c r="H2579" t="s">
        <v>688</v>
      </c>
    </row>
    <row r="2580" spans="1:8" hidden="1" x14ac:dyDescent="0.3">
      <c r="A2580" s="28">
        <v>14286</v>
      </c>
      <c r="B2580" s="35">
        <v>45124.49722222222</v>
      </c>
      <c r="C2580" s="18">
        <v>45124</v>
      </c>
      <c r="D2580" t="s">
        <v>100</v>
      </c>
      <c r="E2580" s="32">
        <v>183700</v>
      </c>
      <c r="F2580" s="32">
        <v>0</v>
      </c>
      <c r="G2580" s="32">
        <v>31283852</v>
      </c>
      <c r="H2580" t="s">
        <v>689</v>
      </c>
    </row>
    <row r="2581" spans="1:8" hidden="1" x14ac:dyDescent="0.3">
      <c r="A2581" s="28">
        <v>14284</v>
      </c>
      <c r="B2581" s="35">
        <v>45121.806250000001</v>
      </c>
      <c r="C2581" s="18">
        <v>45121</v>
      </c>
      <c r="D2581" t="s">
        <v>101</v>
      </c>
      <c r="E2581" s="32">
        <v>0</v>
      </c>
      <c r="F2581" s="32">
        <v>189634</v>
      </c>
      <c r="G2581" s="32">
        <v>31100152</v>
      </c>
      <c r="H2581" t="s">
        <v>690</v>
      </c>
    </row>
    <row r="2582" spans="1:8" hidden="1" x14ac:dyDescent="0.3">
      <c r="A2582" s="28">
        <v>14276</v>
      </c>
      <c r="B2582" s="35">
        <v>45121.59097222222</v>
      </c>
      <c r="C2582" s="18">
        <v>45121</v>
      </c>
      <c r="D2582" t="s">
        <v>100</v>
      </c>
      <c r="E2582" s="32">
        <v>1339800</v>
      </c>
      <c r="F2582" s="32">
        <v>0</v>
      </c>
      <c r="G2582" s="32">
        <v>31289786</v>
      </c>
      <c r="H2582" t="s">
        <v>659</v>
      </c>
    </row>
    <row r="2583" spans="1:8" hidden="1" x14ac:dyDescent="0.3">
      <c r="A2583" s="28">
        <v>14275</v>
      </c>
      <c r="B2583" s="35">
        <v>45121.518055555556</v>
      </c>
      <c r="C2583" s="18">
        <v>45121</v>
      </c>
      <c r="D2583" t="s">
        <v>100</v>
      </c>
      <c r="E2583" s="32">
        <v>2825900</v>
      </c>
      <c r="F2583" s="32">
        <v>0</v>
      </c>
      <c r="G2583" s="32">
        <v>29949986</v>
      </c>
      <c r="H2583" t="s">
        <v>691</v>
      </c>
    </row>
    <row r="2584" spans="1:8" hidden="1" x14ac:dyDescent="0.3">
      <c r="A2584" s="28">
        <v>14274</v>
      </c>
      <c r="B2584" s="35">
        <v>45121.500694444447</v>
      </c>
      <c r="C2584" s="18">
        <v>45121</v>
      </c>
      <c r="D2584" t="s">
        <v>100</v>
      </c>
      <c r="E2584" s="32">
        <v>1261972</v>
      </c>
      <c r="F2584" s="32">
        <v>0</v>
      </c>
      <c r="G2584" s="32">
        <v>27124086</v>
      </c>
      <c r="H2584" t="s">
        <v>692</v>
      </c>
    </row>
    <row r="2585" spans="1:8" hidden="1" x14ac:dyDescent="0.3">
      <c r="A2585" s="28">
        <v>14273</v>
      </c>
      <c r="B2585" s="35">
        <v>45121.500694444447</v>
      </c>
      <c r="C2585" s="18">
        <v>45121</v>
      </c>
      <c r="D2585" t="s">
        <v>100</v>
      </c>
      <c r="E2585" s="32">
        <v>4587738</v>
      </c>
      <c r="F2585" s="32">
        <v>0</v>
      </c>
      <c r="G2585" s="32">
        <v>25862114</v>
      </c>
      <c r="H2585" t="s">
        <v>692</v>
      </c>
    </row>
    <row r="2586" spans="1:8" hidden="1" x14ac:dyDescent="0.3">
      <c r="A2586" s="28">
        <v>14270</v>
      </c>
      <c r="B2586" s="35">
        <v>45121.47152777778</v>
      </c>
      <c r="C2586" s="18">
        <v>45121</v>
      </c>
      <c r="D2586" t="s">
        <v>100</v>
      </c>
      <c r="E2586" s="32">
        <v>884400</v>
      </c>
      <c r="F2586" s="32">
        <v>0</v>
      </c>
      <c r="G2586" s="32">
        <v>21274376</v>
      </c>
      <c r="H2586" t="s">
        <v>693</v>
      </c>
    </row>
    <row r="2587" spans="1:8" hidden="1" x14ac:dyDescent="0.3">
      <c r="A2587" s="28">
        <v>14269</v>
      </c>
      <c r="B2587" s="35">
        <v>45121.47152777778</v>
      </c>
      <c r="C2587" s="18">
        <v>45121</v>
      </c>
      <c r="D2587" t="s">
        <v>100</v>
      </c>
      <c r="E2587" s="32">
        <v>1394800</v>
      </c>
      <c r="F2587" s="32">
        <v>0</v>
      </c>
      <c r="G2587" s="32">
        <v>20389976</v>
      </c>
      <c r="H2587" t="s">
        <v>693</v>
      </c>
    </row>
    <row r="2588" spans="1:8" hidden="1" x14ac:dyDescent="0.3">
      <c r="A2588" s="28">
        <v>14268</v>
      </c>
      <c r="B2588" s="35">
        <v>45121.470833333333</v>
      </c>
      <c r="C2588" s="18">
        <v>45121</v>
      </c>
      <c r="D2588" t="s">
        <v>100</v>
      </c>
      <c r="E2588" s="32">
        <v>91300</v>
      </c>
      <c r="F2588" s="32">
        <v>0</v>
      </c>
      <c r="G2588" s="32">
        <v>18995176</v>
      </c>
      <c r="H2588" t="s">
        <v>693</v>
      </c>
    </row>
    <row r="2589" spans="1:8" hidden="1" x14ac:dyDescent="0.3">
      <c r="A2589" s="28">
        <v>14267</v>
      </c>
      <c r="B2589" s="35">
        <v>45121.40625</v>
      </c>
      <c r="C2589" s="18">
        <v>45121</v>
      </c>
      <c r="D2589" t="s">
        <v>100</v>
      </c>
      <c r="E2589" s="32">
        <v>434500</v>
      </c>
      <c r="F2589" s="32">
        <v>0</v>
      </c>
      <c r="G2589" s="32">
        <v>18903876</v>
      </c>
      <c r="H2589" t="s">
        <v>694</v>
      </c>
    </row>
    <row r="2590" spans="1:8" hidden="1" x14ac:dyDescent="0.3">
      <c r="A2590" s="28">
        <v>14266</v>
      </c>
      <c r="B2590" s="35">
        <v>45121.405555555553</v>
      </c>
      <c r="C2590" s="18">
        <v>45121</v>
      </c>
      <c r="D2590" t="s">
        <v>100</v>
      </c>
      <c r="E2590" s="32">
        <v>7000000</v>
      </c>
      <c r="F2590" s="32">
        <v>0</v>
      </c>
      <c r="G2590" s="32">
        <v>18469376</v>
      </c>
      <c r="H2590" t="s">
        <v>679</v>
      </c>
    </row>
    <row r="2591" spans="1:8" hidden="1" x14ac:dyDescent="0.3">
      <c r="A2591" s="28">
        <v>14263</v>
      </c>
      <c r="B2591" s="35">
        <v>45121.390277777777</v>
      </c>
      <c r="C2591" s="18">
        <v>45121</v>
      </c>
      <c r="D2591" t="s">
        <v>100</v>
      </c>
      <c r="E2591" s="32">
        <v>792000</v>
      </c>
      <c r="F2591" s="32">
        <v>0</v>
      </c>
      <c r="G2591" s="32">
        <v>11469376</v>
      </c>
      <c r="H2591" t="s">
        <v>695</v>
      </c>
    </row>
    <row r="2592" spans="1:8" hidden="1" x14ac:dyDescent="0.3">
      <c r="A2592" s="28">
        <v>14262</v>
      </c>
      <c r="B2592" s="35">
        <v>45121.390277777777</v>
      </c>
      <c r="C2592" s="18">
        <v>45121</v>
      </c>
      <c r="D2592" t="s">
        <v>100</v>
      </c>
      <c r="E2592" s="32">
        <v>79200</v>
      </c>
      <c r="F2592" s="32">
        <v>0</v>
      </c>
      <c r="G2592" s="32">
        <v>10677376</v>
      </c>
      <c r="H2592" t="s">
        <v>695</v>
      </c>
    </row>
    <row r="2593" spans="1:8" hidden="1" x14ac:dyDescent="0.3">
      <c r="A2593" s="28">
        <v>14260</v>
      </c>
      <c r="B2593" s="35">
        <v>45120.692361111112</v>
      </c>
      <c r="C2593" s="18">
        <v>45120</v>
      </c>
      <c r="D2593" t="s">
        <v>100</v>
      </c>
      <c r="E2593" s="32">
        <v>80300</v>
      </c>
      <c r="F2593" s="32">
        <v>0</v>
      </c>
      <c r="G2593" s="32">
        <v>10598176</v>
      </c>
      <c r="H2593" t="s">
        <v>696</v>
      </c>
    </row>
    <row r="2594" spans="1:8" hidden="1" x14ac:dyDescent="0.3">
      <c r="A2594" s="28">
        <v>14252</v>
      </c>
      <c r="B2594" s="35">
        <v>45120.382638888892</v>
      </c>
      <c r="C2594" s="18">
        <v>45120</v>
      </c>
      <c r="D2594" t="s">
        <v>100</v>
      </c>
      <c r="E2594" s="32">
        <v>1185800</v>
      </c>
      <c r="F2594" s="32">
        <v>0</v>
      </c>
      <c r="G2594" s="32">
        <v>10517876</v>
      </c>
      <c r="H2594" t="s">
        <v>660</v>
      </c>
    </row>
    <row r="2595" spans="1:8" hidden="1" x14ac:dyDescent="0.3">
      <c r="A2595" s="28">
        <v>14251</v>
      </c>
      <c r="B2595" s="35">
        <v>45119.806250000001</v>
      </c>
      <c r="C2595" s="18">
        <v>45119</v>
      </c>
      <c r="D2595" t="s">
        <v>101</v>
      </c>
      <c r="E2595" s="32">
        <v>0</v>
      </c>
      <c r="F2595" s="32">
        <v>5408</v>
      </c>
      <c r="G2595" s="32">
        <v>9332076</v>
      </c>
      <c r="H2595" t="s">
        <v>690</v>
      </c>
    </row>
    <row r="2596" spans="1:8" hidden="1" x14ac:dyDescent="0.3">
      <c r="A2596" s="28">
        <v>14250</v>
      </c>
      <c r="B2596" s="35">
        <v>45119.651388888888</v>
      </c>
      <c r="C2596" s="18">
        <v>45119</v>
      </c>
      <c r="D2596" t="s">
        <v>101</v>
      </c>
      <c r="E2596" s="32">
        <v>0</v>
      </c>
      <c r="F2596" s="32">
        <v>28080</v>
      </c>
      <c r="G2596" s="32">
        <v>9337484</v>
      </c>
      <c r="H2596" t="s">
        <v>697</v>
      </c>
    </row>
    <row r="2597" spans="1:8" hidden="1" x14ac:dyDescent="0.3">
      <c r="A2597" s="28">
        <v>14246</v>
      </c>
      <c r="B2597" s="35">
        <v>45119.588888888888</v>
      </c>
      <c r="C2597" s="18">
        <v>45119</v>
      </c>
      <c r="D2597" t="s">
        <v>100</v>
      </c>
      <c r="E2597" s="32">
        <v>587400</v>
      </c>
      <c r="F2597" s="32">
        <v>0</v>
      </c>
      <c r="G2597" s="32">
        <v>9365564</v>
      </c>
      <c r="H2597" t="s">
        <v>698</v>
      </c>
    </row>
    <row r="2598" spans="1:8" hidden="1" x14ac:dyDescent="0.3">
      <c r="A2598" s="28">
        <v>14243</v>
      </c>
      <c r="B2598" s="35">
        <v>45118.811805555553</v>
      </c>
      <c r="C2598" s="18">
        <v>45118</v>
      </c>
      <c r="D2598" t="s">
        <v>101</v>
      </c>
      <c r="E2598" s="32">
        <v>0</v>
      </c>
      <c r="F2598" s="32">
        <v>35500</v>
      </c>
      <c r="G2598" s="32">
        <v>8778164</v>
      </c>
      <c r="H2598" t="s">
        <v>699</v>
      </c>
    </row>
    <row r="2599" spans="1:8" hidden="1" x14ac:dyDescent="0.3">
      <c r="A2599" s="28">
        <v>14242</v>
      </c>
      <c r="B2599" s="35">
        <v>45118.739583333336</v>
      </c>
      <c r="C2599" s="18">
        <v>45118</v>
      </c>
      <c r="D2599" t="s">
        <v>100</v>
      </c>
      <c r="E2599" s="32">
        <v>1461900</v>
      </c>
      <c r="F2599" s="32">
        <v>0</v>
      </c>
      <c r="G2599" s="32">
        <v>8813664</v>
      </c>
      <c r="H2599" t="s">
        <v>700</v>
      </c>
    </row>
    <row r="2600" spans="1:8" hidden="1" x14ac:dyDescent="0.3">
      <c r="A2600" s="28">
        <v>14241</v>
      </c>
      <c r="B2600" s="35">
        <v>45118.574305555558</v>
      </c>
      <c r="C2600" s="18">
        <v>45118</v>
      </c>
      <c r="D2600" t="s">
        <v>100</v>
      </c>
      <c r="E2600" s="32">
        <v>223300</v>
      </c>
      <c r="F2600" s="32">
        <v>0</v>
      </c>
      <c r="G2600" s="32">
        <v>7351764</v>
      </c>
      <c r="H2600" t="s">
        <v>659</v>
      </c>
    </row>
    <row r="2601" spans="1:8" hidden="1" x14ac:dyDescent="0.3">
      <c r="A2601" s="28">
        <v>14238</v>
      </c>
      <c r="B2601" s="35">
        <v>45118.43472222222</v>
      </c>
      <c r="C2601" s="18">
        <v>45118</v>
      </c>
      <c r="D2601" t="s">
        <v>100</v>
      </c>
      <c r="E2601" s="32">
        <v>2028400</v>
      </c>
      <c r="F2601" s="32">
        <v>0</v>
      </c>
      <c r="G2601" s="32">
        <v>7128464</v>
      </c>
      <c r="H2601" t="s">
        <v>681</v>
      </c>
    </row>
    <row r="2602" spans="1:8" hidden="1" x14ac:dyDescent="0.3">
      <c r="A2602" s="28">
        <v>14237</v>
      </c>
      <c r="B2602" s="35">
        <v>45118.421527777777</v>
      </c>
      <c r="C2602" s="18">
        <v>45118</v>
      </c>
      <c r="D2602" t="s">
        <v>101</v>
      </c>
      <c r="E2602" s="32">
        <v>0</v>
      </c>
      <c r="F2602" s="32">
        <v>491506</v>
      </c>
      <c r="G2602" s="32">
        <v>5100064</v>
      </c>
      <c r="H2602">
        <v>64971601453173</v>
      </c>
    </row>
    <row r="2603" spans="1:8" hidden="1" x14ac:dyDescent="0.3">
      <c r="A2603" s="28">
        <v>14229</v>
      </c>
      <c r="B2603" s="35">
        <v>45117.614583333336</v>
      </c>
      <c r="C2603" s="18">
        <v>45117</v>
      </c>
      <c r="D2603" t="s">
        <v>101</v>
      </c>
      <c r="E2603" s="32">
        <v>0</v>
      </c>
      <c r="F2603" s="32">
        <v>11000000</v>
      </c>
      <c r="G2603" s="32">
        <v>5591570</v>
      </c>
      <c r="H2603" t="s">
        <v>701</v>
      </c>
    </row>
    <row r="2604" spans="1:8" hidden="1" x14ac:dyDescent="0.3">
      <c r="A2604" s="28">
        <v>14228</v>
      </c>
      <c r="B2604" s="35">
        <v>45117.612500000003</v>
      </c>
      <c r="C2604" s="18">
        <v>45117</v>
      </c>
      <c r="D2604" t="s">
        <v>101</v>
      </c>
      <c r="E2604" s="32">
        <v>0</v>
      </c>
      <c r="F2604" s="32">
        <v>112700</v>
      </c>
      <c r="G2604" s="32">
        <v>16591570</v>
      </c>
      <c r="H2604" t="s">
        <v>702</v>
      </c>
    </row>
    <row r="2605" spans="1:8" hidden="1" x14ac:dyDescent="0.3">
      <c r="A2605" s="28">
        <v>14222</v>
      </c>
      <c r="B2605" s="35">
        <v>45117.474305555559</v>
      </c>
      <c r="C2605" s="18">
        <v>45117</v>
      </c>
      <c r="D2605" t="s">
        <v>101</v>
      </c>
      <c r="E2605" s="32">
        <v>0</v>
      </c>
      <c r="F2605" s="32">
        <v>80165</v>
      </c>
      <c r="G2605" s="32">
        <v>16704270</v>
      </c>
      <c r="H2605" t="s">
        <v>676</v>
      </c>
    </row>
    <row r="2606" spans="1:8" hidden="1" x14ac:dyDescent="0.3">
      <c r="A2606" s="28">
        <v>14221</v>
      </c>
      <c r="B2606" s="35">
        <v>45117.434027777781</v>
      </c>
      <c r="C2606" s="18">
        <v>45117</v>
      </c>
      <c r="D2606" t="s">
        <v>100</v>
      </c>
      <c r="E2606" s="32">
        <v>1326600</v>
      </c>
      <c r="F2606" s="32">
        <v>0</v>
      </c>
      <c r="G2606" s="32">
        <v>16784435</v>
      </c>
      <c r="H2606" t="s">
        <v>703</v>
      </c>
    </row>
    <row r="2607" spans="1:8" hidden="1" x14ac:dyDescent="0.3">
      <c r="A2607" s="28">
        <v>14220</v>
      </c>
      <c r="B2607" s="35">
        <v>45117.393750000003</v>
      </c>
      <c r="C2607" s="18">
        <v>45117</v>
      </c>
      <c r="D2607" t="s">
        <v>101</v>
      </c>
      <c r="E2607" s="32">
        <v>0</v>
      </c>
      <c r="F2607" s="32">
        <v>345030</v>
      </c>
      <c r="G2607" s="32">
        <v>15457835</v>
      </c>
      <c r="H2607" t="s">
        <v>704</v>
      </c>
    </row>
    <row r="2608" spans="1:8" hidden="1" x14ac:dyDescent="0.3">
      <c r="A2608" s="28">
        <v>14219</v>
      </c>
      <c r="B2608" s="35">
        <v>45117.393055555556</v>
      </c>
      <c r="C2608" s="18">
        <v>45117</v>
      </c>
      <c r="D2608" t="s">
        <v>101</v>
      </c>
      <c r="E2608" s="32">
        <v>0</v>
      </c>
      <c r="F2608" s="32">
        <v>18610</v>
      </c>
      <c r="G2608" s="32">
        <v>15802865</v>
      </c>
      <c r="H2608" t="s">
        <v>705</v>
      </c>
    </row>
    <row r="2609" spans="1:8" hidden="1" x14ac:dyDescent="0.3">
      <c r="A2609" s="28">
        <v>14218</v>
      </c>
      <c r="B2609" s="35">
        <v>45117.392361111109</v>
      </c>
      <c r="C2609" s="18">
        <v>45117</v>
      </c>
      <c r="D2609" t="s">
        <v>101</v>
      </c>
      <c r="E2609" s="32">
        <v>0</v>
      </c>
      <c r="F2609" s="32">
        <v>3432420</v>
      </c>
      <c r="G2609" s="32">
        <v>15821475</v>
      </c>
      <c r="H2609" t="s">
        <v>706</v>
      </c>
    </row>
    <row r="2610" spans="1:8" hidden="1" x14ac:dyDescent="0.3">
      <c r="A2610" s="28"/>
      <c r="B2610" s="35"/>
    </row>
    <row r="2611" spans="1:8" hidden="1" x14ac:dyDescent="0.3">
      <c r="A2611" s="28"/>
      <c r="B2611" s="35"/>
    </row>
    <row r="2612" spans="1:8" hidden="1" x14ac:dyDescent="0.3">
      <c r="A2612" s="28"/>
      <c r="B2612" s="35"/>
    </row>
    <row r="2613" spans="1:8" hidden="1" x14ac:dyDescent="0.3">
      <c r="A2613" s="28"/>
      <c r="B2613" s="35"/>
    </row>
    <row r="2614" spans="1:8" hidden="1" x14ac:dyDescent="0.3">
      <c r="A2614" s="28"/>
      <c r="B2614" s="35"/>
    </row>
    <row r="2615" spans="1:8" hidden="1" x14ac:dyDescent="0.3">
      <c r="A2615" s="28"/>
      <c r="B2615" s="35"/>
    </row>
    <row r="2616" spans="1:8" hidden="1" x14ac:dyDescent="0.3">
      <c r="A2616" s="28"/>
      <c r="B2616" s="35"/>
    </row>
    <row r="2617" spans="1:8" hidden="1" x14ac:dyDescent="0.3">
      <c r="A2617" s="28"/>
      <c r="B2617" s="35"/>
    </row>
    <row r="2618" spans="1:8" hidden="1" x14ac:dyDescent="0.3">
      <c r="A2618" s="28"/>
      <c r="B2618" s="35"/>
    </row>
    <row r="2619" spans="1:8" hidden="1" x14ac:dyDescent="0.3">
      <c r="A2619" s="28"/>
      <c r="B2619" s="35"/>
    </row>
    <row r="2620" spans="1:8" hidden="1" x14ac:dyDescent="0.3">
      <c r="A2620" s="28"/>
      <c r="B2620" s="35"/>
    </row>
    <row r="2621" spans="1:8" hidden="1" x14ac:dyDescent="0.3">
      <c r="A2621" s="28"/>
      <c r="B2621" s="35"/>
    </row>
    <row r="2622" spans="1:8" hidden="1" x14ac:dyDescent="0.3">
      <c r="A2622" s="28"/>
      <c r="B2622" s="35"/>
    </row>
    <row r="2623" spans="1:8" hidden="1" x14ac:dyDescent="0.3">
      <c r="A2623" s="28"/>
      <c r="B2623" s="35"/>
    </row>
    <row r="2624" spans="1:8" hidden="1" x14ac:dyDescent="0.3">
      <c r="A2624" s="28"/>
      <c r="B2624" s="35"/>
    </row>
    <row r="2625" spans="1:2" hidden="1" x14ac:dyDescent="0.3">
      <c r="A2625" s="28"/>
      <c r="B2625" s="35"/>
    </row>
    <row r="2626" spans="1:2" hidden="1" x14ac:dyDescent="0.3">
      <c r="A2626" s="28"/>
      <c r="B2626" s="35"/>
    </row>
    <row r="2627" spans="1:2" hidden="1" x14ac:dyDescent="0.3">
      <c r="A2627" s="28"/>
      <c r="B2627" s="35"/>
    </row>
    <row r="2628" spans="1:2" hidden="1" x14ac:dyDescent="0.3">
      <c r="A2628" s="28"/>
      <c r="B2628" s="35"/>
    </row>
    <row r="2629" spans="1:2" hidden="1" x14ac:dyDescent="0.3">
      <c r="A2629" s="28"/>
      <c r="B2629" s="35"/>
    </row>
    <row r="2630" spans="1:2" hidden="1" x14ac:dyDescent="0.3">
      <c r="A2630" s="28"/>
      <c r="B2630" s="35"/>
    </row>
    <row r="2631" spans="1:2" hidden="1" x14ac:dyDescent="0.3">
      <c r="A2631" s="28"/>
      <c r="B2631" s="35"/>
    </row>
    <row r="2632" spans="1:2" hidden="1" x14ac:dyDescent="0.3">
      <c r="A2632" s="28"/>
      <c r="B2632" s="35"/>
    </row>
    <row r="2633" spans="1:2" hidden="1" x14ac:dyDescent="0.3">
      <c r="A2633" s="28"/>
      <c r="B2633" s="35"/>
    </row>
    <row r="2634" spans="1:2" hidden="1" x14ac:dyDescent="0.3">
      <c r="A2634" s="28"/>
      <c r="B2634" s="35"/>
    </row>
    <row r="2635" spans="1:2" hidden="1" x14ac:dyDescent="0.3">
      <c r="A2635" s="28"/>
      <c r="B2635" s="35"/>
    </row>
    <row r="2636" spans="1:2" hidden="1" x14ac:dyDescent="0.3">
      <c r="A2636" s="28"/>
      <c r="B2636" s="35"/>
    </row>
    <row r="2637" spans="1:2" hidden="1" x14ac:dyDescent="0.3">
      <c r="A2637" s="28"/>
      <c r="B2637" s="35"/>
    </row>
    <row r="2638" spans="1:2" hidden="1" x14ac:dyDescent="0.3">
      <c r="A2638" s="28"/>
      <c r="B2638" s="35"/>
    </row>
    <row r="2639" spans="1:2" hidden="1" x14ac:dyDescent="0.3">
      <c r="A2639" s="28"/>
      <c r="B2639" s="35"/>
    </row>
    <row r="2640" spans="1:2" hidden="1" x14ac:dyDescent="0.3">
      <c r="A2640" s="28"/>
      <c r="B2640" s="35"/>
    </row>
    <row r="2641" spans="1:2" hidden="1" x14ac:dyDescent="0.3">
      <c r="A2641" s="28"/>
      <c r="B2641" s="35"/>
    </row>
    <row r="2642" spans="1:2" hidden="1" x14ac:dyDescent="0.3">
      <c r="A2642" s="28"/>
      <c r="B2642" s="35"/>
    </row>
    <row r="2643" spans="1:2" hidden="1" x14ac:dyDescent="0.3">
      <c r="A2643" s="28"/>
      <c r="B2643" s="35"/>
    </row>
    <row r="2644" spans="1:2" hidden="1" x14ac:dyDescent="0.3">
      <c r="A2644" s="28"/>
      <c r="B2644" s="35"/>
    </row>
    <row r="2645" spans="1:2" hidden="1" x14ac:dyDescent="0.3">
      <c r="A2645" s="28"/>
      <c r="B2645" s="35"/>
    </row>
    <row r="2646" spans="1:2" hidden="1" x14ac:dyDescent="0.3">
      <c r="A2646" s="28"/>
      <c r="B2646" s="35"/>
    </row>
    <row r="2647" spans="1:2" hidden="1" x14ac:dyDescent="0.3">
      <c r="A2647" s="28"/>
      <c r="B2647" s="35"/>
    </row>
    <row r="2648" spans="1:2" hidden="1" x14ac:dyDescent="0.3">
      <c r="A2648" s="28"/>
      <c r="B2648" s="35"/>
    </row>
    <row r="2649" spans="1:2" hidden="1" x14ac:dyDescent="0.3">
      <c r="A2649" s="28"/>
      <c r="B2649" s="35"/>
    </row>
    <row r="2650" spans="1:2" hidden="1" x14ac:dyDescent="0.3">
      <c r="A2650" s="28"/>
      <c r="B2650" s="35"/>
    </row>
    <row r="2651" spans="1:2" hidden="1" x14ac:dyDescent="0.3">
      <c r="A2651" s="28"/>
      <c r="B2651" s="35"/>
    </row>
    <row r="2652" spans="1:2" hidden="1" x14ac:dyDescent="0.3">
      <c r="A2652" s="28"/>
      <c r="B2652" s="35"/>
    </row>
    <row r="2653" spans="1:2" hidden="1" x14ac:dyDescent="0.3">
      <c r="A2653" s="28"/>
      <c r="B2653" s="35"/>
    </row>
    <row r="2654" spans="1:2" hidden="1" x14ac:dyDescent="0.3">
      <c r="A2654" s="28"/>
      <c r="B2654" s="35"/>
    </row>
    <row r="2655" spans="1:2" hidden="1" x14ac:dyDescent="0.3">
      <c r="A2655" s="28"/>
      <c r="B2655" s="35"/>
    </row>
    <row r="2656" spans="1:2" hidden="1" x14ac:dyDescent="0.3">
      <c r="A2656" s="28"/>
      <c r="B2656" s="35"/>
    </row>
    <row r="2657" spans="1:2" hidden="1" x14ac:dyDescent="0.3">
      <c r="A2657" s="28"/>
      <c r="B2657" s="35"/>
    </row>
    <row r="2658" spans="1:2" hidden="1" x14ac:dyDescent="0.3">
      <c r="A2658" s="28"/>
      <c r="B2658" s="35"/>
    </row>
    <row r="2659" spans="1:2" hidden="1" x14ac:dyDescent="0.3">
      <c r="A2659" s="28"/>
      <c r="B2659" s="35"/>
    </row>
    <row r="2660" spans="1:2" hidden="1" x14ac:dyDescent="0.3">
      <c r="A2660" s="28"/>
      <c r="B2660" s="35"/>
    </row>
    <row r="2661" spans="1:2" x14ac:dyDescent="0.3">
      <c r="A2661" s="28"/>
      <c r="B2661" s="35"/>
    </row>
    <row r="2662" spans="1:2" x14ac:dyDescent="0.3">
      <c r="A2662" s="28"/>
      <c r="B2662" s="35"/>
    </row>
    <row r="2663" spans="1:2" x14ac:dyDescent="0.3">
      <c r="A2663" s="28"/>
      <c r="B2663" s="35"/>
    </row>
    <row r="2664" spans="1:2" x14ac:dyDescent="0.3">
      <c r="A2664" s="28"/>
      <c r="B2664" s="35"/>
    </row>
    <row r="2665" spans="1:2" x14ac:dyDescent="0.3">
      <c r="A2665" s="28"/>
      <c r="B2665" s="35"/>
    </row>
    <row r="2666" spans="1:2" x14ac:dyDescent="0.3">
      <c r="A2666" s="28"/>
      <c r="B2666" s="35"/>
    </row>
    <row r="2667" spans="1:2" x14ac:dyDescent="0.3">
      <c r="A2667" s="28"/>
      <c r="B2667" s="35"/>
    </row>
    <row r="2668" spans="1:2" x14ac:dyDescent="0.3">
      <c r="A2668" s="28"/>
      <c r="B2668" s="35"/>
    </row>
    <row r="2669" spans="1:2" x14ac:dyDescent="0.3">
      <c r="A2669" s="28"/>
      <c r="B2669" s="35"/>
    </row>
    <row r="2670" spans="1:2" x14ac:dyDescent="0.3">
      <c r="A2670" s="28"/>
      <c r="B2670" s="35"/>
    </row>
    <row r="2671" spans="1:2" x14ac:dyDescent="0.3">
      <c r="A2671" s="28"/>
      <c r="B2671" s="35"/>
    </row>
    <row r="2672" spans="1:2" x14ac:dyDescent="0.3">
      <c r="A2672" s="28"/>
      <c r="B2672" s="35"/>
    </row>
    <row r="2673" spans="1:2" x14ac:dyDescent="0.3">
      <c r="A2673" s="28"/>
      <c r="B2673" s="35"/>
    </row>
  </sheetData>
  <phoneticPr fontId="1" type="noConversion"/>
  <hyperlinks>
    <hyperlink ref="C601" location="ezchemtech_계좌!A1" display="TOP-Link" xr:uid="{00000000-0004-0000-0200-000000000000}"/>
  </hyperlink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zchemtech_card"/>
  <dimension ref="A23:K7935"/>
  <sheetViews>
    <sheetView tabSelected="1" workbookViewId="0">
      <selection activeCell="J13" sqref="J13"/>
    </sheetView>
  </sheetViews>
  <sheetFormatPr defaultRowHeight="16.5" x14ac:dyDescent="0.3"/>
  <cols>
    <col min="1" max="1" width="17.875" customWidth="1"/>
    <col min="2" max="2" width="17.875" style="46" customWidth="1"/>
    <col min="3" max="3" width="28.5" style="45" customWidth="1"/>
    <col min="4" max="4" width="54.25" customWidth="1"/>
    <col min="5" max="5" width="14" style="46" customWidth="1"/>
    <col min="6" max="6" width="12.875" style="45" customWidth="1"/>
    <col min="7" max="7" width="12.125" customWidth="1"/>
    <col min="8" max="8" width="15.25" customWidth="1"/>
    <col min="9" max="9" width="14.5" customWidth="1"/>
    <col min="10" max="10" width="11" customWidth="1"/>
    <col min="11" max="11" width="43.75" customWidth="1"/>
  </cols>
  <sheetData>
    <row r="23" spans="1:9" x14ac:dyDescent="0.3">
      <c r="A23" t="s">
        <v>711</v>
      </c>
      <c r="B23" s="46" t="s">
        <v>712</v>
      </c>
      <c r="C23" s="45" t="s">
        <v>713</v>
      </c>
      <c r="D23" t="s">
        <v>714</v>
      </c>
      <c r="E23" s="46" t="s">
        <v>715</v>
      </c>
      <c r="F23" s="45" t="s">
        <v>716</v>
      </c>
      <c r="G23" t="s">
        <v>717</v>
      </c>
      <c r="H23" t="s">
        <v>718</v>
      </c>
      <c r="I23" t="s">
        <v>719</v>
      </c>
    </row>
    <row r="24" spans="1:9" hidden="1" x14ac:dyDescent="0.3">
      <c r="A24" t="s">
        <v>722</v>
      </c>
      <c r="B24" s="46">
        <v>45282</v>
      </c>
      <c r="C24" s="45">
        <v>3619200</v>
      </c>
      <c r="D24" t="s">
        <v>723</v>
      </c>
      <c r="E24" s="46">
        <v>45306</v>
      </c>
      <c r="F24" s="45" t="s">
        <v>721</v>
      </c>
      <c r="I24" t="s">
        <v>2018</v>
      </c>
    </row>
    <row r="25" spans="1:9" hidden="1" x14ac:dyDescent="0.3">
      <c r="A25" t="s">
        <v>722</v>
      </c>
      <c r="B25" s="46">
        <v>45282</v>
      </c>
      <c r="C25" s="45">
        <v>3619200</v>
      </c>
      <c r="D25" t="s">
        <v>723</v>
      </c>
      <c r="E25" s="46">
        <v>45306</v>
      </c>
      <c r="F25" s="45" t="s">
        <v>721</v>
      </c>
      <c r="I25" t="s">
        <v>2018</v>
      </c>
    </row>
    <row r="26" spans="1:9" hidden="1" x14ac:dyDescent="0.3">
      <c r="A26" t="s">
        <v>729</v>
      </c>
      <c r="B26" s="46">
        <v>45351</v>
      </c>
      <c r="C26" s="45">
        <v>3150000</v>
      </c>
      <c r="D26" t="s">
        <v>735</v>
      </c>
      <c r="E26" s="46">
        <v>45397</v>
      </c>
      <c r="F26" s="45" t="s">
        <v>721</v>
      </c>
      <c r="I26" t="s">
        <v>782</v>
      </c>
    </row>
    <row r="27" spans="1:9" hidden="1" x14ac:dyDescent="0.3">
      <c r="A27" t="s">
        <v>724</v>
      </c>
      <c r="B27" s="46">
        <v>45273</v>
      </c>
      <c r="C27" s="45">
        <v>2960000</v>
      </c>
      <c r="D27" t="s">
        <v>725</v>
      </c>
      <c r="E27" s="46">
        <v>45317</v>
      </c>
      <c r="F27" s="45" t="s">
        <v>721</v>
      </c>
      <c r="I27" t="s">
        <v>726</v>
      </c>
    </row>
    <row r="28" spans="1:9" hidden="1" x14ac:dyDescent="0.3">
      <c r="A28" t="s">
        <v>772</v>
      </c>
      <c r="B28" s="46">
        <v>45357</v>
      </c>
      <c r="C28" s="45">
        <v>2353603</v>
      </c>
      <c r="D28" t="s">
        <v>2019</v>
      </c>
      <c r="E28" s="46">
        <v>45408</v>
      </c>
      <c r="F28" s="45" t="s">
        <v>721</v>
      </c>
      <c r="I28" t="s">
        <v>2020</v>
      </c>
    </row>
    <row r="29" spans="1:9" hidden="1" x14ac:dyDescent="0.3">
      <c r="A29" t="s">
        <v>727</v>
      </c>
      <c r="B29" s="46">
        <v>45350</v>
      </c>
      <c r="C29" s="45">
        <v>2235863</v>
      </c>
      <c r="D29" t="s">
        <v>728</v>
      </c>
      <c r="E29" s="46">
        <v>45366</v>
      </c>
      <c r="F29" s="45" t="s">
        <v>721</v>
      </c>
      <c r="I29" t="s">
        <v>2020</v>
      </c>
    </row>
    <row r="30" spans="1:9" hidden="1" x14ac:dyDescent="0.3">
      <c r="A30" t="s">
        <v>729</v>
      </c>
      <c r="B30" s="46">
        <v>45288</v>
      </c>
      <c r="C30" s="45">
        <v>1990448</v>
      </c>
      <c r="D30" t="s">
        <v>730</v>
      </c>
      <c r="E30" s="46">
        <v>45306</v>
      </c>
      <c r="F30" s="45" t="s">
        <v>731</v>
      </c>
      <c r="G30" t="s">
        <v>732</v>
      </c>
      <c r="H30">
        <v>1510</v>
      </c>
      <c r="I30" t="s">
        <v>733</v>
      </c>
    </row>
    <row r="31" spans="1:9" hidden="1" x14ac:dyDescent="0.3">
      <c r="A31" t="s">
        <v>727</v>
      </c>
      <c r="B31" s="46">
        <v>45370</v>
      </c>
      <c r="C31" s="45">
        <v>1668800</v>
      </c>
      <c r="D31" t="s">
        <v>2021</v>
      </c>
      <c r="E31" s="46">
        <v>45397</v>
      </c>
      <c r="F31" s="45" t="s">
        <v>721</v>
      </c>
      <c r="I31" t="s">
        <v>2018</v>
      </c>
    </row>
    <row r="32" spans="1:9" x14ac:dyDescent="0.3">
      <c r="A32" t="s">
        <v>734</v>
      </c>
      <c r="B32" s="46">
        <v>45203</v>
      </c>
      <c r="C32" s="45">
        <v>1668000</v>
      </c>
      <c r="D32" t="s">
        <v>735</v>
      </c>
      <c r="E32" s="46">
        <v>45245</v>
      </c>
      <c r="F32" s="45" t="s">
        <v>721</v>
      </c>
      <c r="I32" t="s">
        <v>736</v>
      </c>
    </row>
    <row r="33" spans="1:9" hidden="1" x14ac:dyDescent="0.3">
      <c r="A33" t="s">
        <v>729</v>
      </c>
      <c r="B33" s="46">
        <v>45295</v>
      </c>
      <c r="C33" s="45">
        <v>1610235</v>
      </c>
      <c r="D33" t="s">
        <v>730</v>
      </c>
      <c r="E33" s="46">
        <v>45337</v>
      </c>
      <c r="F33" s="45" t="s">
        <v>731</v>
      </c>
      <c r="G33" t="s">
        <v>732</v>
      </c>
      <c r="H33">
        <v>1199</v>
      </c>
      <c r="I33" t="s">
        <v>733</v>
      </c>
    </row>
    <row r="34" spans="1:9" hidden="1" x14ac:dyDescent="0.3">
      <c r="A34" t="s">
        <v>734</v>
      </c>
      <c r="B34" s="46">
        <v>45327</v>
      </c>
      <c r="C34" s="45">
        <v>1504800</v>
      </c>
      <c r="D34" t="s">
        <v>737</v>
      </c>
      <c r="E34" s="46">
        <v>45366</v>
      </c>
      <c r="F34" s="45" t="s">
        <v>721</v>
      </c>
      <c r="I34" t="s">
        <v>738</v>
      </c>
    </row>
    <row r="35" spans="1:9" hidden="1" x14ac:dyDescent="0.3">
      <c r="A35" t="s">
        <v>724</v>
      </c>
      <c r="B35" s="46">
        <v>45190</v>
      </c>
      <c r="C35" s="45">
        <v>1179750</v>
      </c>
      <c r="D35" t="s">
        <v>739</v>
      </c>
      <c r="E35" s="46">
        <v>45225</v>
      </c>
      <c r="F35" s="45" t="s">
        <v>721</v>
      </c>
      <c r="I35" t="s">
        <v>740</v>
      </c>
    </row>
    <row r="36" spans="1:9" hidden="1" x14ac:dyDescent="0.3">
      <c r="A36" t="s">
        <v>743</v>
      </c>
      <c r="B36" s="46">
        <v>45408</v>
      </c>
      <c r="C36" s="45">
        <v>1168927</v>
      </c>
      <c r="D36" t="s">
        <v>744</v>
      </c>
      <c r="E36" s="46">
        <v>45438</v>
      </c>
      <c r="F36" s="45" t="s">
        <v>731</v>
      </c>
      <c r="G36" t="s">
        <v>732</v>
      </c>
      <c r="H36">
        <v>831.21</v>
      </c>
      <c r="I36" t="s">
        <v>733</v>
      </c>
    </row>
    <row r="37" spans="1:9" hidden="1" x14ac:dyDescent="0.3">
      <c r="A37" t="s">
        <v>743</v>
      </c>
      <c r="B37" s="46">
        <v>45121</v>
      </c>
      <c r="C37" s="45">
        <v>1083648</v>
      </c>
      <c r="D37" t="s">
        <v>744</v>
      </c>
      <c r="E37" s="46">
        <v>45164</v>
      </c>
      <c r="F37" s="45" t="s">
        <v>731</v>
      </c>
      <c r="G37" t="s">
        <v>732</v>
      </c>
      <c r="H37">
        <v>831.21</v>
      </c>
      <c r="I37" t="s">
        <v>733</v>
      </c>
    </row>
    <row r="38" spans="1:9" hidden="1" x14ac:dyDescent="0.3">
      <c r="A38" t="s">
        <v>748</v>
      </c>
      <c r="B38" s="46">
        <v>45404</v>
      </c>
      <c r="C38" s="45">
        <v>1038000</v>
      </c>
      <c r="D38" t="s">
        <v>735</v>
      </c>
      <c r="E38" s="46">
        <v>45428</v>
      </c>
      <c r="F38" s="45" t="s">
        <v>721</v>
      </c>
      <c r="I38" t="s">
        <v>782</v>
      </c>
    </row>
    <row r="39" spans="1:9" hidden="1" x14ac:dyDescent="0.3">
      <c r="A39" t="s">
        <v>745</v>
      </c>
      <c r="B39" s="46">
        <v>45125</v>
      </c>
      <c r="C39" s="45">
        <v>1037310</v>
      </c>
      <c r="D39" t="s">
        <v>1630</v>
      </c>
      <c r="E39" s="46">
        <v>45184</v>
      </c>
      <c r="F39" s="45" t="s">
        <v>721</v>
      </c>
    </row>
    <row r="40" spans="1:9" hidden="1" x14ac:dyDescent="0.3">
      <c r="A40" t="s">
        <v>746</v>
      </c>
      <c r="B40" s="46">
        <v>45398</v>
      </c>
      <c r="C40" s="45">
        <v>969360</v>
      </c>
      <c r="D40" t="s">
        <v>2022</v>
      </c>
      <c r="E40" s="46">
        <v>45428</v>
      </c>
      <c r="F40" s="45" t="s">
        <v>731</v>
      </c>
      <c r="G40" t="s">
        <v>732</v>
      </c>
      <c r="H40">
        <v>684</v>
      </c>
      <c r="I40" t="s">
        <v>733</v>
      </c>
    </row>
    <row r="41" spans="1:9" hidden="1" x14ac:dyDescent="0.3">
      <c r="A41" t="s">
        <v>724</v>
      </c>
      <c r="B41" s="46">
        <v>45371</v>
      </c>
      <c r="C41" s="45">
        <v>963780</v>
      </c>
      <c r="D41" t="s">
        <v>2023</v>
      </c>
      <c r="E41" s="46">
        <v>45438</v>
      </c>
      <c r="F41" s="45" t="s">
        <v>721</v>
      </c>
      <c r="I41" t="s">
        <v>2024</v>
      </c>
    </row>
    <row r="42" spans="1:9" hidden="1" x14ac:dyDescent="0.3">
      <c r="A42" t="s">
        <v>743</v>
      </c>
      <c r="B42" s="46">
        <v>45184</v>
      </c>
      <c r="C42" s="45">
        <v>950220</v>
      </c>
      <c r="D42" t="s">
        <v>744</v>
      </c>
      <c r="E42" s="46">
        <v>45225</v>
      </c>
      <c r="F42" s="45" t="s">
        <v>731</v>
      </c>
      <c r="G42" t="s">
        <v>732</v>
      </c>
      <c r="H42">
        <v>701.43</v>
      </c>
      <c r="I42" t="s">
        <v>733</v>
      </c>
    </row>
    <row r="43" spans="1:9" hidden="1" x14ac:dyDescent="0.3">
      <c r="A43" t="s">
        <v>748</v>
      </c>
      <c r="B43" s="46">
        <v>45314</v>
      </c>
      <c r="C43" s="45">
        <v>841500</v>
      </c>
      <c r="D43" t="s">
        <v>735</v>
      </c>
      <c r="E43" s="46">
        <v>45337</v>
      </c>
      <c r="F43" s="45" t="s">
        <v>721</v>
      </c>
      <c r="I43" t="s">
        <v>726</v>
      </c>
    </row>
    <row r="44" spans="1:9" hidden="1" x14ac:dyDescent="0.3">
      <c r="A44" t="s">
        <v>748</v>
      </c>
      <c r="B44" s="46">
        <v>45288</v>
      </c>
      <c r="C44" s="45">
        <v>799810</v>
      </c>
      <c r="D44" t="s">
        <v>749</v>
      </c>
      <c r="E44" s="46">
        <v>45306</v>
      </c>
      <c r="F44" s="45" t="s">
        <v>721</v>
      </c>
      <c r="I44" t="s">
        <v>750</v>
      </c>
    </row>
    <row r="45" spans="1:9" hidden="1" x14ac:dyDescent="0.3">
      <c r="A45" t="s">
        <v>746</v>
      </c>
      <c r="B45" s="46">
        <v>45141</v>
      </c>
      <c r="C45" s="45">
        <v>788424</v>
      </c>
      <c r="D45" t="s">
        <v>751</v>
      </c>
      <c r="E45" s="46">
        <v>45184</v>
      </c>
      <c r="F45" s="45" t="s">
        <v>731</v>
      </c>
      <c r="G45" t="s">
        <v>732</v>
      </c>
      <c r="H45">
        <v>591.49</v>
      </c>
      <c r="I45" t="s">
        <v>733</v>
      </c>
    </row>
    <row r="46" spans="1:9" hidden="1" x14ac:dyDescent="0.3">
      <c r="A46" t="s">
        <v>746</v>
      </c>
      <c r="B46" s="46">
        <v>45208</v>
      </c>
      <c r="C46" s="45">
        <v>785646</v>
      </c>
      <c r="D46" t="s">
        <v>747</v>
      </c>
      <c r="E46" s="46">
        <v>45245</v>
      </c>
      <c r="F46" s="45" t="s">
        <v>731</v>
      </c>
      <c r="G46" t="s">
        <v>732</v>
      </c>
      <c r="H46">
        <v>570</v>
      </c>
      <c r="I46" t="s">
        <v>733</v>
      </c>
    </row>
    <row r="47" spans="1:9" hidden="1" x14ac:dyDescent="0.3">
      <c r="A47" t="s">
        <v>798</v>
      </c>
      <c r="B47" s="46">
        <v>45366</v>
      </c>
      <c r="C47" s="45">
        <v>734654</v>
      </c>
      <c r="D47" t="s">
        <v>768</v>
      </c>
      <c r="E47" s="46">
        <v>45397</v>
      </c>
      <c r="F47" s="45" t="s">
        <v>731</v>
      </c>
      <c r="G47" t="s">
        <v>732</v>
      </c>
      <c r="H47">
        <v>541</v>
      </c>
      <c r="I47" t="s">
        <v>733</v>
      </c>
    </row>
    <row r="48" spans="1:9" hidden="1" x14ac:dyDescent="0.3">
      <c r="A48" t="s">
        <v>743</v>
      </c>
      <c r="B48" s="46">
        <v>45223</v>
      </c>
      <c r="C48" s="45">
        <v>716944</v>
      </c>
      <c r="D48" t="s">
        <v>744</v>
      </c>
      <c r="E48" s="46">
        <v>45256</v>
      </c>
      <c r="F48" s="45" t="s">
        <v>731</v>
      </c>
      <c r="G48" t="s">
        <v>732</v>
      </c>
      <c r="H48">
        <v>522.21</v>
      </c>
      <c r="I48" t="s">
        <v>733</v>
      </c>
    </row>
    <row r="49" spans="1:9" hidden="1" x14ac:dyDescent="0.3">
      <c r="A49" t="s">
        <v>743</v>
      </c>
      <c r="B49" s="46">
        <v>45307</v>
      </c>
      <c r="C49" s="45">
        <v>708966</v>
      </c>
      <c r="D49" t="s">
        <v>744</v>
      </c>
      <c r="E49" s="46">
        <v>45348</v>
      </c>
      <c r="F49" s="45" t="s">
        <v>731</v>
      </c>
      <c r="G49" t="s">
        <v>732</v>
      </c>
      <c r="H49">
        <v>522.21</v>
      </c>
      <c r="I49" t="s">
        <v>733</v>
      </c>
    </row>
    <row r="50" spans="1:9" hidden="1" x14ac:dyDescent="0.3">
      <c r="A50" t="s">
        <v>743</v>
      </c>
      <c r="B50" s="46">
        <v>45366</v>
      </c>
      <c r="C50" s="45">
        <v>702519</v>
      </c>
      <c r="D50" t="s">
        <v>744</v>
      </c>
      <c r="E50" s="46">
        <v>45408</v>
      </c>
      <c r="F50" s="45" t="s">
        <v>731</v>
      </c>
      <c r="G50" t="s">
        <v>732</v>
      </c>
      <c r="H50">
        <v>522.21</v>
      </c>
      <c r="I50" t="s">
        <v>733</v>
      </c>
    </row>
    <row r="51" spans="1:9" hidden="1" x14ac:dyDescent="0.3">
      <c r="A51" t="s">
        <v>727</v>
      </c>
      <c r="B51" s="46">
        <v>45348</v>
      </c>
      <c r="C51" s="45">
        <v>674000</v>
      </c>
      <c r="D51" t="s">
        <v>754</v>
      </c>
      <c r="E51" s="46">
        <v>45366</v>
      </c>
      <c r="F51" s="45" t="s">
        <v>721</v>
      </c>
      <c r="I51" t="s">
        <v>2025</v>
      </c>
    </row>
    <row r="52" spans="1:9" hidden="1" x14ac:dyDescent="0.3">
      <c r="A52" t="s">
        <v>722</v>
      </c>
      <c r="B52" s="46">
        <v>45307</v>
      </c>
      <c r="C52" s="45">
        <v>674000</v>
      </c>
      <c r="D52" t="s">
        <v>754</v>
      </c>
      <c r="E52" s="46">
        <v>45337</v>
      </c>
      <c r="F52" s="45" t="s">
        <v>721</v>
      </c>
      <c r="I52" t="s">
        <v>2025</v>
      </c>
    </row>
    <row r="53" spans="1:9" hidden="1" x14ac:dyDescent="0.3">
      <c r="A53" t="s">
        <v>724</v>
      </c>
      <c r="B53" s="46">
        <v>45271</v>
      </c>
      <c r="C53" s="45">
        <v>642600</v>
      </c>
      <c r="D53" t="s">
        <v>755</v>
      </c>
      <c r="E53" s="46">
        <v>45317</v>
      </c>
      <c r="F53" s="45" t="s">
        <v>721</v>
      </c>
      <c r="I53" t="s">
        <v>756</v>
      </c>
    </row>
    <row r="54" spans="1:9" hidden="1" x14ac:dyDescent="0.3">
      <c r="A54" t="s">
        <v>727</v>
      </c>
      <c r="B54" s="46">
        <v>45399</v>
      </c>
      <c r="C54" s="45">
        <v>623700</v>
      </c>
      <c r="D54" t="s">
        <v>2026</v>
      </c>
      <c r="E54" s="46">
        <v>45428</v>
      </c>
      <c r="F54" s="45" t="s">
        <v>721</v>
      </c>
      <c r="I54" t="s">
        <v>2027</v>
      </c>
    </row>
    <row r="55" spans="1:9" hidden="1" x14ac:dyDescent="0.3">
      <c r="A55" t="s">
        <v>746</v>
      </c>
      <c r="B55" s="46">
        <v>45317</v>
      </c>
      <c r="C55" s="45">
        <v>618704</v>
      </c>
      <c r="D55" t="s">
        <v>751</v>
      </c>
      <c r="E55" s="46">
        <v>45337</v>
      </c>
      <c r="F55" s="45" t="s">
        <v>731</v>
      </c>
      <c r="G55" t="s">
        <v>732</v>
      </c>
      <c r="H55">
        <v>452.81</v>
      </c>
      <c r="I55" t="s">
        <v>733</v>
      </c>
    </row>
    <row r="56" spans="1:9" hidden="1" x14ac:dyDescent="0.3">
      <c r="A56" t="s">
        <v>746</v>
      </c>
      <c r="B56" s="46">
        <v>45247</v>
      </c>
      <c r="C56" s="45">
        <v>596050</v>
      </c>
      <c r="D56" t="s">
        <v>759</v>
      </c>
      <c r="E56" s="46">
        <v>45275</v>
      </c>
      <c r="F56" s="45" t="s">
        <v>731</v>
      </c>
      <c r="G56" t="s">
        <v>732</v>
      </c>
      <c r="H56">
        <v>450.45</v>
      </c>
      <c r="I56" t="s">
        <v>733</v>
      </c>
    </row>
    <row r="57" spans="1:9" hidden="1" x14ac:dyDescent="0.3">
      <c r="A57" t="s">
        <v>745</v>
      </c>
      <c r="B57" s="46">
        <v>45297</v>
      </c>
      <c r="C57" s="45">
        <v>579907</v>
      </c>
      <c r="D57" t="s">
        <v>1631</v>
      </c>
      <c r="E57" s="46">
        <v>45338</v>
      </c>
      <c r="F57" s="45" t="s">
        <v>731</v>
      </c>
      <c r="G57" t="s">
        <v>1632</v>
      </c>
      <c r="H57">
        <v>10540121</v>
      </c>
      <c r="I57" t="s">
        <v>2020</v>
      </c>
    </row>
    <row r="58" spans="1:9" hidden="1" x14ac:dyDescent="0.3">
      <c r="A58" t="s">
        <v>743</v>
      </c>
      <c r="B58" s="46">
        <v>45205</v>
      </c>
      <c r="C58" s="45">
        <v>577868</v>
      </c>
      <c r="D58" t="s">
        <v>744</v>
      </c>
      <c r="E58" s="46">
        <v>45256</v>
      </c>
      <c r="F58" s="45" t="s">
        <v>731</v>
      </c>
      <c r="G58" t="s">
        <v>732</v>
      </c>
      <c r="H58">
        <v>419.21</v>
      </c>
      <c r="I58" t="s">
        <v>733</v>
      </c>
    </row>
    <row r="59" spans="1:9" hidden="1" x14ac:dyDescent="0.3">
      <c r="A59" t="s">
        <v>743</v>
      </c>
      <c r="B59" s="46">
        <v>45149</v>
      </c>
      <c r="C59" s="45">
        <v>564125</v>
      </c>
      <c r="D59" t="s">
        <v>744</v>
      </c>
      <c r="E59" s="46">
        <v>45195</v>
      </c>
      <c r="F59" s="45" t="s">
        <v>731</v>
      </c>
      <c r="G59" t="s">
        <v>732</v>
      </c>
      <c r="H59">
        <v>419.21</v>
      </c>
      <c r="I59" t="s">
        <v>733</v>
      </c>
    </row>
    <row r="60" spans="1:9" hidden="1" x14ac:dyDescent="0.3">
      <c r="A60" t="s">
        <v>746</v>
      </c>
      <c r="B60" s="46">
        <v>45209</v>
      </c>
      <c r="C60" s="45">
        <v>549532</v>
      </c>
      <c r="D60" t="s">
        <v>751</v>
      </c>
      <c r="E60" s="46">
        <v>45245</v>
      </c>
      <c r="F60" s="45" t="s">
        <v>731</v>
      </c>
      <c r="G60" t="s">
        <v>732</v>
      </c>
      <c r="H60">
        <v>401.21</v>
      </c>
      <c r="I60" t="s">
        <v>733</v>
      </c>
    </row>
    <row r="61" spans="1:9" hidden="1" x14ac:dyDescent="0.3">
      <c r="A61" t="s">
        <v>746</v>
      </c>
      <c r="B61" s="46">
        <v>45345</v>
      </c>
      <c r="C61" s="45">
        <v>535885</v>
      </c>
      <c r="D61" t="s">
        <v>751</v>
      </c>
      <c r="E61" s="46">
        <v>45366</v>
      </c>
      <c r="F61" s="45" t="s">
        <v>731</v>
      </c>
      <c r="G61" t="s">
        <v>732</v>
      </c>
      <c r="H61">
        <v>394.36</v>
      </c>
      <c r="I61" t="s">
        <v>733</v>
      </c>
    </row>
    <row r="62" spans="1:9" hidden="1" x14ac:dyDescent="0.3">
      <c r="A62" t="s">
        <v>748</v>
      </c>
      <c r="B62" s="46">
        <v>45338</v>
      </c>
      <c r="C62" s="45">
        <v>528100</v>
      </c>
      <c r="D62" t="s">
        <v>763</v>
      </c>
      <c r="E62" s="46">
        <v>45366</v>
      </c>
      <c r="F62" s="45" t="s">
        <v>721</v>
      </c>
      <c r="I62" t="s">
        <v>726</v>
      </c>
    </row>
    <row r="63" spans="1:9" x14ac:dyDescent="0.3">
      <c r="A63" t="s">
        <v>729</v>
      </c>
      <c r="B63" s="46">
        <v>45288</v>
      </c>
      <c r="C63" s="45">
        <v>520680</v>
      </c>
      <c r="D63" t="s">
        <v>730</v>
      </c>
      <c r="E63" s="46">
        <v>45306</v>
      </c>
      <c r="F63" s="45" t="s">
        <v>731</v>
      </c>
      <c r="G63" t="s">
        <v>732</v>
      </c>
      <c r="H63">
        <v>395</v>
      </c>
      <c r="I63" t="s">
        <v>733</v>
      </c>
    </row>
    <row r="64" spans="1:9" hidden="1" x14ac:dyDescent="0.3">
      <c r="A64" t="s">
        <v>798</v>
      </c>
      <c r="B64" s="46">
        <v>45372</v>
      </c>
      <c r="C64" s="45">
        <v>505375</v>
      </c>
      <c r="D64" t="s">
        <v>730</v>
      </c>
      <c r="E64" s="46">
        <v>45397</v>
      </c>
      <c r="F64" s="45" t="s">
        <v>731</v>
      </c>
      <c r="G64" t="s">
        <v>732</v>
      </c>
      <c r="H64">
        <v>370</v>
      </c>
      <c r="I64" t="s">
        <v>733</v>
      </c>
    </row>
    <row r="65" spans="1:9" hidden="1" x14ac:dyDescent="0.3">
      <c r="A65" t="s">
        <v>734</v>
      </c>
      <c r="B65" s="46">
        <v>45251</v>
      </c>
      <c r="C65" s="45">
        <v>505205</v>
      </c>
      <c r="D65" t="s">
        <v>764</v>
      </c>
      <c r="E65" s="46">
        <v>45275</v>
      </c>
      <c r="F65" s="45" t="s">
        <v>731</v>
      </c>
      <c r="G65" t="s">
        <v>732</v>
      </c>
      <c r="H65">
        <v>493680</v>
      </c>
      <c r="I65" t="s">
        <v>738</v>
      </c>
    </row>
    <row r="66" spans="1:9" hidden="1" x14ac:dyDescent="0.3">
      <c r="A66" t="s">
        <v>727</v>
      </c>
      <c r="B66" s="46">
        <v>45335</v>
      </c>
      <c r="C66" s="45">
        <v>504590</v>
      </c>
      <c r="D66" t="s">
        <v>765</v>
      </c>
      <c r="E66" s="46">
        <v>45366</v>
      </c>
      <c r="F66" s="45" t="s">
        <v>721</v>
      </c>
      <c r="I66" t="s">
        <v>726</v>
      </c>
    </row>
    <row r="67" spans="1:9" hidden="1" x14ac:dyDescent="0.3">
      <c r="A67" t="s">
        <v>743</v>
      </c>
      <c r="B67" s="46">
        <v>45391</v>
      </c>
      <c r="C67" s="45">
        <v>494230</v>
      </c>
      <c r="D67" t="s">
        <v>744</v>
      </c>
      <c r="E67" s="46">
        <v>45438</v>
      </c>
      <c r="F67" s="45" t="s">
        <v>731</v>
      </c>
      <c r="G67" t="s">
        <v>732</v>
      </c>
      <c r="H67">
        <v>357.41</v>
      </c>
      <c r="I67" t="s">
        <v>733</v>
      </c>
    </row>
    <row r="68" spans="1:9" hidden="1" x14ac:dyDescent="0.3">
      <c r="A68" t="s">
        <v>722</v>
      </c>
      <c r="B68" s="46">
        <v>45376</v>
      </c>
      <c r="C68" s="45">
        <v>494200</v>
      </c>
      <c r="D68" t="s">
        <v>763</v>
      </c>
      <c r="E68" s="46">
        <v>45397</v>
      </c>
      <c r="F68" s="45" t="s">
        <v>721</v>
      </c>
      <c r="I68" t="s">
        <v>726</v>
      </c>
    </row>
    <row r="69" spans="1:9" hidden="1" x14ac:dyDescent="0.3">
      <c r="A69" t="s">
        <v>729</v>
      </c>
      <c r="B69" s="46">
        <v>45278</v>
      </c>
      <c r="C69" s="45">
        <v>493500</v>
      </c>
      <c r="D69" t="s">
        <v>730</v>
      </c>
      <c r="E69" s="46">
        <v>45306</v>
      </c>
      <c r="F69" s="45" t="s">
        <v>731</v>
      </c>
      <c r="G69" t="s">
        <v>732</v>
      </c>
      <c r="H69">
        <v>370</v>
      </c>
      <c r="I69" t="s">
        <v>733</v>
      </c>
    </row>
    <row r="70" spans="1:9" hidden="1" x14ac:dyDescent="0.3">
      <c r="A70" t="s">
        <v>743</v>
      </c>
      <c r="B70" s="46">
        <v>45359</v>
      </c>
      <c r="C70" s="45">
        <v>485442</v>
      </c>
      <c r="D70" t="s">
        <v>744</v>
      </c>
      <c r="E70" s="46">
        <v>45408</v>
      </c>
      <c r="F70" s="45" t="s">
        <v>731</v>
      </c>
      <c r="G70" t="s">
        <v>732</v>
      </c>
      <c r="H70">
        <v>357.41</v>
      </c>
      <c r="I70" t="s">
        <v>733</v>
      </c>
    </row>
    <row r="71" spans="1:9" hidden="1" x14ac:dyDescent="0.3">
      <c r="A71" t="s">
        <v>734</v>
      </c>
      <c r="B71" s="46">
        <v>45271</v>
      </c>
      <c r="C71" s="45">
        <v>482015</v>
      </c>
      <c r="D71" t="s">
        <v>766</v>
      </c>
      <c r="E71" s="46">
        <v>45306</v>
      </c>
      <c r="F71" s="45" t="s">
        <v>721</v>
      </c>
      <c r="I71" t="s">
        <v>738</v>
      </c>
    </row>
    <row r="72" spans="1:9" hidden="1" x14ac:dyDescent="0.3">
      <c r="A72" t="s">
        <v>727</v>
      </c>
      <c r="B72" s="46">
        <v>45411</v>
      </c>
      <c r="C72" s="45">
        <v>480460</v>
      </c>
      <c r="D72" t="s">
        <v>765</v>
      </c>
      <c r="E72" s="46">
        <v>45428</v>
      </c>
      <c r="F72" s="45" t="s">
        <v>721</v>
      </c>
      <c r="I72" t="s">
        <v>726</v>
      </c>
    </row>
    <row r="73" spans="1:9" hidden="1" x14ac:dyDescent="0.3">
      <c r="A73" t="s">
        <v>743</v>
      </c>
      <c r="B73" s="46">
        <v>45314</v>
      </c>
      <c r="C73" s="45">
        <v>469523</v>
      </c>
      <c r="D73" t="s">
        <v>744</v>
      </c>
      <c r="E73" s="46">
        <v>45348</v>
      </c>
      <c r="F73" s="45" t="s">
        <v>731</v>
      </c>
      <c r="G73" t="s">
        <v>732</v>
      </c>
      <c r="H73">
        <v>344.02</v>
      </c>
      <c r="I73" t="s">
        <v>733</v>
      </c>
    </row>
    <row r="74" spans="1:9" hidden="1" x14ac:dyDescent="0.3">
      <c r="A74" t="s">
        <v>767</v>
      </c>
      <c r="B74" s="46">
        <v>45279</v>
      </c>
      <c r="C74" s="45">
        <v>463400</v>
      </c>
      <c r="D74" t="s">
        <v>763</v>
      </c>
      <c r="E74" s="46">
        <v>45306</v>
      </c>
      <c r="F74" s="45" t="s">
        <v>721</v>
      </c>
      <c r="I74" t="s">
        <v>726</v>
      </c>
    </row>
    <row r="75" spans="1:9" hidden="1" x14ac:dyDescent="0.3">
      <c r="A75" t="s">
        <v>746</v>
      </c>
      <c r="B75" s="46">
        <v>45118</v>
      </c>
      <c r="C75" s="45">
        <v>461178</v>
      </c>
      <c r="D75" t="s">
        <v>751</v>
      </c>
      <c r="E75" s="46">
        <v>45154</v>
      </c>
      <c r="F75" s="45" t="s">
        <v>731</v>
      </c>
      <c r="G75" t="s">
        <v>732</v>
      </c>
      <c r="H75">
        <v>353.5</v>
      </c>
      <c r="I75" t="s">
        <v>733</v>
      </c>
    </row>
    <row r="76" spans="1:9" hidden="1" x14ac:dyDescent="0.3">
      <c r="A76" t="s">
        <v>746</v>
      </c>
      <c r="B76" s="46">
        <v>45181</v>
      </c>
      <c r="C76" s="45">
        <v>460929</v>
      </c>
      <c r="D76" t="s">
        <v>751</v>
      </c>
      <c r="E76" s="46">
        <v>45215</v>
      </c>
      <c r="F76" s="45" t="s">
        <v>731</v>
      </c>
      <c r="G76" t="s">
        <v>732</v>
      </c>
      <c r="H76">
        <v>340.01</v>
      </c>
      <c r="I76" t="s">
        <v>733</v>
      </c>
    </row>
    <row r="77" spans="1:9" hidden="1" x14ac:dyDescent="0.3">
      <c r="A77" t="s">
        <v>746</v>
      </c>
      <c r="B77" s="46">
        <v>45370</v>
      </c>
      <c r="C77" s="45">
        <v>458895</v>
      </c>
      <c r="D77" t="s">
        <v>751</v>
      </c>
      <c r="E77" s="46">
        <v>45397</v>
      </c>
      <c r="F77" s="45" t="s">
        <v>731</v>
      </c>
      <c r="G77" t="s">
        <v>732</v>
      </c>
      <c r="H77">
        <v>338.46</v>
      </c>
      <c r="I77" t="s">
        <v>733</v>
      </c>
    </row>
    <row r="78" spans="1:9" hidden="1" x14ac:dyDescent="0.3">
      <c r="A78" t="s">
        <v>746</v>
      </c>
      <c r="B78" s="46">
        <v>45257</v>
      </c>
      <c r="C78" s="45">
        <v>456960</v>
      </c>
      <c r="D78" t="s">
        <v>759</v>
      </c>
      <c r="E78" s="46">
        <v>45275</v>
      </c>
      <c r="F78" s="45" t="s">
        <v>731</v>
      </c>
      <c r="G78" t="s">
        <v>732</v>
      </c>
      <c r="H78">
        <v>345.45</v>
      </c>
      <c r="I78" t="s">
        <v>733</v>
      </c>
    </row>
    <row r="79" spans="1:9" hidden="1" x14ac:dyDescent="0.3">
      <c r="A79" t="s">
        <v>724</v>
      </c>
      <c r="B79" s="46">
        <v>45282</v>
      </c>
      <c r="C79" s="45">
        <v>455520</v>
      </c>
      <c r="D79" t="s">
        <v>769</v>
      </c>
      <c r="E79" s="46">
        <v>45317</v>
      </c>
      <c r="F79" s="45" t="s">
        <v>731</v>
      </c>
      <c r="G79" t="s">
        <v>732</v>
      </c>
      <c r="H79">
        <v>342</v>
      </c>
      <c r="I79" t="s">
        <v>733</v>
      </c>
    </row>
    <row r="80" spans="1:9" hidden="1" x14ac:dyDescent="0.3">
      <c r="A80" t="s">
        <v>727</v>
      </c>
      <c r="B80" s="46">
        <v>45239</v>
      </c>
      <c r="C80" s="45">
        <v>445768</v>
      </c>
      <c r="D80" t="s">
        <v>765</v>
      </c>
      <c r="E80" s="46">
        <v>45275</v>
      </c>
      <c r="F80" s="45" t="s">
        <v>721</v>
      </c>
      <c r="I80" t="s">
        <v>726</v>
      </c>
    </row>
    <row r="81" spans="1:9" hidden="1" x14ac:dyDescent="0.3">
      <c r="A81" t="s">
        <v>724</v>
      </c>
      <c r="B81" s="46">
        <v>45439</v>
      </c>
      <c r="C81" s="45">
        <v>442000</v>
      </c>
      <c r="D81" t="s">
        <v>2028</v>
      </c>
      <c r="E81" s="46">
        <v>45469</v>
      </c>
      <c r="F81" s="45" t="s">
        <v>721</v>
      </c>
      <c r="I81" t="s">
        <v>726</v>
      </c>
    </row>
    <row r="82" spans="1:9" hidden="1" x14ac:dyDescent="0.3">
      <c r="A82" t="s">
        <v>748</v>
      </c>
      <c r="B82" s="46">
        <v>45160</v>
      </c>
      <c r="C82" s="45">
        <v>428700</v>
      </c>
      <c r="D82" t="s">
        <v>763</v>
      </c>
      <c r="E82" s="46">
        <v>45184</v>
      </c>
      <c r="F82" s="45" t="s">
        <v>721</v>
      </c>
      <c r="I82" t="s">
        <v>726</v>
      </c>
    </row>
    <row r="83" spans="1:9" hidden="1" x14ac:dyDescent="0.3">
      <c r="A83" t="s">
        <v>727</v>
      </c>
      <c r="B83" s="46">
        <v>45350</v>
      </c>
      <c r="C83" s="45">
        <v>428000</v>
      </c>
      <c r="D83" t="s">
        <v>754</v>
      </c>
      <c r="E83" s="46">
        <v>45366</v>
      </c>
      <c r="F83" s="45" t="s">
        <v>721</v>
      </c>
      <c r="I83" t="s">
        <v>2025</v>
      </c>
    </row>
    <row r="84" spans="1:9" hidden="1" x14ac:dyDescent="0.3">
      <c r="A84" t="s">
        <v>743</v>
      </c>
      <c r="B84" s="46">
        <v>45252</v>
      </c>
      <c r="C84" s="45">
        <v>418543</v>
      </c>
      <c r="D84" t="s">
        <v>744</v>
      </c>
      <c r="E84" s="46">
        <v>45286</v>
      </c>
      <c r="F84" s="45" t="s">
        <v>731</v>
      </c>
      <c r="G84" t="s">
        <v>732</v>
      </c>
      <c r="H84">
        <v>316.20999999999998</v>
      </c>
      <c r="I84" t="s">
        <v>733</v>
      </c>
    </row>
    <row r="85" spans="1:9" hidden="1" x14ac:dyDescent="0.3">
      <c r="A85" t="s">
        <v>727</v>
      </c>
      <c r="B85" s="46">
        <v>45286</v>
      </c>
      <c r="C85" s="45">
        <v>416330</v>
      </c>
      <c r="D85" t="s">
        <v>765</v>
      </c>
      <c r="E85" s="46">
        <v>45306</v>
      </c>
      <c r="F85" s="45" t="s">
        <v>721</v>
      </c>
      <c r="I85" t="s">
        <v>726</v>
      </c>
    </row>
    <row r="86" spans="1:9" hidden="1" x14ac:dyDescent="0.3">
      <c r="A86" t="s">
        <v>767</v>
      </c>
      <c r="B86" s="46">
        <v>45429</v>
      </c>
      <c r="C86" s="45">
        <v>390400</v>
      </c>
      <c r="D86" t="s">
        <v>763</v>
      </c>
      <c r="E86" s="46">
        <v>45458</v>
      </c>
      <c r="F86" s="45" t="s">
        <v>721</v>
      </c>
      <c r="I86" t="s">
        <v>726</v>
      </c>
    </row>
    <row r="87" spans="1:9" hidden="1" x14ac:dyDescent="0.3">
      <c r="A87" t="s">
        <v>724</v>
      </c>
      <c r="B87" s="46">
        <v>45294</v>
      </c>
      <c r="C87" s="45">
        <v>390000</v>
      </c>
      <c r="D87" t="s">
        <v>739</v>
      </c>
      <c r="E87" s="46">
        <v>45317</v>
      </c>
      <c r="F87" s="45" t="s">
        <v>721</v>
      </c>
      <c r="I87" t="s">
        <v>762</v>
      </c>
    </row>
    <row r="88" spans="1:9" hidden="1" x14ac:dyDescent="0.3">
      <c r="A88" t="s">
        <v>748</v>
      </c>
      <c r="B88" s="46">
        <v>45210</v>
      </c>
      <c r="C88" s="45">
        <v>387000</v>
      </c>
      <c r="D88" t="s">
        <v>763</v>
      </c>
      <c r="E88" s="46">
        <v>45245</v>
      </c>
      <c r="F88" s="45" t="s">
        <v>721</v>
      </c>
      <c r="I88" t="s">
        <v>726</v>
      </c>
    </row>
    <row r="89" spans="1:9" hidden="1" x14ac:dyDescent="0.3">
      <c r="A89" t="s">
        <v>748</v>
      </c>
      <c r="B89" s="46">
        <v>45328</v>
      </c>
      <c r="C89" s="45">
        <v>385000</v>
      </c>
      <c r="D89" t="s">
        <v>773</v>
      </c>
      <c r="E89" s="46">
        <v>45366</v>
      </c>
      <c r="F89" s="45" t="s">
        <v>721</v>
      </c>
      <c r="I89" t="s">
        <v>762</v>
      </c>
    </row>
    <row r="90" spans="1:9" hidden="1" x14ac:dyDescent="0.3">
      <c r="A90" t="s">
        <v>746</v>
      </c>
      <c r="B90" s="46">
        <v>45120</v>
      </c>
      <c r="C90" s="45">
        <v>362312</v>
      </c>
      <c r="D90" t="s">
        <v>747</v>
      </c>
      <c r="E90" s="46">
        <v>45154</v>
      </c>
      <c r="F90" s="45" t="s">
        <v>731</v>
      </c>
      <c r="G90" t="s">
        <v>732</v>
      </c>
      <c r="H90">
        <v>280</v>
      </c>
      <c r="I90" t="s">
        <v>733</v>
      </c>
    </row>
    <row r="91" spans="1:9" hidden="1" x14ac:dyDescent="0.3">
      <c r="A91" t="s">
        <v>743</v>
      </c>
      <c r="B91" s="46">
        <v>45338</v>
      </c>
      <c r="C91" s="45">
        <v>360925</v>
      </c>
      <c r="D91" t="s">
        <v>758</v>
      </c>
      <c r="E91" s="46">
        <v>45377</v>
      </c>
      <c r="F91" s="45" t="s">
        <v>731</v>
      </c>
      <c r="G91" t="s">
        <v>732</v>
      </c>
      <c r="H91">
        <v>265</v>
      </c>
      <c r="I91" t="s">
        <v>733</v>
      </c>
    </row>
    <row r="92" spans="1:9" hidden="1" x14ac:dyDescent="0.3">
      <c r="A92" t="s">
        <v>746</v>
      </c>
      <c r="B92" s="46">
        <v>45260</v>
      </c>
      <c r="C92" s="45">
        <v>359712</v>
      </c>
      <c r="D92" t="s">
        <v>747</v>
      </c>
      <c r="E92" s="46">
        <v>45306</v>
      </c>
      <c r="F92" s="45" t="s">
        <v>731</v>
      </c>
      <c r="G92" t="s">
        <v>732</v>
      </c>
      <c r="H92">
        <v>270</v>
      </c>
      <c r="I92" t="s">
        <v>733</v>
      </c>
    </row>
    <row r="93" spans="1:9" hidden="1" x14ac:dyDescent="0.3">
      <c r="A93" t="s">
        <v>775</v>
      </c>
      <c r="B93" s="46">
        <v>45222</v>
      </c>
      <c r="C93" s="45">
        <v>356000</v>
      </c>
      <c r="D93" t="s">
        <v>1633</v>
      </c>
      <c r="E93" s="46">
        <v>45246</v>
      </c>
      <c r="F93" s="45" t="s">
        <v>721</v>
      </c>
      <c r="I93" t="s">
        <v>726</v>
      </c>
    </row>
    <row r="94" spans="1:9" hidden="1" x14ac:dyDescent="0.3">
      <c r="A94" t="s">
        <v>743</v>
      </c>
      <c r="B94" s="46">
        <v>45363</v>
      </c>
      <c r="C94" s="45">
        <v>348248</v>
      </c>
      <c r="D94" t="s">
        <v>753</v>
      </c>
      <c r="E94" s="46">
        <v>45408</v>
      </c>
      <c r="F94" s="45" t="s">
        <v>731</v>
      </c>
      <c r="G94" t="s">
        <v>732</v>
      </c>
      <c r="H94">
        <v>260</v>
      </c>
      <c r="I94" t="s">
        <v>733</v>
      </c>
    </row>
    <row r="95" spans="1:9" hidden="1" x14ac:dyDescent="0.3">
      <c r="A95" t="s">
        <v>743</v>
      </c>
      <c r="B95" s="46">
        <v>45205</v>
      </c>
      <c r="C95" s="45">
        <v>341178</v>
      </c>
      <c r="D95" t="s">
        <v>753</v>
      </c>
      <c r="E95" s="46">
        <v>45256</v>
      </c>
      <c r="F95" s="45" t="s">
        <v>731</v>
      </c>
      <c r="G95" t="s">
        <v>732</v>
      </c>
      <c r="H95">
        <v>247.5</v>
      </c>
      <c r="I95" t="s">
        <v>733</v>
      </c>
    </row>
    <row r="96" spans="1:9" hidden="1" x14ac:dyDescent="0.3">
      <c r="A96" t="s">
        <v>777</v>
      </c>
      <c r="B96" s="46">
        <v>45133</v>
      </c>
      <c r="C96" s="45">
        <v>332000</v>
      </c>
      <c r="D96" t="s">
        <v>778</v>
      </c>
      <c r="E96" s="46">
        <v>45184</v>
      </c>
      <c r="F96" s="45" t="s">
        <v>721</v>
      </c>
      <c r="I96" t="s">
        <v>750</v>
      </c>
    </row>
    <row r="97" spans="1:9" hidden="1" x14ac:dyDescent="0.3">
      <c r="A97" t="s">
        <v>743</v>
      </c>
      <c r="B97" s="46">
        <v>45393</v>
      </c>
      <c r="C97" s="45">
        <v>331568</v>
      </c>
      <c r="D97" t="s">
        <v>753</v>
      </c>
      <c r="E97" s="46">
        <v>45438</v>
      </c>
      <c r="F97" s="45" t="s">
        <v>731</v>
      </c>
      <c r="G97" t="s">
        <v>732</v>
      </c>
      <c r="H97">
        <v>238</v>
      </c>
      <c r="I97" t="s">
        <v>733</v>
      </c>
    </row>
    <row r="98" spans="1:9" hidden="1" x14ac:dyDescent="0.3">
      <c r="A98" t="s">
        <v>729</v>
      </c>
      <c r="B98" s="46">
        <v>45188</v>
      </c>
      <c r="C98" s="45">
        <v>326434</v>
      </c>
      <c r="D98" t="s">
        <v>765</v>
      </c>
      <c r="E98" s="46">
        <v>45215</v>
      </c>
      <c r="F98" s="45" t="s">
        <v>721</v>
      </c>
      <c r="I98" t="s">
        <v>726</v>
      </c>
    </row>
    <row r="99" spans="1:9" hidden="1" x14ac:dyDescent="0.3">
      <c r="A99" t="s">
        <v>743</v>
      </c>
      <c r="B99" s="46">
        <v>45233</v>
      </c>
      <c r="C99" s="45">
        <v>326244</v>
      </c>
      <c r="D99" t="s">
        <v>753</v>
      </c>
      <c r="E99" s="46">
        <v>45256</v>
      </c>
      <c r="F99" s="45" t="s">
        <v>731</v>
      </c>
      <c r="G99" t="s">
        <v>732</v>
      </c>
      <c r="H99">
        <v>237.75</v>
      </c>
      <c r="I99" t="s">
        <v>733</v>
      </c>
    </row>
    <row r="100" spans="1:9" hidden="1" x14ac:dyDescent="0.3">
      <c r="A100" t="s">
        <v>729</v>
      </c>
      <c r="B100" s="46">
        <v>45119</v>
      </c>
      <c r="C100" s="45">
        <v>326157</v>
      </c>
      <c r="D100" t="s">
        <v>730</v>
      </c>
      <c r="E100" s="46">
        <v>45154</v>
      </c>
      <c r="F100" s="45" t="s">
        <v>731</v>
      </c>
      <c r="G100" t="s">
        <v>732</v>
      </c>
      <c r="H100">
        <v>250</v>
      </c>
      <c r="I100" t="s">
        <v>733</v>
      </c>
    </row>
    <row r="101" spans="1:9" hidden="1" x14ac:dyDescent="0.3">
      <c r="A101" t="s">
        <v>746</v>
      </c>
      <c r="B101" s="46">
        <v>45118</v>
      </c>
      <c r="C101" s="45">
        <v>318141</v>
      </c>
      <c r="D101" t="s">
        <v>751</v>
      </c>
      <c r="E101" s="46">
        <v>45154</v>
      </c>
      <c r="F101" s="45" t="s">
        <v>731</v>
      </c>
      <c r="G101" t="s">
        <v>732</v>
      </c>
      <c r="H101">
        <v>243.86</v>
      </c>
      <c r="I101" t="s">
        <v>733</v>
      </c>
    </row>
    <row r="102" spans="1:9" hidden="1" x14ac:dyDescent="0.3">
      <c r="A102" t="s">
        <v>746</v>
      </c>
      <c r="B102" s="46">
        <v>45211</v>
      </c>
      <c r="C102" s="45">
        <v>317275</v>
      </c>
      <c r="D102" t="s">
        <v>747</v>
      </c>
      <c r="E102" s="46">
        <v>45245</v>
      </c>
      <c r="F102" s="45" t="s">
        <v>731</v>
      </c>
      <c r="G102" t="s">
        <v>732</v>
      </c>
      <c r="H102">
        <v>230</v>
      </c>
      <c r="I102" t="s">
        <v>733</v>
      </c>
    </row>
    <row r="103" spans="1:9" hidden="1" x14ac:dyDescent="0.3">
      <c r="A103" t="s">
        <v>767</v>
      </c>
      <c r="B103" s="46">
        <v>45266</v>
      </c>
      <c r="C103" s="45">
        <v>316200</v>
      </c>
      <c r="D103" t="s">
        <v>780</v>
      </c>
      <c r="E103" s="46">
        <v>45306</v>
      </c>
      <c r="F103" s="45" t="s">
        <v>721</v>
      </c>
      <c r="I103" t="s">
        <v>781</v>
      </c>
    </row>
    <row r="104" spans="1:9" hidden="1" x14ac:dyDescent="0.3">
      <c r="A104" t="s">
        <v>734</v>
      </c>
      <c r="B104" s="46">
        <v>45205</v>
      </c>
      <c r="C104" s="45">
        <v>314600</v>
      </c>
      <c r="D104" t="s">
        <v>735</v>
      </c>
      <c r="E104" s="46">
        <v>45245</v>
      </c>
      <c r="F104" s="45" t="s">
        <v>721</v>
      </c>
      <c r="I104" t="s">
        <v>736</v>
      </c>
    </row>
    <row r="105" spans="1:9" hidden="1" x14ac:dyDescent="0.3">
      <c r="A105" t="s">
        <v>729</v>
      </c>
      <c r="B105" s="46">
        <v>45237</v>
      </c>
      <c r="C105" s="45">
        <v>314500</v>
      </c>
      <c r="D105" t="s">
        <v>735</v>
      </c>
      <c r="E105" s="46">
        <v>45275</v>
      </c>
      <c r="F105" s="45" t="s">
        <v>721</v>
      </c>
      <c r="I105" t="s">
        <v>782</v>
      </c>
    </row>
    <row r="106" spans="1:9" hidden="1" x14ac:dyDescent="0.3">
      <c r="A106" t="s">
        <v>724</v>
      </c>
      <c r="B106" s="46">
        <v>45323</v>
      </c>
      <c r="C106" s="45">
        <v>306000</v>
      </c>
      <c r="D106" t="s">
        <v>739</v>
      </c>
      <c r="E106" s="46">
        <v>45348</v>
      </c>
      <c r="F106" s="45" t="s">
        <v>721</v>
      </c>
      <c r="I106" t="s">
        <v>740</v>
      </c>
    </row>
    <row r="107" spans="1:9" hidden="1" x14ac:dyDescent="0.3">
      <c r="A107" t="s">
        <v>734</v>
      </c>
      <c r="B107" s="46">
        <v>45315</v>
      </c>
      <c r="C107" s="45">
        <v>300000</v>
      </c>
      <c r="D107" t="s">
        <v>785</v>
      </c>
      <c r="E107" s="46">
        <v>45337</v>
      </c>
      <c r="F107" s="45" t="s">
        <v>721</v>
      </c>
      <c r="I107" t="s">
        <v>726</v>
      </c>
    </row>
    <row r="108" spans="1:9" hidden="1" x14ac:dyDescent="0.3">
      <c r="A108" t="s">
        <v>748</v>
      </c>
      <c r="B108" s="46">
        <v>45315</v>
      </c>
      <c r="C108" s="45">
        <v>300000</v>
      </c>
      <c r="D108" t="s">
        <v>783</v>
      </c>
      <c r="E108" s="46">
        <v>45337</v>
      </c>
      <c r="F108" s="45" t="s">
        <v>721</v>
      </c>
      <c r="I108" t="s">
        <v>784</v>
      </c>
    </row>
    <row r="109" spans="1:9" hidden="1" x14ac:dyDescent="0.3">
      <c r="A109" t="s">
        <v>748</v>
      </c>
      <c r="B109" s="46">
        <v>45315</v>
      </c>
      <c r="C109" s="45">
        <v>300000</v>
      </c>
      <c r="D109" t="s">
        <v>783</v>
      </c>
      <c r="E109" s="46">
        <v>45337</v>
      </c>
      <c r="F109" s="45" t="s">
        <v>721</v>
      </c>
      <c r="I109" t="s">
        <v>784</v>
      </c>
    </row>
    <row r="110" spans="1:9" hidden="1" x14ac:dyDescent="0.3">
      <c r="A110" t="s">
        <v>748</v>
      </c>
      <c r="B110" s="46">
        <v>45317</v>
      </c>
      <c r="C110" s="45">
        <v>300000</v>
      </c>
      <c r="D110" t="s">
        <v>783</v>
      </c>
      <c r="E110" s="46">
        <v>45337</v>
      </c>
      <c r="F110" s="45" t="s">
        <v>721</v>
      </c>
      <c r="I110" t="s">
        <v>784</v>
      </c>
    </row>
    <row r="111" spans="1:9" hidden="1" x14ac:dyDescent="0.3">
      <c r="A111" t="s">
        <v>748</v>
      </c>
      <c r="B111" s="46">
        <v>45321</v>
      </c>
      <c r="C111" s="45">
        <v>300000</v>
      </c>
      <c r="D111" t="s">
        <v>786</v>
      </c>
      <c r="E111" s="46">
        <v>45337</v>
      </c>
      <c r="F111" s="45" t="s">
        <v>721</v>
      </c>
      <c r="I111" t="s">
        <v>787</v>
      </c>
    </row>
    <row r="112" spans="1:9" hidden="1" x14ac:dyDescent="0.3">
      <c r="A112" t="s">
        <v>748</v>
      </c>
      <c r="B112" s="46">
        <v>45322</v>
      </c>
      <c r="C112" s="45">
        <v>300000</v>
      </c>
      <c r="D112" t="s">
        <v>783</v>
      </c>
      <c r="E112" s="46">
        <v>45337</v>
      </c>
      <c r="F112" s="45" t="s">
        <v>721</v>
      </c>
      <c r="I112" t="s">
        <v>784</v>
      </c>
    </row>
    <row r="113" spans="1:9" hidden="1" x14ac:dyDescent="0.3">
      <c r="A113" t="s">
        <v>748</v>
      </c>
      <c r="B113" s="46">
        <v>45296</v>
      </c>
      <c r="C113" s="45">
        <v>300000</v>
      </c>
      <c r="D113" t="s">
        <v>785</v>
      </c>
      <c r="E113" s="46">
        <v>45337</v>
      </c>
      <c r="F113" s="45" t="s">
        <v>721</v>
      </c>
      <c r="I113" t="s">
        <v>726</v>
      </c>
    </row>
    <row r="114" spans="1:9" hidden="1" x14ac:dyDescent="0.3">
      <c r="A114" t="s">
        <v>748</v>
      </c>
      <c r="B114" s="46">
        <v>45301</v>
      </c>
      <c r="C114" s="45">
        <v>300000</v>
      </c>
      <c r="D114" t="s">
        <v>783</v>
      </c>
      <c r="E114" s="46">
        <v>45337</v>
      </c>
      <c r="F114" s="45" t="s">
        <v>721</v>
      </c>
      <c r="I114" t="s">
        <v>784</v>
      </c>
    </row>
    <row r="115" spans="1:9" hidden="1" x14ac:dyDescent="0.3">
      <c r="A115" t="s">
        <v>748</v>
      </c>
      <c r="B115" s="46">
        <v>45301</v>
      </c>
      <c r="C115" s="45">
        <v>300000</v>
      </c>
      <c r="D115" t="s">
        <v>783</v>
      </c>
      <c r="E115" s="46">
        <v>45337</v>
      </c>
      <c r="F115" s="45" t="s">
        <v>721</v>
      </c>
      <c r="I115" t="s">
        <v>784</v>
      </c>
    </row>
    <row r="116" spans="1:9" hidden="1" x14ac:dyDescent="0.3">
      <c r="A116" t="s">
        <v>748</v>
      </c>
      <c r="B116" s="46">
        <v>45301</v>
      </c>
      <c r="C116" s="45">
        <v>300000</v>
      </c>
      <c r="D116" t="s">
        <v>783</v>
      </c>
      <c r="E116" s="46">
        <v>45337</v>
      </c>
      <c r="F116" s="45" t="s">
        <v>721</v>
      </c>
      <c r="I116" t="s">
        <v>784</v>
      </c>
    </row>
    <row r="117" spans="1:9" hidden="1" x14ac:dyDescent="0.3">
      <c r="A117" t="s">
        <v>748</v>
      </c>
      <c r="B117" s="46">
        <v>45303</v>
      </c>
      <c r="C117" s="45">
        <v>300000</v>
      </c>
      <c r="D117" t="s">
        <v>783</v>
      </c>
      <c r="E117" s="46">
        <v>45337</v>
      </c>
      <c r="F117" s="45" t="s">
        <v>721</v>
      </c>
      <c r="I117" t="s">
        <v>784</v>
      </c>
    </row>
    <row r="118" spans="1:9" hidden="1" x14ac:dyDescent="0.3">
      <c r="A118" t="s">
        <v>748</v>
      </c>
      <c r="B118" s="46">
        <v>45308</v>
      </c>
      <c r="C118" s="45">
        <v>300000</v>
      </c>
      <c r="D118" t="s">
        <v>783</v>
      </c>
      <c r="E118" s="46">
        <v>45337</v>
      </c>
      <c r="F118" s="45" t="s">
        <v>721</v>
      </c>
      <c r="I118" t="s">
        <v>784</v>
      </c>
    </row>
    <row r="119" spans="1:9" hidden="1" x14ac:dyDescent="0.3">
      <c r="A119" t="s">
        <v>748</v>
      </c>
      <c r="B119" s="46">
        <v>45310</v>
      </c>
      <c r="C119" s="45">
        <v>300000</v>
      </c>
      <c r="D119" t="s">
        <v>783</v>
      </c>
      <c r="E119" s="46">
        <v>45337</v>
      </c>
      <c r="F119" s="45" t="s">
        <v>721</v>
      </c>
      <c r="I119" t="s">
        <v>784</v>
      </c>
    </row>
    <row r="120" spans="1:9" hidden="1" x14ac:dyDescent="0.3">
      <c r="A120" t="s">
        <v>748</v>
      </c>
      <c r="B120" s="46">
        <v>45324</v>
      </c>
      <c r="C120" s="45">
        <v>300000</v>
      </c>
      <c r="D120" t="s">
        <v>783</v>
      </c>
      <c r="E120" s="46">
        <v>45366</v>
      </c>
      <c r="F120" s="45" t="s">
        <v>721</v>
      </c>
      <c r="I120" t="s">
        <v>784</v>
      </c>
    </row>
    <row r="121" spans="1:9" hidden="1" x14ac:dyDescent="0.3">
      <c r="A121" t="s">
        <v>748</v>
      </c>
      <c r="B121" s="46">
        <v>45329</v>
      </c>
      <c r="C121" s="45">
        <v>300000</v>
      </c>
      <c r="D121" t="s">
        <v>783</v>
      </c>
      <c r="E121" s="46">
        <v>45366</v>
      </c>
      <c r="F121" s="45" t="s">
        <v>721</v>
      </c>
      <c r="I121" t="s">
        <v>784</v>
      </c>
    </row>
    <row r="122" spans="1:9" hidden="1" x14ac:dyDescent="0.3">
      <c r="A122" t="s">
        <v>748</v>
      </c>
      <c r="B122" s="46">
        <v>45330</v>
      </c>
      <c r="C122" s="45">
        <v>300000</v>
      </c>
      <c r="D122" t="s">
        <v>783</v>
      </c>
      <c r="E122" s="46">
        <v>45366</v>
      </c>
      <c r="F122" s="45" t="s">
        <v>721</v>
      </c>
      <c r="I122" t="s">
        <v>784</v>
      </c>
    </row>
    <row r="123" spans="1:9" hidden="1" x14ac:dyDescent="0.3">
      <c r="A123" t="s">
        <v>748</v>
      </c>
      <c r="B123" s="46">
        <v>45336</v>
      </c>
      <c r="C123" s="45">
        <v>300000</v>
      </c>
      <c r="D123" t="s">
        <v>783</v>
      </c>
      <c r="E123" s="46">
        <v>45366</v>
      </c>
      <c r="F123" s="45" t="s">
        <v>721</v>
      </c>
      <c r="I123" t="s">
        <v>784</v>
      </c>
    </row>
    <row r="124" spans="1:9" hidden="1" x14ac:dyDescent="0.3">
      <c r="A124" t="s">
        <v>748</v>
      </c>
      <c r="B124" s="46">
        <v>45343</v>
      </c>
      <c r="C124" s="45">
        <v>300000</v>
      </c>
      <c r="D124" t="s">
        <v>783</v>
      </c>
      <c r="E124" s="46">
        <v>45366</v>
      </c>
      <c r="F124" s="45" t="s">
        <v>721</v>
      </c>
      <c r="I124" t="s">
        <v>784</v>
      </c>
    </row>
    <row r="125" spans="1:9" hidden="1" x14ac:dyDescent="0.3">
      <c r="A125" t="s">
        <v>748</v>
      </c>
      <c r="B125" s="46">
        <v>45345</v>
      </c>
      <c r="C125" s="45">
        <v>300000</v>
      </c>
      <c r="D125" t="s">
        <v>783</v>
      </c>
      <c r="E125" s="46">
        <v>45366</v>
      </c>
      <c r="F125" s="45" t="s">
        <v>721</v>
      </c>
      <c r="I125" t="s">
        <v>784</v>
      </c>
    </row>
    <row r="126" spans="1:9" hidden="1" x14ac:dyDescent="0.3">
      <c r="A126" t="s">
        <v>734</v>
      </c>
      <c r="B126" s="46">
        <v>45338</v>
      </c>
      <c r="C126" s="45">
        <v>300000</v>
      </c>
      <c r="D126" t="s">
        <v>785</v>
      </c>
      <c r="E126" s="46">
        <v>45366</v>
      </c>
      <c r="F126" s="45" t="s">
        <v>721</v>
      </c>
      <c r="I126" t="s">
        <v>726</v>
      </c>
    </row>
    <row r="127" spans="1:9" hidden="1" x14ac:dyDescent="0.3">
      <c r="A127" t="s">
        <v>734</v>
      </c>
      <c r="B127" s="46">
        <v>45351</v>
      </c>
      <c r="C127" s="45">
        <v>300000</v>
      </c>
      <c r="D127" t="s">
        <v>785</v>
      </c>
      <c r="E127" s="46">
        <v>45397</v>
      </c>
      <c r="F127" s="45" t="s">
        <v>721</v>
      </c>
      <c r="I127" t="s">
        <v>726</v>
      </c>
    </row>
    <row r="128" spans="1:9" hidden="1" x14ac:dyDescent="0.3">
      <c r="A128" t="s">
        <v>734</v>
      </c>
      <c r="B128" s="46">
        <v>45370</v>
      </c>
      <c r="C128" s="45">
        <v>300000</v>
      </c>
      <c r="D128" t="s">
        <v>785</v>
      </c>
      <c r="E128" s="46">
        <v>45397</v>
      </c>
      <c r="F128" s="45" t="s">
        <v>721</v>
      </c>
      <c r="I128" t="s">
        <v>726</v>
      </c>
    </row>
    <row r="129" spans="1:9" hidden="1" x14ac:dyDescent="0.3">
      <c r="A129" t="s">
        <v>748</v>
      </c>
      <c r="B129" s="46">
        <v>45380</v>
      </c>
      <c r="C129" s="45">
        <v>300000</v>
      </c>
      <c r="D129" t="s">
        <v>783</v>
      </c>
      <c r="E129" s="46">
        <v>45397</v>
      </c>
      <c r="F129" s="45" t="s">
        <v>721</v>
      </c>
      <c r="I129" t="s">
        <v>784</v>
      </c>
    </row>
    <row r="130" spans="1:9" hidden="1" x14ac:dyDescent="0.3">
      <c r="A130" t="s">
        <v>748</v>
      </c>
      <c r="B130" s="46">
        <v>45379</v>
      </c>
      <c r="C130" s="45">
        <v>300000</v>
      </c>
      <c r="D130" t="s">
        <v>783</v>
      </c>
      <c r="E130" s="46">
        <v>45397</v>
      </c>
      <c r="F130" s="45" t="s">
        <v>721</v>
      </c>
      <c r="I130" t="s">
        <v>784</v>
      </c>
    </row>
    <row r="131" spans="1:9" hidden="1" x14ac:dyDescent="0.3">
      <c r="A131" t="s">
        <v>748</v>
      </c>
      <c r="B131" s="46">
        <v>45379</v>
      </c>
      <c r="C131" s="45">
        <v>300000</v>
      </c>
      <c r="D131" t="s">
        <v>783</v>
      </c>
      <c r="E131" s="46">
        <v>45397</v>
      </c>
      <c r="F131" s="45" t="s">
        <v>721</v>
      </c>
      <c r="I131" t="s">
        <v>784</v>
      </c>
    </row>
    <row r="132" spans="1:9" hidden="1" x14ac:dyDescent="0.3">
      <c r="A132" t="s">
        <v>748</v>
      </c>
      <c r="B132" s="46">
        <v>45366</v>
      </c>
      <c r="C132" s="45">
        <v>300000</v>
      </c>
      <c r="D132" t="s">
        <v>783</v>
      </c>
      <c r="E132" s="46">
        <v>45397</v>
      </c>
      <c r="F132" s="45" t="s">
        <v>721</v>
      </c>
      <c r="I132" t="s">
        <v>784</v>
      </c>
    </row>
    <row r="133" spans="1:9" hidden="1" x14ac:dyDescent="0.3">
      <c r="A133" t="s">
        <v>748</v>
      </c>
      <c r="B133" s="46">
        <v>45372</v>
      </c>
      <c r="C133" s="45">
        <v>300000</v>
      </c>
      <c r="D133" t="s">
        <v>786</v>
      </c>
      <c r="E133" s="46">
        <v>45397</v>
      </c>
      <c r="F133" s="45" t="s">
        <v>721</v>
      </c>
      <c r="I133" t="s">
        <v>787</v>
      </c>
    </row>
    <row r="134" spans="1:9" hidden="1" x14ac:dyDescent="0.3">
      <c r="A134" t="s">
        <v>748</v>
      </c>
      <c r="B134" s="46">
        <v>45371</v>
      </c>
      <c r="C134" s="45">
        <v>300000</v>
      </c>
      <c r="D134" t="s">
        <v>783</v>
      </c>
      <c r="E134" s="46">
        <v>45397</v>
      </c>
      <c r="F134" s="45" t="s">
        <v>721</v>
      </c>
      <c r="I134" t="s">
        <v>784</v>
      </c>
    </row>
    <row r="135" spans="1:9" hidden="1" x14ac:dyDescent="0.3">
      <c r="A135" t="s">
        <v>748</v>
      </c>
      <c r="B135" s="46">
        <v>45373</v>
      </c>
      <c r="C135" s="45">
        <v>300000</v>
      </c>
      <c r="D135" t="s">
        <v>783</v>
      </c>
      <c r="E135" s="46">
        <v>45397</v>
      </c>
      <c r="F135" s="45" t="s">
        <v>721</v>
      </c>
      <c r="I135" t="s">
        <v>784</v>
      </c>
    </row>
    <row r="136" spans="1:9" hidden="1" x14ac:dyDescent="0.3">
      <c r="A136" t="s">
        <v>748</v>
      </c>
      <c r="B136" s="46">
        <v>45351</v>
      </c>
      <c r="C136" s="45">
        <v>300000</v>
      </c>
      <c r="D136" t="s">
        <v>783</v>
      </c>
      <c r="E136" s="46">
        <v>45397</v>
      </c>
      <c r="F136" s="45" t="s">
        <v>721</v>
      </c>
      <c r="I136" t="s">
        <v>784</v>
      </c>
    </row>
    <row r="137" spans="1:9" hidden="1" x14ac:dyDescent="0.3">
      <c r="A137" t="s">
        <v>748</v>
      </c>
      <c r="B137" s="46">
        <v>45351</v>
      </c>
      <c r="C137" s="45">
        <v>300000</v>
      </c>
      <c r="D137" t="s">
        <v>783</v>
      </c>
      <c r="E137" s="46">
        <v>45397</v>
      </c>
      <c r="F137" s="45" t="s">
        <v>721</v>
      </c>
      <c r="I137" t="s">
        <v>784</v>
      </c>
    </row>
    <row r="138" spans="1:9" hidden="1" x14ac:dyDescent="0.3">
      <c r="A138" t="s">
        <v>748</v>
      </c>
      <c r="B138" s="46">
        <v>45356</v>
      </c>
      <c r="C138" s="45">
        <v>300000</v>
      </c>
      <c r="D138" t="s">
        <v>783</v>
      </c>
      <c r="E138" s="46">
        <v>45397</v>
      </c>
      <c r="F138" s="45" t="s">
        <v>721</v>
      </c>
      <c r="I138" t="s">
        <v>784</v>
      </c>
    </row>
    <row r="139" spans="1:9" hidden="1" x14ac:dyDescent="0.3">
      <c r="A139" t="s">
        <v>748</v>
      </c>
      <c r="B139" s="46">
        <v>45356</v>
      </c>
      <c r="C139" s="45">
        <v>300000</v>
      </c>
      <c r="D139" t="s">
        <v>783</v>
      </c>
      <c r="E139" s="46">
        <v>45397</v>
      </c>
      <c r="F139" s="45" t="s">
        <v>721</v>
      </c>
      <c r="I139" t="s">
        <v>784</v>
      </c>
    </row>
    <row r="140" spans="1:9" hidden="1" x14ac:dyDescent="0.3">
      <c r="A140" t="s">
        <v>748</v>
      </c>
      <c r="B140" s="46">
        <v>45356</v>
      </c>
      <c r="C140" s="45">
        <v>300000</v>
      </c>
      <c r="D140" t="s">
        <v>783</v>
      </c>
      <c r="E140" s="46">
        <v>45397</v>
      </c>
      <c r="F140" s="45" t="s">
        <v>721</v>
      </c>
      <c r="I140" t="s">
        <v>784</v>
      </c>
    </row>
    <row r="141" spans="1:9" hidden="1" x14ac:dyDescent="0.3">
      <c r="A141" t="s">
        <v>748</v>
      </c>
      <c r="B141" s="46">
        <v>45362</v>
      </c>
      <c r="C141" s="45">
        <v>300000</v>
      </c>
      <c r="D141" t="s">
        <v>783</v>
      </c>
      <c r="E141" s="46">
        <v>45397</v>
      </c>
      <c r="F141" s="45" t="s">
        <v>721</v>
      </c>
      <c r="I141" t="s">
        <v>784</v>
      </c>
    </row>
    <row r="142" spans="1:9" hidden="1" x14ac:dyDescent="0.3">
      <c r="A142" t="s">
        <v>748</v>
      </c>
      <c r="B142" s="46">
        <v>45364</v>
      </c>
      <c r="C142" s="45">
        <v>300000</v>
      </c>
      <c r="D142" t="s">
        <v>783</v>
      </c>
      <c r="E142" s="46">
        <v>45397</v>
      </c>
      <c r="F142" s="45" t="s">
        <v>721</v>
      </c>
      <c r="I142" t="s">
        <v>784</v>
      </c>
    </row>
    <row r="143" spans="1:9" hidden="1" x14ac:dyDescent="0.3">
      <c r="A143" t="s">
        <v>748</v>
      </c>
      <c r="B143" s="46">
        <v>45364</v>
      </c>
      <c r="C143" s="45">
        <v>300000</v>
      </c>
      <c r="D143" t="s">
        <v>783</v>
      </c>
      <c r="E143" s="46">
        <v>45397</v>
      </c>
      <c r="F143" s="45" t="s">
        <v>721</v>
      </c>
      <c r="I143" t="s">
        <v>784</v>
      </c>
    </row>
    <row r="144" spans="1:9" hidden="1" x14ac:dyDescent="0.3">
      <c r="A144" t="s">
        <v>748</v>
      </c>
      <c r="B144" s="46">
        <v>45364</v>
      </c>
      <c r="C144" s="45">
        <v>300000</v>
      </c>
      <c r="D144" t="s">
        <v>783</v>
      </c>
      <c r="E144" s="46">
        <v>45397</v>
      </c>
      <c r="F144" s="45" t="s">
        <v>721</v>
      </c>
      <c r="I144" t="s">
        <v>784</v>
      </c>
    </row>
    <row r="145" spans="1:9" hidden="1" x14ac:dyDescent="0.3">
      <c r="A145" t="s">
        <v>803</v>
      </c>
      <c r="B145" s="46">
        <v>45396</v>
      </c>
      <c r="C145" s="45">
        <v>300000</v>
      </c>
      <c r="D145" t="s">
        <v>2029</v>
      </c>
      <c r="E145" s="46">
        <v>45428</v>
      </c>
      <c r="F145" s="45" t="s">
        <v>721</v>
      </c>
      <c r="G145">
        <v>0</v>
      </c>
      <c r="I145" t="s">
        <v>726</v>
      </c>
    </row>
    <row r="146" spans="1:9" hidden="1" x14ac:dyDescent="0.3">
      <c r="A146" t="s">
        <v>748</v>
      </c>
      <c r="B146" s="46">
        <v>45385</v>
      </c>
      <c r="C146" s="45">
        <v>300000</v>
      </c>
      <c r="D146" t="s">
        <v>783</v>
      </c>
      <c r="E146" s="46">
        <v>45428</v>
      </c>
      <c r="F146" s="45" t="s">
        <v>721</v>
      </c>
      <c r="I146" t="s">
        <v>784</v>
      </c>
    </row>
    <row r="147" spans="1:9" hidden="1" x14ac:dyDescent="0.3">
      <c r="A147" t="s">
        <v>748</v>
      </c>
      <c r="B147" s="46">
        <v>45385</v>
      </c>
      <c r="C147" s="45">
        <v>300000</v>
      </c>
      <c r="D147" t="s">
        <v>783</v>
      </c>
      <c r="E147" s="46">
        <v>45428</v>
      </c>
      <c r="F147" s="45" t="s">
        <v>721</v>
      </c>
      <c r="I147" t="s">
        <v>784</v>
      </c>
    </row>
    <row r="148" spans="1:9" hidden="1" x14ac:dyDescent="0.3">
      <c r="A148" t="s">
        <v>748</v>
      </c>
      <c r="B148" s="46">
        <v>45385</v>
      </c>
      <c r="C148" s="45">
        <v>300000</v>
      </c>
      <c r="D148" t="s">
        <v>783</v>
      </c>
      <c r="E148" s="46">
        <v>45428</v>
      </c>
      <c r="F148" s="45" t="s">
        <v>721</v>
      </c>
      <c r="I148" t="s">
        <v>784</v>
      </c>
    </row>
    <row r="149" spans="1:9" hidden="1" x14ac:dyDescent="0.3">
      <c r="A149" t="s">
        <v>748</v>
      </c>
      <c r="B149" s="46">
        <v>45387</v>
      </c>
      <c r="C149" s="45">
        <v>300000</v>
      </c>
      <c r="D149" t="s">
        <v>783</v>
      </c>
      <c r="E149" s="46">
        <v>45428</v>
      </c>
      <c r="F149" s="45" t="s">
        <v>721</v>
      </c>
      <c r="I149" t="s">
        <v>784</v>
      </c>
    </row>
    <row r="150" spans="1:9" hidden="1" x14ac:dyDescent="0.3">
      <c r="A150" t="s">
        <v>748</v>
      </c>
      <c r="B150" s="46">
        <v>45393</v>
      </c>
      <c r="C150" s="45">
        <v>300000</v>
      </c>
      <c r="D150" t="s">
        <v>783</v>
      </c>
      <c r="E150" s="46">
        <v>45428</v>
      </c>
      <c r="F150" s="45" t="s">
        <v>721</v>
      </c>
      <c r="I150" t="s">
        <v>784</v>
      </c>
    </row>
    <row r="151" spans="1:9" hidden="1" x14ac:dyDescent="0.3">
      <c r="A151" t="s">
        <v>748</v>
      </c>
      <c r="B151" s="46">
        <v>45393</v>
      </c>
      <c r="C151" s="45">
        <v>300000</v>
      </c>
      <c r="D151" t="s">
        <v>783</v>
      </c>
      <c r="E151" s="46">
        <v>45428</v>
      </c>
      <c r="F151" s="45" t="s">
        <v>721</v>
      </c>
      <c r="I151" t="s">
        <v>784</v>
      </c>
    </row>
    <row r="152" spans="1:9" hidden="1" x14ac:dyDescent="0.3">
      <c r="A152" t="s">
        <v>748</v>
      </c>
      <c r="B152" s="46">
        <v>45393</v>
      </c>
      <c r="C152" s="45">
        <v>300000</v>
      </c>
      <c r="D152" t="s">
        <v>783</v>
      </c>
      <c r="E152" s="46">
        <v>45428</v>
      </c>
      <c r="F152" s="45" t="s">
        <v>721</v>
      </c>
      <c r="I152" t="s">
        <v>784</v>
      </c>
    </row>
    <row r="153" spans="1:9" hidden="1" x14ac:dyDescent="0.3">
      <c r="A153" t="s">
        <v>748</v>
      </c>
      <c r="B153" s="46">
        <v>45394</v>
      </c>
      <c r="C153" s="45">
        <v>300000</v>
      </c>
      <c r="D153" t="s">
        <v>783</v>
      </c>
      <c r="E153" s="46">
        <v>45428</v>
      </c>
      <c r="F153" s="45" t="s">
        <v>721</v>
      </c>
      <c r="I153" t="s">
        <v>784</v>
      </c>
    </row>
    <row r="154" spans="1:9" hidden="1" x14ac:dyDescent="0.3">
      <c r="A154" t="s">
        <v>748</v>
      </c>
      <c r="B154" s="46">
        <v>45394</v>
      </c>
      <c r="C154" s="45">
        <v>300000</v>
      </c>
      <c r="D154" t="s">
        <v>783</v>
      </c>
      <c r="E154" s="46">
        <v>45428</v>
      </c>
      <c r="F154" s="45" t="s">
        <v>721</v>
      </c>
      <c r="I154" t="s">
        <v>784</v>
      </c>
    </row>
    <row r="155" spans="1:9" hidden="1" x14ac:dyDescent="0.3">
      <c r="A155" t="s">
        <v>734</v>
      </c>
      <c r="B155" s="46">
        <v>45385</v>
      </c>
      <c r="C155" s="45">
        <v>300000</v>
      </c>
      <c r="D155" t="s">
        <v>785</v>
      </c>
      <c r="E155" s="46">
        <v>45428</v>
      </c>
      <c r="F155" s="45" t="s">
        <v>721</v>
      </c>
      <c r="I155" t="s">
        <v>726</v>
      </c>
    </row>
    <row r="156" spans="1:9" hidden="1" x14ac:dyDescent="0.3">
      <c r="A156" t="s">
        <v>734</v>
      </c>
      <c r="B156" s="46">
        <v>45398</v>
      </c>
      <c r="C156" s="45">
        <v>300000</v>
      </c>
      <c r="D156" t="s">
        <v>785</v>
      </c>
      <c r="E156" s="46">
        <v>45428</v>
      </c>
      <c r="F156" s="45" t="s">
        <v>721</v>
      </c>
      <c r="I156" t="s">
        <v>726</v>
      </c>
    </row>
    <row r="157" spans="1:9" hidden="1" x14ac:dyDescent="0.3">
      <c r="A157" t="s">
        <v>748</v>
      </c>
      <c r="B157" s="46">
        <v>45406</v>
      </c>
      <c r="C157" s="45">
        <v>300000</v>
      </c>
      <c r="D157" t="s">
        <v>783</v>
      </c>
      <c r="E157" s="46">
        <v>45428</v>
      </c>
      <c r="F157" s="45" t="s">
        <v>721</v>
      </c>
      <c r="I157" t="s">
        <v>784</v>
      </c>
    </row>
    <row r="158" spans="1:9" hidden="1" x14ac:dyDescent="0.3">
      <c r="A158" t="s">
        <v>748</v>
      </c>
      <c r="B158" s="46">
        <v>45406</v>
      </c>
      <c r="C158" s="45">
        <v>300000</v>
      </c>
      <c r="D158" t="s">
        <v>783</v>
      </c>
      <c r="E158" s="46">
        <v>45428</v>
      </c>
      <c r="F158" s="45" t="s">
        <v>721</v>
      </c>
      <c r="I158" t="s">
        <v>784</v>
      </c>
    </row>
    <row r="159" spans="1:9" hidden="1" x14ac:dyDescent="0.3">
      <c r="A159" t="s">
        <v>748</v>
      </c>
      <c r="B159" s="46">
        <v>45406</v>
      </c>
      <c r="C159" s="45">
        <v>300000</v>
      </c>
      <c r="D159" t="s">
        <v>783</v>
      </c>
      <c r="E159" s="46">
        <v>45428</v>
      </c>
      <c r="F159" s="45" t="s">
        <v>721</v>
      </c>
      <c r="I159" t="s">
        <v>784</v>
      </c>
    </row>
    <row r="160" spans="1:9" hidden="1" x14ac:dyDescent="0.3">
      <c r="A160" t="s">
        <v>748</v>
      </c>
      <c r="B160" s="46">
        <v>45406</v>
      </c>
      <c r="C160" s="45">
        <v>300000</v>
      </c>
      <c r="D160" t="s">
        <v>783</v>
      </c>
      <c r="E160" s="46">
        <v>45428</v>
      </c>
      <c r="F160" s="45" t="s">
        <v>721</v>
      </c>
      <c r="I160" t="s">
        <v>784</v>
      </c>
    </row>
    <row r="161" spans="1:9" hidden="1" x14ac:dyDescent="0.3">
      <c r="A161" t="s">
        <v>748</v>
      </c>
      <c r="B161" s="46">
        <v>45399</v>
      </c>
      <c r="C161" s="45">
        <v>300000</v>
      </c>
      <c r="D161" t="s">
        <v>783</v>
      </c>
      <c r="E161" s="46">
        <v>45428</v>
      </c>
      <c r="F161" s="45" t="s">
        <v>721</v>
      </c>
      <c r="I161" t="s">
        <v>784</v>
      </c>
    </row>
    <row r="162" spans="1:9" hidden="1" x14ac:dyDescent="0.3">
      <c r="A162" t="s">
        <v>748</v>
      </c>
      <c r="B162" s="46">
        <v>45401</v>
      </c>
      <c r="C162" s="45">
        <v>300000</v>
      </c>
      <c r="D162" t="s">
        <v>783</v>
      </c>
      <c r="E162" s="46">
        <v>45428</v>
      </c>
      <c r="F162" s="45" t="s">
        <v>721</v>
      </c>
      <c r="I162" t="s">
        <v>784</v>
      </c>
    </row>
    <row r="163" spans="1:9" hidden="1" x14ac:dyDescent="0.3">
      <c r="A163" t="s">
        <v>748</v>
      </c>
      <c r="B163" s="46">
        <v>45408</v>
      </c>
      <c r="C163" s="45">
        <v>300000</v>
      </c>
      <c r="D163" t="s">
        <v>783</v>
      </c>
      <c r="E163" s="46">
        <v>45428</v>
      </c>
      <c r="F163" s="45" t="s">
        <v>721</v>
      </c>
      <c r="I163" t="s">
        <v>784</v>
      </c>
    </row>
    <row r="164" spans="1:9" hidden="1" x14ac:dyDescent="0.3">
      <c r="A164" t="s">
        <v>734</v>
      </c>
      <c r="B164" s="46">
        <v>45429</v>
      </c>
      <c r="C164" s="45">
        <v>300000</v>
      </c>
      <c r="D164" t="s">
        <v>2030</v>
      </c>
      <c r="E164" s="46">
        <v>45458</v>
      </c>
      <c r="F164" s="45" t="s">
        <v>721</v>
      </c>
      <c r="I164" t="s">
        <v>726</v>
      </c>
    </row>
    <row r="165" spans="1:9" hidden="1" x14ac:dyDescent="0.3">
      <c r="A165" t="s">
        <v>748</v>
      </c>
      <c r="B165" s="46">
        <v>45414</v>
      </c>
      <c r="C165" s="45">
        <v>300000</v>
      </c>
      <c r="D165" t="s">
        <v>783</v>
      </c>
      <c r="E165" s="46">
        <v>45458</v>
      </c>
      <c r="F165" s="45" t="s">
        <v>721</v>
      </c>
      <c r="I165" t="s">
        <v>784</v>
      </c>
    </row>
    <row r="166" spans="1:9" hidden="1" x14ac:dyDescent="0.3">
      <c r="A166" t="s">
        <v>748</v>
      </c>
      <c r="B166" s="46">
        <v>45415</v>
      </c>
      <c r="C166" s="45">
        <v>300000</v>
      </c>
      <c r="D166" t="s">
        <v>783</v>
      </c>
      <c r="E166" s="46">
        <v>45458</v>
      </c>
      <c r="F166" s="45" t="s">
        <v>721</v>
      </c>
      <c r="I166" t="s">
        <v>784</v>
      </c>
    </row>
    <row r="167" spans="1:9" hidden="1" x14ac:dyDescent="0.3">
      <c r="A167" t="s">
        <v>748</v>
      </c>
      <c r="B167" s="46">
        <v>45420</v>
      </c>
      <c r="C167" s="45">
        <v>300000</v>
      </c>
      <c r="D167" t="s">
        <v>783</v>
      </c>
      <c r="E167" s="46">
        <v>45458</v>
      </c>
      <c r="F167" s="45" t="s">
        <v>721</v>
      </c>
      <c r="I167" t="s">
        <v>784</v>
      </c>
    </row>
    <row r="168" spans="1:9" hidden="1" x14ac:dyDescent="0.3">
      <c r="A168" t="s">
        <v>748</v>
      </c>
      <c r="B168" s="46">
        <v>45422</v>
      </c>
      <c r="C168" s="45">
        <v>300000</v>
      </c>
      <c r="D168" t="s">
        <v>786</v>
      </c>
      <c r="E168" s="46">
        <v>45458</v>
      </c>
      <c r="F168" s="45" t="s">
        <v>721</v>
      </c>
      <c r="I168" t="s">
        <v>787</v>
      </c>
    </row>
    <row r="169" spans="1:9" hidden="1" x14ac:dyDescent="0.3">
      <c r="A169" t="s">
        <v>748</v>
      </c>
      <c r="B169" s="46">
        <v>45426</v>
      </c>
      <c r="C169" s="45">
        <v>300000</v>
      </c>
      <c r="D169" t="s">
        <v>783</v>
      </c>
      <c r="E169" s="46">
        <v>45458</v>
      </c>
      <c r="F169" s="45" t="s">
        <v>721</v>
      </c>
      <c r="I169" t="s">
        <v>784</v>
      </c>
    </row>
    <row r="170" spans="1:9" hidden="1" x14ac:dyDescent="0.3">
      <c r="A170" t="s">
        <v>748</v>
      </c>
      <c r="B170" s="46">
        <v>45426</v>
      </c>
      <c r="C170" s="45">
        <v>300000</v>
      </c>
      <c r="D170" t="s">
        <v>783</v>
      </c>
      <c r="E170" s="46">
        <v>45458</v>
      </c>
      <c r="F170" s="45" t="s">
        <v>721</v>
      </c>
      <c r="I170" t="s">
        <v>784</v>
      </c>
    </row>
    <row r="171" spans="1:9" hidden="1" x14ac:dyDescent="0.3">
      <c r="A171" t="s">
        <v>748</v>
      </c>
      <c r="B171" s="46">
        <v>45429</v>
      </c>
      <c r="C171" s="45">
        <v>300000</v>
      </c>
      <c r="D171" t="s">
        <v>783</v>
      </c>
      <c r="E171" s="46">
        <v>45458</v>
      </c>
      <c r="F171" s="45" t="s">
        <v>721</v>
      </c>
      <c r="I171" t="s">
        <v>784</v>
      </c>
    </row>
    <row r="172" spans="1:9" hidden="1" x14ac:dyDescent="0.3">
      <c r="A172" t="s">
        <v>748</v>
      </c>
      <c r="B172" s="46">
        <v>45433</v>
      </c>
      <c r="C172" s="45">
        <v>300000</v>
      </c>
      <c r="D172" t="s">
        <v>783</v>
      </c>
      <c r="E172" s="46">
        <v>45458</v>
      </c>
      <c r="F172" s="45" t="s">
        <v>721</v>
      </c>
      <c r="I172" t="s">
        <v>784</v>
      </c>
    </row>
    <row r="173" spans="1:9" hidden="1" x14ac:dyDescent="0.3">
      <c r="A173" t="s">
        <v>748</v>
      </c>
      <c r="B173" s="46">
        <v>45441</v>
      </c>
      <c r="C173" s="45">
        <v>300000</v>
      </c>
      <c r="D173" t="s">
        <v>783</v>
      </c>
      <c r="E173" s="46">
        <v>45458</v>
      </c>
      <c r="F173" s="45" t="s">
        <v>721</v>
      </c>
      <c r="I173" t="s">
        <v>784</v>
      </c>
    </row>
    <row r="174" spans="1:9" hidden="1" x14ac:dyDescent="0.3">
      <c r="A174" t="s">
        <v>748</v>
      </c>
      <c r="B174" s="46">
        <v>45441</v>
      </c>
      <c r="C174" s="45">
        <v>300000</v>
      </c>
      <c r="D174" t="s">
        <v>783</v>
      </c>
      <c r="E174" s="46">
        <v>45458</v>
      </c>
      <c r="F174" s="45" t="s">
        <v>721</v>
      </c>
      <c r="I174" t="s">
        <v>784</v>
      </c>
    </row>
    <row r="175" spans="1:9" hidden="1" x14ac:dyDescent="0.3">
      <c r="A175" t="s">
        <v>748</v>
      </c>
      <c r="B175" s="46">
        <v>45443</v>
      </c>
      <c r="C175" s="45">
        <v>300000</v>
      </c>
      <c r="D175" t="s">
        <v>783</v>
      </c>
      <c r="E175" s="46">
        <v>45458</v>
      </c>
      <c r="F175" s="45" t="s">
        <v>721</v>
      </c>
      <c r="I175" t="s">
        <v>784</v>
      </c>
    </row>
    <row r="176" spans="1:9" hidden="1" x14ac:dyDescent="0.3">
      <c r="A176" t="s">
        <v>748</v>
      </c>
      <c r="B176" s="46">
        <v>45259</v>
      </c>
      <c r="C176" s="45">
        <v>300000</v>
      </c>
      <c r="D176" t="s">
        <v>783</v>
      </c>
      <c r="E176" s="46">
        <v>45275</v>
      </c>
      <c r="F176" s="45" t="s">
        <v>721</v>
      </c>
      <c r="I176" t="s">
        <v>784</v>
      </c>
    </row>
    <row r="177" spans="1:9" hidden="1" x14ac:dyDescent="0.3">
      <c r="A177" t="s">
        <v>748</v>
      </c>
      <c r="B177" s="46">
        <v>45245</v>
      </c>
      <c r="C177" s="45">
        <v>300000</v>
      </c>
      <c r="D177" t="s">
        <v>783</v>
      </c>
      <c r="E177" s="46">
        <v>45275</v>
      </c>
      <c r="F177" s="45" t="s">
        <v>721</v>
      </c>
      <c r="I177" t="s">
        <v>784</v>
      </c>
    </row>
    <row r="178" spans="1:9" hidden="1" x14ac:dyDescent="0.3">
      <c r="A178" t="s">
        <v>748</v>
      </c>
      <c r="B178" s="46">
        <v>45245</v>
      </c>
      <c r="C178" s="45">
        <v>300000</v>
      </c>
      <c r="D178" t="s">
        <v>783</v>
      </c>
      <c r="E178" s="46">
        <v>45275</v>
      </c>
      <c r="F178" s="45" t="s">
        <v>721</v>
      </c>
      <c r="I178" t="s">
        <v>784</v>
      </c>
    </row>
    <row r="179" spans="1:9" hidden="1" x14ac:dyDescent="0.3">
      <c r="A179" t="s">
        <v>748</v>
      </c>
      <c r="B179" s="46">
        <v>45247</v>
      </c>
      <c r="C179" s="45">
        <v>300000</v>
      </c>
      <c r="D179" t="s">
        <v>783</v>
      </c>
      <c r="E179" s="46">
        <v>45275</v>
      </c>
      <c r="F179" s="45" t="s">
        <v>721</v>
      </c>
      <c r="I179" t="s">
        <v>784</v>
      </c>
    </row>
    <row r="180" spans="1:9" hidden="1" x14ac:dyDescent="0.3">
      <c r="A180" t="s">
        <v>748</v>
      </c>
      <c r="B180" s="46">
        <v>45252</v>
      </c>
      <c r="C180" s="45">
        <v>300000</v>
      </c>
      <c r="D180" t="s">
        <v>783</v>
      </c>
      <c r="E180" s="46">
        <v>45275</v>
      </c>
      <c r="F180" s="45" t="s">
        <v>721</v>
      </c>
      <c r="I180" t="s">
        <v>784</v>
      </c>
    </row>
    <row r="181" spans="1:9" hidden="1" x14ac:dyDescent="0.3">
      <c r="A181" t="s">
        <v>748</v>
      </c>
      <c r="B181" s="46">
        <v>45254</v>
      </c>
      <c r="C181" s="45">
        <v>300000</v>
      </c>
      <c r="D181" t="s">
        <v>783</v>
      </c>
      <c r="E181" s="46">
        <v>45275</v>
      </c>
      <c r="F181" s="45" t="s">
        <v>721</v>
      </c>
      <c r="I181" t="s">
        <v>784</v>
      </c>
    </row>
    <row r="182" spans="1:9" hidden="1" x14ac:dyDescent="0.3">
      <c r="A182" t="s">
        <v>748</v>
      </c>
      <c r="B182" s="46">
        <v>45258</v>
      </c>
      <c r="C182" s="45">
        <v>300000</v>
      </c>
      <c r="D182" t="s">
        <v>786</v>
      </c>
      <c r="E182" s="46">
        <v>45275</v>
      </c>
      <c r="F182" s="45" t="s">
        <v>721</v>
      </c>
      <c r="I182" t="s">
        <v>787</v>
      </c>
    </row>
    <row r="183" spans="1:9" hidden="1" x14ac:dyDescent="0.3">
      <c r="A183" t="s">
        <v>748</v>
      </c>
      <c r="B183" s="46">
        <v>45233</v>
      </c>
      <c r="C183" s="45">
        <v>300000</v>
      </c>
      <c r="D183" t="s">
        <v>783</v>
      </c>
      <c r="E183" s="46">
        <v>45275</v>
      </c>
      <c r="F183" s="45" t="s">
        <v>721</v>
      </c>
      <c r="I183" t="s">
        <v>784</v>
      </c>
    </row>
    <row r="184" spans="1:9" hidden="1" x14ac:dyDescent="0.3">
      <c r="A184" t="s">
        <v>748</v>
      </c>
      <c r="B184" s="46">
        <v>45238</v>
      </c>
      <c r="C184" s="45">
        <v>300000</v>
      </c>
      <c r="D184" t="s">
        <v>783</v>
      </c>
      <c r="E184" s="46">
        <v>45275</v>
      </c>
      <c r="F184" s="45" t="s">
        <v>721</v>
      </c>
      <c r="I184" t="s">
        <v>784</v>
      </c>
    </row>
    <row r="185" spans="1:9" hidden="1" x14ac:dyDescent="0.3">
      <c r="A185" t="s">
        <v>748</v>
      </c>
      <c r="B185" s="46">
        <v>45238</v>
      </c>
      <c r="C185" s="45">
        <v>300000</v>
      </c>
      <c r="D185" t="s">
        <v>783</v>
      </c>
      <c r="E185" s="46">
        <v>45275</v>
      </c>
      <c r="F185" s="45" t="s">
        <v>721</v>
      </c>
      <c r="I185" t="s">
        <v>784</v>
      </c>
    </row>
    <row r="186" spans="1:9" hidden="1" x14ac:dyDescent="0.3">
      <c r="A186" t="s">
        <v>748</v>
      </c>
      <c r="B186" s="46">
        <v>45240</v>
      </c>
      <c r="C186" s="45">
        <v>300000</v>
      </c>
      <c r="D186" t="s">
        <v>783</v>
      </c>
      <c r="E186" s="46">
        <v>45275</v>
      </c>
      <c r="F186" s="45" t="s">
        <v>721</v>
      </c>
      <c r="I186" t="s">
        <v>784</v>
      </c>
    </row>
    <row r="187" spans="1:9" hidden="1" x14ac:dyDescent="0.3">
      <c r="A187" t="s">
        <v>748</v>
      </c>
      <c r="B187" s="46">
        <v>45231</v>
      </c>
      <c r="C187" s="45">
        <v>300000</v>
      </c>
      <c r="D187" t="s">
        <v>783</v>
      </c>
      <c r="E187" s="46">
        <v>45275</v>
      </c>
      <c r="F187" s="45" t="s">
        <v>721</v>
      </c>
      <c r="I187" t="s">
        <v>784</v>
      </c>
    </row>
    <row r="188" spans="1:9" hidden="1" x14ac:dyDescent="0.3">
      <c r="A188" t="s">
        <v>734</v>
      </c>
      <c r="B188" s="46">
        <v>45245</v>
      </c>
      <c r="C188" s="45">
        <v>300000</v>
      </c>
      <c r="D188" t="s">
        <v>785</v>
      </c>
      <c r="E188" s="46">
        <v>45275</v>
      </c>
      <c r="F188" s="45" t="s">
        <v>721</v>
      </c>
      <c r="I188" t="s">
        <v>726</v>
      </c>
    </row>
    <row r="189" spans="1:9" hidden="1" x14ac:dyDescent="0.3">
      <c r="A189" t="s">
        <v>734</v>
      </c>
      <c r="B189" s="46">
        <v>45259</v>
      </c>
      <c r="C189" s="45">
        <v>300000</v>
      </c>
      <c r="D189" t="s">
        <v>785</v>
      </c>
      <c r="E189" s="46">
        <v>45275</v>
      </c>
      <c r="F189" s="45" t="s">
        <v>721</v>
      </c>
      <c r="I189" t="s">
        <v>726</v>
      </c>
    </row>
    <row r="190" spans="1:9" hidden="1" x14ac:dyDescent="0.3">
      <c r="A190" t="s">
        <v>734</v>
      </c>
      <c r="B190" s="46">
        <v>45226</v>
      </c>
      <c r="C190" s="45">
        <v>300000</v>
      </c>
      <c r="D190" t="s">
        <v>785</v>
      </c>
      <c r="E190" s="46">
        <v>45245</v>
      </c>
      <c r="F190" s="45" t="s">
        <v>721</v>
      </c>
      <c r="I190" t="s">
        <v>726</v>
      </c>
    </row>
    <row r="191" spans="1:9" hidden="1" x14ac:dyDescent="0.3">
      <c r="A191" t="s">
        <v>734</v>
      </c>
      <c r="B191" s="46">
        <v>45203</v>
      </c>
      <c r="C191" s="45">
        <v>300000</v>
      </c>
      <c r="D191" t="s">
        <v>785</v>
      </c>
      <c r="E191" s="46">
        <v>45245</v>
      </c>
      <c r="F191" s="45" t="s">
        <v>721</v>
      </c>
      <c r="I191" t="s">
        <v>726</v>
      </c>
    </row>
    <row r="192" spans="1:9" hidden="1" x14ac:dyDescent="0.3">
      <c r="A192" t="s">
        <v>772</v>
      </c>
      <c r="B192" s="46">
        <v>45232</v>
      </c>
      <c r="C192" s="45">
        <v>300000</v>
      </c>
      <c r="D192" t="s">
        <v>789</v>
      </c>
      <c r="E192" s="46">
        <v>45256</v>
      </c>
      <c r="F192" s="45" t="s">
        <v>721</v>
      </c>
      <c r="I192" t="s">
        <v>726</v>
      </c>
    </row>
    <row r="193" spans="1:9" hidden="1" x14ac:dyDescent="0.3">
      <c r="A193" t="s">
        <v>734</v>
      </c>
      <c r="B193" s="46">
        <v>45278</v>
      </c>
      <c r="C193" s="45">
        <v>300000</v>
      </c>
      <c r="D193" t="s">
        <v>785</v>
      </c>
      <c r="E193" s="46">
        <v>45306</v>
      </c>
      <c r="F193" s="45" t="s">
        <v>721</v>
      </c>
      <c r="I193" t="s">
        <v>726</v>
      </c>
    </row>
    <row r="194" spans="1:9" hidden="1" x14ac:dyDescent="0.3">
      <c r="A194" t="s">
        <v>748</v>
      </c>
      <c r="B194" s="46">
        <v>45282</v>
      </c>
      <c r="C194" s="45">
        <v>300000</v>
      </c>
      <c r="D194" t="s">
        <v>783</v>
      </c>
      <c r="E194" s="46">
        <v>45306</v>
      </c>
      <c r="F194" s="45" t="s">
        <v>721</v>
      </c>
      <c r="I194" t="s">
        <v>784</v>
      </c>
    </row>
    <row r="195" spans="1:9" hidden="1" x14ac:dyDescent="0.3">
      <c r="A195" t="s">
        <v>748</v>
      </c>
      <c r="B195" s="46">
        <v>45287</v>
      </c>
      <c r="C195" s="45">
        <v>300000</v>
      </c>
      <c r="D195" t="s">
        <v>783</v>
      </c>
      <c r="E195" s="46">
        <v>45306</v>
      </c>
      <c r="F195" s="45" t="s">
        <v>721</v>
      </c>
      <c r="I195" t="s">
        <v>784</v>
      </c>
    </row>
    <row r="196" spans="1:9" hidden="1" x14ac:dyDescent="0.3">
      <c r="A196" t="s">
        <v>748</v>
      </c>
      <c r="B196" s="46">
        <v>45273</v>
      </c>
      <c r="C196" s="45">
        <v>300000</v>
      </c>
      <c r="D196" t="s">
        <v>783</v>
      </c>
      <c r="E196" s="46">
        <v>45306</v>
      </c>
      <c r="F196" s="45" t="s">
        <v>721</v>
      </c>
      <c r="I196" t="s">
        <v>784</v>
      </c>
    </row>
    <row r="197" spans="1:9" hidden="1" x14ac:dyDescent="0.3">
      <c r="A197" t="s">
        <v>748</v>
      </c>
      <c r="B197" s="46">
        <v>45275</v>
      </c>
      <c r="C197" s="45">
        <v>300000</v>
      </c>
      <c r="D197" t="s">
        <v>783</v>
      </c>
      <c r="E197" s="46">
        <v>45306</v>
      </c>
      <c r="F197" s="45" t="s">
        <v>721</v>
      </c>
      <c r="I197" t="s">
        <v>784</v>
      </c>
    </row>
    <row r="198" spans="1:9" hidden="1" x14ac:dyDescent="0.3">
      <c r="A198" t="s">
        <v>748</v>
      </c>
      <c r="B198" s="46">
        <v>45280</v>
      </c>
      <c r="C198" s="45">
        <v>300000</v>
      </c>
      <c r="D198" t="s">
        <v>783</v>
      </c>
      <c r="E198" s="46">
        <v>45306</v>
      </c>
      <c r="F198" s="45" t="s">
        <v>721</v>
      </c>
      <c r="I198" t="s">
        <v>784</v>
      </c>
    </row>
    <row r="199" spans="1:9" hidden="1" x14ac:dyDescent="0.3">
      <c r="A199" t="s">
        <v>748</v>
      </c>
      <c r="B199" s="46">
        <v>45261</v>
      </c>
      <c r="C199" s="45">
        <v>300000</v>
      </c>
      <c r="D199" t="s">
        <v>783</v>
      </c>
      <c r="E199" s="46">
        <v>45306</v>
      </c>
      <c r="F199" s="45" t="s">
        <v>721</v>
      </c>
      <c r="I199" t="s">
        <v>784</v>
      </c>
    </row>
    <row r="200" spans="1:9" hidden="1" x14ac:dyDescent="0.3">
      <c r="A200" t="s">
        <v>748</v>
      </c>
      <c r="B200" s="46">
        <v>45266</v>
      </c>
      <c r="C200" s="45">
        <v>300000</v>
      </c>
      <c r="D200" t="s">
        <v>783</v>
      </c>
      <c r="E200" s="46">
        <v>45306</v>
      </c>
      <c r="F200" s="45" t="s">
        <v>721</v>
      </c>
      <c r="I200" t="s">
        <v>784</v>
      </c>
    </row>
    <row r="201" spans="1:9" hidden="1" x14ac:dyDescent="0.3">
      <c r="A201" t="s">
        <v>748</v>
      </c>
      <c r="B201" s="46">
        <v>45266</v>
      </c>
      <c r="C201" s="45">
        <v>300000</v>
      </c>
      <c r="D201" t="s">
        <v>783</v>
      </c>
      <c r="E201" s="46">
        <v>45306</v>
      </c>
      <c r="F201" s="45" t="s">
        <v>721</v>
      </c>
      <c r="I201" t="s">
        <v>784</v>
      </c>
    </row>
    <row r="202" spans="1:9" hidden="1" x14ac:dyDescent="0.3">
      <c r="A202" t="s">
        <v>748</v>
      </c>
      <c r="B202" s="46">
        <v>45268</v>
      </c>
      <c r="C202" s="45">
        <v>300000</v>
      </c>
      <c r="D202" t="s">
        <v>783</v>
      </c>
      <c r="E202" s="46">
        <v>45306</v>
      </c>
      <c r="F202" s="45" t="s">
        <v>721</v>
      </c>
      <c r="I202" t="s">
        <v>784</v>
      </c>
    </row>
    <row r="203" spans="1:9" hidden="1" x14ac:dyDescent="0.3">
      <c r="A203" t="s">
        <v>734</v>
      </c>
      <c r="B203" s="46">
        <v>45124</v>
      </c>
      <c r="C203" s="45">
        <v>300000</v>
      </c>
      <c r="D203" t="s">
        <v>785</v>
      </c>
      <c r="E203" s="46">
        <v>45154</v>
      </c>
      <c r="F203" s="45" t="s">
        <v>721</v>
      </c>
      <c r="I203" t="s">
        <v>726</v>
      </c>
    </row>
    <row r="204" spans="1:9" hidden="1" x14ac:dyDescent="0.3">
      <c r="A204" t="s">
        <v>748</v>
      </c>
      <c r="B204" s="46">
        <v>45138</v>
      </c>
      <c r="C204" s="45">
        <v>300000</v>
      </c>
      <c r="D204" t="s">
        <v>783</v>
      </c>
      <c r="E204" s="46">
        <v>45154</v>
      </c>
      <c r="F204" s="45" t="s">
        <v>721</v>
      </c>
      <c r="I204" t="s">
        <v>784</v>
      </c>
    </row>
    <row r="205" spans="1:9" hidden="1" x14ac:dyDescent="0.3">
      <c r="A205" t="s">
        <v>748</v>
      </c>
      <c r="B205" s="46">
        <v>45138</v>
      </c>
      <c r="C205" s="45">
        <v>300000</v>
      </c>
      <c r="D205" t="s">
        <v>783</v>
      </c>
      <c r="E205" s="46">
        <v>45154</v>
      </c>
      <c r="F205" s="45" t="s">
        <v>721</v>
      </c>
      <c r="I205" t="s">
        <v>784</v>
      </c>
    </row>
    <row r="206" spans="1:9" hidden="1" x14ac:dyDescent="0.3">
      <c r="A206" t="s">
        <v>748</v>
      </c>
      <c r="B206" s="46">
        <v>45133</v>
      </c>
      <c r="C206" s="45">
        <v>300000</v>
      </c>
      <c r="D206" t="s">
        <v>783</v>
      </c>
      <c r="E206" s="46">
        <v>45154</v>
      </c>
      <c r="F206" s="45" t="s">
        <v>721</v>
      </c>
      <c r="I206" t="s">
        <v>784</v>
      </c>
    </row>
    <row r="207" spans="1:9" hidden="1" x14ac:dyDescent="0.3">
      <c r="A207" t="s">
        <v>748</v>
      </c>
      <c r="B207" s="46">
        <v>45133</v>
      </c>
      <c r="C207" s="45">
        <v>300000</v>
      </c>
      <c r="D207" t="s">
        <v>783</v>
      </c>
      <c r="E207" s="46">
        <v>45154</v>
      </c>
      <c r="F207" s="45" t="s">
        <v>721</v>
      </c>
      <c r="I207" t="s">
        <v>784</v>
      </c>
    </row>
    <row r="208" spans="1:9" hidden="1" x14ac:dyDescent="0.3">
      <c r="A208" t="s">
        <v>748</v>
      </c>
      <c r="B208" s="46">
        <v>45133</v>
      </c>
      <c r="C208" s="45">
        <v>300000</v>
      </c>
      <c r="D208" t="s">
        <v>783</v>
      </c>
      <c r="E208" s="46">
        <v>45154</v>
      </c>
      <c r="F208" s="45" t="s">
        <v>721</v>
      </c>
      <c r="I208" t="s">
        <v>784</v>
      </c>
    </row>
    <row r="209" spans="1:9" hidden="1" x14ac:dyDescent="0.3">
      <c r="A209" t="s">
        <v>748</v>
      </c>
      <c r="B209" s="46">
        <v>45119</v>
      </c>
      <c r="C209" s="45">
        <v>300000</v>
      </c>
      <c r="D209" t="s">
        <v>783</v>
      </c>
      <c r="E209" s="46">
        <v>45154</v>
      </c>
      <c r="F209" s="45" t="s">
        <v>721</v>
      </c>
      <c r="I209" t="s">
        <v>784</v>
      </c>
    </row>
    <row r="210" spans="1:9" hidden="1" x14ac:dyDescent="0.3">
      <c r="A210" t="s">
        <v>748</v>
      </c>
      <c r="B210" s="46">
        <v>45119</v>
      </c>
      <c r="C210" s="45">
        <v>300000</v>
      </c>
      <c r="D210" t="s">
        <v>783</v>
      </c>
      <c r="E210" s="46">
        <v>45154</v>
      </c>
      <c r="F210" s="45" t="s">
        <v>721</v>
      </c>
      <c r="I210" t="s">
        <v>784</v>
      </c>
    </row>
    <row r="211" spans="1:9" hidden="1" x14ac:dyDescent="0.3">
      <c r="A211" t="s">
        <v>748</v>
      </c>
      <c r="B211" s="46">
        <v>45126</v>
      </c>
      <c r="C211" s="45">
        <v>300000</v>
      </c>
      <c r="D211" t="s">
        <v>786</v>
      </c>
      <c r="E211" s="46">
        <v>45154</v>
      </c>
      <c r="F211" s="45" t="s">
        <v>721</v>
      </c>
      <c r="I211" t="s">
        <v>787</v>
      </c>
    </row>
    <row r="212" spans="1:9" hidden="1" x14ac:dyDescent="0.3">
      <c r="A212" t="s">
        <v>748</v>
      </c>
      <c r="B212" s="46">
        <v>45126</v>
      </c>
      <c r="C212" s="45">
        <v>300000</v>
      </c>
      <c r="D212" t="s">
        <v>783</v>
      </c>
      <c r="E212" s="46">
        <v>45154</v>
      </c>
      <c r="F212" s="45" t="s">
        <v>721</v>
      </c>
      <c r="I212" t="s">
        <v>784</v>
      </c>
    </row>
    <row r="213" spans="1:9" hidden="1" x14ac:dyDescent="0.3">
      <c r="A213" t="s">
        <v>748</v>
      </c>
      <c r="B213" s="46">
        <v>45126</v>
      </c>
      <c r="C213" s="45">
        <v>300000</v>
      </c>
      <c r="D213" t="s">
        <v>783</v>
      </c>
      <c r="E213" s="46">
        <v>45154</v>
      </c>
      <c r="F213" s="45" t="s">
        <v>721</v>
      </c>
      <c r="I213" t="s">
        <v>784</v>
      </c>
    </row>
    <row r="214" spans="1:9" hidden="1" x14ac:dyDescent="0.3">
      <c r="A214" t="s">
        <v>734</v>
      </c>
      <c r="B214" s="46">
        <v>45166</v>
      </c>
      <c r="C214" s="45">
        <v>300000</v>
      </c>
      <c r="D214" t="s">
        <v>785</v>
      </c>
      <c r="E214" s="46">
        <v>45184</v>
      </c>
      <c r="F214" s="45" t="s">
        <v>721</v>
      </c>
      <c r="I214" t="s">
        <v>726</v>
      </c>
    </row>
    <row r="215" spans="1:9" hidden="1" x14ac:dyDescent="0.3">
      <c r="A215" t="s">
        <v>748</v>
      </c>
      <c r="B215" s="46">
        <v>45156</v>
      </c>
      <c r="C215" s="45">
        <v>300000</v>
      </c>
      <c r="D215" t="s">
        <v>783</v>
      </c>
      <c r="E215" s="46">
        <v>45184</v>
      </c>
      <c r="F215" s="45" t="s">
        <v>721</v>
      </c>
      <c r="I215" t="s">
        <v>784</v>
      </c>
    </row>
    <row r="216" spans="1:9" hidden="1" x14ac:dyDescent="0.3">
      <c r="A216" t="s">
        <v>748</v>
      </c>
      <c r="B216" s="46">
        <v>45154</v>
      </c>
      <c r="C216" s="45">
        <v>300000</v>
      </c>
      <c r="D216" t="s">
        <v>783</v>
      </c>
      <c r="E216" s="46">
        <v>45184</v>
      </c>
      <c r="F216" s="45" t="s">
        <v>721</v>
      </c>
      <c r="I216" t="s">
        <v>784</v>
      </c>
    </row>
    <row r="217" spans="1:9" hidden="1" x14ac:dyDescent="0.3">
      <c r="A217" t="s">
        <v>748</v>
      </c>
      <c r="B217" s="46">
        <v>45161</v>
      </c>
      <c r="C217" s="45">
        <v>300000</v>
      </c>
      <c r="D217" t="s">
        <v>783</v>
      </c>
      <c r="E217" s="46">
        <v>45184</v>
      </c>
      <c r="F217" s="45" t="s">
        <v>721</v>
      </c>
      <c r="I217" t="s">
        <v>784</v>
      </c>
    </row>
    <row r="218" spans="1:9" hidden="1" x14ac:dyDescent="0.3">
      <c r="A218" t="s">
        <v>748</v>
      </c>
      <c r="B218" s="46">
        <v>45147</v>
      </c>
      <c r="C218" s="45">
        <v>300000</v>
      </c>
      <c r="D218" t="s">
        <v>783</v>
      </c>
      <c r="E218" s="46">
        <v>45184</v>
      </c>
      <c r="F218" s="45" t="s">
        <v>721</v>
      </c>
      <c r="I218" t="s">
        <v>784</v>
      </c>
    </row>
    <row r="219" spans="1:9" hidden="1" x14ac:dyDescent="0.3">
      <c r="A219" t="s">
        <v>748</v>
      </c>
      <c r="B219" s="46">
        <v>45147</v>
      </c>
      <c r="C219" s="45">
        <v>300000</v>
      </c>
      <c r="D219" t="s">
        <v>783</v>
      </c>
      <c r="E219" s="46">
        <v>45184</v>
      </c>
      <c r="F219" s="45" t="s">
        <v>721</v>
      </c>
      <c r="I219" t="s">
        <v>784</v>
      </c>
    </row>
    <row r="220" spans="1:9" hidden="1" x14ac:dyDescent="0.3">
      <c r="A220" t="s">
        <v>748</v>
      </c>
      <c r="B220" s="46">
        <v>45163</v>
      </c>
      <c r="C220" s="45">
        <v>300000</v>
      </c>
      <c r="D220" t="s">
        <v>783</v>
      </c>
      <c r="E220" s="46">
        <v>45184</v>
      </c>
      <c r="F220" s="45" t="s">
        <v>721</v>
      </c>
      <c r="I220" t="s">
        <v>784</v>
      </c>
    </row>
    <row r="221" spans="1:9" hidden="1" x14ac:dyDescent="0.3">
      <c r="A221" t="s">
        <v>734</v>
      </c>
      <c r="B221" s="46">
        <v>45145</v>
      </c>
      <c r="C221" s="45">
        <v>300000</v>
      </c>
      <c r="D221" t="s">
        <v>785</v>
      </c>
      <c r="E221" s="46">
        <v>45184</v>
      </c>
      <c r="F221" s="45" t="s">
        <v>721</v>
      </c>
      <c r="I221" t="s">
        <v>726</v>
      </c>
    </row>
    <row r="222" spans="1:9" hidden="1" x14ac:dyDescent="0.3">
      <c r="A222" t="s">
        <v>748</v>
      </c>
      <c r="B222" s="46">
        <v>45182</v>
      </c>
      <c r="C222" s="45">
        <v>300000</v>
      </c>
      <c r="D222" t="s">
        <v>783</v>
      </c>
      <c r="E222" s="46">
        <v>45215</v>
      </c>
      <c r="F222" s="45" t="s">
        <v>721</v>
      </c>
      <c r="I222" t="s">
        <v>784</v>
      </c>
    </row>
    <row r="223" spans="1:9" hidden="1" x14ac:dyDescent="0.3">
      <c r="A223" t="s">
        <v>748</v>
      </c>
      <c r="B223" s="46">
        <v>45182</v>
      </c>
      <c r="C223" s="45">
        <v>300000</v>
      </c>
      <c r="D223" t="s">
        <v>783</v>
      </c>
      <c r="E223" s="46">
        <v>45215</v>
      </c>
      <c r="F223" s="45" t="s">
        <v>721</v>
      </c>
      <c r="I223" t="s">
        <v>784</v>
      </c>
    </row>
    <row r="224" spans="1:9" hidden="1" x14ac:dyDescent="0.3">
      <c r="A224" t="s">
        <v>748</v>
      </c>
      <c r="B224" s="46">
        <v>45184</v>
      </c>
      <c r="C224" s="45">
        <v>300000</v>
      </c>
      <c r="D224" t="s">
        <v>786</v>
      </c>
      <c r="E224" s="46">
        <v>45215</v>
      </c>
      <c r="F224" s="45" t="s">
        <v>721</v>
      </c>
      <c r="I224" t="s">
        <v>787</v>
      </c>
    </row>
    <row r="225" spans="1:9" hidden="1" x14ac:dyDescent="0.3">
      <c r="A225" t="s">
        <v>748</v>
      </c>
      <c r="B225" s="46">
        <v>45184</v>
      </c>
      <c r="C225" s="45">
        <v>300000</v>
      </c>
      <c r="D225" t="s">
        <v>783</v>
      </c>
      <c r="E225" s="46">
        <v>45215</v>
      </c>
      <c r="F225" s="45" t="s">
        <v>721</v>
      </c>
      <c r="I225" t="s">
        <v>784</v>
      </c>
    </row>
    <row r="226" spans="1:9" hidden="1" x14ac:dyDescent="0.3">
      <c r="A226" t="s">
        <v>748</v>
      </c>
      <c r="B226" s="46">
        <v>45184</v>
      </c>
      <c r="C226" s="45">
        <v>300000</v>
      </c>
      <c r="D226" t="s">
        <v>783</v>
      </c>
      <c r="E226" s="46">
        <v>45215</v>
      </c>
      <c r="F226" s="45" t="s">
        <v>721</v>
      </c>
      <c r="I226" t="s">
        <v>784</v>
      </c>
    </row>
    <row r="227" spans="1:9" hidden="1" x14ac:dyDescent="0.3">
      <c r="A227" t="s">
        <v>748</v>
      </c>
      <c r="B227" s="46">
        <v>45189</v>
      </c>
      <c r="C227" s="45">
        <v>300000</v>
      </c>
      <c r="D227" t="s">
        <v>783</v>
      </c>
      <c r="E227" s="46">
        <v>45215</v>
      </c>
      <c r="F227" s="45" t="s">
        <v>721</v>
      </c>
      <c r="I227" t="s">
        <v>784</v>
      </c>
    </row>
    <row r="228" spans="1:9" hidden="1" x14ac:dyDescent="0.3">
      <c r="A228" t="s">
        <v>748</v>
      </c>
      <c r="B228" s="46">
        <v>45191</v>
      </c>
      <c r="C228" s="45">
        <v>300000</v>
      </c>
      <c r="D228" t="s">
        <v>783</v>
      </c>
      <c r="E228" s="46">
        <v>45215</v>
      </c>
      <c r="F228" s="45" t="s">
        <v>721</v>
      </c>
      <c r="I228" t="s">
        <v>784</v>
      </c>
    </row>
    <row r="229" spans="1:9" hidden="1" x14ac:dyDescent="0.3">
      <c r="A229" t="s">
        <v>727</v>
      </c>
      <c r="B229" s="46">
        <v>45187</v>
      </c>
      <c r="C229" s="45">
        <v>300000</v>
      </c>
      <c r="D229" t="s">
        <v>785</v>
      </c>
      <c r="E229" s="46">
        <v>45215</v>
      </c>
      <c r="F229" s="45" t="s">
        <v>721</v>
      </c>
      <c r="I229" t="s">
        <v>726</v>
      </c>
    </row>
    <row r="230" spans="1:9" hidden="1" x14ac:dyDescent="0.3">
      <c r="A230" t="s">
        <v>748</v>
      </c>
      <c r="B230" s="46">
        <v>45170</v>
      </c>
      <c r="C230" s="45">
        <v>300000</v>
      </c>
      <c r="D230" t="s">
        <v>783</v>
      </c>
      <c r="E230" s="46">
        <v>45215</v>
      </c>
      <c r="F230" s="45" t="s">
        <v>721</v>
      </c>
      <c r="I230" t="s">
        <v>784</v>
      </c>
    </row>
    <row r="231" spans="1:9" hidden="1" x14ac:dyDescent="0.3">
      <c r="A231" t="s">
        <v>748</v>
      </c>
      <c r="B231" s="46">
        <v>45170</v>
      </c>
      <c r="C231" s="45">
        <v>300000</v>
      </c>
      <c r="D231" t="s">
        <v>783</v>
      </c>
      <c r="E231" s="46">
        <v>45215</v>
      </c>
      <c r="F231" s="45" t="s">
        <v>721</v>
      </c>
      <c r="I231" t="s">
        <v>784</v>
      </c>
    </row>
    <row r="232" spans="1:9" hidden="1" x14ac:dyDescent="0.3">
      <c r="A232" t="s">
        <v>748</v>
      </c>
      <c r="B232" s="46">
        <v>45170</v>
      </c>
      <c r="C232" s="45">
        <v>300000</v>
      </c>
      <c r="D232" t="s">
        <v>783</v>
      </c>
      <c r="E232" s="46">
        <v>45215</v>
      </c>
      <c r="F232" s="45" t="s">
        <v>721</v>
      </c>
      <c r="I232" t="s">
        <v>784</v>
      </c>
    </row>
    <row r="233" spans="1:9" hidden="1" x14ac:dyDescent="0.3">
      <c r="A233" t="s">
        <v>748</v>
      </c>
      <c r="B233" s="46">
        <v>45175</v>
      </c>
      <c r="C233" s="45">
        <v>300000</v>
      </c>
      <c r="D233" t="s">
        <v>783</v>
      </c>
      <c r="E233" s="46">
        <v>45215</v>
      </c>
      <c r="F233" s="45" t="s">
        <v>721</v>
      </c>
      <c r="I233" t="s">
        <v>784</v>
      </c>
    </row>
    <row r="234" spans="1:9" hidden="1" x14ac:dyDescent="0.3">
      <c r="A234" t="s">
        <v>748</v>
      </c>
      <c r="B234" s="46">
        <v>45180</v>
      </c>
      <c r="C234" s="45">
        <v>300000</v>
      </c>
      <c r="D234" t="s">
        <v>783</v>
      </c>
      <c r="E234" s="46">
        <v>45215</v>
      </c>
      <c r="F234" s="45" t="s">
        <v>721</v>
      </c>
      <c r="I234" t="s">
        <v>784</v>
      </c>
    </row>
    <row r="235" spans="1:9" hidden="1" x14ac:dyDescent="0.3">
      <c r="A235" t="s">
        <v>748</v>
      </c>
      <c r="B235" s="46">
        <v>45210</v>
      </c>
      <c r="C235" s="45">
        <v>300000</v>
      </c>
      <c r="D235" t="s">
        <v>783</v>
      </c>
      <c r="E235" s="46">
        <v>45245</v>
      </c>
      <c r="F235" s="45" t="s">
        <v>721</v>
      </c>
      <c r="I235" t="s">
        <v>784</v>
      </c>
    </row>
    <row r="236" spans="1:9" hidden="1" x14ac:dyDescent="0.3">
      <c r="A236" t="s">
        <v>748</v>
      </c>
      <c r="B236" s="46">
        <v>45212</v>
      </c>
      <c r="C236" s="45">
        <v>300000</v>
      </c>
      <c r="D236" t="s">
        <v>783</v>
      </c>
      <c r="E236" s="46">
        <v>45245</v>
      </c>
      <c r="F236" s="45" t="s">
        <v>721</v>
      </c>
      <c r="I236" t="s">
        <v>784</v>
      </c>
    </row>
    <row r="237" spans="1:9" hidden="1" x14ac:dyDescent="0.3">
      <c r="A237" t="s">
        <v>748</v>
      </c>
      <c r="B237" s="46">
        <v>45196</v>
      </c>
      <c r="C237" s="45">
        <v>300000</v>
      </c>
      <c r="D237" t="s">
        <v>783</v>
      </c>
      <c r="E237" s="46">
        <v>45245</v>
      </c>
      <c r="F237" s="45" t="s">
        <v>721</v>
      </c>
      <c r="I237" t="s">
        <v>784</v>
      </c>
    </row>
    <row r="238" spans="1:9" hidden="1" x14ac:dyDescent="0.3">
      <c r="A238" t="s">
        <v>748</v>
      </c>
      <c r="B238" s="46">
        <v>45196</v>
      </c>
      <c r="C238" s="45">
        <v>300000</v>
      </c>
      <c r="D238" t="s">
        <v>783</v>
      </c>
      <c r="E238" s="46">
        <v>45245</v>
      </c>
      <c r="F238" s="45" t="s">
        <v>721</v>
      </c>
      <c r="I238" t="s">
        <v>784</v>
      </c>
    </row>
    <row r="239" spans="1:9" hidden="1" x14ac:dyDescent="0.3">
      <c r="A239" t="s">
        <v>748</v>
      </c>
      <c r="B239" s="46">
        <v>45205</v>
      </c>
      <c r="C239" s="45">
        <v>300000</v>
      </c>
      <c r="D239" t="s">
        <v>783</v>
      </c>
      <c r="E239" s="46">
        <v>45245</v>
      </c>
      <c r="F239" s="45" t="s">
        <v>721</v>
      </c>
      <c r="I239" t="s">
        <v>784</v>
      </c>
    </row>
    <row r="240" spans="1:9" hidden="1" x14ac:dyDescent="0.3">
      <c r="A240" t="s">
        <v>748</v>
      </c>
      <c r="B240" s="46">
        <v>45205</v>
      </c>
      <c r="C240" s="45">
        <v>300000</v>
      </c>
      <c r="D240" t="s">
        <v>783</v>
      </c>
      <c r="E240" s="46">
        <v>45245</v>
      </c>
      <c r="F240" s="45" t="s">
        <v>721</v>
      </c>
      <c r="I240" t="s">
        <v>784</v>
      </c>
    </row>
    <row r="241" spans="1:9" hidden="1" x14ac:dyDescent="0.3">
      <c r="A241" t="s">
        <v>748</v>
      </c>
      <c r="B241" s="46">
        <v>45217</v>
      </c>
      <c r="C241" s="45">
        <v>300000</v>
      </c>
      <c r="D241" t="s">
        <v>783</v>
      </c>
      <c r="E241" s="46">
        <v>45245</v>
      </c>
      <c r="F241" s="45" t="s">
        <v>721</v>
      </c>
      <c r="I241" t="s">
        <v>784</v>
      </c>
    </row>
    <row r="242" spans="1:9" hidden="1" x14ac:dyDescent="0.3">
      <c r="A242" t="s">
        <v>748</v>
      </c>
      <c r="B242" s="46">
        <v>45217</v>
      </c>
      <c r="C242" s="45">
        <v>300000</v>
      </c>
      <c r="D242" t="s">
        <v>783</v>
      </c>
      <c r="E242" s="46">
        <v>45245</v>
      </c>
      <c r="F242" s="45" t="s">
        <v>721</v>
      </c>
      <c r="I242" t="s">
        <v>784</v>
      </c>
    </row>
    <row r="243" spans="1:9" hidden="1" x14ac:dyDescent="0.3">
      <c r="A243" t="s">
        <v>748</v>
      </c>
      <c r="B243" s="46">
        <v>45219</v>
      </c>
      <c r="C243" s="45">
        <v>300000</v>
      </c>
      <c r="D243" t="s">
        <v>783</v>
      </c>
      <c r="E243" s="46">
        <v>45245</v>
      </c>
      <c r="F243" s="45" t="s">
        <v>721</v>
      </c>
      <c r="I243" t="s">
        <v>784</v>
      </c>
    </row>
    <row r="244" spans="1:9" hidden="1" x14ac:dyDescent="0.3">
      <c r="A244" t="s">
        <v>748</v>
      </c>
      <c r="B244" s="46">
        <v>45224</v>
      </c>
      <c r="C244" s="45">
        <v>300000</v>
      </c>
      <c r="D244" t="s">
        <v>783</v>
      </c>
      <c r="E244" s="46">
        <v>45245</v>
      </c>
      <c r="F244" s="45" t="s">
        <v>721</v>
      </c>
      <c r="I244" t="s">
        <v>784</v>
      </c>
    </row>
    <row r="245" spans="1:9" hidden="1" x14ac:dyDescent="0.3">
      <c r="A245" t="s">
        <v>748</v>
      </c>
      <c r="B245" s="46">
        <v>45224</v>
      </c>
      <c r="C245" s="45">
        <v>300000</v>
      </c>
      <c r="D245" t="s">
        <v>783</v>
      </c>
      <c r="E245" s="46">
        <v>45245</v>
      </c>
      <c r="F245" s="45" t="s">
        <v>721</v>
      </c>
      <c r="I245" t="s">
        <v>784</v>
      </c>
    </row>
    <row r="246" spans="1:9" hidden="1" x14ac:dyDescent="0.3">
      <c r="A246" t="s">
        <v>748</v>
      </c>
      <c r="B246" s="46">
        <v>45229</v>
      </c>
      <c r="C246" s="45">
        <v>300000</v>
      </c>
      <c r="D246" t="s">
        <v>783</v>
      </c>
      <c r="E246" s="46">
        <v>45245</v>
      </c>
      <c r="F246" s="45" t="s">
        <v>721</v>
      </c>
      <c r="I246" t="s">
        <v>784</v>
      </c>
    </row>
    <row r="247" spans="1:9" hidden="1" x14ac:dyDescent="0.3">
      <c r="A247" t="s">
        <v>729</v>
      </c>
      <c r="B247" s="46">
        <v>45330</v>
      </c>
      <c r="C247" s="45">
        <v>298500</v>
      </c>
      <c r="D247" t="s">
        <v>790</v>
      </c>
      <c r="E247" s="46">
        <v>45366</v>
      </c>
      <c r="F247" s="45" t="s">
        <v>721</v>
      </c>
      <c r="I247" t="s">
        <v>756</v>
      </c>
    </row>
    <row r="248" spans="1:9" hidden="1" x14ac:dyDescent="0.3">
      <c r="A248" t="s">
        <v>734</v>
      </c>
      <c r="B248" s="46">
        <v>45377</v>
      </c>
      <c r="C248" s="45">
        <v>297657</v>
      </c>
      <c r="D248" t="s">
        <v>2031</v>
      </c>
      <c r="E248" s="46">
        <v>45397</v>
      </c>
      <c r="F248" s="45" t="s">
        <v>731</v>
      </c>
      <c r="G248" t="s">
        <v>732</v>
      </c>
      <c r="H248">
        <v>216.36</v>
      </c>
      <c r="I248" t="s">
        <v>738</v>
      </c>
    </row>
    <row r="249" spans="1:9" hidden="1" x14ac:dyDescent="0.3">
      <c r="A249" t="s">
        <v>743</v>
      </c>
      <c r="B249" s="46">
        <v>45296</v>
      </c>
      <c r="C249" s="45">
        <v>295810</v>
      </c>
      <c r="D249" t="s">
        <v>753</v>
      </c>
      <c r="E249" s="46">
        <v>45348</v>
      </c>
      <c r="F249" s="45" t="s">
        <v>731</v>
      </c>
      <c r="G249" t="s">
        <v>732</v>
      </c>
      <c r="H249">
        <v>221</v>
      </c>
      <c r="I249" t="s">
        <v>733</v>
      </c>
    </row>
    <row r="250" spans="1:9" hidden="1" x14ac:dyDescent="0.3">
      <c r="A250" t="s">
        <v>748</v>
      </c>
      <c r="B250" s="46">
        <v>45324</v>
      </c>
      <c r="C250" s="45">
        <v>285000</v>
      </c>
      <c r="D250" t="s">
        <v>783</v>
      </c>
      <c r="E250" s="46">
        <v>45366</v>
      </c>
      <c r="F250" s="45" t="s">
        <v>721</v>
      </c>
      <c r="I250" t="s">
        <v>784</v>
      </c>
    </row>
    <row r="251" spans="1:9" hidden="1" x14ac:dyDescent="0.3">
      <c r="A251" t="s">
        <v>748</v>
      </c>
      <c r="B251" s="46">
        <v>45343</v>
      </c>
      <c r="C251" s="45">
        <v>285000</v>
      </c>
      <c r="D251" t="s">
        <v>783</v>
      </c>
      <c r="E251" s="46">
        <v>45366</v>
      </c>
      <c r="F251" s="45" t="s">
        <v>721</v>
      </c>
      <c r="I251" t="s">
        <v>784</v>
      </c>
    </row>
    <row r="252" spans="1:9" hidden="1" x14ac:dyDescent="0.3">
      <c r="A252" t="s">
        <v>748</v>
      </c>
      <c r="B252" s="46">
        <v>45338</v>
      </c>
      <c r="C252" s="45">
        <v>285000</v>
      </c>
      <c r="D252" t="s">
        <v>783</v>
      </c>
      <c r="E252" s="46">
        <v>45366</v>
      </c>
      <c r="F252" s="45" t="s">
        <v>721</v>
      </c>
      <c r="I252" t="s">
        <v>784</v>
      </c>
    </row>
    <row r="253" spans="1:9" hidden="1" x14ac:dyDescent="0.3">
      <c r="A253" t="s">
        <v>748</v>
      </c>
      <c r="B253" s="46">
        <v>45294</v>
      </c>
      <c r="C253" s="45">
        <v>285000</v>
      </c>
      <c r="D253" t="s">
        <v>783</v>
      </c>
      <c r="E253" s="46">
        <v>45337</v>
      </c>
      <c r="F253" s="45" t="s">
        <v>721</v>
      </c>
      <c r="I253" t="s">
        <v>784</v>
      </c>
    </row>
    <row r="254" spans="1:9" hidden="1" x14ac:dyDescent="0.3">
      <c r="A254" t="s">
        <v>748</v>
      </c>
      <c r="B254" s="46">
        <v>45163</v>
      </c>
      <c r="C254" s="45">
        <v>285000</v>
      </c>
      <c r="D254" t="s">
        <v>783</v>
      </c>
      <c r="E254" s="46">
        <v>45184</v>
      </c>
      <c r="F254" s="45" t="s">
        <v>721</v>
      </c>
      <c r="I254" t="s">
        <v>784</v>
      </c>
    </row>
    <row r="255" spans="1:9" hidden="1" x14ac:dyDescent="0.3">
      <c r="A255" t="s">
        <v>748</v>
      </c>
      <c r="B255" s="46">
        <v>45266</v>
      </c>
      <c r="C255" s="45">
        <v>285000</v>
      </c>
      <c r="D255" t="s">
        <v>783</v>
      </c>
      <c r="E255" s="46">
        <v>45306</v>
      </c>
      <c r="F255" s="45" t="s">
        <v>721</v>
      </c>
      <c r="I255" t="s">
        <v>784</v>
      </c>
    </row>
    <row r="256" spans="1:9" hidden="1" x14ac:dyDescent="0.3">
      <c r="A256" t="s">
        <v>724</v>
      </c>
      <c r="B256" s="46">
        <v>45440</v>
      </c>
      <c r="C256" s="45">
        <v>282000</v>
      </c>
      <c r="D256" t="s">
        <v>832</v>
      </c>
      <c r="E256" s="46">
        <v>45469</v>
      </c>
      <c r="F256" s="45" t="s">
        <v>721</v>
      </c>
      <c r="I256" t="s">
        <v>726</v>
      </c>
    </row>
    <row r="257" spans="1:9" hidden="1" x14ac:dyDescent="0.3">
      <c r="A257" t="s">
        <v>748</v>
      </c>
      <c r="B257" s="46">
        <v>45398</v>
      </c>
      <c r="C257" s="45">
        <v>275176</v>
      </c>
      <c r="D257" t="s">
        <v>797</v>
      </c>
      <c r="E257" s="46">
        <v>45428</v>
      </c>
      <c r="F257" s="45" t="s">
        <v>721</v>
      </c>
      <c r="I257" t="s">
        <v>781</v>
      </c>
    </row>
    <row r="258" spans="1:9" hidden="1" x14ac:dyDescent="0.3">
      <c r="A258" t="s">
        <v>724</v>
      </c>
      <c r="B258" s="46">
        <v>45398</v>
      </c>
      <c r="C258" s="45">
        <v>275000</v>
      </c>
      <c r="D258" t="s">
        <v>2032</v>
      </c>
      <c r="E258" s="46">
        <v>45438</v>
      </c>
      <c r="F258" s="45" t="s">
        <v>721</v>
      </c>
      <c r="I258" t="s">
        <v>726</v>
      </c>
    </row>
    <row r="259" spans="1:9" hidden="1" x14ac:dyDescent="0.3">
      <c r="A259" t="s">
        <v>729</v>
      </c>
      <c r="B259" s="46">
        <v>45160</v>
      </c>
      <c r="C259" s="45">
        <v>274380</v>
      </c>
      <c r="D259" t="s">
        <v>765</v>
      </c>
      <c r="E259" s="46">
        <v>45184</v>
      </c>
      <c r="F259" s="45" t="s">
        <v>721</v>
      </c>
      <c r="I259" t="s">
        <v>726</v>
      </c>
    </row>
    <row r="260" spans="1:9" hidden="1" x14ac:dyDescent="0.3">
      <c r="A260" t="s">
        <v>748</v>
      </c>
      <c r="B260" s="46">
        <v>45154</v>
      </c>
      <c r="C260" s="45">
        <v>270000</v>
      </c>
      <c r="D260" t="s">
        <v>783</v>
      </c>
      <c r="E260" s="46">
        <v>45184</v>
      </c>
      <c r="F260" s="45" t="s">
        <v>721</v>
      </c>
      <c r="I260" t="s">
        <v>784</v>
      </c>
    </row>
    <row r="261" spans="1:9" hidden="1" x14ac:dyDescent="0.3">
      <c r="A261" t="s">
        <v>748</v>
      </c>
      <c r="B261" s="46">
        <v>45196</v>
      </c>
      <c r="C261" s="45">
        <v>270000</v>
      </c>
      <c r="D261" t="s">
        <v>783</v>
      </c>
      <c r="E261" s="46">
        <v>45245</v>
      </c>
      <c r="F261" s="45" t="s">
        <v>721</v>
      </c>
      <c r="I261" t="s">
        <v>784</v>
      </c>
    </row>
    <row r="262" spans="1:9" hidden="1" x14ac:dyDescent="0.3">
      <c r="A262" t="s">
        <v>724</v>
      </c>
      <c r="B262" s="46">
        <v>45118</v>
      </c>
      <c r="C262" s="45">
        <v>262800</v>
      </c>
      <c r="D262" t="s">
        <v>792</v>
      </c>
      <c r="E262" s="46">
        <v>45164</v>
      </c>
      <c r="F262" s="45" t="s">
        <v>721</v>
      </c>
      <c r="I262" t="s">
        <v>726</v>
      </c>
    </row>
    <row r="263" spans="1:9" hidden="1" x14ac:dyDescent="0.3">
      <c r="A263" t="s">
        <v>724</v>
      </c>
      <c r="B263" s="46">
        <v>45180</v>
      </c>
      <c r="C263" s="45">
        <v>261000</v>
      </c>
      <c r="D263" t="s">
        <v>770</v>
      </c>
      <c r="E263" s="46">
        <v>45225</v>
      </c>
      <c r="F263" s="45" t="s">
        <v>721</v>
      </c>
      <c r="I263" t="s">
        <v>726</v>
      </c>
    </row>
    <row r="264" spans="1:9" x14ac:dyDescent="0.3">
      <c r="A264" t="s">
        <v>748</v>
      </c>
      <c r="B264" s="46">
        <v>45149</v>
      </c>
      <c r="C264" s="45">
        <v>255000</v>
      </c>
      <c r="D264" t="s">
        <v>783</v>
      </c>
      <c r="E264" s="46">
        <v>45184</v>
      </c>
      <c r="F264" s="45" t="s">
        <v>721</v>
      </c>
      <c r="I264" t="s">
        <v>784</v>
      </c>
    </row>
    <row r="265" spans="1:9" hidden="1" x14ac:dyDescent="0.3">
      <c r="A265" t="s">
        <v>748</v>
      </c>
      <c r="B265" s="46">
        <v>45121</v>
      </c>
      <c r="C265" s="45">
        <v>255000</v>
      </c>
      <c r="D265" t="s">
        <v>783</v>
      </c>
      <c r="E265" s="46">
        <v>45154</v>
      </c>
      <c r="F265" s="45" t="s">
        <v>721</v>
      </c>
      <c r="I265" t="s">
        <v>784</v>
      </c>
    </row>
    <row r="266" spans="1:9" hidden="1" x14ac:dyDescent="0.3">
      <c r="A266" t="s">
        <v>748</v>
      </c>
      <c r="B266" s="46">
        <v>45268</v>
      </c>
      <c r="C266" s="45">
        <v>255000</v>
      </c>
      <c r="D266" t="s">
        <v>783</v>
      </c>
      <c r="E266" s="46">
        <v>45306</v>
      </c>
      <c r="F266" s="45" t="s">
        <v>721</v>
      </c>
      <c r="I266" t="s">
        <v>784</v>
      </c>
    </row>
    <row r="267" spans="1:9" hidden="1" x14ac:dyDescent="0.3">
      <c r="A267" t="s">
        <v>748</v>
      </c>
      <c r="B267" s="46">
        <v>45246</v>
      </c>
      <c r="C267" s="45">
        <v>254210</v>
      </c>
      <c r="D267" t="s">
        <v>793</v>
      </c>
      <c r="E267" s="46">
        <v>45275</v>
      </c>
      <c r="F267" s="45" t="s">
        <v>721</v>
      </c>
      <c r="I267" t="s">
        <v>750</v>
      </c>
    </row>
    <row r="268" spans="1:9" hidden="1" x14ac:dyDescent="0.3">
      <c r="A268" t="s">
        <v>748</v>
      </c>
      <c r="B268" s="46">
        <v>45422</v>
      </c>
      <c r="C268" s="45">
        <v>240000</v>
      </c>
      <c r="D268" t="s">
        <v>783</v>
      </c>
      <c r="E268" s="46">
        <v>45458</v>
      </c>
      <c r="F268" s="45" t="s">
        <v>721</v>
      </c>
      <c r="I268" t="s">
        <v>784</v>
      </c>
    </row>
    <row r="269" spans="1:9" hidden="1" x14ac:dyDescent="0.3">
      <c r="A269" t="s">
        <v>748</v>
      </c>
      <c r="B269" s="46">
        <v>45371</v>
      </c>
      <c r="C269" s="45">
        <v>240000</v>
      </c>
      <c r="D269" t="s">
        <v>783</v>
      </c>
      <c r="E269" s="46">
        <v>45397</v>
      </c>
      <c r="F269" s="45" t="s">
        <v>721</v>
      </c>
      <c r="I269" t="s">
        <v>784</v>
      </c>
    </row>
    <row r="270" spans="1:9" hidden="1" x14ac:dyDescent="0.3">
      <c r="A270" t="s">
        <v>775</v>
      </c>
      <c r="B270" s="46">
        <v>45216</v>
      </c>
      <c r="C270" s="45">
        <v>239000</v>
      </c>
      <c r="D270" t="s">
        <v>791</v>
      </c>
      <c r="E270" s="46">
        <v>45246</v>
      </c>
      <c r="F270" s="45" t="s">
        <v>721</v>
      </c>
      <c r="I270" t="s">
        <v>726</v>
      </c>
    </row>
    <row r="271" spans="1:9" hidden="1" x14ac:dyDescent="0.3">
      <c r="A271" t="s">
        <v>729</v>
      </c>
      <c r="B271" s="46">
        <v>45357</v>
      </c>
      <c r="C271" s="45">
        <v>227000</v>
      </c>
      <c r="D271" t="s">
        <v>754</v>
      </c>
      <c r="E271" s="46">
        <v>45397</v>
      </c>
      <c r="F271" s="45" t="s">
        <v>721</v>
      </c>
      <c r="I271" t="s">
        <v>2025</v>
      </c>
    </row>
    <row r="272" spans="1:9" hidden="1" x14ac:dyDescent="0.3">
      <c r="A272" t="s">
        <v>727</v>
      </c>
      <c r="B272" s="46">
        <v>45350</v>
      </c>
      <c r="C272" s="45">
        <v>227000</v>
      </c>
      <c r="D272" t="s">
        <v>754</v>
      </c>
      <c r="E272" s="46">
        <v>45366</v>
      </c>
      <c r="F272" s="45" t="s">
        <v>721</v>
      </c>
      <c r="I272" t="s">
        <v>2025</v>
      </c>
    </row>
    <row r="273" spans="1:9" hidden="1" x14ac:dyDescent="0.3">
      <c r="A273" t="s">
        <v>724</v>
      </c>
      <c r="B273" s="46">
        <v>45155</v>
      </c>
      <c r="C273" s="45">
        <v>226800</v>
      </c>
      <c r="D273" t="s">
        <v>796</v>
      </c>
      <c r="E273" s="46">
        <v>45195</v>
      </c>
      <c r="F273" s="45" t="s">
        <v>721</v>
      </c>
      <c r="I273" t="s">
        <v>726</v>
      </c>
    </row>
    <row r="274" spans="1:9" hidden="1" x14ac:dyDescent="0.3">
      <c r="A274" t="s">
        <v>748</v>
      </c>
      <c r="B274" s="46">
        <v>45175</v>
      </c>
      <c r="C274" s="45">
        <v>225000</v>
      </c>
      <c r="D274" t="s">
        <v>783</v>
      </c>
      <c r="E274" s="46">
        <v>45215</v>
      </c>
      <c r="F274" s="45" t="s">
        <v>721</v>
      </c>
      <c r="I274" t="s">
        <v>784</v>
      </c>
    </row>
    <row r="275" spans="1:9" hidden="1" x14ac:dyDescent="0.3">
      <c r="A275" t="s">
        <v>748</v>
      </c>
      <c r="B275" s="46">
        <v>45170</v>
      </c>
      <c r="C275" s="45">
        <v>225000</v>
      </c>
      <c r="D275" t="s">
        <v>783</v>
      </c>
      <c r="E275" s="46">
        <v>45215</v>
      </c>
      <c r="F275" s="45" t="s">
        <v>721</v>
      </c>
      <c r="I275" t="s">
        <v>784</v>
      </c>
    </row>
    <row r="276" spans="1:9" hidden="1" x14ac:dyDescent="0.3">
      <c r="A276" t="s">
        <v>748</v>
      </c>
      <c r="B276" s="46">
        <v>45229</v>
      </c>
      <c r="C276" s="45">
        <v>225000</v>
      </c>
      <c r="D276" t="s">
        <v>783</v>
      </c>
      <c r="E276" s="46">
        <v>45245</v>
      </c>
      <c r="F276" s="45" t="s">
        <v>721</v>
      </c>
      <c r="I276" t="s">
        <v>784</v>
      </c>
    </row>
    <row r="277" spans="1:9" hidden="1" x14ac:dyDescent="0.3">
      <c r="A277" t="s">
        <v>748</v>
      </c>
      <c r="B277" s="46">
        <v>45140</v>
      </c>
      <c r="C277" s="45">
        <v>225000</v>
      </c>
      <c r="D277" t="s">
        <v>783</v>
      </c>
      <c r="E277" s="46">
        <v>45184</v>
      </c>
      <c r="F277" s="45" t="s">
        <v>721</v>
      </c>
      <c r="I277" t="s">
        <v>784</v>
      </c>
    </row>
    <row r="278" spans="1:9" hidden="1" x14ac:dyDescent="0.3">
      <c r="A278" t="s">
        <v>748</v>
      </c>
      <c r="B278" s="46">
        <v>45142</v>
      </c>
      <c r="C278" s="45">
        <v>225000</v>
      </c>
      <c r="D278" t="s">
        <v>783</v>
      </c>
      <c r="E278" s="46">
        <v>45184</v>
      </c>
      <c r="F278" s="45" t="s">
        <v>721</v>
      </c>
      <c r="I278" t="s">
        <v>784</v>
      </c>
    </row>
    <row r="279" spans="1:9" hidden="1" x14ac:dyDescent="0.3">
      <c r="A279" t="s">
        <v>748</v>
      </c>
      <c r="B279" s="46">
        <v>45252</v>
      </c>
      <c r="C279" s="45">
        <v>225000</v>
      </c>
      <c r="D279" t="s">
        <v>783</v>
      </c>
      <c r="E279" s="46">
        <v>45275</v>
      </c>
      <c r="F279" s="45" t="s">
        <v>721</v>
      </c>
      <c r="I279" t="s">
        <v>784</v>
      </c>
    </row>
    <row r="280" spans="1:9" hidden="1" x14ac:dyDescent="0.3">
      <c r="A280" t="s">
        <v>748</v>
      </c>
      <c r="B280" s="46">
        <v>45254</v>
      </c>
      <c r="C280" s="45">
        <v>225000</v>
      </c>
      <c r="D280" t="s">
        <v>783</v>
      </c>
      <c r="E280" s="46">
        <v>45275</v>
      </c>
      <c r="F280" s="45" t="s">
        <v>721</v>
      </c>
      <c r="I280" t="s">
        <v>784</v>
      </c>
    </row>
    <row r="281" spans="1:9" hidden="1" x14ac:dyDescent="0.3">
      <c r="A281" t="s">
        <v>748</v>
      </c>
      <c r="B281" s="46">
        <v>45296</v>
      </c>
      <c r="C281" s="45">
        <v>225000</v>
      </c>
      <c r="D281" t="s">
        <v>783</v>
      </c>
      <c r="E281" s="46">
        <v>45337</v>
      </c>
      <c r="F281" s="45" t="s">
        <v>721</v>
      </c>
      <c r="I281" t="s">
        <v>784</v>
      </c>
    </row>
    <row r="282" spans="1:9" hidden="1" x14ac:dyDescent="0.3">
      <c r="A282" t="s">
        <v>798</v>
      </c>
      <c r="B282" s="46">
        <v>45429</v>
      </c>
      <c r="C282" s="45">
        <v>223045</v>
      </c>
      <c r="D282" t="s">
        <v>768</v>
      </c>
      <c r="E282" s="46">
        <v>45458</v>
      </c>
      <c r="F282" s="45" t="s">
        <v>731</v>
      </c>
      <c r="G282" t="s">
        <v>732</v>
      </c>
      <c r="H282">
        <v>161</v>
      </c>
      <c r="I282" t="s">
        <v>733</v>
      </c>
    </row>
    <row r="283" spans="1:9" hidden="1" x14ac:dyDescent="0.3">
      <c r="A283" t="s">
        <v>748</v>
      </c>
      <c r="B283" s="46">
        <v>45194</v>
      </c>
      <c r="C283" s="45">
        <v>223008</v>
      </c>
      <c r="D283" t="s">
        <v>797</v>
      </c>
      <c r="E283" s="46">
        <v>45215</v>
      </c>
      <c r="F283" s="45" t="s">
        <v>721</v>
      </c>
      <c r="I283" t="s">
        <v>781</v>
      </c>
    </row>
    <row r="284" spans="1:9" hidden="1" x14ac:dyDescent="0.3">
      <c r="A284" t="s">
        <v>798</v>
      </c>
      <c r="B284" s="46">
        <v>45327</v>
      </c>
      <c r="C284" s="45">
        <v>218823</v>
      </c>
      <c r="D284" t="s">
        <v>768</v>
      </c>
      <c r="E284" s="46">
        <v>45366</v>
      </c>
      <c r="F284" s="45" t="s">
        <v>731</v>
      </c>
      <c r="G284" t="s">
        <v>732</v>
      </c>
      <c r="H284">
        <v>161</v>
      </c>
      <c r="I284" t="s">
        <v>733</v>
      </c>
    </row>
    <row r="285" spans="1:9" hidden="1" x14ac:dyDescent="0.3">
      <c r="A285" t="s">
        <v>779</v>
      </c>
      <c r="B285" s="46">
        <v>45335</v>
      </c>
      <c r="C285" s="45">
        <v>215860</v>
      </c>
      <c r="D285" t="s">
        <v>1635</v>
      </c>
      <c r="E285" s="46">
        <v>45369</v>
      </c>
      <c r="F285" s="45" t="s">
        <v>721</v>
      </c>
      <c r="G285">
        <v>0</v>
      </c>
      <c r="I285" t="s">
        <v>1200</v>
      </c>
    </row>
    <row r="286" spans="1:9" hidden="1" x14ac:dyDescent="0.3">
      <c r="A286" t="s">
        <v>734</v>
      </c>
      <c r="B286" s="46">
        <v>45353</v>
      </c>
      <c r="C286" s="45">
        <v>214808</v>
      </c>
      <c r="D286" t="s">
        <v>799</v>
      </c>
      <c r="E286" s="46">
        <v>45397</v>
      </c>
      <c r="F286" s="45" t="s">
        <v>721</v>
      </c>
      <c r="I286" t="s">
        <v>826</v>
      </c>
    </row>
    <row r="287" spans="1:9" hidden="1" x14ac:dyDescent="0.3">
      <c r="A287" t="s">
        <v>722</v>
      </c>
      <c r="B287" s="46">
        <v>45393</v>
      </c>
      <c r="C287" s="45">
        <v>213700</v>
      </c>
      <c r="D287" t="s">
        <v>2033</v>
      </c>
      <c r="E287" s="46">
        <v>45428</v>
      </c>
      <c r="F287" s="45" t="s">
        <v>721</v>
      </c>
      <c r="I287" t="s">
        <v>2034</v>
      </c>
    </row>
    <row r="288" spans="1:9" hidden="1" x14ac:dyDescent="0.3">
      <c r="A288" t="s">
        <v>734</v>
      </c>
      <c r="B288" s="46">
        <v>45325</v>
      </c>
      <c r="C288" s="45">
        <v>211175</v>
      </c>
      <c r="D288" t="s">
        <v>799</v>
      </c>
      <c r="E288" s="46">
        <v>45366</v>
      </c>
      <c r="F288" s="45" t="s">
        <v>721</v>
      </c>
      <c r="I288" t="s">
        <v>826</v>
      </c>
    </row>
    <row r="289" spans="1:9" hidden="1" x14ac:dyDescent="0.3">
      <c r="A289" t="s">
        <v>727</v>
      </c>
      <c r="B289" s="46">
        <v>45395</v>
      </c>
      <c r="C289" s="45">
        <v>210000</v>
      </c>
      <c r="D289" t="s">
        <v>2035</v>
      </c>
      <c r="E289" s="46">
        <v>45428</v>
      </c>
      <c r="F289" s="45" t="s">
        <v>721</v>
      </c>
      <c r="I289" t="s">
        <v>740</v>
      </c>
    </row>
    <row r="290" spans="1:9" hidden="1" x14ac:dyDescent="0.3">
      <c r="A290" t="s">
        <v>748</v>
      </c>
      <c r="B290" s="46">
        <v>45414</v>
      </c>
      <c r="C290" s="45">
        <v>210000</v>
      </c>
      <c r="D290" t="s">
        <v>783</v>
      </c>
      <c r="E290" s="46">
        <v>45458</v>
      </c>
      <c r="F290" s="45" t="s">
        <v>721</v>
      </c>
      <c r="I290" t="s">
        <v>784</v>
      </c>
    </row>
    <row r="291" spans="1:9" hidden="1" x14ac:dyDescent="0.3">
      <c r="A291" t="s">
        <v>748</v>
      </c>
      <c r="B291" s="46">
        <v>45280</v>
      </c>
      <c r="C291" s="45">
        <v>210000</v>
      </c>
      <c r="D291" t="s">
        <v>783</v>
      </c>
      <c r="E291" s="46">
        <v>45306</v>
      </c>
      <c r="F291" s="45" t="s">
        <v>721</v>
      </c>
      <c r="I291" t="s">
        <v>784</v>
      </c>
    </row>
    <row r="292" spans="1:9" hidden="1" x14ac:dyDescent="0.3">
      <c r="A292" t="s">
        <v>772</v>
      </c>
      <c r="B292" s="46">
        <v>45205</v>
      </c>
      <c r="C292" s="45">
        <v>209000</v>
      </c>
      <c r="D292" t="s">
        <v>800</v>
      </c>
      <c r="E292" s="46">
        <v>45256</v>
      </c>
      <c r="F292" s="45" t="s">
        <v>721</v>
      </c>
      <c r="I292" t="s">
        <v>750</v>
      </c>
    </row>
    <row r="293" spans="1:9" hidden="1" x14ac:dyDescent="0.3">
      <c r="A293" t="s">
        <v>746</v>
      </c>
      <c r="B293" s="46">
        <v>45392</v>
      </c>
      <c r="C293" s="45">
        <v>205711</v>
      </c>
      <c r="D293" t="s">
        <v>751</v>
      </c>
      <c r="E293" s="46">
        <v>45428</v>
      </c>
      <c r="F293" s="45" t="s">
        <v>731</v>
      </c>
      <c r="G293" t="s">
        <v>732</v>
      </c>
      <c r="H293">
        <v>146.69999999999999</v>
      </c>
      <c r="I293" t="s">
        <v>733</v>
      </c>
    </row>
    <row r="294" spans="1:9" hidden="1" x14ac:dyDescent="0.3">
      <c r="A294" t="s">
        <v>794</v>
      </c>
      <c r="B294" s="46">
        <v>45132</v>
      </c>
      <c r="C294" s="45">
        <v>200000</v>
      </c>
      <c r="D294" t="s">
        <v>1636</v>
      </c>
      <c r="E294" s="46">
        <v>45154</v>
      </c>
      <c r="F294" s="45" t="s">
        <v>721</v>
      </c>
    </row>
    <row r="295" spans="1:9" hidden="1" x14ac:dyDescent="0.3">
      <c r="A295" t="s">
        <v>729</v>
      </c>
      <c r="B295" s="46">
        <v>45259</v>
      </c>
      <c r="C295" s="45">
        <v>199000</v>
      </c>
      <c r="D295" t="s">
        <v>790</v>
      </c>
      <c r="E295" s="46">
        <v>45275</v>
      </c>
      <c r="F295" s="45" t="s">
        <v>721</v>
      </c>
      <c r="I295" t="s">
        <v>756</v>
      </c>
    </row>
    <row r="296" spans="1:9" hidden="1" x14ac:dyDescent="0.3">
      <c r="A296" t="s">
        <v>746</v>
      </c>
      <c r="B296" s="46">
        <v>45126</v>
      </c>
      <c r="C296" s="45">
        <v>196042</v>
      </c>
      <c r="D296" t="s">
        <v>751</v>
      </c>
      <c r="E296" s="46">
        <v>45154</v>
      </c>
      <c r="F296" s="45" t="s">
        <v>731</v>
      </c>
      <c r="G296" t="s">
        <v>732</v>
      </c>
      <c r="H296">
        <v>149.62</v>
      </c>
      <c r="I296" t="s">
        <v>733</v>
      </c>
    </row>
    <row r="297" spans="1:9" hidden="1" x14ac:dyDescent="0.3">
      <c r="A297" t="s">
        <v>734</v>
      </c>
      <c r="B297" s="46">
        <v>45365</v>
      </c>
      <c r="C297" s="45">
        <v>196000</v>
      </c>
      <c r="D297" t="s">
        <v>2036</v>
      </c>
      <c r="E297" s="46">
        <v>45397</v>
      </c>
      <c r="F297" s="45" t="s">
        <v>721</v>
      </c>
      <c r="I297" t="s">
        <v>726</v>
      </c>
    </row>
    <row r="298" spans="1:9" hidden="1" x14ac:dyDescent="0.3">
      <c r="A298" t="s">
        <v>748</v>
      </c>
      <c r="B298" s="46">
        <v>45379</v>
      </c>
      <c r="C298" s="45">
        <v>195000</v>
      </c>
      <c r="D298" t="s">
        <v>783</v>
      </c>
      <c r="E298" s="46">
        <v>45397</v>
      </c>
      <c r="F298" s="45" t="s">
        <v>721</v>
      </c>
      <c r="I298" t="s">
        <v>784</v>
      </c>
    </row>
    <row r="299" spans="1:9" hidden="1" x14ac:dyDescent="0.3">
      <c r="A299" t="s">
        <v>748</v>
      </c>
      <c r="B299" s="46">
        <v>45406</v>
      </c>
      <c r="C299" s="45">
        <v>195000</v>
      </c>
      <c r="D299" t="s">
        <v>783</v>
      </c>
      <c r="E299" s="46">
        <v>45428</v>
      </c>
      <c r="F299" s="45" t="s">
        <v>721</v>
      </c>
      <c r="I299" t="s">
        <v>784</v>
      </c>
    </row>
    <row r="300" spans="1:9" hidden="1" x14ac:dyDescent="0.3">
      <c r="A300" t="s">
        <v>748</v>
      </c>
      <c r="B300" s="46">
        <v>45435</v>
      </c>
      <c r="C300" s="45">
        <v>195000</v>
      </c>
      <c r="D300" t="s">
        <v>783</v>
      </c>
      <c r="E300" s="46">
        <v>45458</v>
      </c>
      <c r="F300" s="45" t="s">
        <v>721</v>
      </c>
      <c r="I300" t="s">
        <v>784</v>
      </c>
    </row>
    <row r="301" spans="1:9" hidden="1" x14ac:dyDescent="0.3">
      <c r="A301" t="s">
        <v>748</v>
      </c>
      <c r="B301" s="46">
        <v>45128</v>
      </c>
      <c r="C301" s="45">
        <v>195000</v>
      </c>
      <c r="D301" t="s">
        <v>783</v>
      </c>
      <c r="E301" s="46">
        <v>45154</v>
      </c>
      <c r="F301" s="45" t="s">
        <v>721</v>
      </c>
      <c r="I301" t="s">
        <v>784</v>
      </c>
    </row>
    <row r="302" spans="1:9" hidden="1" x14ac:dyDescent="0.3">
      <c r="A302" t="s">
        <v>748</v>
      </c>
      <c r="B302" s="46">
        <v>45289</v>
      </c>
      <c r="C302" s="45">
        <v>195000</v>
      </c>
      <c r="D302" t="s">
        <v>783</v>
      </c>
      <c r="E302" s="46">
        <v>45306</v>
      </c>
      <c r="F302" s="45" t="s">
        <v>721</v>
      </c>
      <c r="I302" t="s">
        <v>784</v>
      </c>
    </row>
    <row r="303" spans="1:9" hidden="1" x14ac:dyDescent="0.3">
      <c r="A303" t="s">
        <v>748</v>
      </c>
      <c r="B303" s="46">
        <v>45224</v>
      </c>
      <c r="C303" s="45">
        <v>194315</v>
      </c>
      <c r="D303" t="s">
        <v>797</v>
      </c>
      <c r="E303" s="46">
        <v>45245</v>
      </c>
      <c r="F303" s="45" t="s">
        <v>721</v>
      </c>
      <c r="I303" t="s">
        <v>781</v>
      </c>
    </row>
    <row r="304" spans="1:9" hidden="1" x14ac:dyDescent="0.3">
      <c r="A304" t="s">
        <v>775</v>
      </c>
      <c r="B304" s="46">
        <v>45258</v>
      </c>
      <c r="C304" s="45">
        <v>193000</v>
      </c>
      <c r="D304" t="s">
        <v>1637</v>
      </c>
      <c r="E304" s="46">
        <v>45278</v>
      </c>
      <c r="F304" s="45" t="s">
        <v>721</v>
      </c>
      <c r="I304" t="s">
        <v>726</v>
      </c>
    </row>
    <row r="305" spans="1:9" hidden="1" x14ac:dyDescent="0.3">
      <c r="A305" t="s">
        <v>777</v>
      </c>
      <c r="B305" s="46">
        <v>45302</v>
      </c>
      <c r="C305" s="45">
        <v>192170</v>
      </c>
      <c r="D305" t="s">
        <v>778</v>
      </c>
      <c r="E305" s="46">
        <v>45337</v>
      </c>
      <c r="F305" s="45" t="s">
        <v>721</v>
      </c>
      <c r="I305" t="s">
        <v>750</v>
      </c>
    </row>
    <row r="306" spans="1:9" hidden="1" x14ac:dyDescent="0.3">
      <c r="A306" t="s">
        <v>734</v>
      </c>
      <c r="B306" s="46">
        <v>45119</v>
      </c>
      <c r="C306" s="45">
        <v>189900</v>
      </c>
      <c r="D306" t="s">
        <v>735</v>
      </c>
      <c r="E306" s="46">
        <v>45154</v>
      </c>
      <c r="F306" s="45" t="s">
        <v>721</v>
      </c>
      <c r="I306" t="s">
        <v>736</v>
      </c>
    </row>
    <row r="307" spans="1:9" hidden="1" x14ac:dyDescent="0.3">
      <c r="A307" t="s">
        <v>794</v>
      </c>
      <c r="B307" s="46">
        <v>45301</v>
      </c>
      <c r="C307" s="45">
        <v>189000</v>
      </c>
      <c r="D307" t="s">
        <v>1638</v>
      </c>
      <c r="E307" s="46">
        <v>45338</v>
      </c>
      <c r="F307" s="45" t="s">
        <v>721</v>
      </c>
      <c r="I307" t="s">
        <v>814</v>
      </c>
    </row>
    <row r="308" spans="1:9" hidden="1" x14ac:dyDescent="0.3">
      <c r="A308" t="s">
        <v>779</v>
      </c>
      <c r="B308" s="46">
        <v>45271</v>
      </c>
      <c r="C308" s="45">
        <v>186340</v>
      </c>
      <c r="D308" t="s">
        <v>1639</v>
      </c>
      <c r="E308" s="46">
        <v>45307</v>
      </c>
      <c r="F308" s="45" t="s">
        <v>721</v>
      </c>
      <c r="I308" t="s">
        <v>1200</v>
      </c>
    </row>
    <row r="309" spans="1:9" hidden="1" x14ac:dyDescent="0.3">
      <c r="A309" t="s">
        <v>746</v>
      </c>
      <c r="B309" s="46">
        <v>45174</v>
      </c>
      <c r="C309" s="45">
        <v>185274</v>
      </c>
      <c r="D309" t="s">
        <v>768</v>
      </c>
      <c r="E309" s="46">
        <v>45215</v>
      </c>
      <c r="F309" s="45" t="s">
        <v>731</v>
      </c>
      <c r="G309" t="s">
        <v>732</v>
      </c>
      <c r="H309">
        <v>136</v>
      </c>
      <c r="I309" t="s">
        <v>733</v>
      </c>
    </row>
    <row r="310" spans="1:9" hidden="1" x14ac:dyDescent="0.3">
      <c r="A310" t="s">
        <v>794</v>
      </c>
      <c r="B310" s="46">
        <v>45173</v>
      </c>
      <c r="C310" s="45">
        <v>184500</v>
      </c>
      <c r="D310" t="s">
        <v>1638</v>
      </c>
      <c r="E310" s="46">
        <v>45215</v>
      </c>
      <c r="F310" s="45" t="s">
        <v>721</v>
      </c>
      <c r="I310" t="s">
        <v>814</v>
      </c>
    </row>
    <row r="311" spans="1:9" hidden="1" x14ac:dyDescent="0.3">
      <c r="A311" t="s">
        <v>794</v>
      </c>
      <c r="B311" s="46">
        <v>45176</v>
      </c>
      <c r="C311" s="45">
        <v>184500</v>
      </c>
      <c r="D311" t="s">
        <v>1638</v>
      </c>
      <c r="E311" s="46">
        <v>45215</v>
      </c>
      <c r="F311" s="45" t="s">
        <v>721</v>
      </c>
      <c r="I311" t="s">
        <v>814</v>
      </c>
    </row>
    <row r="312" spans="1:9" hidden="1" x14ac:dyDescent="0.3">
      <c r="A312" t="s">
        <v>794</v>
      </c>
      <c r="B312" s="46">
        <v>45180</v>
      </c>
      <c r="C312" s="45">
        <v>184500</v>
      </c>
      <c r="D312" t="s">
        <v>1638</v>
      </c>
      <c r="E312" s="46">
        <v>45215</v>
      </c>
      <c r="F312" s="45" t="s">
        <v>721</v>
      </c>
      <c r="I312" t="s">
        <v>814</v>
      </c>
    </row>
    <row r="313" spans="1:9" hidden="1" x14ac:dyDescent="0.3">
      <c r="A313" t="s">
        <v>794</v>
      </c>
      <c r="B313" s="46">
        <v>45264</v>
      </c>
      <c r="C313" s="45">
        <v>184500</v>
      </c>
      <c r="D313" t="s">
        <v>1638</v>
      </c>
      <c r="E313" s="46">
        <v>45307</v>
      </c>
      <c r="F313" s="45" t="s">
        <v>721</v>
      </c>
      <c r="I313" t="s">
        <v>814</v>
      </c>
    </row>
    <row r="314" spans="1:9" hidden="1" x14ac:dyDescent="0.3">
      <c r="A314" t="s">
        <v>794</v>
      </c>
      <c r="B314" s="46">
        <v>45271</v>
      </c>
      <c r="C314" s="45">
        <v>184500</v>
      </c>
      <c r="D314" t="s">
        <v>1638</v>
      </c>
      <c r="E314" s="46">
        <v>45307</v>
      </c>
      <c r="F314" s="45" t="s">
        <v>721</v>
      </c>
      <c r="I314" t="s">
        <v>814</v>
      </c>
    </row>
    <row r="315" spans="1:9" hidden="1" x14ac:dyDescent="0.3">
      <c r="A315" t="s">
        <v>794</v>
      </c>
      <c r="B315" s="46">
        <v>45278</v>
      </c>
      <c r="C315" s="45">
        <v>184500</v>
      </c>
      <c r="D315" t="s">
        <v>1638</v>
      </c>
      <c r="E315" s="46">
        <v>45307</v>
      </c>
      <c r="F315" s="45" t="s">
        <v>721</v>
      </c>
      <c r="I315" t="s">
        <v>814</v>
      </c>
    </row>
    <row r="316" spans="1:9" hidden="1" x14ac:dyDescent="0.3">
      <c r="A316" t="s">
        <v>794</v>
      </c>
      <c r="B316" s="46">
        <v>45288</v>
      </c>
      <c r="C316" s="45">
        <v>184500</v>
      </c>
      <c r="D316" t="s">
        <v>1638</v>
      </c>
      <c r="E316" s="46">
        <v>45307</v>
      </c>
      <c r="F316" s="45" t="s">
        <v>721</v>
      </c>
      <c r="I316" t="s">
        <v>814</v>
      </c>
    </row>
    <row r="317" spans="1:9" hidden="1" x14ac:dyDescent="0.3">
      <c r="A317" t="s">
        <v>794</v>
      </c>
      <c r="B317" s="46">
        <v>45231</v>
      </c>
      <c r="C317" s="45">
        <v>184500</v>
      </c>
      <c r="D317" t="s">
        <v>1638</v>
      </c>
      <c r="E317" s="46">
        <v>45278</v>
      </c>
      <c r="F317" s="45" t="s">
        <v>721</v>
      </c>
      <c r="I317" t="s">
        <v>814</v>
      </c>
    </row>
    <row r="318" spans="1:9" hidden="1" x14ac:dyDescent="0.3">
      <c r="A318" t="s">
        <v>794</v>
      </c>
      <c r="B318" s="46">
        <v>45244</v>
      </c>
      <c r="C318" s="45">
        <v>184500</v>
      </c>
      <c r="D318" t="s">
        <v>1638</v>
      </c>
      <c r="E318" s="46">
        <v>45278</v>
      </c>
      <c r="F318" s="45" t="s">
        <v>721</v>
      </c>
      <c r="I318" t="s">
        <v>814</v>
      </c>
    </row>
    <row r="319" spans="1:9" hidden="1" x14ac:dyDescent="0.3">
      <c r="A319" t="s">
        <v>794</v>
      </c>
      <c r="B319" s="46">
        <v>45251</v>
      </c>
      <c r="C319" s="45">
        <v>184500</v>
      </c>
      <c r="D319" t="s">
        <v>1638</v>
      </c>
      <c r="E319" s="46">
        <v>45278</v>
      </c>
      <c r="F319" s="45" t="s">
        <v>721</v>
      </c>
      <c r="I319" t="s">
        <v>814</v>
      </c>
    </row>
    <row r="320" spans="1:9" hidden="1" x14ac:dyDescent="0.3">
      <c r="A320" t="s">
        <v>794</v>
      </c>
      <c r="B320" s="46">
        <v>45231</v>
      </c>
      <c r="C320" s="45">
        <v>184500</v>
      </c>
      <c r="D320" t="s">
        <v>1638</v>
      </c>
      <c r="E320" s="46">
        <v>45276</v>
      </c>
      <c r="F320" s="45" t="s">
        <v>721</v>
      </c>
      <c r="G320">
        <v>0</v>
      </c>
      <c r="I320" t="s">
        <v>814</v>
      </c>
    </row>
    <row r="321" spans="1:9" hidden="1" x14ac:dyDescent="0.3">
      <c r="A321" t="s">
        <v>794</v>
      </c>
      <c r="B321" s="46">
        <v>45244</v>
      </c>
      <c r="C321" s="45">
        <v>184500</v>
      </c>
      <c r="D321" t="s">
        <v>1638</v>
      </c>
      <c r="E321" s="46">
        <v>45276</v>
      </c>
      <c r="F321" s="45" t="s">
        <v>721</v>
      </c>
      <c r="G321">
        <v>0</v>
      </c>
      <c r="I321" t="s">
        <v>814</v>
      </c>
    </row>
    <row r="322" spans="1:9" hidden="1" x14ac:dyDescent="0.3">
      <c r="A322" t="s">
        <v>794</v>
      </c>
      <c r="B322" s="46">
        <v>45251</v>
      </c>
      <c r="C322" s="45">
        <v>184500</v>
      </c>
      <c r="D322" t="s">
        <v>1638</v>
      </c>
      <c r="E322" s="46">
        <v>45276</v>
      </c>
      <c r="F322" s="45" t="s">
        <v>721</v>
      </c>
      <c r="G322">
        <v>0</v>
      </c>
      <c r="I322" t="s">
        <v>814</v>
      </c>
    </row>
    <row r="323" spans="1:9" x14ac:dyDescent="0.3">
      <c r="A323" t="s">
        <v>794</v>
      </c>
      <c r="B323" s="46">
        <v>45203</v>
      </c>
      <c r="C323" s="45">
        <v>184500</v>
      </c>
      <c r="D323" t="s">
        <v>1638</v>
      </c>
      <c r="E323" s="46">
        <v>45246</v>
      </c>
      <c r="F323" s="45" t="s">
        <v>721</v>
      </c>
      <c r="I323" t="s">
        <v>814</v>
      </c>
    </row>
    <row r="324" spans="1:9" hidden="1" x14ac:dyDescent="0.3">
      <c r="A324" t="s">
        <v>794</v>
      </c>
      <c r="B324" s="46">
        <v>45210</v>
      </c>
      <c r="C324" s="45">
        <v>184500</v>
      </c>
      <c r="D324" t="s">
        <v>1638</v>
      </c>
      <c r="E324" s="46">
        <v>45246</v>
      </c>
      <c r="F324" s="45" t="s">
        <v>721</v>
      </c>
      <c r="I324" t="s">
        <v>814</v>
      </c>
    </row>
    <row r="325" spans="1:9" hidden="1" x14ac:dyDescent="0.3">
      <c r="A325" t="s">
        <v>794</v>
      </c>
      <c r="B325" s="46">
        <v>45217</v>
      </c>
      <c r="C325" s="45">
        <v>184500</v>
      </c>
      <c r="D325" t="s">
        <v>1638</v>
      </c>
      <c r="E325" s="46">
        <v>45246</v>
      </c>
      <c r="F325" s="45" t="s">
        <v>721</v>
      </c>
      <c r="I325" t="s">
        <v>814</v>
      </c>
    </row>
    <row r="326" spans="1:9" hidden="1" x14ac:dyDescent="0.3">
      <c r="A326" t="s">
        <v>794</v>
      </c>
      <c r="B326" s="46">
        <v>45224</v>
      </c>
      <c r="C326" s="45">
        <v>184500</v>
      </c>
      <c r="D326" t="s">
        <v>1638</v>
      </c>
      <c r="E326" s="46">
        <v>45246</v>
      </c>
      <c r="F326" s="45" t="s">
        <v>721</v>
      </c>
      <c r="I326" t="s">
        <v>814</v>
      </c>
    </row>
    <row r="327" spans="1:9" hidden="1" x14ac:dyDescent="0.3">
      <c r="A327" t="s">
        <v>794</v>
      </c>
      <c r="B327" s="46">
        <v>45306</v>
      </c>
      <c r="C327" s="45">
        <v>184500</v>
      </c>
      <c r="D327" t="s">
        <v>1638</v>
      </c>
      <c r="E327" s="46">
        <v>45338</v>
      </c>
      <c r="F327" s="45" t="s">
        <v>721</v>
      </c>
      <c r="I327" t="s">
        <v>814</v>
      </c>
    </row>
    <row r="328" spans="1:9" hidden="1" x14ac:dyDescent="0.3">
      <c r="A328" t="s">
        <v>794</v>
      </c>
      <c r="B328" s="46">
        <v>45294</v>
      </c>
      <c r="C328" s="45">
        <v>184500</v>
      </c>
      <c r="D328" t="s">
        <v>1638</v>
      </c>
      <c r="E328" s="46">
        <v>45338</v>
      </c>
      <c r="F328" s="45" t="s">
        <v>721</v>
      </c>
      <c r="I328" t="s">
        <v>814</v>
      </c>
    </row>
    <row r="329" spans="1:9" hidden="1" x14ac:dyDescent="0.3">
      <c r="A329" t="s">
        <v>724</v>
      </c>
      <c r="B329" s="46">
        <v>45328</v>
      </c>
      <c r="C329" s="45">
        <v>183000</v>
      </c>
      <c r="D329" t="s">
        <v>802</v>
      </c>
      <c r="E329" s="46">
        <v>45377</v>
      </c>
      <c r="F329" s="45" t="s">
        <v>721</v>
      </c>
      <c r="I329" t="s">
        <v>726</v>
      </c>
    </row>
    <row r="330" spans="1:9" hidden="1" x14ac:dyDescent="0.3">
      <c r="A330" t="s">
        <v>794</v>
      </c>
      <c r="B330" s="46">
        <v>45168</v>
      </c>
      <c r="C330" s="45">
        <v>183000</v>
      </c>
      <c r="D330" t="s">
        <v>1638</v>
      </c>
      <c r="E330" s="46">
        <v>45184</v>
      </c>
      <c r="F330" s="45" t="s">
        <v>721</v>
      </c>
      <c r="I330" t="s">
        <v>814</v>
      </c>
    </row>
    <row r="331" spans="1:9" hidden="1" x14ac:dyDescent="0.3">
      <c r="A331" t="s">
        <v>779</v>
      </c>
      <c r="B331" s="46">
        <v>45393</v>
      </c>
      <c r="C331" s="45">
        <v>182860</v>
      </c>
      <c r="D331" t="s">
        <v>2037</v>
      </c>
      <c r="E331" s="46">
        <v>45428</v>
      </c>
      <c r="F331" s="45" t="s">
        <v>721</v>
      </c>
      <c r="G331">
        <v>0</v>
      </c>
      <c r="I331" t="s">
        <v>1200</v>
      </c>
    </row>
    <row r="332" spans="1:9" hidden="1" x14ac:dyDescent="0.3">
      <c r="A332" t="s">
        <v>779</v>
      </c>
      <c r="B332" s="46">
        <v>45362</v>
      </c>
      <c r="C332" s="45">
        <v>182710</v>
      </c>
      <c r="D332" t="s">
        <v>2038</v>
      </c>
      <c r="E332" s="46">
        <v>45398</v>
      </c>
      <c r="F332" s="45" t="s">
        <v>721</v>
      </c>
      <c r="G332">
        <v>0</v>
      </c>
      <c r="I332" t="s">
        <v>1200</v>
      </c>
    </row>
    <row r="333" spans="1:9" hidden="1" x14ac:dyDescent="0.3">
      <c r="A333" t="s">
        <v>779</v>
      </c>
      <c r="B333" s="46">
        <v>45302</v>
      </c>
      <c r="C333" s="45">
        <v>182710</v>
      </c>
      <c r="D333" t="s">
        <v>1640</v>
      </c>
      <c r="E333" s="46">
        <v>45338</v>
      </c>
      <c r="F333" s="45" t="s">
        <v>721</v>
      </c>
      <c r="I333" t="s">
        <v>1200</v>
      </c>
    </row>
    <row r="334" spans="1:9" hidden="1" x14ac:dyDescent="0.3">
      <c r="A334" t="s">
        <v>779</v>
      </c>
      <c r="B334" s="46">
        <v>45425</v>
      </c>
      <c r="C334" s="45">
        <v>182160</v>
      </c>
      <c r="D334" t="s">
        <v>2039</v>
      </c>
      <c r="E334" s="46">
        <v>45459</v>
      </c>
      <c r="F334" s="45" t="s">
        <v>721</v>
      </c>
      <c r="I334" t="s">
        <v>1200</v>
      </c>
    </row>
    <row r="335" spans="1:9" hidden="1" x14ac:dyDescent="0.3">
      <c r="A335" t="s">
        <v>748</v>
      </c>
      <c r="B335" s="46">
        <v>45189</v>
      </c>
      <c r="C335" s="45">
        <v>180000</v>
      </c>
      <c r="D335" t="s">
        <v>783</v>
      </c>
      <c r="E335" s="46">
        <v>45215</v>
      </c>
      <c r="F335" s="45" t="s">
        <v>721</v>
      </c>
      <c r="I335" t="s">
        <v>784</v>
      </c>
    </row>
    <row r="336" spans="1:9" hidden="1" x14ac:dyDescent="0.3">
      <c r="A336" t="s">
        <v>748</v>
      </c>
      <c r="B336" s="46">
        <v>45247</v>
      </c>
      <c r="C336" s="45">
        <v>180000</v>
      </c>
      <c r="D336" t="s">
        <v>783</v>
      </c>
      <c r="E336" s="46">
        <v>45275</v>
      </c>
      <c r="F336" s="45" t="s">
        <v>721</v>
      </c>
      <c r="I336" t="s">
        <v>784</v>
      </c>
    </row>
    <row r="337" spans="1:9" hidden="1" x14ac:dyDescent="0.3">
      <c r="A337" t="s">
        <v>748</v>
      </c>
      <c r="B337" s="46">
        <v>45282</v>
      </c>
      <c r="C337" s="45">
        <v>180000</v>
      </c>
      <c r="D337" t="s">
        <v>783</v>
      </c>
      <c r="E337" s="46">
        <v>45306</v>
      </c>
      <c r="F337" s="45" t="s">
        <v>721</v>
      </c>
      <c r="I337" t="s">
        <v>784</v>
      </c>
    </row>
    <row r="338" spans="1:9" hidden="1" x14ac:dyDescent="0.3">
      <c r="A338" t="s">
        <v>775</v>
      </c>
      <c r="B338" s="46">
        <v>45181</v>
      </c>
      <c r="C338" s="45">
        <v>178700</v>
      </c>
      <c r="D338" t="s">
        <v>1641</v>
      </c>
      <c r="E338" s="46">
        <v>45215</v>
      </c>
      <c r="F338" s="45" t="s">
        <v>721</v>
      </c>
    </row>
    <row r="339" spans="1:9" hidden="1" x14ac:dyDescent="0.3">
      <c r="A339" t="s">
        <v>779</v>
      </c>
      <c r="B339" s="46">
        <v>45350</v>
      </c>
      <c r="C339" s="45">
        <v>178000</v>
      </c>
      <c r="D339" t="s">
        <v>1642</v>
      </c>
      <c r="E339" s="46">
        <v>45369</v>
      </c>
      <c r="F339" s="45" t="s">
        <v>721</v>
      </c>
      <c r="G339">
        <v>0</v>
      </c>
      <c r="I339" t="s">
        <v>740</v>
      </c>
    </row>
    <row r="340" spans="1:9" hidden="1" x14ac:dyDescent="0.3">
      <c r="A340" t="s">
        <v>779</v>
      </c>
      <c r="B340" s="46">
        <v>45243</v>
      </c>
      <c r="C340" s="45">
        <v>177270</v>
      </c>
      <c r="D340" t="s">
        <v>1643</v>
      </c>
      <c r="E340" s="46">
        <v>45278</v>
      </c>
      <c r="F340" s="45" t="s">
        <v>721</v>
      </c>
      <c r="I340" t="s">
        <v>1200</v>
      </c>
    </row>
    <row r="341" spans="1:9" hidden="1" x14ac:dyDescent="0.3">
      <c r="A341" t="s">
        <v>779</v>
      </c>
      <c r="B341" s="46">
        <v>45243</v>
      </c>
      <c r="C341" s="45">
        <v>177270</v>
      </c>
      <c r="D341" t="s">
        <v>1643</v>
      </c>
      <c r="E341" s="46">
        <v>45276</v>
      </c>
      <c r="F341" s="45" t="s">
        <v>721</v>
      </c>
      <c r="G341">
        <v>0</v>
      </c>
      <c r="I341" t="s">
        <v>1200</v>
      </c>
    </row>
    <row r="342" spans="1:9" hidden="1" x14ac:dyDescent="0.3">
      <c r="A342" t="s">
        <v>803</v>
      </c>
      <c r="B342" s="46">
        <v>45351</v>
      </c>
      <c r="C342" s="45">
        <v>177000</v>
      </c>
      <c r="D342" t="s">
        <v>804</v>
      </c>
      <c r="E342" s="46">
        <v>45369</v>
      </c>
      <c r="F342" s="45" t="s">
        <v>721</v>
      </c>
      <c r="G342">
        <v>0</v>
      </c>
      <c r="I342" t="s">
        <v>740</v>
      </c>
    </row>
    <row r="343" spans="1:9" hidden="1" x14ac:dyDescent="0.3">
      <c r="A343" t="s">
        <v>734</v>
      </c>
      <c r="B343" s="46">
        <v>45286</v>
      </c>
      <c r="C343" s="45">
        <v>176000</v>
      </c>
      <c r="D343" t="s">
        <v>805</v>
      </c>
      <c r="E343" s="46">
        <v>45306</v>
      </c>
      <c r="F343" s="45" t="s">
        <v>721</v>
      </c>
      <c r="I343" t="s">
        <v>760</v>
      </c>
    </row>
    <row r="344" spans="1:9" hidden="1" x14ac:dyDescent="0.3">
      <c r="A344" t="s">
        <v>734</v>
      </c>
      <c r="B344" s="46">
        <v>45390</v>
      </c>
      <c r="C344" s="45">
        <v>175780</v>
      </c>
      <c r="D344" t="s">
        <v>815</v>
      </c>
      <c r="E344" s="46">
        <v>45428</v>
      </c>
      <c r="F344" s="45" t="s">
        <v>721</v>
      </c>
      <c r="I344" t="s">
        <v>762</v>
      </c>
    </row>
    <row r="345" spans="1:9" x14ac:dyDescent="0.3">
      <c r="A345" t="s">
        <v>724</v>
      </c>
      <c r="B345" s="46">
        <v>45435</v>
      </c>
      <c r="C345" s="45">
        <v>174000</v>
      </c>
      <c r="D345" t="s">
        <v>2032</v>
      </c>
      <c r="E345" s="46">
        <v>45469</v>
      </c>
      <c r="F345" s="45" t="s">
        <v>721</v>
      </c>
      <c r="I345" t="s">
        <v>740</v>
      </c>
    </row>
    <row r="346" spans="1:9" hidden="1" x14ac:dyDescent="0.3">
      <c r="A346" t="s">
        <v>734</v>
      </c>
      <c r="B346" s="46">
        <v>45295</v>
      </c>
      <c r="C346" s="45">
        <v>170000</v>
      </c>
      <c r="D346" t="s">
        <v>806</v>
      </c>
      <c r="E346" s="46">
        <v>45337</v>
      </c>
      <c r="F346" s="45" t="s">
        <v>721</v>
      </c>
      <c r="I346" t="s">
        <v>726</v>
      </c>
    </row>
    <row r="347" spans="1:9" hidden="1" x14ac:dyDescent="0.3">
      <c r="A347" t="s">
        <v>727</v>
      </c>
      <c r="B347" s="46">
        <v>45259</v>
      </c>
      <c r="C347" s="45">
        <v>168145</v>
      </c>
      <c r="D347" t="s">
        <v>808</v>
      </c>
      <c r="E347" s="46">
        <v>45275</v>
      </c>
      <c r="F347" s="45" t="s">
        <v>721</v>
      </c>
      <c r="I347" t="s">
        <v>809</v>
      </c>
    </row>
    <row r="348" spans="1:9" hidden="1" x14ac:dyDescent="0.3">
      <c r="A348" t="s">
        <v>779</v>
      </c>
      <c r="B348" s="46">
        <v>45374</v>
      </c>
      <c r="C348" s="45">
        <v>168000</v>
      </c>
      <c r="D348" t="s">
        <v>1646</v>
      </c>
      <c r="E348" s="46">
        <v>45398</v>
      </c>
      <c r="F348" s="45" t="s">
        <v>721</v>
      </c>
      <c r="G348">
        <v>0</v>
      </c>
      <c r="I348" t="s">
        <v>726</v>
      </c>
    </row>
    <row r="349" spans="1:9" hidden="1" x14ac:dyDescent="0.3">
      <c r="A349" t="s">
        <v>746</v>
      </c>
      <c r="B349" s="46">
        <v>45196</v>
      </c>
      <c r="C349" s="45">
        <v>165774</v>
      </c>
      <c r="D349" t="s">
        <v>811</v>
      </c>
      <c r="E349" s="46">
        <v>45245</v>
      </c>
      <c r="F349" s="45" t="s">
        <v>731</v>
      </c>
      <c r="G349" t="s">
        <v>732</v>
      </c>
      <c r="H349">
        <v>120</v>
      </c>
      <c r="I349" t="s">
        <v>733</v>
      </c>
    </row>
    <row r="350" spans="1:9" hidden="1" x14ac:dyDescent="0.3">
      <c r="A350" t="s">
        <v>748</v>
      </c>
      <c r="B350" s="46">
        <v>45126</v>
      </c>
      <c r="C350" s="45">
        <v>165000</v>
      </c>
      <c r="D350" t="s">
        <v>783</v>
      </c>
      <c r="E350" s="46">
        <v>45154</v>
      </c>
      <c r="F350" s="45" t="s">
        <v>721</v>
      </c>
      <c r="I350" t="s">
        <v>784</v>
      </c>
    </row>
    <row r="351" spans="1:9" hidden="1" x14ac:dyDescent="0.3">
      <c r="A351" t="s">
        <v>746</v>
      </c>
      <c r="B351" s="46">
        <v>45387</v>
      </c>
      <c r="C351" s="45">
        <v>163773</v>
      </c>
      <c r="D351" t="s">
        <v>751</v>
      </c>
      <c r="E351" s="46">
        <v>45428</v>
      </c>
      <c r="F351" s="45" t="s">
        <v>731</v>
      </c>
      <c r="G351" t="s">
        <v>732</v>
      </c>
      <c r="H351">
        <v>118.5</v>
      </c>
      <c r="I351" t="s">
        <v>733</v>
      </c>
    </row>
    <row r="352" spans="1:9" hidden="1" x14ac:dyDescent="0.3">
      <c r="A352" t="s">
        <v>743</v>
      </c>
      <c r="B352" s="46">
        <v>45420</v>
      </c>
      <c r="C352" s="45">
        <v>162654</v>
      </c>
      <c r="D352" t="s">
        <v>769</v>
      </c>
      <c r="E352" s="46">
        <v>45469</v>
      </c>
      <c r="F352" s="45" t="s">
        <v>731</v>
      </c>
      <c r="G352" t="s">
        <v>732</v>
      </c>
      <c r="H352">
        <v>117</v>
      </c>
      <c r="I352" t="s">
        <v>733</v>
      </c>
    </row>
    <row r="353" spans="1:9" hidden="1" x14ac:dyDescent="0.3">
      <c r="A353" t="s">
        <v>772</v>
      </c>
      <c r="B353" s="46">
        <v>45441</v>
      </c>
      <c r="C353" s="45">
        <v>162000</v>
      </c>
      <c r="D353" t="s">
        <v>810</v>
      </c>
      <c r="E353" s="46">
        <v>45469</v>
      </c>
      <c r="F353" s="45" t="s">
        <v>721</v>
      </c>
      <c r="I353" t="s">
        <v>760</v>
      </c>
    </row>
    <row r="354" spans="1:9" hidden="1" x14ac:dyDescent="0.3">
      <c r="A354" t="s">
        <v>772</v>
      </c>
      <c r="B354" s="46">
        <v>45344</v>
      </c>
      <c r="C354" s="45">
        <v>162000</v>
      </c>
      <c r="D354" t="s">
        <v>810</v>
      </c>
      <c r="E354" s="46">
        <v>45377</v>
      </c>
      <c r="F354" s="45" t="s">
        <v>721</v>
      </c>
      <c r="I354" t="s">
        <v>760</v>
      </c>
    </row>
    <row r="355" spans="1:9" hidden="1" x14ac:dyDescent="0.3">
      <c r="A355" t="s">
        <v>772</v>
      </c>
      <c r="B355" s="46">
        <v>45162</v>
      </c>
      <c r="C355" s="45">
        <v>162000</v>
      </c>
      <c r="D355" t="s">
        <v>810</v>
      </c>
      <c r="E355" s="46">
        <v>45195</v>
      </c>
      <c r="F355" s="45" t="s">
        <v>721</v>
      </c>
      <c r="I355" t="s">
        <v>760</v>
      </c>
    </row>
    <row r="356" spans="1:9" hidden="1" x14ac:dyDescent="0.3">
      <c r="A356" t="s">
        <v>727</v>
      </c>
      <c r="B356" s="46">
        <v>45261</v>
      </c>
      <c r="C356" s="45">
        <v>162000</v>
      </c>
      <c r="D356" t="s">
        <v>812</v>
      </c>
      <c r="E356" s="46">
        <v>45306</v>
      </c>
      <c r="F356" s="45" t="s">
        <v>721</v>
      </c>
      <c r="I356" t="s">
        <v>782</v>
      </c>
    </row>
    <row r="357" spans="1:9" hidden="1" x14ac:dyDescent="0.3">
      <c r="A357" t="s">
        <v>729</v>
      </c>
      <c r="B357" s="46">
        <v>45188</v>
      </c>
      <c r="C357" s="45">
        <v>160200</v>
      </c>
      <c r="D357" t="s">
        <v>765</v>
      </c>
      <c r="E357" s="46">
        <v>45215</v>
      </c>
      <c r="F357" s="45" t="s">
        <v>721</v>
      </c>
      <c r="I357" t="s">
        <v>756</v>
      </c>
    </row>
    <row r="358" spans="1:9" hidden="1" x14ac:dyDescent="0.3">
      <c r="A358" t="s">
        <v>779</v>
      </c>
      <c r="B358" s="46">
        <v>45171</v>
      </c>
      <c r="C358" s="45">
        <v>160000</v>
      </c>
      <c r="D358" t="s">
        <v>1634</v>
      </c>
      <c r="E358" s="46">
        <v>45215</v>
      </c>
      <c r="F358" s="45" t="s">
        <v>721</v>
      </c>
    </row>
    <row r="359" spans="1:9" hidden="1" x14ac:dyDescent="0.3">
      <c r="A359" t="s">
        <v>779</v>
      </c>
      <c r="B359" s="46">
        <v>45122</v>
      </c>
      <c r="C359" s="45">
        <v>160000</v>
      </c>
      <c r="D359" t="s">
        <v>1634</v>
      </c>
      <c r="E359" s="46">
        <v>45154</v>
      </c>
      <c r="F359" s="45" t="s">
        <v>721</v>
      </c>
    </row>
    <row r="360" spans="1:9" hidden="1" x14ac:dyDescent="0.3">
      <c r="A360" t="s">
        <v>779</v>
      </c>
      <c r="B360" s="46">
        <v>45262</v>
      </c>
      <c r="C360" s="45">
        <v>160000</v>
      </c>
      <c r="D360" t="s">
        <v>1634</v>
      </c>
      <c r="E360" s="46">
        <v>45307</v>
      </c>
      <c r="F360" s="45" t="s">
        <v>721</v>
      </c>
      <c r="I360" t="s">
        <v>726</v>
      </c>
    </row>
    <row r="361" spans="1:9" hidden="1" x14ac:dyDescent="0.3">
      <c r="A361" t="s">
        <v>748</v>
      </c>
      <c r="B361" s="46">
        <v>45238</v>
      </c>
      <c r="C361" s="45">
        <v>160000</v>
      </c>
      <c r="D361" t="s">
        <v>813</v>
      </c>
      <c r="E361" s="46">
        <v>45275</v>
      </c>
      <c r="F361" s="45" t="s">
        <v>721</v>
      </c>
      <c r="I361" t="s">
        <v>814</v>
      </c>
    </row>
    <row r="362" spans="1:9" x14ac:dyDescent="0.3">
      <c r="A362" t="s">
        <v>767</v>
      </c>
      <c r="B362" s="46">
        <v>45407</v>
      </c>
      <c r="C362" s="45">
        <v>160000</v>
      </c>
      <c r="D362" t="s">
        <v>816</v>
      </c>
      <c r="E362" s="46">
        <v>45428</v>
      </c>
      <c r="F362" s="45" t="s">
        <v>721</v>
      </c>
      <c r="I362" t="s">
        <v>726</v>
      </c>
    </row>
    <row r="363" spans="1:9" x14ac:dyDescent="0.3">
      <c r="A363" t="s">
        <v>729</v>
      </c>
      <c r="B363" s="46">
        <v>45323</v>
      </c>
      <c r="C363" s="45">
        <v>159000</v>
      </c>
      <c r="D363" t="s">
        <v>765</v>
      </c>
      <c r="E363" s="46">
        <v>45366</v>
      </c>
      <c r="F363" s="45" t="s">
        <v>721</v>
      </c>
      <c r="I363" t="s">
        <v>726</v>
      </c>
    </row>
    <row r="364" spans="1:9" hidden="1" x14ac:dyDescent="0.3">
      <c r="A364" t="s">
        <v>746</v>
      </c>
      <c r="B364" s="46">
        <v>45246</v>
      </c>
      <c r="C364" s="45">
        <v>158788</v>
      </c>
      <c r="D364" t="s">
        <v>768</v>
      </c>
      <c r="E364" s="46">
        <v>45275</v>
      </c>
      <c r="F364" s="45" t="s">
        <v>731</v>
      </c>
      <c r="G364" t="s">
        <v>732</v>
      </c>
      <c r="H364">
        <v>120</v>
      </c>
      <c r="I364" t="s">
        <v>733</v>
      </c>
    </row>
    <row r="365" spans="1:9" hidden="1" x14ac:dyDescent="0.3">
      <c r="A365" t="s">
        <v>734</v>
      </c>
      <c r="B365" s="46">
        <v>45180</v>
      </c>
      <c r="C365" s="45">
        <v>157650</v>
      </c>
      <c r="D365" t="s">
        <v>815</v>
      </c>
      <c r="E365" s="46">
        <v>45215</v>
      </c>
      <c r="F365" s="45" t="s">
        <v>721</v>
      </c>
      <c r="I365" t="s">
        <v>762</v>
      </c>
    </row>
    <row r="366" spans="1:9" hidden="1" x14ac:dyDescent="0.3">
      <c r="A366" t="s">
        <v>775</v>
      </c>
      <c r="B366" s="46">
        <v>45300</v>
      </c>
      <c r="C366" s="45">
        <v>157500</v>
      </c>
      <c r="D366" t="s">
        <v>816</v>
      </c>
      <c r="E366" s="46">
        <v>45338</v>
      </c>
      <c r="F366" s="45" t="s">
        <v>721</v>
      </c>
      <c r="I366" t="s">
        <v>726</v>
      </c>
    </row>
    <row r="367" spans="1:9" hidden="1" x14ac:dyDescent="0.3">
      <c r="A367" t="s">
        <v>734</v>
      </c>
      <c r="B367" s="46">
        <v>45238</v>
      </c>
      <c r="C367" s="45">
        <v>156010</v>
      </c>
      <c r="D367" t="s">
        <v>815</v>
      </c>
      <c r="E367" s="46">
        <v>45275</v>
      </c>
      <c r="F367" s="45" t="s">
        <v>721</v>
      </c>
      <c r="I367" t="s">
        <v>762</v>
      </c>
    </row>
    <row r="368" spans="1:9" hidden="1" x14ac:dyDescent="0.3">
      <c r="A368" t="s">
        <v>779</v>
      </c>
      <c r="B368" s="46">
        <v>45318</v>
      </c>
      <c r="C368" s="45">
        <v>155000</v>
      </c>
      <c r="D368" t="s">
        <v>1634</v>
      </c>
      <c r="E368" s="46">
        <v>45338</v>
      </c>
      <c r="F368" s="45" t="s">
        <v>721</v>
      </c>
      <c r="I368" t="s">
        <v>740</v>
      </c>
    </row>
    <row r="369" spans="1:9" hidden="1" x14ac:dyDescent="0.3">
      <c r="A369" t="s">
        <v>779</v>
      </c>
      <c r="B369" s="46">
        <v>45339</v>
      </c>
      <c r="C369" s="45">
        <v>155000</v>
      </c>
      <c r="D369" t="s">
        <v>1634</v>
      </c>
      <c r="E369" s="46">
        <v>45369</v>
      </c>
      <c r="F369" s="45" t="s">
        <v>721</v>
      </c>
      <c r="G369">
        <v>0</v>
      </c>
      <c r="I369" t="s">
        <v>726</v>
      </c>
    </row>
    <row r="370" spans="1:9" x14ac:dyDescent="0.3">
      <c r="A370" t="s">
        <v>779</v>
      </c>
      <c r="B370" s="46">
        <v>45412</v>
      </c>
      <c r="C370" s="45">
        <v>155000</v>
      </c>
      <c r="D370" t="s">
        <v>1634</v>
      </c>
      <c r="E370" s="46">
        <v>45428</v>
      </c>
      <c r="F370" s="45" t="s">
        <v>721</v>
      </c>
      <c r="G370">
        <v>0</v>
      </c>
      <c r="I370" t="s">
        <v>726</v>
      </c>
    </row>
    <row r="371" spans="1:9" hidden="1" x14ac:dyDescent="0.3">
      <c r="A371" t="s">
        <v>772</v>
      </c>
      <c r="B371" s="46">
        <v>45287</v>
      </c>
      <c r="C371" s="45">
        <v>152000</v>
      </c>
      <c r="D371" t="s">
        <v>810</v>
      </c>
      <c r="E371" s="46">
        <v>45317</v>
      </c>
      <c r="F371" s="45" t="s">
        <v>721</v>
      </c>
      <c r="I371" t="s">
        <v>760</v>
      </c>
    </row>
    <row r="372" spans="1:9" hidden="1" x14ac:dyDescent="0.3">
      <c r="A372" t="s">
        <v>779</v>
      </c>
      <c r="B372" s="46">
        <v>45438</v>
      </c>
      <c r="C372" s="45">
        <v>151000</v>
      </c>
      <c r="D372" t="s">
        <v>1071</v>
      </c>
      <c r="E372" s="46">
        <v>45459</v>
      </c>
      <c r="F372" s="45" t="s">
        <v>721</v>
      </c>
      <c r="I372" t="s">
        <v>726</v>
      </c>
    </row>
    <row r="373" spans="1:9" hidden="1" x14ac:dyDescent="0.3">
      <c r="A373" t="s">
        <v>724</v>
      </c>
      <c r="B373" s="46">
        <v>45330</v>
      </c>
      <c r="C373" s="45">
        <v>150000</v>
      </c>
      <c r="D373" t="s">
        <v>820</v>
      </c>
      <c r="E373" s="46">
        <v>45377</v>
      </c>
      <c r="F373" s="45" t="s">
        <v>721</v>
      </c>
      <c r="I373" t="s">
        <v>726</v>
      </c>
    </row>
    <row r="374" spans="1:9" hidden="1" x14ac:dyDescent="0.3">
      <c r="A374" t="s">
        <v>794</v>
      </c>
      <c r="B374" s="46">
        <v>45314</v>
      </c>
      <c r="C374" s="45">
        <v>150000</v>
      </c>
      <c r="D374" t="s">
        <v>1645</v>
      </c>
      <c r="E374" s="46">
        <v>45338</v>
      </c>
      <c r="F374" s="45" t="s">
        <v>721</v>
      </c>
      <c r="I374" t="s">
        <v>818</v>
      </c>
    </row>
    <row r="375" spans="1:9" hidden="1" x14ac:dyDescent="0.3">
      <c r="A375" t="s">
        <v>748</v>
      </c>
      <c r="B375" s="46">
        <v>45301</v>
      </c>
      <c r="C375" s="45">
        <v>150000</v>
      </c>
      <c r="D375" t="s">
        <v>783</v>
      </c>
      <c r="E375" s="46">
        <v>45337</v>
      </c>
      <c r="F375" s="45" t="s">
        <v>721</v>
      </c>
      <c r="I375" t="s">
        <v>784</v>
      </c>
    </row>
    <row r="376" spans="1:9" x14ac:dyDescent="0.3">
      <c r="A376" t="s">
        <v>748</v>
      </c>
      <c r="B376" s="46">
        <v>45322</v>
      </c>
      <c r="C376" s="45">
        <v>150000</v>
      </c>
      <c r="D376" t="s">
        <v>783</v>
      </c>
      <c r="E376" s="46">
        <v>45337</v>
      </c>
      <c r="F376" s="45" t="s">
        <v>721</v>
      </c>
      <c r="I376" t="s">
        <v>784</v>
      </c>
    </row>
    <row r="377" spans="1:9" hidden="1" x14ac:dyDescent="0.3">
      <c r="A377" t="s">
        <v>772</v>
      </c>
      <c r="B377" s="46">
        <v>45232</v>
      </c>
      <c r="C377" s="45">
        <v>150000</v>
      </c>
      <c r="D377" t="s">
        <v>819</v>
      </c>
      <c r="E377" s="46">
        <v>45256</v>
      </c>
      <c r="F377" s="45" t="s">
        <v>721</v>
      </c>
      <c r="I377" t="s">
        <v>760</v>
      </c>
    </row>
    <row r="378" spans="1:9" hidden="1" x14ac:dyDescent="0.3">
      <c r="A378" t="s">
        <v>729</v>
      </c>
      <c r="B378" s="46">
        <v>45189</v>
      </c>
      <c r="C378" s="45">
        <v>149250</v>
      </c>
      <c r="D378" t="s">
        <v>790</v>
      </c>
      <c r="E378" s="46">
        <v>45215</v>
      </c>
      <c r="F378" s="45" t="s">
        <v>721</v>
      </c>
      <c r="I378" t="s">
        <v>756</v>
      </c>
    </row>
    <row r="379" spans="1:9" hidden="1" x14ac:dyDescent="0.3">
      <c r="A379" t="s">
        <v>734</v>
      </c>
      <c r="B379" s="46">
        <v>45322</v>
      </c>
      <c r="C379" s="45">
        <v>148760</v>
      </c>
      <c r="D379" t="s">
        <v>735</v>
      </c>
      <c r="E379" s="46">
        <v>45337</v>
      </c>
      <c r="F379" s="45" t="s">
        <v>721</v>
      </c>
      <c r="I379" t="s">
        <v>762</v>
      </c>
    </row>
    <row r="380" spans="1:9" hidden="1" x14ac:dyDescent="0.3">
      <c r="A380" t="s">
        <v>745</v>
      </c>
      <c r="B380" s="46">
        <v>45365</v>
      </c>
      <c r="C380" s="45">
        <v>148320</v>
      </c>
      <c r="D380" t="s">
        <v>2040</v>
      </c>
      <c r="E380" s="46">
        <v>45398</v>
      </c>
      <c r="F380" s="45" t="s">
        <v>721</v>
      </c>
      <c r="G380">
        <v>0</v>
      </c>
      <c r="I380" t="s">
        <v>1200</v>
      </c>
    </row>
    <row r="381" spans="1:9" hidden="1" x14ac:dyDescent="0.3">
      <c r="A381" t="s">
        <v>748</v>
      </c>
      <c r="B381" s="46">
        <v>45363</v>
      </c>
      <c r="C381" s="45">
        <v>147664</v>
      </c>
      <c r="D381" t="s">
        <v>793</v>
      </c>
      <c r="E381" s="46">
        <v>45397</v>
      </c>
      <c r="F381" s="45" t="s">
        <v>721</v>
      </c>
      <c r="I381" t="s">
        <v>750</v>
      </c>
    </row>
    <row r="382" spans="1:9" hidden="1" x14ac:dyDescent="0.3">
      <c r="A382" t="s">
        <v>821</v>
      </c>
      <c r="B382" s="46">
        <v>45191</v>
      </c>
      <c r="C382" s="45">
        <v>147600</v>
      </c>
      <c r="D382" t="s">
        <v>822</v>
      </c>
      <c r="E382" s="46">
        <v>45215</v>
      </c>
      <c r="F382" s="45" t="s">
        <v>721</v>
      </c>
      <c r="I382" t="s">
        <v>756</v>
      </c>
    </row>
    <row r="383" spans="1:9" hidden="1" x14ac:dyDescent="0.3">
      <c r="A383" t="s">
        <v>772</v>
      </c>
      <c r="B383" s="46">
        <v>45225</v>
      </c>
      <c r="C383" s="45">
        <v>146000</v>
      </c>
      <c r="D383" t="s">
        <v>823</v>
      </c>
      <c r="E383" s="46">
        <v>45256</v>
      </c>
      <c r="F383" s="45" t="s">
        <v>721</v>
      </c>
      <c r="I383" t="s">
        <v>726</v>
      </c>
    </row>
    <row r="384" spans="1:9" hidden="1" x14ac:dyDescent="0.3">
      <c r="A384" t="s">
        <v>734</v>
      </c>
      <c r="B384" s="46">
        <v>45260</v>
      </c>
      <c r="C384" s="45">
        <v>144968</v>
      </c>
      <c r="D384" t="s">
        <v>824</v>
      </c>
      <c r="E384" s="46">
        <v>45306</v>
      </c>
      <c r="F384" s="45" t="s">
        <v>721</v>
      </c>
      <c r="I384" t="s">
        <v>726</v>
      </c>
    </row>
    <row r="385" spans="1:9" hidden="1" x14ac:dyDescent="0.3">
      <c r="A385" t="s">
        <v>734</v>
      </c>
      <c r="B385" s="46">
        <v>45293</v>
      </c>
      <c r="C385" s="45">
        <v>144585</v>
      </c>
      <c r="D385" t="s">
        <v>799</v>
      </c>
      <c r="E385" s="46">
        <v>45337</v>
      </c>
      <c r="F385" s="45" t="s">
        <v>721</v>
      </c>
      <c r="I385" t="s">
        <v>826</v>
      </c>
    </row>
    <row r="386" spans="1:9" hidden="1" x14ac:dyDescent="0.3">
      <c r="A386" t="s">
        <v>757</v>
      </c>
      <c r="B386" s="46">
        <v>45132</v>
      </c>
      <c r="C386" s="45">
        <v>143919</v>
      </c>
      <c r="D386" t="s">
        <v>758</v>
      </c>
      <c r="E386" s="46">
        <v>45164</v>
      </c>
      <c r="F386" s="45" t="s">
        <v>731</v>
      </c>
      <c r="G386" t="s">
        <v>732</v>
      </c>
      <c r="H386">
        <v>110</v>
      </c>
      <c r="I386" t="s">
        <v>733</v>
      </c>
    </row>
    <row r="387" spans="1:9" hidden="1" x14ac:dyDescent="0.3">
      <c r="A387" t="s">
        <v>794</v>
      </c>
      <c r="B387" s="46">
        <v>45257</v>
      </c>
      <c r="C387" s="45">
        <v>143500</v>
      </c>
      <c r="D387" t="s">
        <v>1638</v>
      </c>
      <c r="E387" s="46">
        <v>45278</v>
      </c>
      <c r="F387" s="45" t="s">
        <v>721</v>
      </c>
      <c r="I387" t="s">
        <v>814</v>
      </c>
    </row>
    <row r="388" spans="1:9" hidden="1" x14ac:dyDescent="0.3">
      <c r="A388" t="s">
        <v>794</v>
      </c>
      <c r="B388" s="46">
        <v>45257</v>
      </c>
      <c r="C388" s="45">
        <v>143500</v>
      </c>
      <c r="D388" t="s">
        <v>1638</v>
      </c>
      <c r="E388" s="46">
        <v>45276</v>
      </c>
      <c r="F388" s="45" t="s">
        <v>721</v>
      </c>
      <c r="G388">
        <v>0</v>
      </c>
      <c r="I388" t="s">
        <v>814</v>
      </c>
    </row>
    <row r="389" spans="1:9" hidden="1" x14ac:dyDescent="0.3">
      <c r="A389" t="s">
        <v>772</v>
      </c>
      <c r="B389" s="46">
        <v>45195</v>
      </c>
      <c r="C389" s="45">
        <v>142500</v>
      </c>
      <c r="D389" t="s">
        <v>793</v>
      </c>
      <c r="E389" s="46">
        <v>45225</v>
      </c>
      <c r="F389" s="45" t="s">
        <v>721</v>
      </c>
      <c r="I389" t="s">
        <v>750</v>
      </c>
    </row>
    <row r="390" spans="1:9" hidden="1" x14ac:dyDescent="0.3">
      <c r="A390" t="s">
        <v>727</v>
      </c>
      <c r="B390" s="46">
        <v>45393</v>
      </c>
      <c r="C390" s="45">
        <v>142000</v>
      </c>
      <c r="D390" t="s">
        <v>2041</v>
      </c>
      <c r="E390" s="46">
        <v>45428</v>
      </c>
      <c r="F390" s="45" t="s">
        <v>721</v>
      </c>
      <c r="I390" t="s">
        <v>726</v>
      </c>
    </row>
    <row r="391" spans="1:9" hidden="1" x14ac:dyDescent="0.3">
      <c r="A391" t="s">
        <v>729</v>
      </c>
      <c r="B391" s="46">
        <v>45189</v>
      </c>
      <c r="C391" s="45">
        <v>141550</v>
      </c>
      <c r="D391" t="s">
        <v>765</v>
      </c>
      <c r="E391" s="46">
        <v>45215</v>
      </c>
      <c r="F391" s="45" t="s">
        <v>721</v>
      </c>
      <c r="I391" t="s">
        <v>756</v>
      </c>
    </row>
    <row r="392" spans="1:9" hidden="1" x14ac:dyDescent="0.3">
      <c r="A392" t="s">
        <v>729</v>
      </c>
      <c r="B392" s="46">
        <v>45189</v>
      </c>
      <c r="C392" s="45">
        <v>141040</v>
      </c>
      <c r="D392" t="s">
        <v>765</v>
      </c>
      <c r="E392" s="46">
        <v>45215</v>
      </c>
      <c r="F392" s="45" t="s">
        <v>721</v>
      </c>
      <c r="I392" t="s">
        <v>756</v>
      </c>
    </row>
    <row r="393" spans="1:9" hidden="1" x14ac:dyDescent="0.3">
      <c r="A393" t="s">
        <v>748</v>
      </c>
      <c r="B393" s="46">
        <v>45301</v>
      </c>
      <c r="C393" s="45">
        <v>140400</v>
      </c>
      <c r="D393" t="s">
        <v>735</v>
      </c>
      <c r="E393" s="46">
        <v>45337</v>
      </c>
      <c r="F393" s="45" t="s">
        <v>721</v>
      </c>
      <c r="I393" t="s">
        <v>762</v>
      </c>
    </row>
    <row r="394" spans="1:9" hidden="1" x14ac:dyDescent="0.3">
      <c r="A394" t="s">
        <v>748</v>
      </c>
      <c r="B394" s="46">
        <v>45252</v>
      </c>
      <c r="C394" s="45">
        <v>140040</v>
      </c>
      <c r="D394" t="s">
        <v>828</v>
      </c>
      <c r="E394" s="46">
        <v>45275</v>
      </c>
      <c r="F394" s="45" t="s">
        <v>721</v>
      </c>
      <c r="I394" t="s">
        <v>762</v>
      </c>
    </row>
    <row r="395" spans="1:9" hidden="1" x14ac:dyDescent="0.3">
      <c r="A395" t="s">
        <v>779</v>
      </c>
      <c r="B395" s="46">
        <v>45346</v>
      </c>
      <c r="C395" s="45">
        <v>140000</v>
      </c>
      <c r="D395" t="s">
        <v>1646</v>
      </c>
      <c r="E395" s="46">
        <v>45369</v>
      </c>
      <c r="F395" s="45" t="s">
        <v>721</v>
      </c>
      <c r="G395">
        <v>0</v>
      </c>
      <c r="I395" t="s">
        <v>726</v>
      </c>
    </row>
    <row r="396" spans="1:9" hidden="1" x14ac:dyDescent="0.3">
      <c r="A396" t="s">
        <v>720</v>
      </c>
      <c r="B396" s="46">
        <v>45370</v>
      </c>
      <c r="C396" s="45">
        <v>138900</v>
      </c>
      <c r="D396" t="s">
        <v>1820</v>
      </c>
      <c r="E396" s="46">
        <v>45408</v>
      </c>
      <c r="F396" s="45" t="s">
        <v>721</v>
      </c>
      <c r="I396" t="s">
        <v>2027</v>
      </c>
    </row>
    <row r="397" spans="1:9" hidden="1" x14ac:dyDescent="0.3">
      <c r="A397" t="s">
        <v>734</v>
      </c>
      <c r="B397" s="46">
        <v>45418</v>
      </c>
      <c r="C397" s="45">
        <v>138802</v>
      </c>
      <c r="D397" t="s">
        <v>833</v>
      </c>
      <c r="E397" s="46">
        <v>45458</v>
      </c>
      <c r="F397" s="45" t="s">
        <v>731</v>
      </c>
      <c r="G397" t="s">
        <v>732</v>
      </c>
      <c r="H397">
        <v>100</v>
      </c>
      <c r="I397" t="s">
        <v>738</v>
      </c>
    </row>
    <row r="398" spans="1:9" hidden="1" x14ac:dyDescent="0.3">
      <c r="A398" t="s">
        <v>734</v>
      </c>
      <c r="B398" s="46">
        <v>45388</v>
      </c>
      <c r="C398" s="45">
        <v>138195</v>
      </c>
      <c r="D398" t="s">
        <v>833</v>
      </c>
      <c r="E398" s="46">
        <v>45428</v>
      </c>
      <c r="F398" s="45" t="s">
        <v>731</v>
      </c>
      <c r="G398" t="s">
        <v>732</v>
      </c>
      <c r="H398">
        <v>100</v>
      </c>
      <c r="I398" t="s">
        <v>738</v>
      </c>
    </row>
    <row r="399" spans="1:9" x14ac:dyDescent="0.3">
      <c r="A399" t="s">
        <v>767</v>
      </c>
      <c r="B399" s="46">
        <v>45167</v>
      </c>
      <c r="C399" s="45">
        <v>138000</v>
      </c>
      <c r="D399" t="s">
        <v>830</v>
      </c>
      <c r="E399" s="46">
        <v>45184</v>
      </c>
      <c r="F399" s="45" t="s">
        <v>721</v>
      </c>
      <c r="I399" t="s">
        <v>795</v>
      </c>
    </row>
    <row r="400" spans="1:9" hidden="1" x14ac:dyDescent="0.3">
      <c r="A400" t="s">
        <v>767</v>
      </c>
      <c r="B400" s="46">
        <v>45224</v>
      </c>
      <c r="C400" s="45">
        <v>137000</v>
      </c>
      <c r="D400" t="s">
        <v>831</v>
      </c>
      <c r="E400" s="46">
        <v>45245</v>
      </c>
      <c r="F400" s="45" t="s">
        <v>721</v>
      </c>
      <c r="I400" t="s">
        <v>726</v>
      </c>
    </row>
    <row r="401" spans="1:9" hidden="1" x14ac:dyDescent="0.3">
      <c r="A401" t="s">
        <v>722</v>
      </c>
      <c r="B401" s="46">
        <v>45182</v>
      </c>
      <c r="C401" s="45">
        <v>136500</v>
      </c>
      <c r="D401" t="s">
        <v>735</v>
      </c>
      <c r="E401" s="46">
        <v>45215</v>
      </c>
      <c r="F401" s="45" t="s">
        <v>721</v>
      </c>
      <c r="I401" t="s">
        <v>782</v>
      </c>
    </row>
    <row r="402" spans="1:9" x14ac:dyDescent="0.3">
      <c r="A402" t="s">
        <v>734</v>
      </c>
      <c r="B402" s="46">
        <v>45316</v>
      </c>
      <c r="C402" s="45">
        <v>136000</v>
      </c>
      <c r="D402" t="s">
        <v>832</v>
      </c>
      <c r="E402" s="46">
        <v>45337</v>
      </c>
      <c r="F402" s="45" t="s">
        <v>721</v>
      </c>
      <c r="I402" t="s">
        <v>726</v>
      </c>
    </row>
    <row r="403" spans="1:9" hidden="1" x14ac:dyDescent="0.3">
      <c r="A403" t="s">
        <v>734</v>
      </c>
      <c r="B403" s="46">
        <v>45357</v>
      </c>
      <c r="C403" s="45">
        <v>135917</v>
      </c>
      <c r="D403" t="s">
        <v>833</v>
      </c>
      <c r="E403" s="46">
        <v>45397</v>
      </c>
      <c r="F403" s="45" t="s">
        <v>731</v>
      </c>
      <c r="G403" t="s">
        <v>732</v>
      </c>
      <c r="H403">
        <v>100</v>
      </c>
      <c r="I403" t="s">
        <v>738</v>
      </c>
    </row>
    <row r="404" spans="1:9" hidden="1" x14ac:dyDescent="0.3">
      <c r="A404" t="s">
        <v>734</v>
      </c>
      <c r="B404" s="46">
        <v>45328</v>
      </c>
      <c r="C404" s="45">
        <v>135482</v>
      </c>
      <c r="D404" t="s">
        <v>833</v>
      </c>
      <c r="E404" s="46">
        <v>45366</v>
      </c>
      <c r="F404" s="45" t="s">
        <v>731</v>
      </c>
      <c r="G404" t="s">
        <v>732</v>
      </c>
      <c r="H404">
        <v>100</v>
      </c>
      <c r="I404" t="s">
        <v>738</v>
      </c>
    </row>
    <row r="405" spans="1:9" hidden="1" x14ac:dyDescent="0.3">
      <c r="A405" t="s">
        <v>729</v>
      </c>
      <c r="B405" s="46">
        <v>45265</v>
      </c>
      <c r="C405" s="45">
        <v>135432</v>
      </c>
      <c r="D405" t="s">
        <v>730</v>
      </c>
      <c r="E405" s="46">
        <v>45306</v>
      </c>
      <c r="F405" s="45" t="s">
        <v>731</v>
      </c>
      <c r="G405" t="s">
        <v>732</v>
      </c>
      <c r="H405">
        <v>101</v>
      </c>
      <c r="I405" t="s">
        <v>733</v>
      </c>
    </row>
    <row r="406" spans="1:9" x14ac:dyDescent="0.3">
      <c r="A406" t="s">
        <v>748</v>
      </c>
      <c r="B406" s="46">
        <v>45240</v>
      </c>
      <c r="C406" s="45">
        <v>135000</v>
      </c>
      <c r="D406" t="s">
        <v>783</v>
      </c>
      <c r="E406" s="46">
        <v>45275</v>
      </c>
      <c r="F406" s="45" t="s">
        <v>721</v>
      </c>
      <c r="I406" t="s">
        <v>784</v>
      </c>
    </row>
    <row r="407" spans="1:9" x14ac:dyDescent="0.3">
      <c r="A407" t="s">
        <v>748</v>
      </c>
      <c r="B407" s="46">
        <v>45219</v>
      </c>
      <c r="C407" s="45">
        <v>135000</v>
      </c>
      <c r="D407" t="s">
        <v>783</v>
      </c>
      <c r="E407" s="46">
        <v>45245</v>
      </c>
      <c r="F407" s="45" t="s">
        <v>721</v>
      </c>
      <c r="I407" t="s">
        <v>784</v>
      </c>
    </row>
    <row r="408" spans="1:9" hidden="1" x14ac:dyDescent="0.3">
      <c r="A408" t="s">
        <v>748</v>
      </c>
      <c r="B408" s="46">
        <v>45191</v>
      </c>
      <c r="C408" s="45">
        <v>135000</v>
      </c>
      <c r="D408" t="s">
        <v>783</v>
      </c>
      <c r="E408" s="46">
        <v>45215</v>
      </c>
      <c r="F408" s="45" t="s">
        <v>721</v>
      </c>
      <c r="I408" t="s">
        <v>784</v>
      </c>
    </row>
    <row r="409" spans="1:9" hidden="1" x14ac:dyDescent="0.3">
      <c r="A409" t="s">
        <v>748</v>
      </c>
      <c r="B409" s="46">
        <v>45315</v>
      </c>
      <c r="C409" s="45">
        <v>135000</v>
      </c>
      <c r="D409" t="s">
        <v>783</v>
      </c>
      <c r="E409" s="46">
        <v>45337</v>
      </c>
      <c r="F409" s="45" t="s">
        <v>721</v>
      </c>
      <c r="I409" t="s">
        <v>784</v>
      </c>
    </row>
    <row r="410" spans="1:9" hidden="1" x14ac:dyDescent="0.3">
      <c r="A410" t="s">
        <v>779</v>
      </c>
      <c r="B410" s="46">
        <v>45283</v>
      </c>
      <c r="C410" s="45">
        <v>135000</v>
      </c>
      <c r="D410" t="s">
        <v>1634</v>
      </c>
      <c r="E410" s="46">
        <v>45307</v>
      </c>
      <c r="F410" s="45" t="s">
        <v>721</v>
      </c>
      <c r="I410" t="s">
        <v>726</v>
      </c>
    </row>
    <row r="411" spans="1:9" x14ac:dyDescent="0.3">
      <c r="A411" t="s">
        <v>748</v>
      </c>
      <c r="B411" s="46">
        <v>45356</v>
      </c>
      <c r="C411" s="45">
        <v>135000</v>
      </c>
      <c r="D411" t="s">
        <v>783</v>
      </c>
      <c r="E411" s="46">
        <v>45397</v>
      </c>
      <c r="F411" s="45" t="s">
        <v>721</v>
      </c>
      <c r="I411" t="s">
        <v>784</v>
      </c>
    </row>
    <row r="412" spans="1:9" hidden="1" x14ac:dyDescent="0.3">
      <c r="A412" t="s">
        <v>748</v>
      </c>
      <c r="B412" s="46">
        <v>45387</v>
      </c>
      <c r="C412" s="45">
        <v>135000</v>
      </c>
      <c r="D412" t="s">
        <v>783</v>
      </c>
      <c r="E412" s="46">
        <v>45428</v>
      </c>
      <c r="F412" s="45" t="s">
        <v>721</v>
      </c>
      <c r="I412" t="s">
        <v>784</v>
      </c>
    </row>
    <row r="413" spans="1:9" hidden="1" x14ac:dyDescent="0.3">
      <c r="A413" t="s">
        <v>748</v>
      </c>
      <c r="B413" s="46">
        <v>45385</v>
      </c>
      <c r="C413" s="45">
        <v>135000</v>
      </c>
      <c r="D413" t="s">
        <v>783</v>
      </c>
      <c r="E413" s="46">
        <v>45428</v>
      </c>
      <c r="F413" s="45" t="s">
        <v>721</v>
      </c>
      <c r="I413" t="s">
        <v>784</v>
      </c>
    </row>
    <row r="414" spans="1:9" hidden="1" x14ac:dyDescent="0.3">
      <c r="A414" t="s">
        <v>748</v>
      </c>
      <c r="B414" s="46">
        <v>45429</v>
      </c>
      <c r="C414" s="45">
        <v>135000</v>
      </c>
      <c r="D414" t="s">
        <v>783</v>
      </c>
      <c r="E414" s="46">
        <v>45458</v>
      </c>
      <c r="F414" s="45" t="s">
        <v>721</v>
      </c>
      <c r="I414" t="s">
        <v>784</v>
      </c>
    </row>
    <row r="415" spans="1:9" hidden="1" x14ac:dyDescent="0.3">
      <c r="A415" t="s">
        <v>748</v>
      </c>
      <c r="B415" s="46">
        <v>45426</v>
      </c>
      <c r="C415" s="45">
        <v>135000</v>
      </c>
      <c r="D415" t="s">
        <v>783</v>
      </c>
      <c r="E415" s="46">
        <v>45458</v>
      </c>
      <c r="F415" s="45" t="s">
        <v>721</v>
      </c>
      <c r="I415" t="s">
        <v>784</v>
      </c>
    </row>
    <row r="416" spans="1:9" hidden="1" x14ac:dyDescent="0.3">
      <c r="A416" t="s">
        <v>734</v>
      </c>
      <c r="B416" s="46">
        <v>45169</v>
      </c>
      <c r="C416" s="45">
        <v>134840</v>
      </c>
      <c r="D416" t="s">
        <v>835</v>
      </c>
      <c r="E416" s="46">
        <v>45184</v>
      </c>
      <c r="F416" s="45" t="s">
        <v>721</v>
      </c>
      <c r="I416" t="s">
        <v>762</v>
      </c>
    </row>
    <row r="417" spans="1:9" hidden="1" x14ac:dyDescent="0.3">
      <c r="A417" t="s">
        <v>734</v>
      </c>
      <c r="B417" s="46">
        <v>45297</v>
      </c>
      <c r="C417" s="45">
        <v>134297</v>
      </c>
      <c r="D417" t="s">
        <v>833</v>
      </c>
      <c r="E417" s="46">
        <v>45337</v>
      </c>
      <c r="F417" s="45" t="s">
        <v>731</v>
      </c>
      <c r="G417" t="s">
        <v>732</v>
      </c>
      <c r="H417">
        <v>100</v>
      </c>
      <c r="I417" t="s">
        <v>738</v>
      </c>
    </row>
    <row r="418" spans="1:9" hidden="1" x14ac:dyDescent="0.3">
      <c r="A418" t="s">
        <v>745</v>
      </c>
      <c r="B418" s="46">
        <v>45152</v>
      </c>
      <c r="C418" s="45">
        <v>133220</v>
      </c>
      <c r="D418" t="s">
        <v>1647</v>
      </c>
      <c r="E418" s="46">
        <v>45184</v>
      </c>
      <c r="F418" s="45" t="s">
        <v>721</v>
      </c>
      <c r="I418" t="s">
        <v>1200</v>
      </c>
    </row>
    <row r="419" spans="1:9" hidden="1" x14ac:dyDescent="0.3">
      <c r="A419" t="s">
        <v>748</v>
      </c>
      <c r="B419" s="46">
        <v>45261</v>
      </c>
      <c r="C419" s="45">
        <v>132360</v>
      </c>
      <c r="D419" t="s">
        <v>735</v>
      </c>
      <c r="E419" s="46">
        <v>45306</v>
      </c>
      <c r="F419" s="45" t="s">
        <v>721</v>
      </c>
      <c r="I419" t="s">
        <v>782</v>
      </c>
    </row>
    <row r="420" spans="1:9" hidden="1" x14ac:dyDescent="0.3">
      <c r="A420" t="s">
        <v>729</v>
      </c>
      <c r="B420" s="46">
        <v>45189</v>
      </c>
      <c r="C420" s="45">
        <v>131864</v>
      </c>
      <c r="D420" t="s">
        <v>765</v>
      </c>
      <c r="E420" s="46">
        <v>45215</v>
      </c>
      <c r="F420" s="45" t="s">
        <v>721</v>
      </c>
      <c r="I420" t="s">
        <v>795</v>
      </c>
    </row>
    <row r="421" spans="1:9" hidden="1" x14ac:dyDescent="0.3">
      <c r="A421" t="s">
        <v>727</v>
      </c>
      <c r="B421" s="46">
        <v>45169</v>
      </c>
      <c r="C421" s="45">
        <v>131000</v>
      </c>
      <c r="D421" t="s">
        <v>836</v>
      </c>
      <c r="E421" s="46">
        <v>45184</v>
      </c>
      <c r="F421" s="45" t="s">
        <v>721</v>
      </c>
      <c r="I421" t="s">
        <v>726</v>
      </c>
    </row>
    <row r="422" spans="1:9" hidden="1" x14ac:dyDescent="0.3">
      <c r="A422" t="s">
        <v>734</v>
      </c>
      <c r="B422" s="46">
        <v>45205</v>
      </c>
      <c r="C422" s="45">
        <v>130942</v>
      </c>
      <c r="D422" t="s">
        <v>833</v>
      </c>
      <c r="E422" s="46">
        <v>45245</v>
      </c>
      <c r="F422" s="45" t="s">
        <v>731</v>
      </c>
      <c r="G422" t="s">
        <v>732</v>
      </c>
      <c r="H422">
        <v>95</v>
      </c>
      <c r="I422" t="s">
        <v>738</v>
      </c>
    </row>
    <row r="423" spans="1:9" hidden="1" x14ac:dyDescent="0.3">
      <c r="A423" t="s">
        <v>727</v>
      </c>
      <c r="B423" s="46">
        <v>45433</v>
      </c>
      <c r="C423" s="45">
        <v>130400</v>
      </c>
      <c r="D423" t="s">
        <v>735</v>
      </c>
      <c r="E423" s="46">
        <v>45458</v>
      </c>
      <c r="F423" s="45" t="s">
        <v>721</v>
      </c>
      <c r="I423" t="s">
        <v>736</v>
      </c>
    </row>
    <row r="424" spans="1:9" hidden="1" x14ac:dyDescent="0.3">
      <c r="A424" t="s">
        <v>779</v>
      </c>
      <c r="B424" s="46">
        <v>45276</v>
      </c>
      <c r="C424" s="45">
        <v>130000</v>
      </c>
      <c r="D424" t="s">
        <v>817</v>
      </c>
      <c r="E424" s="46">
        <v>45307</v>
      </c>
      <c r="F424" s="45" t="s">
        <v>721</v>
      </c>
      <c r="I424" t="s">
        <v>726</v>
      </c>
    </row>
    <row r="425" spans="1:9" hidden="1" x14ac:dyDescent="0.3">
      <c r="A425" t="s">
        <v>761</v>
      </c>
      <c r="B425" s="46">
        <v>45270</v>
      </c>
      <c r="C425" s="45">
        <v>130000</v>
      </c>
      <c r="D425" t="s">
        <v>837</v>
      </c>
      <c r="E425" s="46">
        <v>45317</v>
      </c>
      <c r="F425" s="45" t="s">
        <v>721</v>
      </c>
      <c r="I425" t="s">
        <v>838</v>
      </c>
    </row>
    <row r="426" spans="1:9" hidden="1" x14ac:dyDescent="0.3">
      <c r="A426" t="s">
        <v>779</v>
      </c>
      <c r="B426" s="46">
        <v>45197</v>
      </c>
      <c r="C426" s="45">
        <v>130000</v>
      </c>
      <c r="D426" t="s">
        <v>817</v>
      </c>
      <c r="E426" s="46">
        <v>45215</v>
      </c>
      <c r="F426" s="45" t="s">
        <v>721</v>
      </c>
    </row>
    <row r="427" spans="1:9" hidden="1" x14ac:dyDescent="0.3">
      <c r="A427" t="s">
        <v>746</v>
      </c>
      <c r="B427" s="46">
        <v>45196</v>
      </c>
      <c r="C427" s="45">
        <v>129862</v>
      </c>
      <c r="D427" t="s">
        <v>752</v>
      </c>
      <c r="E427" s="46">
        <v>45245</v>
      </c>
      <c r="F427" s="45" t="s">
        <v>731</v>
      </c>
      <c r="G427" t="s">
        <v>732</v>
      </c>
      <c r="H427">
        <v>94</v>
      </c>
      <c r="I427" t="s">
        <v>733</v>
      </c>
    </row>
    <row r="428" spans="1:9" hidden="1" x14ac:dyDescent="0.3">
      <c r="A428" t="s">
        <v>734</v>
      </c>
      <c r="B428" s="46">
        <v>45175</v>
      </c>
      <c r="C428" s="45">
        <v>129422</v>
      </c>
      <c r="D428" t="s">
        <v>833</v>
      </c>
      <c r="E428" s="46">
        <v>45215</v>
      </c>
      <c r="F428" s="45" t="s">
        <v>731</v>
      </c>
      <c r="G428" t="s">
        <v>732</v>
      </c>
      <c r="H428">
        <v>95</v>
      </c>
      <c r="I428" t="s">
        <v>738</v>
      </c>
    </row>
    <row r="429" spans="1:9" hidden="1" x14ac:dyDescent="0.3">
      <c r="A429" t="s">
        <v>729</v>
      </c>
      <c r="B429" s="46">
        <v>45189</v>
      </c>
      <c r="C429" s="45">
        <v>129000</v>
      </c>
      <c r="D429" t="s">
        <v>765</v>
      </c>
      <c r="E429" s="46">
        <v>45215</v>
      </c>
      <c r="F429" s="45" t="s">
        <v>721</v>
      </c>
      <c r="I429" t="s">
        <v>756</v>
      </c>
    </row>
    <row r="430" spans="1:9" hidden="1" x14ac:dyDescent="0.3">
      <c r="A430" t="s">
        <v>729</v>
      </c>
      <c r="B430" s="46">
        <v>45188</v>
      </c>
      <c r="C430" s="45">
        <v>129000</v>
      </c>
      <c r="D430" t="s">
        <v>765</v>
      </c>
      <c r="E430" s="46">
        <v>45215</v>
      </c>
      <c r="F430" s="45" t="s">
        <v>721</v>
      </c>
      <c r="I430" t="s">
        <v>756</v>
      </c>
    </row>
    <row r="431" spans="1:9" hidden="1" x14ac:dyDescent="0.3">
      <c r="A431" t="s">
        <v>729</v>
      </c>
      <c r="B431" s="46">
        <v>45323</v>
      </c>
      <c r="C431" s="45">
        <v>127600</v>
      </c>
      <c r="D431" t="s">
        <v>765</v>
      </c>
      <c r="E431" s="46">
        <v>45366</v>
      </c>
      <c r="F431" s="45" t="s">
        <v>721</v>
      </c>
      <c r="I431" t="s">
        <v>726</v>
      </c>
    </row>
    <row r="432" spans="1:9" hidden="1" x14ac:dyDescent="0.3">
      <c r="A432" t="s">
        <v>734</v>
      </c>
      <c r="B432" s="46">
        <v>45266</v>
      </c>
      <c r="C432" s="45">
        <v>127460</v>
      </c>
      <c r="D432" t="s">
        <v>833</v>
      </c>
      <c r="E432" s="46">
        <v>45306</v>
      </c>
      <c r="F432" s="45" t="s">
        <v>731</v>
      </c>
      <c r="G432" t="s">
        <v>732</v>
      </c>
      <c r="H432">
        <v>95</v>
      </c>
      <c r="I432" t="s">
        <v>738</v>
      </c>
    </row>
    <row r="433" spans="1:9" hidden="1" x14ac:dyDescent="0.3">
      <c r="A433" t="s">
        <v>734</v>
      </c>
      <c r="B433" s="46">
        <v>45144</v>
      </c>
      <c r="C433" s="45">
        <v>126632</v>
      </c>
      <c r="D433" t="s">
        <v>833</v>
      </c>
      <c r="E433" s="46">
        <v>45184</v>
      </c>
      <c r="F433" s="45" t="s">
        <v>731</v>
      </c>
      <c r="G433" t="s">
        <v>732</v>
      </c>
      <c r="H433">
        <v>95</v>
      </c>
      <c r="I433" t="s">
        <v>738</v>
      </c>
    </row>
    <row r="434" spans="1:9" hidden="1" x14ac:dyDescent="0.3">
      <c r="A434" t="s">
        <v>767</v>
      </c>
      <c r="B434" s="46">
        <v>45358</v>
      </c>
      <c r="C434" s="45">
        <v>126600</v>
      </c>
      <c r="D434" t="s">
        <v>2042</v>
      </c>
      <c r="E434" s="46">
        <v>45397</v>
      </c>
      <c r="F434" s="45" t="s">
        <v>721</v>
      </c>
      <c r="I434" t="s">
        <v>726</v>
      </c>
    </row>
    <row r="435" spans="1:9" hidden="1" x14ac:dyDescent="0.3">
      <c r="A435" t="s">
        <v>734</v>
      </c>
      <c r="B435" s="46">
        <v>45236</v>
      </c>
      <c r="C435" s="45">
        <v>126566</v>
      </c>
      <c r="D435" t="s">
        <v>833</v>
      </c>
      <c r="E435" s="46">
        <v>45275</v>
      </c>
      <c r="F435" s="45" t="s">
        <v>731</v>
      </c>
      <c r="G435" t="s">
        <v>732</v>
      </c>
      <c r="H435">
        <v>95</v>
      </c>
      <c r="I435" t="s">
        <v>738</v>
      </c>
    </row>
    <row r="436" spans="1:9" x14ac:dyDescent="0.3">
      <c r="A436" t="s">
        <v>779</v>
      </c>
      <c r="B436" s="46">
        <v>45165</v>
      </c>
      <c r="C436" s="45">
        <v>126000</v>
      </c>
      <c r="D436" t="s">
        <v>829</v>
      </c>
      <c r="E436" s="46">
        <v>45184</v>
      </c>
      <c r="F436" s="45" t="s">
        <v>721</v>
      </c>
      <c r="I436" t="s">
        <v>726</v>
      </c>
    </row>
    <row r="437" spans="1:9" hidden="1" x14ac:dyDescent="0.3">
      <c r="A437" t="s">
        <v>779</v>
      </c>
      <c r="B437" s="46">
        <v>45387</v>
      </c>
      <c r="C437" s="45">
        <v>125000</v>
      </c>
      <c r="D437" t="s">
        <v>2043</v>
      </c>
      <c r="E437" s="46">
        <v>45428</v>
      </c>
      <c r="F437" s="45" t="s">
        <v>721</v>
      </c>
      <c r="G437">
        <v>0</v>
      </c>
      <c r="I437" t="s">
        <v>726</v>
      </c>
    </row>
    <row r="438" spans="1:9" hidden="1" x14ac:dyDescent="0.3">
      <c r="A438" t="s">
        <v>727</v>
      </c>
      <c r="B438" s="46">
        <v>45399</v>
      </c>
      <c r="C438" s="45">
        <v>125000</v>
      </c>
      <c r="D438" t="s">
        <v>2045</v>
      </c>
      <c r="E438" s="46">
        <v>45428</v>
      </c>
      <c r="F438" s="45" t="s">
        <v>721</v>
      </c>
      <c r="I438" t="s">
        <v>2027</v>
      </c>
    </row>
    <row r="439" spans="1:9" hidden="1" x14ac:dyDescent="0.3">
      <c r="A439" t="s">
        <v>767</v>
      </c>
      <c r="B439" s="46">
        <v>45400</v>
      </c>
      <c r="C439" s="45">
        <v>125000</v>
      </c>
      <c r="D439" t="s">
        <v>2044</v>
      </c>
      <c r="E439" s="46">
        <v>45428</v>
      </c>
      <c r="F439" s="45" t="s">
        <v>721</v>
      </c>
      <c r="I439" t="s">
        <v>726</v>
      </c>
    </row>
    <row r="440" spans="1:9" hidden="1" x14ac:dyDescent="0.3">
      <c r="A440" t="s">
        <v>724</v>
      </c>
      <c r="B440" s="46">
        <v>45419</v>
      </c>
      <c r="C440" s="45">
        <v>125000</v>
      </c>
      <c r="D440" t="s">
        <v>791</v>
      </c>
      <c r="E440" s="46">
        <v>45469</v>
      </c>
      <c r="F440" s="45" t="s">
        <v>721</v>
      </c>
      <c r="I440" t="s">
        <v>726</v>
      </c>
    </row>
    <row r="441" spans="1:9" hidden="1" x14ac:dyDescent="0.3">
      <c r="A441" t="s">
        <v>729</v>
      </c>
      <c r="B441" s="46">
        <v>45189</v>
      </c>
      <c r="C441" s="45">
        <v>123760</v>
      </c>
      <c r="D441" t="s">
        <v>765</v>
      </c>
      <c r="E441" s="46">
        <v>45215</v>
      </c>
      <c r="F441" s="45" t="s">
        <v>721</v>
      </c>
      <c r="I441" t="s">
        <v>756</v>
      </c>
    </row>
    <row r="442" spans="1:9" hidden="1" x14ac:dyDescent="0.3">
      <c r="A442" t="s">
        <v>779</v>
      </c>
      <c r="B442" s="46">
        <v>45202</v>
      </c>
      <c r="C442" s="45">
        <v>123100</v>
      </c>
      <c r="D442" t="s">
        <v>1650</v>
      </c>
      <c r="E442" s="46">
        <v>45246</v>
      </c>
      <c r="F442" s="45" t="s">
        <v>721</v>
      </c>
    </row>
    <row r="443" spans="1:9" hidden="1" x14ac:dyDescent="0.3">
      <c r="A443" t="s">
        <v>722</v>
      </c>
      <c r="B443" s="46">
        <v>45314</v>
      </c>
      <c r="C443" s="45">
        <v>122584</v>
      </c>
      <c r="D443" t="s">
        <v>765</v>
      </c>
      <c r="E443" s="46">
        <v>45337</v>
      </c>
      <c r="F443" s="45" t="s">
        <v>721</v>
      </c>
      <c r="I443" t="s">
        <v>726</v>
      </c>
    </row>
    <row r="444" spans="1:9" hidden="1" x14ac:dyDescent="0.3">
      <c r="A444" t="s">
        <v>734</v>
      </c>
      <c r="B444" s="46">
        <v>45386</v>
      </c>
      <c r="C444" s="45">
        <v>122300</v>
      </c>
      <c r="D444" t="s">
        <v>2046</v>
      </c>
      <c r="E444" s="46">
        <v>45428</v>
      </c>
      <c r="F444" s="45" t="s">
        <v>721</v>
      </c>
      <c r="I444" t="s">
        <v>726</v>
      </c>
    </row>
    <row r="445" spans="1:9" hidden="1" x14ac:dyDescent="0.3">
      <c r="A445" t="s">
        <v>748</v>
      </c>
      <c r="B445" s="46">
        <v>45303</v>
      </c>
      <c r="C445" s="45">
        <v>120000</v>
      </c>
      <c r="D445" t="s">
        <v>842</v>
      </c>
      <c r="E445" s="46">
        <v>45337</v>
      </c>
      <c r="F445" s="45" t="s">
        <v>721</v>
      </c>
      <c r="I445" t="s">
        <v>762</v>
      </c>
    </row>
    <row r="446" spans="1:9" hidden="1" x14ac:dyDescent="0.3">
      <c r="A446" t="s">
        <v>748</v>
      </c>
      <c r="B446" s="46">
        <v>45310</v>
      </c>
      <c r="C446" s="45">
        <v>120000</v>
      </c>
      <c r="D446" t="s">
        <v>783</v>
      </c>
      <c r="E446" s="46">
        <v>45337</v>
      </c>
      <c r="F446" s="45" t="s">
        <v>721</v>
      </c>
      <c r="I446" t="s">
        <v>784</v>
      </c>
    </row>
    <row r="447" spans="1:9" hidden="1" x14ac:dyDescent="0.3">
      <c r="A447" t="s">
        <v>748</v>
      </c>
      <c r="B447" s="46">
        <v>45308</v>
      </c>
      <c r="C447" s="45">
        <v>120000</v>
      </c>
      <c r="D447" t="s">
        <v>783</v>
      </c>
      <c r="E447" s="46">
        <v>45337</v>
      </c>
      <c r="F447" s="45" t="s">
        <v>721</v>
      </c>
      <c r="I447" t="s">
        <v>784</v>
      </c>
    </row>
    <row r="448" spans="1:9" hidden="1" x14ac:dyDescent="0.3">
      <c r="A448" t="s">
        <v>748</v>
      </c>
      <c r="B448" s="46">
        <v>45345</v>
      </c>
      <c r="C448" s="45">
        <v>120000</v>
      </c>
      <c r="D448" t="s">
        <v>783</v>
      </c>
      <c r="E448" s="46">
        <v>45366</v>
      </c>
      <c r="F448" s="45" t="s">
        <v>721</v>
      </c>
      <c r="I448" t="s">
        <v>784</v>
      </c>
    </row>
    <row r="449" spans="1:9" hidden="1" x14ac:dyDescent="0.3">
      <c r="A449" t="s">
        <v>748</v>
      </c>
      <c r="B449" s="46">
        <v>45356</v>
      </c>
      <c r="C449" s="45">
        <v>120000</v>
      </c>
      <c r="D449" t="s">
        <v>783</v>
      </c>
      <c r="E449" s="46">
        <v>45397</v>
      </c>
      <c r="F449" s="45" t="s">
        <v>721</v>
      </c>
      <c r="I449" t="s">
        <v>784</v>
      </c>
    </row>
    <row r="450" spans="1:9" hidden="1" x14ac:dyDescent="0.3">
      <c r="A450" t="s">
        <v>748</v>
      </c>
      <c r="B450" s="46">
        <v>45351</v>
      </c>
      <c r="C450" s="45">
        <v>120000</v>
      </c>
      <c r="D450" t="s">
        <v>783</v>
      </c>
      <c r="E450" s="46">
        <v>45397</v>
      </c>
      <c r="F450" s="45" t="s">
        <v>721</v>
      </c>
      <c r="I450" t="s">
        <v>784</v>
      </c>
    </row>
    <row r="451" spans="1:9" hidden="1" x14ac:dyDescent="0.3">
      <c r="A451" t="s">
        <v>748</v>
      </c>
      <c r="B451" s="46">
        <v>45373</v>
      </c>
      <c r="C451" s="45">
        <v>120000</v>
      </c>
      <c r="D451" t="s">
        <v>783</v>
      </c>
      <c r="E451" s="46">
        <v>45397</v>
      </c>
      <c r="F451" s="45" t="s">
        <v>721</v>
      </c>
      <c r="I451" t="s">
        <v>784</v>
      </c>
    </row>
    <row r="452" spans="1:9" hidden="1" x14ac:dyDescent="0.3">
      <c r="A452" t="s">
        <v>729</v>
      </c>
      <c r="B452" s="46">
        <v>45238</v>
      </c>
      <c r="C452" s="45">
        <v>120000</v>
      </c>
      <c r="D452" t="s">
        <v>813</v>
      </c>
      <c r="E452" s="46">
        <v>45275</v>
      </c>
      <c r="F452" s="45" t="s">
        <v>721</v>
      </c>
      <c r="I452" t="s">
        <v>814</v>
      </c>
    </row>
    <row r="453" spans="1:9" hidden="1" x14ac:dyDescent="0.3">
      <c r="A453" t="s">
        <v>767</v>
      </c>
      <c r="B453" s="46">
        <v>45281</v>
      </c>
      <c r="C453" s="45">
        <v>120000</v>
      </c>
      <c r="D453" t="s">
        <v>791</v>
      </c>
      <c r="E453" s="46">
        <v>45306</v>
      </c>
      <c r="F453" s="45" t="s">
        <v>721</v>
      </c>
      <c r="I453" t="s">
        <v>726</v>
      </c>
    </row>
    <row r="454" spans="1:9" hidden="1" x14ac:dyDescent="0.3">
      <c r="A454" t="s">
        <v>748</v>
      </c>
      <c r="B454" s="46">
        <v>45267</v>
      </c>
      <c r="C454" s="45">
        <v>120000</v>
      </c>
      <c r="D454" t="s">
        <v>791</v>
      </c>
      <c r="E454" s="46">
        <v>45306</v>
      </c>
      <c r="F454" s="45" t="s">
        <v>721</v>
      </c>
      <c r="I454" t="s">
        <v>726</v>
      </c>
    </row>
    <row r="455" spans="1:9" hidden="1" x14ac:dyDescent="0.3">
      <c r="A455" t="s">
        <v>748</v>
      </c>
      <c r="B455" s="46">
        <v>45180</v>
      </c>
      <c r="C455" s="45">
        <v>120000</v>
      </c>
      <c r="D455" t="s">
        <v>783</v>
      </c>
      <c r="E455" s="46">
        <v>45215</v>
      </c>
      <c r="F455" s="45" t="s">
        <v>721</v>
      </c>
      <c r="I455" t="s">
        <v>784</v>
      </c>
    </row>
    <row r="456" spans="1:9" hidden="1" x14ac:dyDescent="0.3">
      <c r="A456" t="s">
        <v>748</v>
      </c>
      <c r="B456" s="46">
        <v>45147</v>
      </c>
      <c r="C456" s="45">
        <v>120000</v>
      </c>
      <c r="D456" t="s">
        <v>783</v>
      </c>
      <c r="E456" s="46">
        <v>45184</v>
      </c>
      <c r="F456" s="45" t="s">
        <v>721</v>
      </c>
      <c r="I456" t="s">
        <v>784</v>
      </c>
    </row>
    <row r="457" spans="1:9" hidden="1" x14ac:dyDescent="0.3">
      <c r="A457" t="s">
        <v>729</v>
      </c>
      <c r="B457" s="46">
        <v>45189</v>
      </c>
      <c r="C457" s="45">
        <v>119970</v>
      </c>
      <c r="D457" t="s">
        <v>765</v>
      </c>
      <c r="E457" s="46">
        <v>45215</v>
      </c>
      <c r="F457" s="45" t="s">
        <v>721</v>
      </c>
      <c r="I457" t="s">
        <v>756</v>
      </c>
    </row>
    <row r="458" spans="1:9" hidden="1" x14ac:dyDescent="0.3">
      <c r="A458" t="s">
        <v>729</v>
      </c>
      <c r="B458" s="46">
        <v>45280</v>
      </c>
      <c r="C458" s="45">
        <v>119962</v>
      </c>
      <c r="D458" t="s">
        <v>730</v>
      </c>
      <c r="E458" s="46">
        <v>45306</v>
      </c>
      <c r="F458" s="45" t="s">
        <v>731</v>
      </c>
      <c r="G458" t="s">
        <v>732</v>
      </c>
      <c r="H458">
        <v>90</v>
      </c>
      <c r="I458" t="s">
        <v>733</v>
      </c>
    </row>
    <row r="459" spans="1:9" hidden="1" x14ac:dyDescent="0.3">
      <c r="A459" t="s">
        <v>729</v>
      </c>
      <c r="B459" s="46">
        <v>45279</v>
      </c>
      <c r="C459" s="45">
        <v>119634</v>
      </c>
      <c r="D459" t="s">
        <v>827</v>
      </c>
      <c r="E459" s="46">
        <v>45306</v>
      </c>
      <c r="F459" s="45" t="s">
        <v>731</v>
      </c>
      <c r="G459" t="s">
        <v>732</v>
      </c>
      <c r="H459">
        <v>90</v>
      </c>
      <c r="I459" t="s">
        <v>733</v>
      </c>
    </row>
    <row r="460" spans="1:9" hidden="1" x14ac:dyDescent="0.3">
      <c r="A460" t="s">
        <v>729</v>
      </c>
      <c r="B460" s="46">
        <v>45324</v>
      </c>
      <c r="C460" s="45">
        <v>119240</v>
      </c>
      <c r="D460" t="s">
        <v>765</v>
      </c>
      <c r="E460" s="46">
        <v>45366</v>
      </c>
      <c r="F460" s="45" t="s">
        <v>721</v>
      </c>
      <c r="I460" t="s">
        <v>726</v>
      </c>
    </row>
    <row r="461" spans="1:9" hidden="1" x14ac:dyDescent="0.3">
      <c r="A461" t="s">
        <v>734</v>
      </c>
      <c r="B461" s="46">
        <v>45209</v>
      </c>
      <c r="C461" s="45">
        <v>119000</v>
      </c>
      <c r="D461" t="s">
        <v>843</v>
      </c>
      <c r="E461" s="46">
        <v>45245</v>
      </c>
      <c r="F461" s="45" t="s">
        <v>721</v>
      </c>
    </row>
    <row r="462" spans="1:9" hidden="1" x14ac:dyDescent="0.3">
      <c r="A462" t="s">
        <v>761</v>
      </c>
      <c r="B462" s="46">
        <v>45197</v>
      </c>
      <c r="C462" s="45">
        <v>118700</v>
      </c>
      <c r="D462" t="s">
        <v>844</v>
      </c>
      <c r="E462" s="46">
        <v>45225</v>
      </c>
      <c r="F462" s="45" t="s">
        <v>721</v>
      </c>
      <c r="I462" t="s">
        <v>756</v>
      </c>
    </row>
    <row r="463" spans="1:9" hidden="1" x14ac:dyDescent="0.3">
      <c r="A463" t="s">
        <v>779</v>
      </c>
      <c r="B463" s="46">
        <v>45154</v>
      </c>
      <c r="C463" s="45">
        <v>117000</v>
      </c>
      <c r="D463" t="s">
        <v>847</v>
      </c>
      <c r="E463" s="46">
        <v>45184</v>
      </c>
      <c r="F463" s="45" t="s">
        <v>721</v>
      </c>
      <c r="I463" t="s">
        <v>726</v>
      </c>
    </row>
    <row r="464" spans="1:9" hidden="1" x14ac:dyDescent="0.3">
      <c r="A464" t="s">
        <v>821</v>
      </c>
      <c r="B464" s="46">
        <v>45267</v>
      </c>
      <c r="C464" s="45">
        <v>117000</v>
      </c>
      <c r="D464" t="s">
        <v>846</v>
      </c>
      <c r="E464" s="46">
        <v>45306</v>
      </c>
      <c r="F464" s="45" t="s">
        <v>721</v>
      </c>
      <c r="I464" t="s">
        <v>726</v>
      </c>
    </row>
    <row r="465" spans="1:9" hidden="1" x14ac:dyDescent="0.3">
      <c r="A465" t="s">
        <v>794</v>
      </c>
      <c r="B465" s="46">
        <v>45326</v>
      </c>
      <c r="C465" s="45">
        <v>117000</v>
      </c>
      <c r="D465" t="s">
        <v>845</v>
      </c>
      <c r="E465" s="46">
        <v>45369</v>
      </c>
      <c r="F465" s="45" t="s">
        <v>721</v>
      </c>
      <c r="G465">
        <v>0</v>
      </c>
      <c r="I465" t="s">
        <v>740</v>
      </c>
    </row>
    <row r="466" spans="1:9" hidden="1" x14ac:dyDescent="0.3">
      <c r="A466" t="s">
        <v>761</v>
      </c>
      <c r="B466" s="46">
        <v>45329</v>
      </c>
      <c r="C466" s="45">
        <v>116941</v>
      </c>
      <c r="D466" t="s">
        <v>848</v>
      </c>
      <c r="E466" s="46">
        <v>45377</v>
      </c>
      <c r="F466" s="45" t="s">
        <v>721</v>
      </c>
      <c r="I466" t="s">
        <v>750</v>
      </c>
    </row>
    <row r="467" spans="1:9" hidden="1" x14ac:dyDescent="0.3">
      <c r="A467" t="s">
        <v>748</v>
      </c>
      <c r="B467" s="46">
        <v>45349</v>
      </c>
      <c r="C467" s="45">
        <v>116200</v>
      </c>
      <c r="D467" t="s">
        <v>735</v>
      </c>
      <c r="E467" s="46">
        <v>45366</v>
      </c>
      <c r="F467" s="45" t="s">
        <v>721</v>
      </c>
      <c r="I467" t="s">
        <v>762</v>
      </c>
    </row>
    <row r="468" spans="1:9" hidden="1" x14ac:dyDescent="0.3">
      <c r="A468" t="s">
        <v>772</v>
      </c>
      <c r="B468" s="46">
        <v>45414</v>
      </c>
      <c r="C468" s="45">
        <v>115000</v>
      </c>
      <c r="D468" t="s">
        <v>2047</v>
      </c>
      <c r="E468" s="46">
        <v>45438</v>
      </c>
      <c r="F468" s="45" t="s">
        <v>721</v>
      </c>
      <c r="I468" t="s">
        <v>726</v>
      </c>
    </row>
    <row r="469" spans="1:9" hidden="1" x14ac:dyDescent="0.3">
      <c r="A469" t="s">
        <v>745</v>
      </c>
      <c r="B469" s="46">
        <v>45200</v>
      </c>
      <c r="C469" s="45">
        <v>115000</v>
      </c>
      <c r="D469" t="s">
        <v>849</v>
      </c>
      <c r="E469" s="46">
        <v>45246</v>
      </c>
      <c r="F469" s="45" t="s">
        <v>721</v>
      </c>
      <c r="I469" t="s">
        <v>818</v>
      </c>
    </row>
    <row r="470" spans="1:9" hidden="1" x14ac:dyDescent="0.3">
      <c r="A470" t="s">
        <v>724</v>
      </c>
      <c r="B470" s="46">
        <v>45205</v>
      </c>
      <c r="C470" s="45">
        <v>115000</v>
      </c>
      <c r="D470" t="s">
        <v>791</v>
      </c>
      <c r="E470" s="46">
        <v>45256</v>
      </c>
      <c r="F470" s="45" t="s">
        <v>721</v>
      </c>
      <c r="I470" t="s">
        <v>726</v>
      </c>
    </row>
    <row r="471" spans="1:9" hidden="1" x14ac:dyDescent="0.3">
      <c r="A471" t="s">
        <v>724</v>
      </c>
      <c r="B471" s="46">
        <v>45195</v>
      </c>
      <c r="C471" s="45">
        <v>115000</v>
      </c>
      <c r="D471" t="s">
        <v>791</v>
      </c>
      <c r="E471" s="46">
        <v>45225</v>
      </c>
      <c r="F471" s="45" t="s">
        <v>721</v>
      </c>
      <c r="I471" t="s">
        <v>726</v>
      </c>
    </row>
    <row r="472" spans="1:9" hidden="1" x14ac:dyDescent="0.3">
      <c r="A472" t="s">
        <v>729</v>
      </c>
      <c r="B472" s="46">
        <v>45324</v>
      </c>
      <c r="C472" s="45">
        <v>114122</v>
      </c>
      <c r="D472" t="s">
        <v>765</v>
      </c>
      <c r="E472" s="46">
        <v>45366</v>
      </c>
      <c r="F472" s="45" t="s">
        <v>721</v>
      </c>
      <c r="I472" t="s">
        <v>726</v>
      </c>
    </row>
    <row r="473" spans="1:9" hidden="1" x14ac:dyDescent="0.3">
      <c r="A473" t="s">
        <v>772</v>
      </c>
      <c r="B473" s="46">
        <v>45337</v>
      </c>
      <c r="C473" s="45">
        <v>113960</v>
      </c>
      <c r="D473" t="s">
        <v>807</v>
      </c>
      <c r="E473" s="46">
        <v>45377</v>
      </c>
      <c r="F473" s="45" t="s">
        <v>721</v>
      </c>
      <c r="I473" t="s">
        <v>750</v>
      </c>
    </row>
    <row r="474" spans="1:9" hidden="1" x14ac:dyDescent="0.3">
      <c r="A474" t="s">
        <v>779</v>
      </c>
      <c r="B474" s="46">
        <v>45327</v>
      </c>
      <c r="C474" s="45">
        <v>113000</v>
      </c>
      <c r="D474" t="s">
        <v>847</v>
      </c>
      <c r="E474" s="46">
        <v>45369</v>
      </c>
      <c r="F474" s="45" t="s">
        <v>721</v>
      </c>
      <c r="G474">
        <v>0</v>
      </c>
      <c r="I474" t="s">
        <v>726</v>
      </c>
    </row>
    <row r="475" spans="1:9" hidden="1" x14ac:dyDescent="0.3">
      <c r="A475" t="s">
        <v>727</v>
      </c>
      <c r="B475" s="46">
        <v>45386</v>
      </c>
      <c r="C475" s="45">
        <v>113000</v>
      </c>
      <c r="D475" t="s">
        <v>832</v>
      </c>
      <c r="E475" s="46">
        <v>45428</v>
      </c>
      <c r="F475" s="45" t="s">
        <v>721</v>
      </c>
      <c r="I475" t="s">
        <v>726</v>
      </c>
    </row>
    <row r="476" spans="1:9" x14ac:dyDescent="0.3">
      <c r="A476" t="s">
        <v>745</v>
      </c>
      <c r="B476" s="46">
        <v>45233</v>
      </c>
      <c r="C476" s="45">
        <v>112500</v>
      </c>
      <c r="D476" t="s">
        <v>1651</v>
      </c>
      <c r="E476" s="46">
        <v>45278</v>
      </c>
      <c r="F476" s="45" t="s">
        <v>721</v>
      </c>
      <c r="I476" t="s">
        <v>726</v>
      </c>
    </row>
    <row r="477" spans="1:9" hidden="1" x14ac:dyDescent="0.3">
      <c r="A477" t="s">
        <v>745</v>
      </c>
      <c r="B477" s="46">
        <v>45233</v>
      </c>
      <c r="C477" s="45">
        <v>112500</v>
      </c>
      <c r="D477" t="s">
        <v>1651</v>
      </c>
      <c r="E477" s="46">
        <v>45276</v>
      </c>
      <c r="F477" s="45" t="s">
        <v>721</v>
      </c>
      <c r="G477">
        <v>0</v>
      </c>
      <c r="I477" t="s">
        <v>726</v>
      </c>
    </row>
    <row r="478" spans="1:9" hidden="1" x14ac:dyDescent="0.3">
      <c r="A478" t="s">
        <v>779</v>
      </c>
      <c r="B478" s="46">
        <v>45152</v>
      </c>
      <c r="C478" s="45">
        <v>112000</v>
      </c>
      <c r="D478" t="s">
        <v>1652</v>
      </c>
      <c r="E478" s="46">
        <v>45184</v>
      </c>
      <c r="F478" s="45" t="s">
        <v>721</v>
      </c>
      <c r="I478" t="s">
        <v>726</v>
      </c>
    </row>
    <row r="479" spans="1:9" hidden="1" x14ac:dyDescent="0.3">
      <c r="A479" t="s">
        <v>748</v>
      </c>
      <c r="B479" s="46">
        <v>45254</v>
      </c>
      <c r="C479" s="45">
        <v>111230</v>
      </c>
      <c r="D479" t="s">
        <v>735</v>
      </c>
      <c r="E479" s="46">
        <v>45275</v>
      </c>
      <c r="F479" s="45" t="s">
        <v>721</v>
      </c>
      <c r="I479" t="s">
        <v>762</v>
      </c>
    </row>
    <row r="480" spans="1:9" hidden="1" x14ac:dyDescent="0.3">
      <c r="A480" t="s">
        <v>745</v>
      </c>
      <c r="B480" s="46">
        <v>45173</v>
      </c>
      <c r="C480" s="45">
        <v>111000</v>
      </c>
      <c r="D480" t="s">
        <v>849</v>
      </c>
      <c r="E480" s="46">
        <v>45215</v>
      </c>
      <c r="F480" s="45" t="s">
        <v>721</v>
      </c>
      <c r="I480" t="s">
        <v>818</v>
      </c>
    </row>
    <row r="481" spans="1:9" hidden="1" x14ac:dyDescent="0.3">
      <c r="A481" t="s">
        <v>748</v>
      </c>
      <c r="B481" s="46">
        <v>45174</v>
      </c>
      <c r="C481" s="45">
        <v>110000</v>
      </c>
      <c r="D481" t="s">
        <v>851</v>
      </c>
      <c r="E481" s="46">
        <v>45215</v>
      </c>
      <c r="F481" s="45" t="s">
        <v>721</v>
      </c>
      <c r="I481" t="s">
        <v>841</v>
      </c>
    </row>
    <row r="482" spans="1:9" hidden="1" x14ac:dyDescent="0.3">
      <c r="A482" t="s">
        <v>729</v>
      </c>
      <c r="B482" s="46">
        <v>45246</v>
      </c>
      <c r="C482" s="45">
        <v>110000</v>
      </c>
      <c r="D482" t="s">
        <v>852</v>
      </c>
      <c r="E482" s="46">
        <v>45275</v>
      </c>
      <c r="F482" s="45" t="s">
        <v>721</v>
      </c>
      <c r="I482" t="s">
        <v>726</v>
      </c>
    </row>
    <row r="483" spans="1:9" hidden="1" x14ac:dyDescent="0.3">
      <c r="A483" t="s">
        <v>722</v>
      </c>
      <c r="B483" s="46">
        <v>45212</v>
      </c>
      <c r="C483" s="45">
        <v>110000</v>
      </c>
      <c r="D483" t="s">
        <v>853</v>
      </c>
      <c r="E483" s="46">
        <v>45245</v>
      </c>
      <c r="F483" s="45" t="s">
        <v>721</v>
      </c>
      <c r="I483" t="s">
        <v>738</v>
      </c>
    </row>
    <row r="484" spans="1:9" hidden="1" x14ac:dyDescent="0.3">
      <c r="A484" t="s">
        <v>722</v>
      </c>
      <c r="B484" s="46">
        <v>45394</v>
      </c>
      <c r="C484" s="45">
        <v>110000</v>
      </c>
      <c r="D484" t="s">
        <v>853</v>
      </c>
      <c r="E484" s="46">
        <v>45428</v>
      </c>
      <c r="F484" s="45" t="s">
        <v>721</v>
      </c>
      <c r="I484" t="s">
        <v>738</v>
      </c>
    </row>
    <row r="485" spans="1:9" hidden="1" x14ac:dyDescent="0.3">
      <c r="A485" t="s">
        <v>803</v>
      </c>
      <c r="B485" s="46">
        <v>45423</v>
      </c>
      <c r="C485" s="45">
        <v>110000</v>
      </c>
      <c r="D485" t="s">
        <v>2048</v>
      </c>
      <c r="E485" s="46">
        <v>45459</v>
      </c>
      <c r="F485" s="45" t="s">
        <v>721</v>
      </c>
      <c r="I485" t="s">
        <v>756</v>
      </c>
    </row>
    <row r="486" spans="1:9" hidden="1" x14ac:dyDescent="0.3">
      <c r="A486" t="s">
        <v>748</v>
      </c>
      <c r="B486" s="46">
        <v>45217</v>
      </c>
      <c r="C486" s="45">
        <v>109000</v>
      </c>
      <c r="D486" t="s">
        <v>735</v>
      </c>
      <c r="E486" s="46">
        <v>45245</v>
      </c>
      <c r="F486" s="45" t="s">
        <v>721</v>
      </c>
      <c r="I486" t="s">
        <v>736</v>
      </c>
    </row>
    <row r="487" spans="1:9" hidden="1" x14ac:dyDescent="0.3">
      <c r="A487" t="s">
        <v>746</v>
      </c>
      <c r="B487" s="46">
        <v>45427</v>
      </c>
      <c r="C487" s="45">
        <v>108977</v>
      </c>
      <c r="D487" t="s">
        <v>752</v>
      </c>
      <c r="E487" s="46">
        <v>45458</v>
      </c>
      <c r="F487" s="45" t="s">
        <v>731</v>
      </c>
      <c r="G487" t="s">
        <v>732</v>
      </c>
      <c r="H487">
        <v>79</v>
      </c>
      <c r="I487" t="s">
        <v>733</v>
      </c>
    </row>
    <row r="488" spans="1:9" hidden="1" x14ac:dyDescent="0.3">
      <c r="A488" t="s">
        <v>748</v>
      </c>
      <c r="B488" s="46">
        <v>45349</v>
      </c>
      <c r="C488" s="45">
        <v>108470</v>
      </c>
      <c r="D488" t="s">
        <v>828</v>
      </c>
      <c r="E488" s="46">
        <v>45366</v>
      </c>
      <c r="F488" s="45" t="s">
        <v>721</v>
      </c>
      <c r="I488" t="s">
        <v>762</v>
      </c>
    </row>
    <row r="489" spans="1:9" hidden="1" x14ac:dyDescent="0.3">
      <c r="A489" t="s">
        <v>734</v>
      </c>
      <c r="B489" s="46">
        <v>45337</v>
      </c>
      <c r="C489" s="45">
        <v>108000</v>
      </c>
      <c r="D489" t="s">
        <v>855</v>
      </c>
      <c r="E489" s="46">
        <v>45366</v>
      </c>
      <c r="F489" s="45" t="s">
        <v>721</v>
      </c>
      <c r="I489" t="s">
        <v>760</v>
      </c>
    </row>
    <row r="490" spans="1:9" hidden="1" x14ac:dyDescent="0.3">
      <c r="A490" t="s">
        <v>775</v>
      </c>
      <c r="B490" s="46">
        <v>45131</v>
      </c>
      <c r="C490" s="45">
        <v>108000</v>
      </c>
      <c r="D490" t="s">
        <v>847</v>
      </c>
      <c r="E490" s="46">
        <v>45154</v>
      </c>
      <c r="F490" s="45" t="s">
        <v>721</v>
      </c>
      <c r="I490" t="s">
        <v>726</v>
      </c>
    </row>
    <row r="491" spans="1:9" hidden="1" x14ac:dyDescent="0.3">
      <c r="A491" t="s">
        <v>775</v>
      </c>
      <c r="B491" s="46">
        <v>45262</v>
      </c>
      <c r="C491" s="45">
        <v>108000</v>
      </c>
      <c r="D491" t="s">
        <v>1653</v>
      </c>
      <c r="E491" s="46">
        <v>45307</v>
      </c>
      <c r="F491" s="45" t="s">
        <v>721</v>
      </c>
      <c r="I491" t="s">
        <v>726</v>
      </c>
    </row>
    <row r="492" spans="1:9" hidden="1" x14ac:dyDescent="0.3">
      <c r="A492" t="s">
        <v>727</v>
      </c>
      <c r="B492" s="46">
        <v>45120</v>
      </c>
      <c r="C492" s="45">
        <v>107000</v>
      </c>
      <c r="D492" t="s">
        <v>850</v>
      </c>
      <c r="E492" s="46">
        <v>45154</v>
      </c>
      <c r="F492" s="45" t="s">
        <v>721</v>
      </c>
      <c r="I492" t="s">
        <v>726</v>
      </c>
    </row>
    <row r="493" spans="1:9" hidden="1" x14ac:dyDescent="0.3">
      <c r="A493" t="s">
        <v>745</v>
      </c>
      <c r="B493" s="46">
        <v>45151</v>
      </c>
      <c r="C493" s="45">
        <v>107000</v>
      </c>
      <c r="D493" t="s">
        <v>849</v>
      </c>
      <c r="E493" s="46">
        <v>45184</v>
      </c>
      <c r="F493" s="45" t="s">
        <v>721</v>
      </c>
      <c r="I493" t="s">
        <v>818</v>
      </c>
    </row>
    <row r="494" spans="1:9" hidden="1" x14ac:dyDescent="0.3">
      <c r="A494" t="s">
        <v>734</v>
      </c>
      <c r="B494" s="46">
        <v>45183</v>
      </c>
      <c r="C494" s="45">
        <v>106000</v>
      </c>
      <c r="D494" t="s">
        <v>858</v>
      </c>
      <c r="E494" s="46">
        <v>45215</v>
      </c>
      <c r="F494" s="45" t="s">
        <v>721</v>
      </c>
      <c r="I494" t="s">
        <v>726</v>
      </c>
    </row>
    <row r="495" spans="1:9" hidden="1" x14ac:dyDescent="0.3">
      <c r="A495" t="s">
        <v>772</v>
      </c>
      <c r="B495" s="46">
        <v>45274</v>
      </c>
      <c r="C495" s="45">
        <v>106000</v>
      </c>
      <c r="D495" t="s">
        <v>857</v>
      </c>
      <c r="E495" s="46">
        <v>45317</v>
      </c>
      <c r="F495" s="45" t="s">
        <v>721</v>
      </c>
      <c r="I495" t="s">
        <v>726</v>
      </c>
    </row>
    <row r="496" spans="1:9" hidden="1" x14ac:dyDescent="0.3">
      <c r="A496" t="s">
        <v>724</v>
      </c>
      <c r="B496" s="46">
        <v>45281</v>
      </c>
      <c r="C496" s="45">
        <v>106000</v>
      </c>
      <c r="D496" t="s">
        <v>857</v>
      </c>
      <c r="E496" s="46">
        <v>45317</v>
      </c>
      <c r="F496" s="45" t="s">
        <v>721</v>
      </c>
      <c r="I496" t="s">
        <v>726</v>
      </c>
    </row>
    <row r="497" spans="1:9" hidden="1" x14ac:dyDescent="0.3">
      <c r="A497" t="s">
        <v>772</v>
      </c>
      <c r="B497" s="46">
        <v>45246</v>
      </c>
      <c r="C497" s="45">
        <v>106000</v>
      </c>
      <c r="D497" t="s">
        <v>859</v>
      </c>
      <c r="E497" s="46">
        <v>45286</v>
      </c>
      <c r="F497" s="45" t="s">
        <v>721</v>
      </c>
      <c r="I497" t="s">
        <v>726</v>
      </c>
    </row>
    <row r="498" spans="1:9" hidden="1" x14ac:dyDescent="0.3">
      <c r="A498" t="s">
        <v>729</v>
      </c>
      <c r="B498" s="46">
        <v>45323</v>
      </c>
      <c r="C498" s="45">
        <v>106000</v>
      </c>
      <c r="D498" t="s">
        <v>857</v>
      </c>
      <c r="E498" s="46">
        <v>45366</v>
      </c>
      <c r="F498" s="45" t="s">
        <v>721</v>
      </c>
      <c r="I498" t="s">
        <v>726</v>
      </c>
    </row>
    <row r="499" spans="1:9" hidden="1" x14ac:dyDescent="0.3">
      <c r="A499" t="s">
        <v>767</v>
      </c>
      <c r="B499" s="46">
        <v>45337</v>
      </c>
      <c r="C499" s="45">
        <v>106000</v>
      </c>
      <c r="D499" t="s">
        <v>857</v>
      </c>
      <c r="E499" s="46">
        <v>45366</v>
      </c>
      <c r="F499" s="45" t="s">
        <v>721</v>
      </c>
      <c r="I499" t="s">
        <v>726</v>
      </c>
    </row>
    <row r="500" spans="1:9" hidden="1" x14ac:dyDescent="0.3">
      <c r="A500" t="s">
        <v>748</v>
      </c>
      <c r="B500" s="46">
        <v>45204</v>
      </c>
      <c r="C500" s="45">
        <v>105930</v>
      </c>
      <c r="D500" t="s">
        <v>797</v>
      </c>
      <c r="E500" s="46">
        <v>45245</v>
      </c>
      <c r="F500" s="45" t="s">
        <v>721</v>
      </c>
      <c r="I500" t="s">
        <v>781</v>
      </c>
    </row>
    <row r="501" spans="1:9" hidden="1" x14ac:dyDescent="0.3">
      <c r="A501" t="s">
        <v>724</v>
      </c>
      <c r="B501" s="46">
        <v>45407</v>
      </c>
      <c r="C501" s="45">
        <v>105500</v>
      </c>
      <c r="D501" t="s">
        <v>888</v>
      </c>
      <c r="E501" s="46">
        <v>45438</v>
      </c>
      <c r="F501" s="45" t="s">
        <v>721</v>
      </c>
      <c r="I501" t="s">
        <v>726</v>
      </c>
    </row>
    <row r="502" spans="1:9" hidden="1" x14ac:dyDescent="0.3">
      <c r="A502" t="s">
        <v>727</v>
      </c>
      <c r="B502" s="46">
        <v>45253</v>
      </c>
      <c r="C502" s="45">
        <v>105358</v>
      </c>
      <c r="D502" t="s">
        <v>824</v>
      </c>
      <c r="E502" s="46">
        <v>45275</v>
      </c>
      <c r="F502" s="45" t="s">
        <v>721</v>
      </c>
      <c r="I502" t="s">
        <v>726</v>
      </c>
    </row>
    <row r="503" spans="1:9" x14ac:dyDescent="0.3">
      <c r="A503" t="s">
        <v>745</v>
      </c>
      <c r="B503" s="46">
        <v>45336</v>
      </c>
      <c r="C503" s="45">
        <v>105320</v>
      </c>
      <c r="D503" t="s">
        <v>1654</v>
      </c>
      <c r="E503" s="46">
        <v>45369</v>
      </c>
      <c r="F503" s="45" t="s">
        <v>721</v>
      </c>
      <c r="G503">
        <v>0</v>
      </c>
      <c r="I503" t="s">
        <v>1200</v>
      </c>
    </row>
    <row r="504" spans="1:9" hidden="1" x14ac:dyDescent="0.3">
      <c r="A504" t="s">
        <v>746</v>
      </c>
      <c r="B504" s="46">
        <v>45145</v>
      </c>
      <c r="C504" s="45">
        <v>105308</v>
      </c>
      <c r="D504" t="s">
        <v>751</v>
      </c>
      <c r="E504" s="46">
        <v>45184</v>
      </c>
      <c r="F504" s="45" t="s">
        <v>731</v>
      </c>
      <c r="G504" t="s">
        <v>732</v>
      </c>
      <c r="H504">
        <v>78.14</v>
      </c>
      <c r="I504" t="s">
        <v>733</v>
      </c>
    </row>
    <row r="505" spans="1:9" hidden="1" x14ac:dyDescent="0.3">
      <c r="A505" t="s">
        <v>748</v>
      </c>
      <c r="B505" s="46">
        <v>45156</v>
      </c>
      <c r="C505" s="45">
        <v>105000</v>
      </c>
      <c r="D505" t="s">
        <v>783</v>
      </c>
      <c r="E505" s="46">
        <v>45184</v>
      </c>
      <c r="F505" s="45" t="s">
        <v>721</v>
      </c>
      <c r="I505" t="s">
        <v>784</v>
      </c>
    </row>
    <row r="506" spans="1:9" hidden="1" x14ac:dyDescent="0.3">
      <c r="A506" t="s">
        <v>748</v>
      </c>
      <c r="B506" s="46">
        <v>45161</v>
      </c>
      <c r="C506" s="45">
        <v>105000</v>
      </c>
      <c r="D506" t="s">
        <v>783</v>
      </c>
      <c r="E506" s="46">
        <v>45184</v>
      </c>
      <c r="F506" s="45" t="s">
        <v>721</v>
      </c>
      <c r="I506" t="s">
        <v>784</v>
      </c>
    </row>
    <row r="507" spans="1:9" x14ac:dyDescent="0.3">
      <c r="A507" t="s">
        <v>821</v>
      </c>
      <c r="B507" s="46">
        <v>45190</v>
      </c>
      <c r="C507" s="45">
        <v>105000</v>
      </c>
      <c r="D507" t="s">
        <v>860</v>
      </c>
      <c r="E507" s="46">
        <v>45215</v>
      </c>
      <c r="F507" s="45" t="s">
        <v>721</v>
      </c>
      <c r="I507" t="s">
        <v>726</v>
      </c>
    </row>
    <row r="508" spans="1:9" hidden="1" x14ac:dyDescent="0.3">
      <c r="A508" t="s">
        <v>748</v>
      </c>
      <c r="B508" s="46">
        <v>45231</v>
      </c>
      <c r="C508" s="45">
        <v>105000</v>
      </c>
      <c r="D508" t="s">
        <v>783</v>
      </c>
      <c r="E508" s="46">
        <v>45275</v>
      </c>
      <c r="F508" s="45" t="s">
        <v>721</v>
      </c>
      <c r="I508" t="s">
        <v>784</v>
      </c>
    </row>
    <row r="509" spans="1:9" hidden="1" x14ac:dyDescent="0.3">
      <c r="A509" t="s">
        <v>748</v>
      </c>
      <c r="B509" s="46">
        <v>45362</v>
      </c>
      <c r="C509" s="45">
        <v>105000</v>
      </c>
      <c r="D509" t="s">
        <v>783</v>
      </c>
      <c r="E509" s="46">
        <v>45397</v>
      </c>
      <c r="F509" s="45" t="s">
        <v>721</v>
      </c>
      <c r="I509" t="s">
        <v>784</v>
      </c>
    </row>
    <row r="510" spans="1:9" hidden="1" x14ac:dyDescent="0.3">
      <c r="A510" t="s">
        <v>748</v>
      </c>
      <c r="B510" s="46">
        <v>45433</v>
      </c>
      <c r="C510" s="45">
        <v>105000</v>
      </c>
      <c r="D510" t="s">
        <v>783</v>
      </c>
      <c r="E510" s="46">
        <v>45458</v>
      </c>
      <c r="F510" s="45" t="s">
        <v>721</v>
      </c>
      <c r="I510" t="s">
        <v>784</v>
      </c>
    </row>
    <row r="511" spans="1:9" hidden="1" x14ac:dyDescent="0.3">
      <c r="A511" t="s">
        <v>748</v>
      </c>
      <c r="B511" s="46">
        <v>45420</v>
      </c>
      <c r="C511" s="45">
        <v>105000</v>
      </c>
      <c r="D511" t="s">
        <v>783</v>
      </c>
      <c r="E511" s="46">
        <v>45458</v>
      </c>
      <c r="F511" s="45" t="s">
        <v>721</v>
      </c>
      <c r="I511" t="s">
        <v>784</v>
      </c>
    </row>
    <row r="512" spans="1:9" hidden="1" x14ac:dyDescent="0.3">
      <c r="A512" t="s">
        <v>803</v>
      </c>
      <c r="B512" s="46">
        <v>45423</v>
      </c>
      <c r="C512" s="45">
        <v>105000</v>
      </c>
      <c r="D512" t="s">
        <v>2049</v>
      </c>
      <c r="E512" s="46">
        <v>45459</v>
      </c>
      <c r="F512" s="45" t="s">
        <v>721</v>
      </c>
      <c r="I512" t="s">
        <v>756</v>
      </c>
    </row>
    <row r="513" spans="1:9" hidden="1" x14ac:dyDescent="0.3">
      <c r="A513" t="s">
        <v>734</v>
      </c>
      <c r="B513" s="46">
        <v>45120</v>
      </c>
      <c r="C513" s="45">
        <v>104400</v>
      </c>
      <c r="D513" t="s">
        <v>861</v>
      </c>
      <c r="E513" s="46">
        <v>45154</v>
      </c>
      <c r="F513" s="45" t="s">
        <v>721</v>
      </c>
      <c r="I513" t="s">
        <v>726</v>
      </c>
    </row>
    <row r="514" spans="1:9" hidden="1" x14ac:dyDescent="0.3">
      <c r="A514" t="s">
        <v>748</v>
      </c>
      <c r="B514" s="46">
        <v>45440</v>
      </c>
      <c r="C514" s="45">
        <v>104100</v>
      </c>
      <c r="D514" t="s">
        <v>735</v>
      </c>
      <c r="E514" s="46">
        <v>45458</v>
      </c>
      <c r="F514" s="45" t="s">
        <v>721</v>
      </c>
      <c r="I514" t="s">
        <v>762</v>
      </c>
    </row>
    <row r="515" spans="1:9" hidden="1" x14ac:dyDescent="0.3">
      <c r="A515" t="s">
        <v>745</v>
      </c>
      <c r="B515" s="46">
        <v>45233</v>
      </c>
      <c r="C515" s="45">
        <v>104000</v>
      </c>
      <c r="D515" t="s">
        <v>863</v>
      </c>
      <c r="E515" s="46">
        <v>45276</v>
      </c>
      <c r="F515" s="45" t="s">
        <v>721</v>
      </c>
      <c r="G515">
        <v>0</v>
      </c>
      <c r="I515" t="s">
        <v>726</v>
      </c>
    </row>
    <row r="516" spans="1:9" x14ac:dyDescent="0.3">
      <c r="A516" t="s">
        <v>745</v>
      </c>
      <c r="B516" s="46">
        <v>45233</v>
      </c>
      <c r="C516" s="45">
        <v>104000</v>
      </c>
      <c r="D516" t="s">
        <v>863</v>
      </c>
      <c r="E516" s="46">
        <v>45278</v>
      </c>
      <c r="F516" s="45" t="s">
        <v>721</v>
      </c>
      <c r="I516" t="s">
        <v>726</v>
      </c>
    </row>
    <row r="517" spans="1:9" hidden="1" x14ac:dyDescent="0.3">
      <c r="A517" t="s">
        <v>729</v>
      </c>
      <c r="B517" s="46">
        <v>45274</v>
      </c>
      <c r="C517" s="45">
        <v>104000</v>
      </c>
      <c r="D517" t="s">
        <v>860</v>
      </c>
      <c r="E517" s="46">
        <v>45306</v>
      </c>
      <c r="F517" s="45" t="s">
        <v>721</v>
      </c>
      <c r="I517" t="s">
        <v>726</v>
      </c>
    </row>
    <row r="518" spans="1:9" x14ac:dyDescent="0.3">
      <c r="A518" t="s">
        <v>767</v>
      </c>
      <c r="B518" s="46">
        <v>45282</v>
      </c>
      <c r="C518" s="45">
        <v>104000</v>
      </c>
      <c r="D518" t="s">
        <v>862</v>
      </c>
      <c r="E518" s="46">
        <v>45306</v>
      </c>
      <c r="F518" s="45" t="s">
        <v>721</v>
      </c>
      <c r="I518" t="s">
        <v>726</v>
      </c>
    </row>
    <row r="519" spans="1:9" hidden="1" x14ac:dyDescent="0.3">
      <c r="A519" t="s">
        <v>748</v>
      </c>
      <c r="B519" s="46">
        <v>45161</v>
      </c>
      <c r="C519" s="45">
        <v>103900</v>
      </c>
      <c r="D519" t="s">
        <v>735</v>
      </c>
      <c r="E519" s="46">
        <v>45184</v>
      </c>
      <c r="F519" s="45" t="s">
        <v>721</v>
      </c>
      <c r="I519" t="s">
        <v>762</v>
      </c>
    </row>
    <row r="520" spans="1:9" hidden="1" x14ac:dyDescent="0.3">
      <c r="A520" t="s">
        <v>727</v>
      </c>
      <c r="B520" s="46">
        <v>45401</v>
      </c>
      <c r="C520" s="45">
        <v>103500</v>
      </c>
      <c r="D520" t="s">
        <v>2050</v>
      </c>
      <c r="E520" s="46">
        <v>45428</v>
      </c>
      <c r="F520" s="45" t="s">
        <v>721</v>
      </c>
      <c r="I520" t="s">
        <v>726</v>
      </c>
    </row>
    <row r="521" spans="1:9" hidden="1" x14ac:dyDescent="0.3">
      <c r="A521" t="s">
        <v>729</v>
      </c>
      <c r="B521" s="46">
        <v>45189</v>
      </c>
      <c r="C521" s="45">
        <v>103380</v>
      </c>
      <c r="D521" t="s">
        <v>765</v>
      </c>
      <c r="E521" s="46">
        <v>45215</v>
      </c>
      <c r="F521" s="45" t="s">
        <v>721</v>
      </c>
      <c r="I521" t="s">
        <v>756</v>
      </c>
    </row>
    <row r="522" spans="1:9" hidden="1" x14ac:dyDescent="0.3">
      <c r="A522" t="s">
        <v>772</v>
      </c>
      <c r="B522" s="46">
        <v>45316</v>
      </c>
      <c r="C522" s="45">
        <v>103000</v>
      </c>
      <c r="D522" t="s">
        <v>865</v>
      </c>
      <c r="E522" s="46">
        <v>45348</v>
      </c>
      <c r="F522" s="45" t="s">
        <v>721</v>
      </c>
      <c r="I522" t="s">
        <v>726</v>
      </c>
    </row>
    <row r="523" spans="1:9" hidden="1" x14ac:dyDescent="0.3">
      <c r="A523" t="s">
        <v>734</v>
      </c>
      <c r="B523" s="46">
        <v>45380</v>
      </c>
      <c r="C523" s="45">
        <v>102700</v>
      </c>
      <c r="D523" t="s">
        <v>2042</v>
      </c>
      <c r="E523" s="46">
        <v>45397</v>
      </c>
      <c r="F523" s="45" t="s">
        <v>721</v>
      </c>
      <c r="I523" t="s">
        <v>726</v>
      </c>
    </row>
    <row r="524" spans="1:9" hidden="1" x14ac:dyDescent="0.3">
      <c r="A524" t="s">
        <v>734</v>
      </c>
      <c r="B524" s="46">
        <v>45253</v>
      </c>
      <c r="C524" s="45">
        <v>102000</v>
      </c>
      <c r="D524" t="s">
        <v>830</v>
      </c>
      <c r="E524" s="46">
        <v>45275</v>
      </c>
      <c r="F524" s="45" t="s">
        <v>721</v>
      </c>
      <c r="I524" t="s">
        <v>726</v>
      </c>
    </row>
    <row r="525" spans="1:9" hidden="1" x14ac:dyDescent="0.3">
      <c r="A525" t="s">
        <v>772</v>
      </c>
      <c r="B525" s="46">
        <v>45190</v>
      </c>
      <c r="C525" s="45">
        <v>101800</v>
      </c>
      <c r="D525" t="s">
        <v>866</v>
      </c>
      <c r="E525" s="46">
        <v>45225</v>
      </c>
      <c r="F525" s="45" t="s">
        <v>721</v>
      </c>
      <c r="I525" t="s">
        <v>726</v>
      </c>
    </row>
    <row r="526" spans="1:9" hidden="1" x14ac:dyDescent="0.3">
      <c r="A526" t="s">
        <v>803</v>
      </c>
      <c r="B526" s="46">
        <v>45421</v>
      </c>
      <c r="C526" s="45">
        <v>101766</v>
      </c>
      <c r="D526" t="s">
        <v>2051</v>
      </c>
      <c r="E526" s="46">
        <v>45459</v>
      </c>
      <c r="F526" s="45" t="s">
        <v>721</v>
      </c>
      <c r="I526" t="s">
        <v>818</v>
      </c>
    </row>
    <row r="527" spans="1:9" hidden="1" x14ac:dyDescent="0.3">
      <c r="A527" t="s">
        <v>729</v>
      </c>
      <c r="B527" s="46">
        <v>45232</v>
      </c>
      <c r="C527" s="45">
        <v>101520</v>
      </c>
      <c r="D527" t="s">
        <v>790</v>
      </c>
      <c r="E527" s="46">
        <v>45275</v>
      </c>
      <c r="F527" s="45" t="s">
        <v>721</v>
      </c>
      <c r="I527" t="s">
        <v>834</v>
      </c>
    </row>
    <row r="528" spans="1:9" hidden="1" x14ac:dyDescent="0.3">
      <c r="A528" t="s">
        <v>729</v>
      </c>
      <c r="B528" s="46">
        <v>45189</v>
      </c>
      <c r="C528" s="45">
        <v>101370</v>
      </c>
      <c r="D528" t="s">
        <v>765</v>
      </c>
      <c r="E528" s="46">
        <v>45215</v>
      </c>
      <c r="F528" s="45" t="s">
        <v>721</v>
      </c>
      <c r="I528" t="s">
        <v>756</v>
      </c>
    </row>
    <row r="529" spans="1:9" hidden="1" x14ac:dyDescent="0.3">
      <c r="A529" t="s">
        <v>779</v>
      </c>
      <c r="B529" s="46">
        <v>45223</v>
      </c>
      <c r="C529" s="45">
        <v>100900</v>
      </c>
      <c r="D529" t="s">
        <v>868</v>
      </c>
      <c r="E529" s="46">
        <v>45246</v>
      </c>
      <c r="F529" s="45" t="s">
        <v>721</v>
      </c>
    </row>
    <row r="530" spans="1:9" hidden="1" x14ac:dyDescent="0.3">
      <c r="A530" t="s">
        <v>734</v>
      </c>
      <c r="B530" s="46">
        <v>45372</v>
      </c>
      <c r="C530" s="45">
        <v>100700</v>
      </c>
      <c r="D530" t="s">
        <v>2042</v>
      </c>
      <c r="E530" s="46">
        <v>45397</v>
      </c>
      <c r="F530" s="45" t="s">
        <v>721</v>
      </c>
      <c r="I530" t="s">
        <v>726</v>
      </c>
    </row>
    <row r="531" spans="1:9" hidden="1" x14ac:dyDescent="0.3">
      <c r="A531" t="s">
        <v>775</v>
      </c>
      <c r="B531" s="46">
        <v>45232</v>
      </c>
      <c r="C531" s="45">
        <v>100562</v>
      </c>
      <c r="D531" t="s">
        <v>1655</v>
      </c>
      <c r="E531" s="46">
        <v>45278</v>
      </c>
      <c r="F531" s="45" t="s">
        <v>731</v>
      </c>
      <c r="G531" t="s">
        <v>1656</v>
      </c>
      <c r="H531">
        <v>99000</v>
      </c>
      <c r="I531" t="s">
        <v>738</v>
      </c>
    </row>
    <row r="532" spans="1:9" hidden="1" x14ac:dyDescent="0.3">
      <c r="A532" t="s">
        <v>745</v>
      </c>
      <c r="B532" s="46">
        <v>45212</v>
      </c>
      <c r="C532" s="45">
        <v>100000</v>
      </c>
      <c r="D532" t="s">
        <v>849</v>
      </c>
      <c r="E532" s="46">
        <v>45246</v>
      </c>
      <c r="F532" s="45" t="s">
        <v>721</v>
      </c>
      <c r="I532" t="s">
        <v>818</v>
      </c>
    </row>
    <row r="533" spans="1:9" hidden="1" x14ac:dyDescent="0.3">
      <c r="A533" t="s">
        <v>724</v>
      </c>
      <c r="B533" s="46">
        <v>45364</v>
      </c>
      <c r="C533" s="45">
        <v>100000</v>
      </c>
      <c r="D533" t="s">
        <v>993</v>
      </c>
      <c r="E533" s="46">
        <v>45408</v>
      </c>
      <c r="F533" s="45" t="s">
        <v>721</v>
      </c>
      <c r="I533" t="s">
        <v>726</v>
      </c>
    </row>
    <row r="534" spans="1:9" hidden="1" x14ac:dyDescent="0.3">
      <c r="A534" t="s">
        <v>734</v>
      </c>
      <c r="B534" s="46">
        <v>45344</v>
      </c>
      <c r="C534" s="45">
        <v>100000</v>
      </c>
      <c r="D534" t="s">
        <v>869</v>
      </c>
      <c r="E534" s="46">
        <v>45366</v>
      </c>
      <c r="F534" s="45" t="s">
        <v>721</v>
      </c>
      <c r="I534" t="s">
        <v>726</v>
      </c>
    </row>
    <row r="535" spans="1:9" hidden="1" x14ac:dyDescent="0.3">
      <c r="A535" t="s">
        <v>775</v>
      </c>
      <c r="B535" s="46">
        <v>45308</v>
      </c>
      <c r="C535" s="45">
        <v>100000</v>
      </c>
      <c r="D535" t="s">
        <v>847</v>
      </c>
      <c r="E535" s="46">
        <v>45338</v>
      </c>
      <c r="F535" s="45" t="s">
        <v>721</v>
      </c>
      <c r="I535" t="s">
        <v>726</v>
      </c>
    </row>
    <row r="536" spans="1:9" hidden="1" x14ac:dyDescent="0.3">
      <c r="A536" t="s">
        <v>729</v>
      </c>
      <c r="B536" s="46">
        <v>45323</v>
      </c>
      <c r="C536" s="45">
        <v>99750</v>
      </c>
      <c r="D536" t="s">
        <v>765</v>
      </c>
      <c r="E536" s="46">
        <v>45366</v>
      </c>
      <c r="F536" s="45" t="s">
        <v>721</v>
      </c>
      <c r="I536" t="s">
        <v>726</v>
      </c>
    </row>
    <row r="537" spans="1:9" hidden="1" x14ac:dyDescent="0.3">
      <c r="A537" t="s">
        <v>734</v>
      </c>
      <c r="B537" s="46">
        <v>45274</v>
      </c>
      <c r="C537" s="45">
        <v>99500</v>
      </c>
      <c r="D537" t="s">
        <v>869</v>
      </c>
      <c r="E537" s="46">
        <v>45306</v>
      </c>
      <c r="F537" s="45" t="s">
        <v>721</v>
      </c>
      <c r="I537" t="s">
        <v>726</v>
      </c>
    </row>
    <row r="538" spans="1:9" hidden="1" x14ac:dyDescent="0.3">
      <c r="A538" t="s">
        <v>745</v>
      </c>
      <c r="B538" s="46">
        <v>45265</v>
      </c>
      <c r="C538" s="45">
        <v>99000</v>
      </c>
      <c r="D538" t="s">
        <v>870</v>
      </c>
      <c r="E538" s="46">
        <v>45307</v>
      </c>
      <c r="F538" s="45" t="s">
        <v>721</v>
      </c>
      <c r="I538" t="s">
        <v>818</v>
      </c>
    </row>
    <row r="539" spans="1:9" hidden="1" x14ac:dyDescent="0.3">
      <c r="A539" t="s">
        <v>729</v>
      </c>
      <c r="B539" s="46">
        <v>45323</v>
      </c>
      <c r="C539" s="45">
        <v>99000</v>
      </c>
      <c r="D539" t="s">
        <v>765</v>
      </c>
      <c r="E539" s="46">
        <v>45366</v>
      </c>
      <c r="F539" s="45" t="s">
        <v>721</v>
      </c>
      <c r="I539" t="s">
        <v>726</v>
      </c>
    </row>
    <row r="540" spans="1:9" hidden="1" x14ac:dyDescent="0.3">
      <c r="A540" t="s">
        <v>748</v>
      </c>
      <c r="B540" s="46">
        <v>45309</v>
      </c>
      <c r="C540" s="45">
        <v>99000</v>
      </c>
      <c r="D540" t="s">
        <v>830</v>
      </c>
      <c r="E540" s="46">
        <v>45337</v>
      </c>
      <c r="F540" s="45" t="s">
        <v>721</v>
      </c>
      <c r="I540" t="s">
        <v>726</v>
      </c>
    </row>
    <row r="541" spans="1:9" hidden="1" x14ac:dyDescent="0.3">
      <c r="A541" t="s">
        <v>729</v>
      </c>
      <c r="B541" s="46">
        <v>45315</v>
      </c>
      <c r="C541" s="45">
        <v>99000</v>
      </c>
      <c r="D541" t="s">
        <v>765</v>
      </c>
      <c r="E541" s="46">
        <v>45337</v>
      </c>
      <c r="F541" s="45" t="s">
        <v>721</v>
      </c>
      <c r="I541" t="s">
        <v>726</v>
      </c>
    </row>
    <row r="542" spans="1:9" hidden="1" x14ac:dyDescent="0.3">
      <c r="A542" t="s">
        <v>745</v>
      </c>
      <c r="B542" s="46">
        <v>45380</v>
      </c>
      <c r="C542" s="45">
        <v>99000</v>
      </c>
      <c r="D542" t="s">
        <v>2052</v>
      </c>
      <c r="E542" s="46">
        <v>45398</v>
      </c>
      <c r="F542" s="45" t="s">
        <v>721</v>
      </c>
      <c r="G542">
        <v>0</v>
      </c>
      <c r="I542" t="s">
        <v>818</v>
      </c>
    </row>
    <row r="543" spans="1:9" hidden="1" x14ac:dyDescent="0.3">
      <c r="A543" t="s">
        <v>743</v>
      </c>
      <c r="B543" s="46">
        <v>45240</v>
      </c>
      <c r="C543" s="45">
        <v>98289</v>
      </c>
      <c r="D543" t="s">
        <v>753</v>
      </c>
      <c r="E543" s="46">
        <v>45286</v>
      </c>
      <c r="F543" s="45" t="s">
        <v>731</v>
      </c>
      <c r="G543" t="s">
        <v>732</v>
      </c>
      <c r="H543">
        <v>73.5</v>
      </c>
      <c r="I543" t="s">
        <v>733</v>
      </c>
    </row>
    <row r="544" spans="1:9" hidden="1" x14ac:dyDescent="0.3">
      <c r="A544" t="s">
        <v>779</v>
      </c>
      <c r="B544" s="46">
        <v>45153</v>
      </c>
      <c r="C544" s="45">
        <v>98000</v>
      </c>
      <c r="D544" t="s">
        <v>871</v>
      </c>
      <c r="E544" s="46">
        <v>45184</v>
      </c>
      <c r="F544" s="45" t="s">
        <v>721</v>
      </c>
      <c r="I544" t="s">
        <v>818</v>
      </c>
    </row>
    <row r="545" spans="1:9" x14ac:dyDescent="0.3">
      <c r="A545" t="s">
        <v>745</v>
      </c>
      <c r="B545" s="46">
        <v>45401</v>
      </c>
      <c r="C545" s="45">
        <v>98000</v>
      </c>
      <c r="D545" t="s">
        <v>2052</v>
      </c>
      <c r="E545" s="46">
        <v>45428</v>
      </c>
      <c r="F545" s="45" t="s">
        <v>721</v>
      </c>
      <c r="G545">
        <v>0</v>
      </c>
      <c r="I545" t="s">
        <v>818</v>
      </c>
    </row>
    <row r="546" spans="1:9" hidden="1" x14ac:dyDescent="0.3">
      <c r="A546" t="s">
        <v>729</v>
      </c>
      <c r="B546" s="46">
        <v>45189</v>
      </c>
      <c r="C546" s="45">
        <v>97300</v>
      </c>
      <c r="D546" t="s">
        <v>765</v>
      </c>
      <c r="E546" s="46">
        <v>45215</v>
      </c>
      <c r="F546" s="45" t="s">
        <v>721</v>
      </c>
      <c r="I546" t="s">
        <v>756</v>
      </c>
    </row>
    <row r="547" spans="1:9" hidden="1" x14ac:dyDescent="0.3">
      <c r="A547" t="s">
        <v>772</v>
      </c>
      <c r="B547" s="46">
        <v>45302</v>
      </c>
      <c r="C547" s="45">
        <v>97000</v>
      </c>
      <c r="D547" t="s">
        <v>872</v>
      </c>
      <c r="E547" s="46">
        <v>45348</v>
      </c>
      <c r="F547" s="45" t="s">
        <v>721</v>
      </c>
      <c r="I547" t="s">
        <v>726</v>
      </c>
    </row>
    <row r="548" spans="1:9" hidden="1" x14ac:dyDescent="0.3">
      <c r="A548" t="s">
        <v>729</v>
      </c>
      <c r="B548" s="46">
        <v>45321</v>
      </c>
      <c r="C548" s="45">
        <v>96800</v>
      </c>
      <c r="D548" t="s">
        <v>765</v>
      </c>
      <c r="E548" s="46">
        <v>45337</v>
      </c>
      <c r="F548" s="45" t="s">
        <v>721</v>
      </c>
      <c r="I548" t="s">
        <v>726</v>
      </c>
    </row>
    <row r="549" spans="1:9" hidden="1" x14ac:dyDescent="0.3">
      <c r="A549" t="s">
        <v>734</v>
      </c>
      <c r="B549" s="46">
        <v>45162</v>
      </c>
      <c r="C549" s="45">
        <v>96600</v>
      </c>
      <c r="D549" t="s">
        <v>806</v>
      </c>
      <c r="E549" s="46">
        <v>45184</v>
      </c>
      <c r="F549" s="45" t="s">
        <v>721</v>
      </c>
      <c r="I549" t="s">
        <v>726</v>
      </c>
    </row>
    <row r="550" spans="1:9" hidden="1" x14ac:dyDescent="0.3">
      <c r="A550" t="s">
        <v>734</v>
      </c>
      <c r="B550" s="46">
        <v>45343</v>
      </c>
      <c r="C550" s="45">
        <v>95500</v>
      </c>
      <c r="D550" t="s">
        <v>735</v>
      </c>
      <c r="E550" s="46">
        <v>45366</v>
      </c>
      <c r="F550" s="45" t="s">
        <v>721</v>
      </c>
      <c r="I550" t="s">
        <v>762</v>
      </c>
    </row>
    <row r="551" spans="1:9" x14ac:dyDescent="0.3">
      <c r="A551" t="s">
        <v>794</v>
      </c>
      <c r="B551" s="46">
        <v>45131</v>
      </c>
      <c r="C551" s="45">
        <v>95100</v>
      </c>
      <c r="D551" t="s">
        <v>873</v>
      </c>
      <c r="E551" s="46">
        <v>45154</v>
      </c>
      <c r="F551" s="45" t="s">
        <v>721</v>
      </c>
    </row>
    <row r="552" spans="1:9" hidden="1" x14ac:dyDescent="0.3">
      <c r="A552" t="s">
        <v>734</v>
      </c>
      <c r="B552" s="46">
        <v>45148</v>
      </c>
      <c r="C552" s="45">
        <v>95000</v>
      </c>
      <c r="D552" t="s">
        <v>874</v>
      </c>
      <c r="E552" s="46">
        <v>45184</v>
      </c>
      <c r="F552" s="45" t="s">
        <v>721</v>
      </c>
      <c r="I552" t="s">
        <v>726</v>
      </c>
    </row>
    <row r="553" spans="1:9" hidden="1" x14ac:dyDescent="0.3">
      <c r="A553" t="s">
        <v>745</v>
      </c>
      <c r="B553" s="46">
        <v>45190</v>
      </c>
      <c r="C553" s="45">
        <v>95000</v>
      </c>
      <c r="D553" t="s">
        <v>849</v>
      </c>
      <c r="E553" s="46">
        <v>45215</v>
      </c>
      <c r="F553" s="45" t="s">
        <v>721</v>
      </c>
      <c r="I553" t="s">
        <v>818</v>
      </c>
    </row>
    <row r="554" spans="1:9" hidden="1" x14ac:dyDescent="0.3">
      <c r="A554" t="s">
        <v>772</v>
      </c>
      <c r="B554" s="46">
        <v>45232</v>
      </c>
      <c r="C554" s="45">
        <v>95000</v>
      </c>
      <c r="D554" t="s">
        <v>791</v>
      </c>
      <c r="E554" s="46">
        <v>45256</v>
      </c>
      <c r="F554" s="45" t="s">
        <v>721</v>
      </c>
      <c r="I554" t="s">
        <v>726</v>
      </c>
    </row>
    <row r="555" spans="1:9" hidden="1" x14ac:dyDescent="0.3">
      <c r="A555" t="s">
        <v>777</v>
      </c>
      <c r="B555" s="46">
        <v>45317</v>
      </c>
      <c r="C555" s="45">
        <v>95000</v>
      </c>
      <c r="D555" t="s">
        <v>875</v>
      </c>
      <c r="E555" s="46">
        <v>45366</v>
      </c>
      <c r="F555" s="45" t="s">
        <v>721</v>
      </c>
      <c r="I555" t="s">
        <v>818</v>
      </c>
    </row>
    <row r="556" spans="1:9" hidden="1" x14ac:dyDescent="0.3">
      <c r="A556" t="s">
        <v>729</v>
      </c>
      <c r="B556" s="46">
        <v>45321</v>
      </c>
      <c r="C556" s="45">
        <v>94600</v>
      </c>
      <c r="D556" t="s">
        <v>765</v>
      </c>
      <c r="E556" s="46">
        <v>45337</v>
      </c>
      <c r="F556" s="45" t="s">
        <v>721</v>
      </c>
      <c r="I556" t="s">
        <v>726</v>
      </c>
    </row>
    <row r="557" spans="1:9" hidden="1" x14ac:dyDescent="0.3">
      <c r="A557" t="s">
        <v>748</v>
      </c>
      <c r="B557" s="46">
        <v>45267</v>
      </c>
      <c r="C557" s="45">
        <v>94600</v>
      </c>
      <c r="D557" t="s">
        <v>735</v>
      </c>
      <c r="E557" s="46">
        <v>45306</v>
      </c>
      <c r="F557" s="45" t="s">
        <v>721</v>
      </c>
      <c r="I557" t="s">
        <v>762</v>
      </c>
    </row>
    <row r="558" spans="1:9" hidden="1" x14ac:dyDescent="0.3">
      <c r="A558" t="s">
        <v>775</v>
      </c>
      <c r="B558" s="46">
        <v>45435</v>
      </c>
      <c r="C558" s="45">
        <v>94500</v>
      </c>
      <c r="D558" t="s">
        <v>922</v>
      </c>
      <c r="E558" s="46">
        <v>45459</v>
      </c>
      <c r="F558" s="45" t="s">
        <v>721</v>
      </c>
      <c r="I558" t="s">
        <v>726</v>
      </c>
    </row>
    <row r="559" spans="1:9" hidden="1" x14ac:dyDescent="0.3">
      <c r="A559" t="s">
        <v>727</v>
      </c>
      <c r="B559" s="46">
        <v>45433</v>
      </c>
      <c r="C559" s="45">
        <v>94490</v>
      </c>
      <c r="D559" t="s">
        <v>1205</v>
      </c>
      <c r="E559" s="46">
        <v>45458</v>
      </c>
      <c r="F559" s="45" t="s">
        <v>721</v>
      </c>
      <c r="I559" t="s">
        <v>736</v>
      </c>
    </row>
    <row r="560" spans="1:9" hidden="1" x14ac:dyDescent="0.3">
      <c r="A560" t="s">
        <v>745</v>
      </c>
      <c r="B560" s="46">
        <v>45329</v>
      </c>
      <c r="C560" s="45">
        <v>94000</v>
      </c>
      <c r="D560" t="s">
        <v>849</v>
      </c>
      <c r="E560" s="46">
        <v>45369</v>
      </c>
      <c r="F560" s="45" t="s">
        <v>721</v>
      </c>
      <c r="G560">
        <v>0</v>
      </c>
      <c r="I560" t="s">
        <v>818</v>
      </c>
    </row>
    <row r="561" spans="1:9" hidden="1" x14ac:dyDescent="0.3">
      <c r="A561" t="s">
        <v>777</v>
      </c>
      <c r="B561" s="46">
        <v>45233</v>
      </c>
      <c r="C561" s="45">
        <v>94000</v>
      </c>
      <c r="D561" t="s">
        <v>875</v>
      </c>
      <c r="E561" s="46">
        <v>45275</v>
      </c>
      <c r="F561" s="45" t="s">
        <v>721</v>
      </c>
      <c r="I561" t="s">
        <v>818</v>
      </c>
    </row>
    <row r="562" spans="1:9" hidden="1" x14ac:dyDescent="0.3">
      <c r="A562" t="s">
        <v>727</v>
      </c>
      <c r="B562" s="46">
        <v>45267</v>
      </c>
      <c r="C562" s="45">
        <v>94000</v>
      </c>
      <c r="D562" t="s">
        <v>839</v>
      </c>
      <c r="E562" s="46">
        <v>45306</v>
      </c>
      <c r="F562" s="45" t="s">
        <v>721</v>
      </c>
      <c r="I562" t="s">
        <v>726</v>
      </c>
    </row>
    <row r="563" spans="1:9" hidden="1" x14ac:dyDescent="0.3">
      <c r="A563" t="s">
        <v>772</v>
      </c>
      <c r="B563" s="46">
        <v>45442</v>
      </c>
      <c r="C563" s="45">
        <v>93600</v>
      </c>
      <c r="D563" t="s">
        <v>1261</v>
      </c>
      <c r="E563" s="46">
        <v>45469</v>
      </c>
      <c r="F563" s="45" t="s">
        <v>721</v>
      </c>
      <c r="I563" t="s">
        <v>726</v>
      </c>
    </row>
    <row r="564" spans="1:9" hidden="1" x14ac:dyDescent="0.3">
      <c r="A564" t="s">
        <v>748</v>
      </c>
      <c r="B564" s="46">
        <v>45167</v>
      </c>
      <c r="C564" s="45">
        <v>93500</v>
      </c>
      <c r="D564" t="s">
        <v>851</v>
      </c>
      <c r="E564" s="46">
        <v>45184</v>
      </c>
      <c r="F564" s="45" t="s">
        <v>721</v>
      </c>
      <c r="I564" t="s">
        <v>841</v>
      </c>
    </row>
    <row r="565" spans="1:9" hidden="1" x14ac:dyDescent="0.3">
      <c r="A565" t="s">
        <v>803</v>
      </c>
      <c r="B565" s="46">
        <v>45392</v>
      </c>
      <c r="C565" s="45">
        <v>93160</v>
      </c>
      <c r="D565" t="s">
        <v>2053</v>
      </c>
      <c r="E565" s="46">
        <v>45428</v>
      </c>
      <c r="F565" s="45" t="s">
        <v>721</v>
      </c>
      <c r="G565">
        <v>0</v>
      </c>
      <c r="I565" t="s">
        <v>818</v>
      </c>
    </row>
    <row r="566" spans="1:9" hidden="1" x14ac:dyDescent="0.3">
      <c r="A566" t="s">
        <v>729</v>
      </c>
      <c r="B566" s="46">
        <v>45212</v>
      </c>
      <c r="C566" s="45">
        <v>93000</v>
      </c>
      <c r="D566" t="s">
        <v>877</v>
      </c>
      <c r="E566" s="46">
        <v>45245</v>
      </c>
      <c r="F566" s="45" t="s">
        <v>721</v>
      </c>
      <c r="I566" t="s">
        <v>760</v>
      </c>
    </row>
    <row r="567" spans="1:9" hidden="1" x14ac:dyDescent="0.3">
      <c r="A567" t="s">
        <v>734</v>
      </c>
      <c r="B567" s="46">
        <v>45247</v>
      </c>
      <c r="C567" s="45">
        <v>93000</v>
      </c>
      <c r="D567" t="s">
        <v>874</v>
      </c>
      <c r="E567" s="46">
        <v>45275</v>
      </c>
      <c r="F567" s="45" t="s">
        <v>721</v>
      </c>
      <c r="I567" t="s">
        <v>726</v>
      </c>
    </row>
    <row r="568" spans="1:9" hidden="1" x14ac:dyDescent="0.3">
      <c r="A568" t="s">
        <v>724</v>
      </c>
      <c r="B568" s="46">
        <v>45190</v>
      </c>
      <c r="C568" s="45">
        <v>92500</v>
      </c>
      <c r="D568" t="s">
        <v>879</v>
      </c>
      <c r="E568" s="46">
        <v>45225</v>
      </c>
      <c r="F568" s="45" t="s">
        <v>721</v>
      </c>
      <c r="I568" t="s">
        <v>726</v>
      </c>
    </row>
    <row r="569" spans="1:9" hidden="1" x14ac:dyDescent="0.3">
      <c r="A569" t="s">
        <v>772</v>
      </c>
      <c r="B569" s="46">
        <v>45148</v>
      </c>
      <c r="C569" s="45">
        <v>92500</v>
      </c>
      <c r="D569" t="s">
        <v>878</v>
      </c>
      <c r="E569" s="46">
        <v>45195</v>
      </c>
      <c r="F569" s="45" t="s">
        <v>721</v>
      </c>
      <c r="I569" t="s">
        <v>726</v>
      </c>
    </row>
    <row r="570" spans="1:9" hidden="1" x14ac:dyDescent="0.3">
      <c r="A570" t="s">
        <v>729</v>
      </c>
      <c r="B570" s="46">
        <v>45189</v>
      </c>
      <c r="C570" s="45">
        <v>92340</v>
      </c>
      <c r="D570" t="s">
        <v>765</v>
      </c>
      <c r="E570" s="46">
        <v>45215</v>
      </c>
      <c r="F570" s="45" t="s">
        <v>721</v>
      </c>
      <c r="I570" t="s">
        <v>756</v>
      </c>
    </row>
    <row r="571" spans="1:9" hidden="1" x14ac:dyDescent="0.3">
      <c r="A571" t="s">
        <v>767</v>
      </c>
      <c r="B571" s="46">
        <v>45253</v>
      </c>
      <c r="C571" s="45">
        <v>92000</v>
      </c>
      <c r="D571" t="s">
        <v>880</v>
      </c>
      <c r="E571" s="46">
        <v>45275</v>
      </c>
      <c r="F571" s="45" t="s">
        <v>721</v>
      </c>
      <c r="I571" t="s">
        <v>726</v>
      </c>
    </row>
    <row r="572" spans="1:9" hidden="1" x14ac:dyDescent="0.3">
      <c r="A572" t="s">
        <v>729</v>
      </c>
      <c r="B572" s="46">
        <v>45337</v>
      </c>
      <c r="C572" s="45">
        <v>92000</v>
      </c>
      <c r="D572" t="s">
        <v>735</v>
      </c>
      <c r="E572" s="46">
        <v>45366</v>
      </c>
      <c r="F572" s="45" t="s">
        <v>721</v>
      </c>
      <c r="I572" t="s">
        <v>762</v>
      </c>
    </row>
    <row r="573" spans="1:9" hidden="1" x14ac:dyDescent="0.3">
      <c r="A573" t="s">
        <v>772</v>
      </c>
      <c r="B573" s="46">
        <v>45309</v>
      </c>
      <c r="C573" s="45">
        <v>92000</v>
      </c>
      <c r="D573" t="s">
        <v>791</v>
      </c>
      <c r="E573" s="46">
        <v>45348</v>
      </c>
      <c r="F573" s="45" t="s">
        <v>721</v>
      </c>
      <c r="I573" t="s">
        <v>726</v>
      </c>
    </row>
    <row r="574" spans="1:9" hidden="1" x14ac:dyDescent="0.3">
      <c r="A574" t="s">
        <v>729</v>
      </c>
      <c r="B574" s="46">
        <v>45321</v>
      </c>
      <c r="C574" s="45">
        <v>91950</v>
      </c>
      <c r="D574" t="s">
        <v>765</v>
      </c>
      <c r="E574" s="46">
        <v>45337</v>
      </c>
      <c r="F574" s="45" t="s">
        <v>721</v>
      </c>
      <c r="I574" t="s">
        <v>726</v>
      </c>
    </row>
    <row r="575" spans="1:9" hidden="1" x14ac:dyDescent="0.3">
      <c r="A575" t="s">
        <v>722</v>
      </c>
      <c r="B575" s="46">
        <v>45190</v>
      </c>
      <c r="C575" s="45">
        <v>91825</v>
      </c>
      <c r="D575" t="s">
        <v>765</v>
      </c>
      <c r="E575" s="46">
        <v>45215</v>
      </c>
      <c r="F575" s="45" t="s">
        <v>721</v>
      </c>
      <c r="I575" t="s">
        <v>756</v>
      </c>
    </row>
    <row r="576" spans="1:9" hidden="1" x14ac:dyDescent="0.3">
      <c r="A576" t="s">
        <v>779</v>
      </c>
      <c r="B576" s="46">
        <v>45170</v>
      </c>
      <c r="C576" s="45">
        <v>91100</v>
      </c>
      <c r="D576" t="s">
        <v>881</v>
      </c>
      <c r="E576" s="46">
        <v>45215</v>
      </c>
      <c r="F576" s="45" t="s">
        <v>721</v>
      </c>
    </row>
    <row r="577" spans="1:9" hidden="1" x14ac:dyDescent="0.3">
      <c r="A577" t="s">
        <v>772</v>
      </c>
      <c r="B577" s="46">
        <v>45141</v>
      </c>
      <c r="C577" s="45">
        <v>91000</v>
      </c>
      <c r="D577" t="s">
        <v>882</v>
      </c>
      <c r="E577" s="46">
        <v>45164</v>
      </c>
      <c r="F577" s="45" t="s">
        <v>721</v>
      </c>
      <c r="I577" t="s">
        <v>726</v>
      </c>
    </row>
    <row r="578" spans="1:9" hidden="1" x14ac:dyDescent="0.3">
      <c r="A578" t="s">
        <v>734</v>
      </c>
      <c r="B578" s="46">
        <v>45286</v>
      </c>
      <c r="C578" s="45">
        <v>91000</v>
      </c>
      <c r="D578" t="s">
        <v>855</v>
      </c>
      <c r="E578" s="46">
        <v>45306</v>
      </c>
      <c r="F578" s="45" t="s">
        <v>721</v>
      </c>
      <c r="I578" t="s">
        <v>760</v>
      </c>
    </row>
    <row r="579" spans="1:9" hidden="1" x14ac:dyDescent="0.3">
      <c r="A579" t="s">
        <v>729</v>
      </c>
      <c r="B579" s="46">
        <v>45321</v>
      </c>
      <c r="C579" s="45">
        <v>90750</v>
      </c>
      <c r="D579" t="s">
        <v>765</v>
      </c>
      <c r="E579" s="46">
        <v>45337</v>
      </c>
      <c r="F579" s="45" t="s">
        <v>721</v>
      </c>
      <c r="I579" t="s">
        <v>726</v>
      </c>
    </row>
    <row r="580" spans="1:9" hidden="1" x14ac:dyDescent="0.3">
      <c r="A580" t="s">
        <v>729</v>
      </c>
      <c r="B580" s="46">
        <v>45189</v>
      </c>
      <c r="C580" s="45">
        <v>90500</v>
      </c>
      <c r="D580" t="s">
        <v>765</v>
      </c>
      <c r="E580" s="46">
        <v>45215</v>
      </c>
      <c r="F580" s="45" t="s">
        <v>721</v>
      </c>
      <c r="I580" t="s">
        <v>756</v>
      </c>
    </row>
    <row r="581" spans="1:9" hidden="1" x14ac:dyDescent="0.3">
      <c r="A581" t="s">
        <v>748</v>
      </c>
      <c r="B581" s="46">
        <v>45210</v>
      </c>
      <c r="C581" s="45">
        <v>90000</v>
      </c>
      <c r="D581" t="s">
        <v>783</v>
      </c>
      <c r="E581" s="46">
        <v>45245</v>
      </c>
      <c r="F581" s="45" t="s">
        <v>721</v>
      </c>
      <c r="I581" t="s">
        <v>784</v>
      </c>
    </row>
    <row r="582" spans="1:9" hidden="1" x14ac:dyDescent="0.3">
      <c r="A582" t="s">
        <v>748</v>
      </c>
      <c r="B582" s="46">
        <v>45224</v>
      </c>
      <c r="C582" s="45">
        <v>90000</v>
      </c>
      <c r="D582" t="s">
        <v>783</v>
      </c>
      <c r="E582" s="46">
        <v>45245</v>
      </c>
      <c r="F582" s="45" t="s">
        <v>721</v>
      </c>
      <c r="I582" t="s">
        <v>784</v>
      </c>
    </row>
    <row r="583" spans="1:9" hidden="1" x14ac:dyDescent="0.3">
      <c r="A583" t="s">
        <v>724</v>
      </c>
      <c r="B583" s="46">
        <v>45189</v>
      </c>
      <c r="C583" s="45">
        <v>90000</v>
      </c>
      <c r="D583" t="s">
        <v>791</v>
      </c>
      <c r="E583" s="46">
        <v>45225</v>
      </c>
      <c r="F583" s="45" t="s">
        <v>721</v>
      </c>
      <c r="I583" t="s">
        <v>726</v>
      </c>
    </row>
    <row r="584" spans="1:9" hidden="1" x14ac:dyDescent="0.3">
      <c r="A584" t="s">
        <v>772</v>
      </c>
      <c r="B584" s="46">
        <v>45127</v>
      </c>
      <c r="C584" s="45">
        <v>90000</v>
      </c>
      <c r="D584" t="s">
        <v>791</v>
      </c>
      <c r="E584" s="46">
        <v>45164</v>
      </c>
      <c r="F584" s="45" t="s">
        <v>721</v>
      </c>
      <c r="I584" t="s">
        <v>726</v>
      </c>
    </row>
    <row r="585" spans="1:9" x14ac:dyDescent="0.3">
      <c r="A585" t="s">
        <v>775</v>
      </c>
      <c r="B585" s="46">
        <v>45120</v>
      </c>
      <c r="C585" s="45">
        <v>90000</v>
      </c>
      <c r="D585" t="s">
        <v>884</v>
      </c>
      <c r="E585" s="46">
        <v>45154</v>
      </c>
      <c r="F585" s="45" t="s">
        <v>721</v>
      </c>
      <c r="I585" t="s">
        <v>726</v>
      </c>
    </row>
    <row r="586" spans="1:9" hidden="1" x14ac:dyDescent="0.3">
      <c r="A586" t="s">
        <v>748</v>
      </c>
      <c r="B586" s="46">
        <v>45133</v>
      </c>
      <c r="C586" s="45">
        <v>90000</v>
      </c>
      <c r="D586" t="s">
        <v>783</v>
      </c>
      <c r="E586" s="46">
        <v>45154</v>
      </c>
      <c r="F586" s="45" t="s">
        <v>721</v>
      </c>
      <c r="I586" t="s">
        <v>784</v>
      </c>
    </row>
    <row r="587" spans="1:9" hidden="1" x14ac:dyDescent="0.3">
      <c r="A587" t="s">
        <v>748</v>
      </c>
      <c r="B587" s="46">
        <v>45261</v>
      </c>
      <c r="C587" s="45">
        <v>90000</v>
      </c>
      <c r="D587" t="s">
        <v>783</v>
      </c>
      <c r="E587" s="46">
        <v>45306</v>
      </c>
      <c r="F587" s="45" t="s">
        <v>721</v>
      </c>
      <c r="I587" t="s">
        <v>784</v>
      </c>
    </row>
    <row r="588" spans="1:9" hidden="1" x14ac:dyDescent="0.3">
      <c r="A588" t="s">
        <v>748</v>
      </c>
      <c r="B588" s="46">
        <v>45238</v>
      </c>
      <c r="C588" s="45">
        <v>90000</v>
      </c>
      <c r="D588" t="s">
        <v>783</v>
      </c>
      <c r="E588" s="46">
        <v>45275</v>
      </c>
      <c r="F588" s="45" t="s">
        <v>721</v>
      </c>
      <c r="I588" t="s">
        <v>784</v>
      </c>
    </row>
    <row r="589" spans="1:9" hidden="1" x14ac:dyDescent="0.3">
      <c r="A589" t="s">
        <v>748</v>
      </c>
      <c r="B589" s="46">
        <v>45306</v>
      </c>
      <c r="C589" s="45">
        <v>90000</v>
      </c>
      <c r="D589" t="s">
        <v>783</v>
      </c>
      <c r="E589" s="46">
        <v>45337</v>
      </c>
      <c r="F589" s="45" t="s">
        <v>721</v>
      </c>
      <c r="I589" t="s">
        <v>784</v>
      </c>
    </row>
    <row r="590" spans="1:9" hidden="1" x14ac:dyDescent="0.3">
      <c r="A590" t="s">
        <v>727</v>
      </c>
      <c r="B590" s="46">
        <v>45344</v>
      </c>
      <c r="C590" s="45">
        <v>90000</v>
      </c>
      <c r="D590" t="s">
        <v>836</v>
      </c>
      <c r="E590" s="46">
        <v>45366</v>
      </c>
      <c r="F590" s="45" t="s">
        <v>721</v>
      </c>
      <c r="I590" t="s">
        <v>726</v>
      </c>
    </row>
    <row r="591" spans="1:9" hidden="1" x14ac:dyDescent="0.3">
      <c r="A591" t="s">
        <v>745</v>
      </c>
      <c r="B591" s="46">
        <v>45430</v>
      </c>
      <c r="C591" s="45">
        <v>90000</v>
      </c>
      <c r="D591" t="s">
        <v>2052</v>
      </c>
      <c r="E591" s="46">
        <v>45459</v>
      </c>
      <c r="F591" s="45" t="s">
        <v>721</v>
      </c>
      <c r="I591" t="s">
        <v>818</v>
      </c>
    </row>
    <row r="592" spans="1:9" hidden="1" x14ac:dyDescent="0.3">
      <c r="A592" t="s">
        <v>748</v>
      </c>
      <c r="B592" s="46">
        <v>45401</v>
      </c>
      <c r="C592" s="45">
        <v>90000</v>
      </c>
      <c r="D592" t="s">
        <v>783</v>
      </c>
      <c r="E592" s="46">
        <v>45428</v>
      </c>
      <c r="F592" s="45" t="s">
        <v>721</v>
      </c>
      <c r="I592" t="s">
        <v>784</v>
      </c>
    </row>
    <row r="593" spans="1:9" hidden="1" x14ac:dyDescent="0.3">
      <c r="A593" t="s">
        <v>729</v>
      </c>
      <c r="B593" s="46">
        <v>45324</v>
      </c>
      <c r="C593" s="45">
        <v>89967</v>
      </c>
      <c r="D593" t="s">
        <v>765</v>
      </c>
      <c r="E593" s="46">
        <v>45366</v>
      </c>
      <c r="F593" s="45" t="s">
        <v>721</v>
      </c>
      <c r="I593" t="s">
        <v>726</v>
      </c>
    </row>
    <row r="594" spans="1:9" hidden="1" x14ac:dyDescent="0.3">
      <c r="A594" t="s">
        <v>729</v>
      </c>
      <c r="B594" s="46">
        <v>45323</v>
      </c>
      <c r="C594" s="45">
        <v>89560</v>
      </c>
      <c r="D594" t="s">
        <v>765</v>
      </c>
      <c r="E594" s="46">
        <v>45366</v>
      </c>
      <c r="F594" s="45" t="s">
        <v>721</v>
      </c>
      <c r="I594" t="s">
        <v>726</v>
      </c>
    </row>
    <row r="595" spans="1:9" hidden="1" x14ac:dyDescent="0.3">
      <c r="A595" t="s">
        <v>727</v>
      </c>
      <c r="B595" s="46">
        <v>45243</v>
      </c>
      <c r="C595" s="45">
        <v>89000</v>
      </c>
      <c r="D595" t="s">
        <v>735</v>
      </c>
      <c r="E595" s="46">
        <v>45275</v>
      </c>
      <c r="F595" s="45" t="s">
        <v>721</v>
      </c>
      <c r="I595" t="s">
        <v>756</v>
      </c>
    </row>
    <row r="596" spans="1:9" hidden="1" x14ac:dyDescent="0.3">
      <c r="A596" t="s">
        <v>729</v>
      </c>
      <c r="B596" s="46">
        <v>45246</v>
      </c>
      <c r="C596" s="45">
        <v>88900</v>
      </c>
      <c r="D596" t="s">
        <v>735</v>
      </c>
      <c r="E596" s="46">
        <v>45275</v>
      </c>
      <c r="F596" s="45" t="s">
        <v>721</v>
      </c>
      <c r="I596" t="s">
        <v>762</v>
      </c>
    </row>
    <row r="597" spans="1:9" hidden="1" x14ac:dyDescent="0.3">
      <c r="A597" t="s">
        <v>772</v>
      </c>
      <c r="B597" s="46">
        <v>45288</v>
      </c>
      <c r="C597" s="45">
        <v>88300</v>
      </c>
      <c r="D597" t="s">
        <v>885</v>
      </c>
      <c r="E597" s="46">
        <v>45317</v>
      </c>
      <c r="F597" s="45" t="s">
        <v>721</v>
      </c>
      <c r="I597" t="s">
        <v>726</v>
      </c>
    </row>
    <row r="598" spans="1:9" hidden="1" x14ac:dyDescent="0.3">
      <c r="A598" t="s">
        <v>803</v>
      </c>
      <c r="B598" s="46">
        <v>45356</v>
      </c>
      <c r="C598" s="45">
        <v>88100</v>
      </c>
      <c r="D598" t="s">
        <v>1085</v>
      </c>
      <c r="E598" s="46">
        <v>45398</v>
      </c>
      <c r="F598" s="45" t="s">
        <v>721</v>
      </c>
      <c r="G598">
        <v>0</v>
      </c>
      <c r="I598" t="s">
        <v>726</v>
      </c>
    </row>
    <row r="599" spans="1:9" hidden="1" x14ac:dyDescent="0.3">
      <c r="A599" t="s">
        <v>724</v>
      </c>
      <c r="B599" s="46">
        <v>45337</v>
      </c>
      <c r="C599" s="45">
        <v>88000</v>
      </c>
      <c r="D599" t="s">
        <v>886</v>
      </c>
      <c r="E599" s="46">
        <v>45377</v>
      </c>
      <c r="F599" s="45" t="s">
        <v>721</v>
      </c>
      <c r="I599" t="s">
        <v>726</v>
      </c>
    </row>
    <row r="600" spans="1:9" hidden="1" x14ac:dyDescent="0.3">
      <c r="A600" t="s">
        <v>724</v>
      </c>
      <c r="B600" s="46">
        <v>45406</v>
      </c>
      <c r="C600" s="45">
        <v>88000</v>
      </c>
      <c r="D600" t="s">
        <v>791</v>
      </c>
      <c r="E600" s="46">
        <v>45438</v>
      </c>
      <c r="F600" s="45" t="s">
        <v>721</v>
      </c>
      <c r="I600" t="s">
        <v>726</v>
      </c>
    </row>
    <row r="601" spans="1:9" hidden="1" x14ac:dyDescent="0.3">
      <c r="A601" t="s">
        <v>724</v>
      </c>
      <c r="B601" s="46">
        <v>45390</v>
      </c>
      <c r="C601" s="45">
        <v>88000</v>
      </c>
      <c r="D601" t="s">
        <v>791</v>
      </c>
      <c r="E601" s="46">
        <v>45438</v>
      </c>
      <c r="F601" s="45" t="s">
        <v>721</v>
      </c>
      <c r="I601" t="s">
        <v>726</v>
      </c>
    </row>
    <row r="602" spans="1:9" hidden="1" x14ac:dyDescent="0.3">
      <c r="A602" t="s">
        <v>745</v>
      </c>
      <c r="B602" s="46">
        <v>45121</v>
      </c>
      <c r="C602" s="45">
        <v>87850</v>
      </c>
      <c r="D602" t="s">
        <v>887</v>
      </c>
      <c r="E602" s="46">
        <v>45154</v>
      </c>
      <c r="F602" s="45" t="s">
        <v>721</v>
      </c>
      <c r="I602" t="s">
        <v>1200</v>
      </c>
    </row>
    <row r="603" spans="1:9" hidden="1" x14ac:dyDescent="0.3">
      <c r="A603" t="s">
        <v>748</v>
      </c>
      <c r="B603" s="46">
        <v>45132</v>
      </c>
      <c r="C603" s="45">
        <v>87700</v>
      </c>
      <c r="D603" t="s">
        <v>735</v>
      </c>
      <c r="E603" s="46">
        <v>45154</v>
      </c>
      <c r="F603" s="45" t="s">
        <v>721</v>
      </c>
      <c r="I603" t="s">
        <v>762</v>
      </c>
    </row>
    <row r="604" spans="1:9" hidden="1" x14ac:dyDescent="0.3">
      <c r="A604" t="s">
        <v>748</v>
      </c>
      <c r="B604" s="46">
        <v>45191</v>
      </c>
      <c r="C604" s="45">
        <v>87615</v>
      </c>
      <c r="D604" t="s">
        <v>797</v>
      </c>
      <c r="E604" s="46">
        <v>45215</v>
      </c>
      <c r="F604" s="45" t="s">
        <v>721</v>
      </c>
      <c r="I604" t="s">
        <v>781</v>
      </c>
    </row>
    <row r="605" spans="1:9" hidden="1" x14ac:dyDescent="0.3">
      <c r="A605" t="s">
        <v>724</v>
      </c>
      <c r="B605" s="46">
        <v>45148</v>
      </c>
      <c r="C605" s="45">
        <v>87500</v>
      </c>
      <c r="D605" t="s">
        <v>888</v>
      </c>
      <c r="E605" s="46">
        <v>45195</v>
      </c>
      <c r="F605" s="45" t="s">
        <v>721</v>
      </c>
      <c r="I605" t="s">
        <v>726</v>
      </c>
    </row>
    <row r="606" spans="1:9" hidden="1" x14ac:dyDescent="0.3">
      <c r="A606" t="s">
        <v>748</v>
      </c>
      <c r="B606" s="46">
        <v>45370</v>
      </c>
      <c r="C606" s="45">
        <v>87494</v>
      </c>
      <c r="D606" t="s">
        <v>797</v>
      </c>
      <c r="E606" s="46">
        <v>45397</v>
      </c>
      <c r="F606" s="45" t="s">
        <v>721</v>
      </c>
      <c r="I606" t="s">
        <v>781</v>
      </c>
    </row>
    <row r="607" spans="1:9" hidden="1" x14ac:dyDescent="0.3">
      <c r="A607" t="s">
        <v>748</v>
      </c>
      <c r="B607" s="46">
        <v>45155</v>
      </c>
      <c r="C607" s="45">
        <v>87070</v>
      </c>
      <c r="D607" t="s">
        <v>735</v>
      </c>
      <c r="E607" s="46">
        <v>45184</v>
      </c>
      <c r="F607" s="45" t="s">
        <v>721</v>
      </c>
      <c r="I607" t="s">
        <v>726</v>
      </c>
    </row>
    <row r="608" spans="1:9" hidden="1" x14ac:dyDescent="0.3">
      <c r="A608" t="s">
        <v>748</v>
      </c>
      <c r="B608" s="46">
        <v>45162</v>
      </c>
      <c r="C608" s="45">
        <v>87000</v>
      </c>
      <c r="D608" t="s">
        <v>852</v>
      </c>
      <c r="E608" s="46">
        <v>45184</v>
      </c>
      <c r="F608" s="45" t="s">
        <v>721</v>
      </c>
      <c r="I608" t="s">
        <v>726</v>
      </c>
    </row>
    <row r="609" spans="1:9" hidden="1" x14ac:dyDescent="0.3">
      <c r="A609" t="s">
        <v>745</v>
      </c>
      <c r="B609" s="46">
        <v>45240</v>
      </c>
      <c r="C609" s="45">
        <v>87000</v>
      </c>
      <c r="D609" t="s">
        <v>849</v>
      </c>
      <c r="E609" s="46">
        <v>45278</v>
      </c>
      <c r="F609" s="45" t="s">
        <v>721</v>
      </c>
      <c r="I609" t="s">
        <v>818</v>
      </c>
    </row>
    <row r="610" spans="1:9" hidden="1" x14ac:dyDescent="0.3">
      <c r="A610" t="s">
        <v>745</v>
      </c>
      <c r="B610" s="46">
        <v>45240</v>
      </c>
      <c r="C610" s="45">
        <v>87000</v>
      </c>
      <c r="D610" t="s">
        <v>849</v>
      </c>
      <c r="E610" s="46">
        <v>45276</v>
      </c>
      <c r="F610" s="45" t="s">
        <v>721</v>
      </c>
      <c r="G610">
        <v>0</v>
      </c>
      <c r="I610" t="s">
        <v>818</v>
      </c>
    </row>
    <row r="611" spans="1:9" hidden="1" x14ac:dyDescent="0.3">
      <c r="A611" t="s">
        <v>734</v>
      </c>
      <c r="B611" s="46">
        <v>45245</v>
      </c>
      <c r="C611" s="45">
        <v>87000</v>
      </c>
      <c r="D611" t="s">
        <v>850</v>
      </c>
      <c r="E611" s="46">
        <v>45275</v>
      </c>
      <c r="F611" s="45" t="s">
        <v>721</v>
      </c>
      <c r="I611" t="s">
        <v>726</v>
      </c>
    </row>
    <row r="612" spans="1:9" hidden="1" x14ac:dyDescent="0.3">
      <c r="A612" t="s">
        <v>727</v>
      </c>
      <c r="B612" s="46">
        <v>45232</v>
      </c>
      <c r="C612" s="45">
        <v>87000</v>
      </c>
      <c r="D612" t="s">
        <v>889</v>
      </c>
      <c r="E612" s="46">
        <v>45275</v>
      </c>
      <c r="F612" s="45" t="s">
        <v>721</v>
      </c>
      <c r="I612" t="s">
        <v>726</v>
      </c>
    </row>
    <row r="613" spans="1:9" hidden="1" x14ac:dyDescent="0.3">
      <c r="A613" t="s">
        <v>729</v>
      </c>
      <c r="B613" s="46">
        <v>45210</v>
      </c>
      <c r="C613" s="45">
        <v>87000</v>
      </c>
      <c r="D613" t="s">
        <v>735</v>
      </c>
      <c r="E613" s="46">
        <v>45245</v>
      </c>
      <c r="F613" s="45" t="s">
        <v>721</v>
      </c>
      <c r="I613" t="s">
        <v>762</v>
      </c>
    </row>
    <row r="614" spans="1:9" hidden="1" x14ac:dyDescent="0.3">
      <c r="A614" t="s">
        <v>727</v>
      </c>
      <c r="B614" s="46">
        <v>45351</v>
      </c>
      <c r="C614" s="45">
        <v>87000</v>
      </c>
      <c r="D614" t="s">
        <v>2054</v>
      </c>
      <c r="E614" s="46">
        <v>45397</v>
      </c>
      <c r="F614" s="45" t="s">
        <v>721</v>
      </c>
      <c r="I614" t="s">
        <v>726</v>
      </c>
    </row>
    <row r="615" spans="1:9" hidden="1" x14ac:dyDescent="0.3">
      <c r="A615" t="s">
        <v>821</v>
      </c>
      <c r="B615" s="46">
        <v>45304</v>
      </c>
      <c r="C615" s="45">
        <v>87000</v>
      </c>
      <c r="D615" t="s">
        <v>890</v>
      </c>
      <c r="E615" s="46">
        <v>45337</v>
      </c>
      <c r="F615" s="45" t="s">
        <v>721</v>
      </c>
      <c r="I615" t="s">
        <v>726</v>
      </c>
    </row>
    <row r="616" spans="1:9" hidden="1" x14ac:dyDescent="0.3">
      <c r="A616" t="s">
        <v>746</v>
      </c>
      <c r="B616" s="46">
        <v>45149</v>
      </c>
      <c r="C616" s="45">
        <v>86435</v>
      </c>
      <c r="D616" t="s">
        <v>768</v>
      </c>
      <c r="E616" s="46">
        <v>45184</v>
      </c>
      <c r="F616" s="45" t="s">
        <v>731</v>
      </c>
      <c r="G616" t="s">
        <v>732</v>
      </c>
      <c r="H616">
        <v>64</v>
      </c>
      <c r="I616" t="s">
        <v>733</v>
      </c>
    </row>
    <row r="617" spans="1:9" hidden="1" x14ac:dyDescent="0.3">
      <c r="A617" t="s">
        <v>748</v>
      </c>
      <c r="B617" s="46">
        <v>45314</v>
      </c>
      <c r="C617" s="45">
        <v>86400</v>
      </c>
      <c r="D617" t="s">
        <v>735</v>
      </c>
      <c r="E617" s="46">
        <v>45337</v>
      </c>
      <c r="F617" s="45" t="s">
        <v>721</v>
      </c>
      <c r="I617" t="s">
        <v>762</v>
      </c>
    </row>
    <row r="618" spans="1:9" hidden="1" x14ac:dyDescent="0.3">
      <c r="A618" t="s">
        <v>748</v>
      </c>
      <c r="B618" s="46">
        <v>45336</v>
      </c>
      <c r="C618" s="45">
        <v>86400</v>
      </c>
      <c r="D618" t="s">
        <v>735</v>
      </c>
      <c r="E618" s="46">
        <v>45366</v>
      </c>
      <c r="F618" s="45" t="s">
        <v>721</v>
      </c>
      <c r="I618" t="s">
        <v>762</v>
      </c>
    </row>
    <row r="619" spans="1:9" hidden="1" x14ac:dyDescent="0.3">
      <c r="A619" t="s">
        <v>748</v>
      </c>
      <c r="B619" s="46">
        <v>45380</v>
      </c>
      <c r="C619" s="45">
        <v>86400</v>
      </c>
      <c r="D619" t="s">
        <v>735</v>
      </c>
      <c r="E619" s="46">
        <v>45397</v>
      </c>
      <c r="F619" s="45" t="s">
        <v>721</v>
      </c>
      <c r="I619" t="s">
        <v>726</v>
      </c>
    </row>
    <row r="620" spans="1:9" hidden="1" x14ac:dyDescent="0.3">
      <c r="A620" t="s">
        <v>748</v>
      </c>
      <c r="B620" s="46">
        <v>45401</v>
      </c>
      <c r="C620" s="45">
        <v>86400</v>
      </c>
      <c r="D620" t="s">
        <v>735</v>
      </c>
      <c r="E620" s="46">
        <v>45428</v>
      </c>
      <c r="F620" s="45" t="s">
        <v>721</v>
      </c>
      <c r="I620" t="s">
        <v>762</v>
      </c>
    </row>
    <row r="621" spans="1:9" hidden="1" x14ac:dyDescent="0.3">
      <c r="A621" t="s">
        <v>798</v>
      </c>
      <c r="B621" s="46">
        <v>45370</v>
      </c>
      <c r="C621" s="45">
        <v>86217</v>
      </c>
      <c r="D621" t="s">
        <v>768</v>
      </c>
      <c r="E621" s="46">
        <v>45397</v>
      </c>
      <c r="F621" s="45" t="s">
        <v>731</v>
      </c>
      <c r="G621" t="s">
        <v>732</v>
      </c>
      <c r="H621">
        <v>63</v>
      </c>
      <c r="I621" t="s">
        <v>733</v>
      </c>
    </row>
    <row r="622" spans="1:9" hidden="1" x14ac:dyDescent="0.3">
      <c r="A622" t="s">
        <v>727</v>
      </c>
      <c r="B622" s="46">
        <v>45372</v>
      </c>
      <c r="C622" s="45">
        <v>86000</v>
      </c>
      <c r="D622" t="s">
        <v>2055</v>
      </c>
      <c r="E622" s="46">
        <v>45397</v>
      </c>
      <c r="F622" s="45" t="s">
        <v>721</v>
      </c>
      <c r="I622" t="s">
        <v>726</v>
      </c>
    </row>
    <row r="623" spans="1:9" hidden="1" x14ac:dyDescent="0.3">
      <c r="A623" t="s">
        <v>748</v>
      </c>
      <c r="B623" s="46">
        <v>45310</v>
      </c>
      <c r="C623" s="45">
        <v>86000</v>
      </c>
      <c r="D623" t="s">
        <v>735</v>
      </c>
      <c r="E623" s="46">
        <v>45337</v>
      </c>
      <c r="F623" s="45" t="s">
        <v>721</v>
      </c>
      <c r="I623" t="s">
        <v>762</v>
      </c>
    </row>
    <row r="624" spans="1:9" hidden="1" x14ac:dyDescent="0.3">
      <c r="A624" t="s">
        <v>724</v>
      </c>
      <c r="B624" s="46">
        <v>45420</v>
      </c>
      <c r="C624" s="45">
        <v>86000</v>
      </c>
      <c r="D624" t="s">
        <v>1168</v>
      </c>
      <c r="E624" s="46">
        <v>45469</v>
      </c>
      <c r="F624" s="45" t="s">
        <v>721</v>
      </c>
      <c r="I624" t="s">
        <v>726</v>
      </c>
    </row>
    <row r="625" spans="1:9" hidden="1" x14ac:dyDescent="0.3">
      <c r="A625" t="s">
        <v>748</v>
      </c>
      <c r="B625" s="46">
        <v>45422</v>
      </c>
      <c r="C625" s="45">
        <v>86000</v>
      </c>
      <c r="D625" t="s">
        <v>735</v>
      </c>
      <c r="E625" s="46">
        <v>45458</v>
      </c>
      <c r="F625" s="45" t="s">
        <v>721</v>
      </c>
      <c r="I625" t="s">
        <v>762</v>
      </c>
    </row>
    <row r="626" spans="1:9" hidden="1" x14ac:dyDescent="0.3">
      <c r="A626" t="s">
        <v>748</v>
      </c>
      <c r="B626" s="46">
        <v>45210</v>
      </c>
      <c r="C626" s="45">
        <v>86000</v>
      </c>
      <c r="D626" t="s">
        <v>735</v>
      </c>
      <c r="E626" s="46">
        <v>45245</v>
      </c>
      <c r="F626" s="45" t="s">
        <v>721</v>
      </c>
      <c r="I626" t="s">
        <v>762</v>
      </c>
    </row>
    <row r="627" spans="1:9" hidden="1" x14ac:dyDescent="0.3">
      <c r="A627" t="s">
        <v>743</v>
      </c>
      <c r="B627" s="46">
        <v>45161</v>
      </c>
      <c r="C627" s="45">
        <v>85082</v>
      </c>
      <c r="D627" t="s">
        <v>753</v>
      </c>
      <c r="E627" s="46">
        <v>45195</v>
      </c>
      <c r="F627" s="45" t="s">
        <v>731</v>
      </c>
      <c r="G627" t="s">
        <v>732</v>
      </c>
      <c r="H627">
        <v>62.25</v>
      </c>
      <c r="I627" t="s">
        <v>733</v>
      </c>
    </row>
    <row r="628" spans="1:9" hidden="1" x14ac:dyDescent="0.3">
      <c r="A628" t="s">
        <v>729</v>
      </c>
      <c r="B628" s="46">
        <v>45148</v>
      </c>
      <c r="C628" s="45">
        <v>85000</v>
      </c>
      <c r="D628" t="s">
        <v>860</v>
      </c>
      <c r="E628" s="46">
        <v>45184</v>
      </c>
      <c r="F628" s="45" t="s">
        <v>721</v>
      </c>
      <c r="I628" t="s">
        <v>726</v>
      </c>
    </row>
    <row r="629" spans="1:9" hidden="1" x14ac:dyDescent="0.3">
      <c r="A629" t="s">
        <v>767</v>
      </c>
      <c r="B629" s="46">
        <v>45134</v>
      </c>
      <c r="C629" s="45">
        <v>85000</v>
      </c>
      <c r="D629" t="s">
        <v>891</v>
      </c>
      <c r="E629" s="46">
        <v>45154</v>
      </c>
      <c r="F629" s="45" t="s">
        <v>721</v>
      </c>
      <c r="I629" t="s">
        <v>726</v>
      </c>
    </row>
    <row r="630" spans="1:9" hidden="1" x14ac:dyDescent="0.3">
      <c r="A630" t="s">
        <v>745</v>
      </c>
      <c r="B630" s="46">
        <v>45227</v>
      </c>
      <c r="C630" s="45">
        <v>85000</v>
      </c>
      <c r="D630" t="s">
        <v>849</v>
      </c>
      <c r="E630" s="46">
        <v>45246</v>
      </c>
      <c r="F630" s="45" t="s">
        <v>721</v>
      </c>
      <c r="I630" t="s">
        <v>818</v>
      </c>
    </row>
    <row r="631" spans="1:9" hidden="1" x14ac:dyDescent="0.3">
      <c r="A631" t="s">
        <v>727</v>
      </c>
      <c r="B631" s="46">
        <v>45421</v>
      </c>
      <c r="C631" s="45">
        <v>85000</v>
      </c>
      <c r="D631" t="s">
        <v>806</v>
      </c>
      <c r="E631" s="46">
        <v>45458</v>
      </c>
      <c r="F631" s="45" t="s">
        <v>721</v>
      </c>
      <c r="I631" t="s">
        <v>726</v>
      </c>
    </row>
    <row r="632" spans="1:9" hidden="1" x14ac:dyDescent="0.3">
      <c r="A632" t="s">
        <v>772</v>
      </c>
      <c r="B632" s="46">
        <v>45386</v>
      </c>
      <c r="C632" s="45">
        <v>85000</v>
      </c>
      <c r="D632" t="s">
        <v>934</v>
      </c>
      <c r="E632" s="46">
        <v>45438</v>
      </c>
      <c r="F632" s="45" t="s">
        <v>721</v>
      </c>
      <c r="I632" t="s">
        <v>726</v>
      </c>
    </row>
    <row r="633" spans="1:9" hidden="1" x14ac:dyDescent="0.3">
      <c r="A633" t="s">
        <v>745</v>
      </c>
      <c r="B633" s="46">
        <v>45292</v>
      </c>
      <c r="C633" s="45">
        <v>84000</v>
      </c>
      <c r="D633" t="s">
        <v>897</v>
      </c>
      <c r="E633" s="46">
        <v>45338</v>
      </c>
      <c r="F633" s="45" t="s">
        <v>721</v>
      </c>
      <c r="I633" t="s">
        <v>818</v>
      </c>
    </row>
    <row r="634" spans="1:9" hidden="1" x14ac:dyDescent="0.3">
      <c r="A634" t="s">
        <v>734</v>
      </c>
      <c r="B634" s="46">
        <v>45310</v>
      </c>
      <c r="C634" s="45">
        <v>84000</v>
      </c>
      <c r="D634" t="s">
        <v>850</v>
      </c>
      <c r="E634" s="46">
        <v>45337</v>
      </c>
      <c r="F634" s="45" t="s">
        <v>721</v>
      </c>
      <c r="I634" t="s">
        <v>726</v>
      </c>
    </row>
    <row r="635" spans="1:9" hidden="1" x14ac:dyDescent="0.3">
      <c r="A635" t="s">
        <v>775</v>
      </c>
      <c r="B635" s="46">
        <v>45379</v>
      </c>
      <c r="C635" s="45">
        <v>84000</v>
      </c>
      <c r="D635" t="s">
        <v>2056</v>
      </c>
      <c r="E635" s="46">
        <v>45398</v>
      </c>
      <c r="F635" s="45" t="s">
        <v>721</v>
      </c>
      <c r="G635">
        <v>0</v>
      </c>
      <c r="I635" t="s">
        <v>726</v>
      </c>
    </row>
    <row r="636" spans="1:9" hidden="1" x14ac:dyDescent="0.3">
      <c r="A636" t="s">
        <v>772</v>
      </c>
      <c r="B636" s="46">
        <v>45344</v>
      </c>
      <c r="C636" s="45">
        <v>84000</v>
      </c>
      <c r="D636" t="s">
        <v>896</v>
      </c>
      <c r="E636" s="46">
        <v>45377</v>
      </c>
      <c r="F636" s="45" t="s">
        <v>721</v>
      </c>
      <c r="I636" t="s">
        <v>726</v>
      </c>
    </row>
    <row r="637" spans="1:9" hidden="1" x14ac:dyDescent="0.3">
      <c r="A637" t="s">
        <v>779</v>
      </c>
      <c r="B637" s="46">
        <v>45206</v>
      </c>
      <c r="C637" s="45">
        <v>84000</v>
      </c>
      <c r="D637" t="s">
        <v>894</v>
      </c>
      <c r="E637" s="46">
        <v>45246</v>
      </c>
      <c r="F637" s="45" t="s">
        <v>721</v>
      </c>
      <c r="I637" t="s">
        <v>818</v>
      </c>
    </row>
    <row r="638" spans="1:9" hidden="1" x14ac:dyDescent="0.3">
      <c r="A638" t="s">
        <v>767</v>
      </c>
      <c r="B638" s="46">
        <v>45225</v>
      </c>
      <c r="C638" s="45">
        <v>84000</v>
      </c>
      <c r="D638" t="s">
        <v>895</v>
      </c>
      <c r="E638" s="46">
        <v>45245</v>
      </c>
      <c r="F638" s="45" t="s">
        <v>721</v>
      </c>
      <c r="I638" t="s">
        <v>726</v>
      </c>
    </row>
    <row r="639" spans="1:9" hidden="1" x14ac:dyDescent="0.3">
      <c r="A639" t="s">
        <v>729</v>
      </c>
      <c r="B639" s="46">
        <v>45253</v>
      </c>
      <c r="C639" s="45">
        <v>84000</v>
      </c>
      <c r="D639" t="s">
        <v>892</v>
      </c>
      <c r="E639" s="46">
        <v>45275</v>
      </c>
      <c r="F639" s="45" t="s">
        <v>721</v>
      </c>
      <c r="I639" t="s">
        <v>726</v>
      </c>
    </row>
    <row r="640" spans="1:9" hidden="1" x14ac:dyDescent="0.3">
      <c r="A640" t="s">
        <v>734</v>
      </c>
      <c r="B640" s="46">
        <v>45204</v>
      </c>
      <c r="C640" s="45">
        <v>83600</v>
      </c>
      <c r="D640" t="s">
        <v>898</v>
      </c>
      <c r="E640" s="46">
        <v>45245</v>
      </c>
      <c r="F640" s="45" t="s">
        <v>721</v>
      </c>
      <c r="I640" t="s">
        <v>726</v>
      </c>
    </row>
    <row r="641" spans="1:9" hidden="1" x14ac:dyDescent="0.3">
      <c r="A641" t="s">
        <v>748</v>
      </c>
      <c r="B641" s="46">
        <v>45365</v>
      </c>
      <c r="C641" s="45">
        <v>83400</v>
      </c>
      <c r="D641" t="s">
        <v>735</v>
      </c>
      <c r="E641" s="46">
        <v>45397</v>
      </c>
      <c r="F641" s="45" t="s">
        <v>721</v>
      </c>
      <c r="I641" t="s">
        <v>762</v>
      </c>
    </row>
    <row r="642" spans="1:9" hidden="1" x14ac:dyDescent="0.3">
      <c r="A642" t="s">
        <v>748</v>
      </c>
      <c r="B642" s="46">
        <v>45125</v>
      </c>
      <c r="C642" s="45">
        <v>83120</v>
      </c>
      <c r="D642" t="s">
        <v>735</v>
      </c>
      <c r="E642" s="46">
        <v>45154</v>
      </c>
      <c r="F642" s="45" t="s">
        <v>721</v>
      </c>
      <c r="I642" t="s">
        <v>762</v>
      </c>
    </row>
    <row r="643" spans="1:9" hidden="1" x14ac:dyDescent="0.3">
      <c r="A643" t="s">
        <v>727</v>
      </c>
      <c r="B643" s="46">
        <v>45239</v>
      </c>
      <c r="C643" s="45">
        <v>83000</v>
      </c>
      <c r="D643" t="s">
        <v>830</v>
      </c>
      <c r="E643" s="46">
        <v>45275</v>
      </c>
      <c r="F643" s="45" t="s">
        <v>721</v>
      </c>
      <c r="I643" t="s">
        <v>726</v>
      </c>
    </row>
    <row r="644" spans="1:9" hidden="1" x14ac:dyDescent="0.3">
      <c r="A644" t="s">
        <v>734</v>
      </c>
      <c r="B644" s="46">
        <v>45278</v>
      </c>
      <c r="C644" s="45">
        <v>83000</v>
      </c>
      <c r="D644" t="s">
        <v>735</v>
      </c>
      <c r="E644" s="46">
        <v>45306</v>
      </c>
      <c r="F644" s="45" t="s">
        <v>721</v>
      </c>
      <c r="I644" t="s">
        <v>762</v>
      </c>
    </row>
    <row r="645" spans="1:9" hidden="1" x14ac:dyDescent="0.3">
      <c r="A645" t="s">
        <v>745</v>
      </c>
      <c r="B645" s="46">
        <v>45354</v>
      </c>
      <c r="C645" s="45">
        <v>83000</v>
      </c>
      <c r="D645" t="s">
        <v>2057</v>
      </c>
      <c r="E645" s="46">
        <v>45398</v>
      </c>
      <c r="F645" s="45" t="s">
        <v>721</v>
      </c>
      <c r="G645">
        <v>0</v>
      </c>
      <c r="I645" t="s">
        <v>818</v>
      </c>
    </row>
    <row r="646" spans="1:9" hidden="1" x14ac:dyDescent="0.3">
      <c r="A646" t="s">
        <v>777</v>
      </c>
      <c r="B646" s="46">
        <v>45408</v>
      </c>
      <c r="C646" s="45">
        <v>83000</v>
      </c>
      <c r="D646" t="s">
        <v>875</v>
      </c>
      <c r="E646" s="46">
        <v>45458</v>
      </c>
      <c r="F646" s="45" t="s">
        <v>721</v>
      </c>
      <c r="I646" t="s">
        <v>818</v>
      </c>
    </row>
    <row r="647" spans="1:9" hidden="1" x14ac:dyDescent="0.3">
      <c r="A647" t="s">
        <v>748</v>
      </c>
      <c r="B647" s="46">
        <v>45181</v>
      </c>
      <c r="C647" s="45">
        <v>82210</v>
      </c>
      <c r="D647" t="s">
        <v>735</v>
      </c>
      <c r="E647" s="46">
        <v>45215</v>
      </c>
      <c r="F647" s="45" t="s">
        <v>721</v>
      </c>
      <c r="I647" t="s">
        <v>762</v>
      </c>
    </row>
    <row r="648" spans="1:9" hidden="1" x14ac:dyDescent="0.3">
      <c r="A648" t="s">
        <v>748</v>
      </c>
      <c r="B648" s="46">
        <v>45279</v>
      </c>
      <c r="C648" s="45">
        <v>82120</v>
      </c>
      <c r="D648" t="s">
        <v>735</v>
      </c>
      <c r="E648" s="46">
        <v>45306</v>
      </c>
      <c r="F648" s="45" t="s">
        <v>721</v>
      </c>
      <c r="I648" t="s">
        <v>762</v>
      </c>
    </row>
    <row r="649" spans="1:9" hidden="1" x14ac:dyDescent="0.3">
      <c r="A649" t="s">
        <v>734</v>
      </c>
      <c r="B649" s="46">
        <v>45267</v>
      </c>
      <c r="C649" s="45">
        <v>82000</v>
      </c>
      <c r="D649" t="s">
        <v>900</v>
      </c>
      <c r="E649" s="46">
        <v>45306</v>
      </c>
      <c r="F649" s="45" t="s">
        <v>721</v>
      </c>
      <c r="I649" t="s">
        <v>740</v>
      </c>
    </row>
    <row r="650" spans="1:9" hidden="1" x14ac:dyDescent="0.3">
      <c r="A650" t="s">
        <v>775</v>
      </c>
      <c r="B650" s="46">
        <v>45279</v>
      </c>
      <c r="C650" s="45">
        <v>82000</v>
      </c>
      <c r="D650" t="s">
        <v>901</v>
      </c>
      <c r="E650" s="46">
        <v>45307</v>
      </c>
      <c r="F650" s="45" t="s">
        <v>721</v>
      </c>
      <c r="I650" t="s">
        <v>726</v>
      </c>
    </row>
    <row r="651" spans="1:9" hidden="1" x14ac:dyDescent="0.3">
      <c r="A651" t="s">
        <v>727</v>
      </c>
      <c r="B651" s="46">
        <v>45260</v>
      </c>
      <c r="C651" s="45">
        <v>82000</v>
      </c>
      <c r="D651" t="s">
        <v>812</v>
      </c>
      <c r="E651" s="46">
        <v>45275</v>
      </c>
      <c r="F651" s="45" t="s">
        <v>721</v>
      </c>
      <c r="I651" t="s">
        <v>782</v>
      </c>
    </row>
    <row r="652" spans="1:9" hidden="1" x14ac:dyDescent="0.3">
      <c r="A652" t="s">
        <v>748</v>
      </c>
      <c r="B652" s="46">
        <v>45191</v>
      </c>
      <c r="C652" s="45">
        <v>82000</v>
      </c>
      <c r="D652" t="s">
        <v>893</v>
      </c>
      <c r="E652" s="46">
        <v>45215</v>
      </c>
      <c r="F652" s="45" t="s">
        <v>721</v>
      </c>
      <c r="I652" t="s">
        <v>726</v>
      </c>
    </row>
    <row r="653" spans="1:9" hidden="1" x14ac:dyDescent="0.3">
      <c r="A653" t="s">
        <v>821</v>
      </c>
      <c r="B653" s="46">
        <v>45322</v>
      </c>
      <c r="C653" s="45">
        <v>82000</v>
      </c>
      <c r="D653" t="s">
        <v>902</v>
      </c>
      <c r="E653" s="46">
        <v>45337</v>
      </c>
      <c r="F653" s="45" t="s">
        <v>721</v>
      </c>
      <c r="I653" t="s">
        <v>760</v>
      </c>
    </row>
    <row r="654" spans="1:9" hidden="1" x14ac:dyDescent="0.3">
      <c r="A654" t="s">
        <v>729</v>
      </c>
      <c r="B654" s="46">
        <v>45307</v>
      </c>
      <c r="C654" s="45">
        <v>81300</v>
      </c>
      <c r="D654" t="s">
        <v>735</v>
      </c>
      <c r="E654" s="46">
        <v>45337</v>
      </c>
      <c r="F654" s="45" t="s">
        <v>721</v>
      </c>
      <c r="I654" t="s">
        <v>762</v>
      </c>
    </row>
    <row r="655" spans="1:9" hidden="1" x14ac:dyDescent="0.3">
      <c r="A655" t="s">
        <v>743</v>
      </c>
      <c r="B655" s="46">
        <v>45380</v>
      </c>
      <c r="C655" s="45">
        <v>81174</v>
      </c>
      <c r="D655" t="s">
        <v>744</v>
      </c>
      <c r="E655" s="46">
        <v>45408</v>
      </c>
      <c r="F655" s="45" t="s">
        <v>731</v>
      </c>
      <c r="G655" t="s">
        <v>732</v>
      </c>
      <c r="H655">
        <v>59</v>
      </c>
      <c r="I655" t="s">
        <v>733</v>
      </c>
    </row>
    <row r="656" spans="1:9" hidden="1" x14ac:dyDescent="0.3">
      <c r="A656" t="s">
        <v>748</v>
      </c>
      <c r="B656" s="46">
        <v>45393</v>
      </c>
      <c r="C656" s="45">
        <v>81020</v>
      </c>
      <c r="D656" t="s">
        <v>735</v>
      </c>
      <c r="E656" s="46">
        <v>45428</v>
      </c>
      <c r="F656" s="45" t="s">
        <v>721</v>
      </c>
      <c r="I656" t="s">
        <v>762</v>
      </c>
    </row>
    <row r="657" spans="1:9" hidden="1" x14ac:dyDescent="0.3">
      <c r="A657" t="s">
        <v>767</v>
      </c>
      <c r="B657" s="46">
        <v>45372</v>
      </c>
      <c r="C657" s="45">
        <v>81000</v>
      </c>
      <c r="D657" t="s">
        <v>2058</v>
      </c>
      <c r="E657" s="46">
        <v>45397</v>
      </c>
      <c r="F657" s="45" t="s">
        <v>721</v>
      </c>
      <c r="I657" t="s">
        <v>726</v>
      </c>
    </row>
    <row r="658" spans="1:9" hidden="1" x14ac:dyDescent="0.3">
      <c r="A658" t="s">
        <v>779</v>
      </c>
      <c r="B658" s="46">
        <v>45409</v>
      </c>
      <c r="C658" s="45">
        <v>81000</v>
      </c>
      <c r="D658" t="s">
        <v>871</v>
      </c>
      <c r="E658" s="46">
        <v>45428</v>
      </c>
      <c r="F658" s="45" t="s">
        <v>721</v>
      </c>
      <c r="G658">
        <v>0</v>
      </c>
      <c r="I658" t="s">
        <v>818</v>
      </c>
    </row>
    <row r="659" spans="1:9" hidden="1" x14ac:dyDescent="0.3">
      <c r="A659" t="s">
        <v>777</v>
      </c>
      <c r="B659" s="46">
        <v>45330</v>
      </c>
      <c r="C659" s="45">
        <v>81000</v>
      </c>
      <c r="D659" t="s">
        <v>875</v>
      </c>
      <c r="E659" s="46">
        <v>45366</v>
      </c>
      <c r="F659" s="45" t="s">
        <v>721</v>
      </c>
      <c r="I659" t="s">
        <v>818</v>
      </c>
    </row>
    <row r="660" spans="1:9" hidden="1" x14ac:dyDescent="0.3">
      <c r="A660" t="s">
        <v>748</v>
      </c>
      <c r="B660" s="46">
        <v>45188</v>
      </c>
      <c r="C660" s="45">
        <v>81000</v>
      </c>
      <c r="D660" t="s">
        <v>903</v>
      </c>
      <c r="E660" s="46">
        <v>45215</v>
      </c>
      <c r="F660" s="45" t="s">
        <v>721</v>
      </c>
      <c r="I660" t="s">
        <v>818</v>
      </c>
    </row>
    <row r="661" spans="1:9" hidden="1" x14ac:dyDescent="0.3">
      <c r="A661" t="s">
        <v>775</v>
      </c>
      <c r="B661" s="46">
        <v>45156</v>
      </c>
      <c r="C661" s="45">
        <v>81000</v>
      </c>
      <c r="D661" t="s">
        <v>904</v>
      </c>
      <c r="E661" s="46">
        <v>45184</v>
      </c>
      <c r="F661" s="45" t="s">
        <v>721</v>
      </c>
      <c r="I661" t="s">
        <v>726</v>
      </c>
    </row>
    <row r="662" spans="1:9" hidden="1" x14ac:dyDescent="0.3">
      <c r="A662" t="s">
        <v>779</v>
      </c>
      <c r="B662" s="46">
        <v>45255</v>
      </c>
      <c r="C662" s="45">
        <v>81000</v>
      </c>
      <c r="D662" t="s">
        <v>894</v>
      </c>
      <c r="E662" s="46">
        <v>45278</v>
      </c>
      <c r="F662" s="45" t="s">
        <v>721</v>
      </c>
      <c r="I662" t="s">
        <v>818</v>
      </c>
    </row>
    <row r="663" spans="1:9" hidden="1" x14ac:dyDescent="0.3">
      <c r="A663" t="s">
        <v>779</v>
      </c>
      <c r="B663" s="46">
        <v>45255</v>
      </c>
      <c r="C663" s="45">
        <v>81000</v>
      </c>
      <c r="D663" t="s">
        <v>894</v>
      </c>
      <c r="E663" s="46">
        <v>45276</v>
      </c>
      <c r="F663" s="45" t="s">
        <v>721</v>
      </c>
      <c r="G663">
        <v>0</v>
      </c>
      <c r="I663" t="s">
        <v>818</v>
      </c>
    </row>
    <row r="664" spans="1:9" hidden="1" x14ac:dyDescent="0.3">
      <c r="A664" t="s">
        <v>748</v>
      </c>
      <c r="B664" s="46">
        <v>45336</v>
      </c>
      <c r="C664" s="45">
        <v>80270</v>
      </c>
      <c r="D664" t="s">
        <v>735</v>
      </c>
      <c r="E664" s="46">
        <v>45366</v>
      </c>
      <c r="F664" s="45" t="s">
        <v>721</v>
      </c>
      <c r="I664" t="s">
        <v>762</v>
      </c>
    </row>
    <row r="665" spans="1:9" hidden="1" x14ac:dyDescent="0.3">
      <c r="A665" t="s">
        <v>748</v>
      </c>
      <c r="B665" s="46">
        <v>45314</v>
      </c>
      <c r="C665" s="45">
        <v>80270</v>
      </c>
      <c r="D665" t="s">
        <v>735</v>
      </c>
      <c r="E665" s="46">
        <v>45337</v>
      </c>
      <c r="F665" s="45" t="s">
        <v>721</v>
      </c>
      <c r="I665" t="s">
        <v>762</v>
      </c>
    </row>
    <row r="666" spans="1:9" hidden="1" x14ac:dyDescent="0.3">
      <c r="A666" t="s">
        <v>748</v>
      </c>
      <c r="B666" s="46">
        <v>45372</v>
      </c>
      <c r="C666" s="45">
        <v>80270</v>
      </c>
      <c r="D666" t="s">
        <v>735</v>
      </c>
      <c r="E666" s="46">
        <v>45397</v>
      </c>
      <c r="F666" s="45" t="s">
        <v>721</v>
      </c>
      <c r="I666" t="s">
        <v>726</v>
      </c>
    </row>
    <row r="667" spans="1:9" hidden="1" x14ac:dyDescent="0.3">
      <c r="A667" t="s">
        <v>779</v>
      </c>
      <c r="B667" s="46">
        <v>45352</v>
      </c>
      <c r="C667" s="45">
        <v>80000</v>
      </c>
      <c r="D667" t="s">
        <v>2059</v>
      </c>
      <c r="E667" s="46">
        <v>45398</v>
      </c>
      <c r="F667" s="45" t="s">
        <v>721</v>
      </c>
      <c r="G667">
        <v>0</v>
      </c>
      <c r="I667" t="s">
        <v>740</v>
      </c>
    </row>
    <row r="668" spans="1:9" hidden="1" x14ac:dyDescent="0.3">
      <c r="A668" t="s">
        <v>724</v>
      </c>
      <c r="B668" s="46">
        <v>45251</v>
      </c>
      <c r="C668" s="45">
        <v>80000</v>
      </c>
      <c r="D668" t="s">
        <v>791</v>
      </c>
      <c r="E668" s="46">
        <v>45286</v>
      </c>
      <c r="F668" s="45" t="s">
        <v>721</v>
      </c>
      <c r="I668" t="s">
        <v>726</v>
      </c>
    </row>
    <row r="669" spans="1:9" hidden="1" x14ac:dyDescent="0.3">
      <c r="A669" t="s">
        <v>767</v>
      </c>
      <c r="B669" s="46">
        <v>45267</v>
      </c>
      <c r="C669" s="45">
        <v>80000</v>
      </c>
      <c r="D669" t="s">
        <v>905</v>
      </c>
      <c r="E669" s="46">
        <v>45306</v>
      </c>
      <c r="F669" s="45" t="s">
        <v>721</v>
      </c>
      <c r="I669" t="s">
        <v>726</v>
      </c>
    </row>
    <row r="670" spans="1:9" hidden="1" x14ac:dyDescent="0.3">
      <c r="A670" t="s">
        <v>734</v>
      </c>
      <c r="B670" s="46">
        <v>45127</v>
      </c>
      <c r="C670" s="45">
        <v>80000</v>
      </c>
      <c r="D670" t="s">
        <v>869</v>
      </c>
      <c r="E670" s="46">
        <v>45154</v>
      </c>
      <c r="F670" s="45" t="s">
        <v>721</v>
      </c>
      <c r="I670" t="s">
        <v>726</v>
      </c>
    </row>
    <row r="671" spans="1:9" hidden="1" x14ac:dyDescent="0.3">
      <c r="A671" t="s">
        <v>734</v>
      </c>
      <c r="B671" s="46">
        <v>45134</v>
      </c>
      <c r="C671" s="45">
        <v>80000</v>
      </c>
      <c r="D671" t="s">
        <v>867</v>
      </c>
      <c r="E671" s="46">
        <v>45154</v>
      </c>
      <c r="F671" s="45" t="s">
        <v>721</v>
      </c>
      <c r="I671" t="s">
        <v>726</v>
      </c>
    </row>
    <row r="672" spans="1:9" hidden="1" x14ac:dyDescent="0.3">
      <c r="A672" t="s">
        <v>745</v>
      </c>
      <c r="B672" s="46">
        <v>45124</v>
      </c>
      <c r="C672" s="45">
        <v>80000</v>
      </c>
      <c r="D672" t="s">
        <v>870</v>
      </c>
      <c r="E672" s="46">
        <v>45154</v>
      </c>
      <c r="F672" s="45" t="s">
        <v>721</v>
      </c>
      <c r="I672" t="s">
        <v>818</v>
      </c>
    </row>
    <row r="673" spans="1:9" hidden="1" x14ac:dyDescent="0.3">
      <c r="A673" t="s">
        <v>794</v>
      </c>
      <c r="B673" s="46">
        <v>45185</v>
      </c>
      <c r="C673" s="45">
        <v>80000</v>
      </c>
      <c r="D673" t="s">
        <v>906</v>
      </c>
      <c r="E673" s="46">
        <v>45215</v>
      </c>
      <c r="F673" s="45" t="s">
        <v>721</v>
      </c>
      <c r="I673" t="s">
        <v>818</v>
      </c>
    </row>
    <row r="674" spans="1:9" hidden="1" x14ac:dyDescent="0.3">
      <c r="A674" t="s">
        <v>779</v>
      </c>
      <c r="B674" s="46">
        <v>45219</v>
      </c>
      <c r="C674" s="45">
        <v>79900</v>
      </c>
      <c r="D674" t="s">
        <v>868</v>
      </c>
      <c r="E674" s="46">
        <v>45246</v>
      </c>
      <c r="F674" s="45" t="s">
        <v>721</v>
      </c>
    </row>
    <row r="675" spans="1:9" hidden="1" x14ac:dyDescent="0.3">
      <c r="A675" t="s">
        <v>748</v>
      </c>
      <c r="B675" s="46">
        <v>45299</v>
      </c>
      <c r="C675" s="45">
        <v>79660</v>
      </c>
      <c r="D675" t="s">
        <v>828</v>
      </c>
      <c r="E675" s="46">
        <v>45337</v>
      </c>
      <c r="F675" s="45" t="s">
        <v>721</v>
      </c>
      <c r="I675" t="s">
        <v>762</v>
      </c>
    </row>
    <row r="676" spans="1:9" hidden="1" x14ac:dyDescent="0.3">
      <c r="A676" t="s">
        <v>772</v>
      </c>
      <c r="B676" s="46">
        <v>45379</v>
      </c>
      <c r="C676" s="45">
        <v>79600</v>
      </c>
      <c r="D676" t="s">
        <v>774</v>
      </c>
      <c r="E676" s="46">
        <v>45408</v>
      </c>
      <c r="F676" s="45" t="s">
        <v>721</v>
      </c>
      <c r="I676" t="s">
        <v>726</v>
      </c>
    </row>
    <row r="677" spans="1:9" hidden="1" x14ac:dyDescent="0.3">
      <c r="A677" t="s">
        <v>724</v>
      </c>
      <c r="B677" s="46">
        <v>45428</v>
      </c>
      <c r="C677" s="45">
        <v>79600</v>
      </c>
      <c r="D677" t="s">
        <v>774</v>
      </c>
      <c r="E677" s="46">
        <v>45469</v>
      </c>
      <c r="F677" s="45" t="s">
        <v>721</v>
      </c>
      <c r="I677" t="s">
        <v>726</v>
      </c>
    </row>
    <row r="678" spans="1:9" hidden="1" x14ac:dyDescent="0.3">
      <c r="A678" t="s">
        <v>772</v>
      </c>
      <c r="B678" s="46">
        <v>45162</v>
      </c>
      <c r="C678" s="45">
        <v>79600</v>
      </c>
      <c r="D678" t="s">
        <v>774</v>
      </c>
      <c r="E678" s="46">
        <v>45195</v>
      </c>
      <c r="F678" s="45" t="s">
        <v>721</v>
      </c>
      <c r="I678" t="s">
        <v>726</v>
      </c>
    </row>
    <row r="679" spans="1:9" hidden="1" x14ac:dyDescent="0.3">
      <c r="A679" t="s">
        <v>772</v>
      </c>
      <c r="B679" s="46">
        <v>45169</v>
      </c>
      <c r="C679" s="45">
        <v>79600</v>
      </c>
      <c r="D679" t="s">
        <v>774</v>
      </c>
      <c r="E679" s="46">
        <v>45195</v>
      </c>
      <c r="F679" s="45" t="s">
        <v>721</v>
      </c>
      <c r="I679" t="s">
        <v>726</v>
      </c>
    </row>
    <row r="680" spans="1:9" hidden="1" x14ac:dyDescent="0.3">
      <c r="A680" t="s">
        <v>775</v>
      </c>
      <c r="B680" s="46">
        <v>45193</v>
      </c>
      <c r="C680" s="45">
        <v>79000</v>
      </c>
      <c r="D680" t="s">
        <v>909</v>
      </c>
      <c r="E680" s="46">
        <v>45215</v>
      </c>
      <c r="F680" s="45" t="s">
        <v>721</v>
      </c>
      <c r="I680" t="s">
        <v>818</v>
      </c>
    </row>
    <row r="681" spans="1:9" hidden="1" x14ac:dyDescent="0.3">
      <c r="A681" t="s">
        <v>734</v>
      </c>
      <c r="B681" s="46">
        <v>45407</v>
      </c>
      <c r="C681" s="45">
        <v>79000</v>
      </c>
      <c r="D681" t="s">
        <v>1011</v>
      </c>
      <c r="E681" s="46">
        <v>45428</v>
      </c>
      <c r="F681" s="45" t="s">
        <v>721</v>
      </c>
      <c r="I681" t="s">
        <v>726</v>
      </c>
    </row>
    <row r="682" spans="1:9" hidden="1" x14ac:dyDescent="0.3">
      <c r="A682" t="s">
        <v>772</v>
      </c>
      <c r="B682" s="46">
        <v>45120</v>
      </c>
      <c r="C682" s="45">
        <v>78900</v>
      </c>
      <c r="D682" t="s">
        <v>911</v>
      </c>
      <c r="E682" s="46">
        <v>45164</v>
      </c>
      <c r="F682" s="45" t="s">
        <v>721</v>
      </c>
      <c r="I682" t="s">
        <v>726</v>
      </c>
    </row>
    <row r="683" spans="1:9" hidden="1" x14ac:dyDescent="0.3">
      <c r="A683" t="s">
        <v>729</v>
      </c>
      <c r="B683" s="46">
        <v>45328</v>
      </c>
      <c r="C683" s="45">
        <v>78540</v>
      </c>
      <c r="D683" t="s">
        <v>790</v>
      </c>
      <c r="E683" s="46">
        <v>45366</v>
      </c>
      <c r="F683" s="45" t="s">
        <v>721</v>
      </c>
      <c r="I683" t="s">
        <v>834</v>
      </c>
    </row>
    <row r="684" spans="1:9" hidden="1" x14ac:dyDescent="0.3">
      <c r="A684" t="s">
        <v>734</v>
      </c>
      <c r="B684" s="46">
        <v>45351</v>
      </c>
      <c r="C684" s="45">
        <v>78500</v>
      </c>
      <c r="D684" t="s">
        <v>924</v>
      </c>
      <c r="E684" s="46">
        <v>45397</v>
      </c>
      <c r="F684" s="45" t="s">
        <v>721</v>
      </c>
      <c r="I684" t="s">
        <v>726</v>
      </c>
    </row>
    <row r="685" spans="1:9" hidden="1" x14ac:dyDescent="0.3">
      <c r="A685" t="s">
        <v>767</v>
      </c>
      <c r="B685" s="46">
        <v>45351</v>
      </c>
      <c r="C685" s="45">
        <v>78000</v>
      </c>
      <c r="D685" t="s">
        <v>832</v>
      </c>
      <c r="E685" s="46">
        <v>45397</v>
      </c>
      <c r="F685" s="45" t="s">
        <v>721</v>
      </c>
      <c r="I685" t="s">
        <v>726</v>
      </c>
    </row>
    <row r="686" spans="1:9" hidden="1" x14ac:dyDescent="0.3">
      <c r="A686" t="s">
        <v>727</v>
      </c>
      <c r="B686" s="46">
        <v>45337</v>
      </c>
      <c r="C686" s="45">
        <v>78000</v>
      </c>
      <c r="D686" t="s">
        <v>839</v>
      </c>
      <c r="E686" s="46">
        <v>45366</v>
      </c>
      <c r="F686" s="45" t="s">
        <v>721</v>
      </c>
      <c r="I686" t="s">
        <v>726</v>
      </c>
    </row>
    <row r="687" spans="1:9" hidden="1" x14ac:dyDescent="0.3">
      <c r="A687" t="s">
        <v>734</v>
      </c>
      <c r="B687" s="46">
        <v>45393</v>
      </c>
      <c r="C687" s="45">
        <v>78000</v>
      </c>
      <c r="D687" t="s">
        <v>886</v>
      </c>
      <c r="E687" s="46">
        <v>45428</v>
      </c>
      <c r="F687" s="45" t="s">
        <v>721</v>
      </c>
      <c r="I687" t="s">
        <v>726</v>
      </c>
    </row>
    <row r="688" spans="1:9" hidden="1" x14ac:dyDescent="0.3">
      <c r="A688" t="s">
        <v>779</v>
      </c>
      <c r="B688" s="46">
        <v>45136</v>
      </c>
      <c r="C688" s="45">
        <v>78000</v>
      </c>
      <c r="D688" t="s">
        <v>817</v>
      </c>
      <c r="E688" s="46">
        <v>45154</v>
      </c>
      <c r="F688" s="45" t="s">
        <v>721</v>
      </c>
    </row>
    <row r="689" spans="1:9" hidden="1" x14ac:dyDescent="0.3">
      <c r="A689" t="s">
        <v>775</v>
      </c>
      <c r="B689" s="46">
        <v>45177</v>
      </c>
      <c r="C689" s="45">
        <v>78000</v>
      </c>
      <c r="D689" t="s">
        <v>912</v>
      </c>
      <c r="E689" s="46">
        <v>45215</v>
      </c>
      <c r="F689" s="45" t="s">
        <v>721</v>
      </c>
    </row>
    <row r="690" spans="1:9" hidden="1" x14ac:dyDescent="0.3">
      <c r="A690" t="s">
        <v>775</v>
      </c>
      <c r="B690" s="46">
        <v>45208</v>
      </c>
      <c r="C690" s="45">
        <v>78000</v>
      </c>
      <c r="D690" t="s">
        <v>913</v>
      </c>
      <c r="E690" s="46">
        <v>45246</v>
      </c>
      <c r="F690" s="45" t="s">
        <v>721</v>
      </c>
      <c r="I690" t="s">
        <v>818</v>
      </c>
    </row>
    <row r="691" spans="1:9" hidden="1" x14ac:dyDescent="0.3">
      <c r="A691" t="s">
        <v>794</v>
      </c>
      <c r="B691" s="46">
        <v>45216</v>
      </c>
      <c r="C691" s="45">
        <v>78000</v>
      </c>
      <c r="D691" t="s">
        <v>914</v>
      </c>
      <c r="E691" s="46">
        <v>45246</v>
      </c>
      <c r="F691" s="45" t="s">
        <v>721</v>
      </c>
      <c r="I691" t="s">
        <v>818</v>
      </c>
    </row>
    <row r="692" spans="1:9" hidden="1" x14ac:dyDescent="0.3">
      <c r="A692" t="s">
        <v>772</v>
      </c>
      <c r="B692" s="46">
        <v>45218</v>
      </c>
      <c r="C692" s="45">
        <v>78000</v>
      </c>
      <c r="D692" t="s">
        <v>850</v>
      </c>
      <c r="E692" s="46">
        <v>45256</v>
      </c>
      <c r="F692" s="45" t="s">
        <v>721</v>
      </c>
      <c r="I692" t="s">
        <v>726</v>
      </c>
    </row>
    <row r="693" spans="1:9" hidden="1" x14ac:dyDescent="0.3">
      <c r="A693" t="s">
        <v>748</v>
      </c>
      <c r="B693" s="46">
        <v>45380</v>
      </c>
      <c r="C693" s="45">
        <v>77390</v>
      </c>
      <c r="D693" t="s">
        <v>828</v>
      </c>
      <c r="E693" s="46">
        <v>45397</v>
      </c>
      <c r="F693" s="45" t="s">
        <v>721</v>
      </c>
      <c r="I693" t="s">
        <v>726</v>
      </c>
    </row>
    <row r="694" spans="1:9" hidden="1" x14ac:dyDescent="0.3">
      <c r="A694" t="s">
        <v>734</v>
      </c>
      <c r="B694" s="46">
        <v>45155</v>
      </c>
      <c r="C694" s="45">
        <v>77200</v>
      </c>
      <c r="D694" t="s">
        <v>916</v>
      </c>
      <c r="E694" s="46">
        <v>45184</v>
      </c>
      <c r="F694" s="45" t="s">
        <v>721</v>
      </c>
      <c r="I694" t="s">
        <v>726</v>
      </c>
    </row>
    <row r="695" spans="1:9" hidden="1" x14ac:dyDescent="0.3">
      <c r="A695" t="s">
        <v>779</v>
      </c>
      <c r="B695" s="46">
        <v>45171</v>
      </c>
      <c r="C695" s="45">
        <v>77000</v>
      </c>
      <c r="D695" t="s">
        <v>871</v>
      </c>
      <c r="E695" s="46">
        <v>45215</v>
      </c>
      <c r="F695" s="45" t="s">
        <v>721</v>
      </c>
      <c r="I695" t="s">
        <v>818</v>
      </c>
    </row>
    <row r="696" spans="1:9" hidden="1" x14ac:dyDescent="0.3">
      <c r="A696" t="s">
        <v>727</v>
      </c>
      <c r="B696" s="46">
        <v>45211</v>
      </c>
      <c r="C696" s="45">
        <v>77000</v>
      </c>
      <c r="D696" t="s">
        <v>860</v>
      </c>
      <c r="E696" s="46">
        <v>45245</v>
      </c>
      <c r="F696" s="45" t="s">
        <v>721</v>
      </c>
      <c r="I696" t="s">
        <v>726</v>
      </c>
    </row>
    <row r="697" spans="1:9" hidden="1" x14ac:dyDescent="0.3">
      <c r="A697" t="s">
        <v>724</v>
      </c>
      <c r="B697" s="46">
        <v>45211</v>
      </c>
      <c r="C697" s="45">
        <v>77000</v>
      </c>
      <c r="D697" t="s">
        <v>917</v>
      </c>
      <c r="E697" s="46">
        <v>45256</v>
      </c>
      <c r="F697" s="45" t="s">
        <v>721</v>
      </c>
      <c r="I697" t="s">
        <v>726</v>
      </c>
    </row>
    <row r="698" spans="1:9" hidden="1" x14ac:dyDescent="0.3">
      <c r="A698" t="s">
        <v>772</v>
      </c>
      <c r="B698" s="46">
        <v>45295</v>
      </c>
      <c r="C698" s="45">
        <v>77000</v>
      </c>
      <c r="D698" t="s">
        <v>886</v>
      </c>
      <c r="E698" s="46">
        <v>45348</v>
      </c>
      <c r="F698" s="45" t="s">
        <v>721</v>
      </c>
      <c r="I698" t="s">
        <v>726</v>
      </c>
    </row>
    <row r="699" spans="1:9" hidden="1" x14ac:dyDescent="0.3">
      <c r="A699" t="s">
        <v>779</v>
      </c>
      <c r="B699" s="46">
        <v>45319</v>
      </c>
      <c r="C699" s="45">
        <v>76800</v>
      </c>
      <c r="D699" t="s">
        <v>894</v>
      </c>
      <c r="E699" s="46">
        <v>45338</v>
      </c>
      <c r="F699" s="45" t="s">
        <v>721</v>
      </c>
      <c r="I699" t="s">
        <v>818</v>
      </c>
    </row>
    <row r="700" spans="1:9" hidden="1" x14ac:dyDescent="0.3">
      <c r="A700" t="s">
        <v>779</v>
      </c>
      <c r="B700" s="46">
        <v>45352</v>
      </c>
      <c r="C700" s="45">
        <v>76800</v>
      </c>
      <c r="D700" t="s">
        <v>894</v>
      </c>
      <c r="E700" s="46">
        <v>45398</v>
      </c>
      <c r="F700" s="45" t="s">
        <v>721</v>
      </c>
      <c r="G700">
        <v>0</v>
      </c>
      <c r="I700" t="s">
        <v>818</v>
      </c>
    </row>
    <row r="701" spans="1:9" hidden="1" x14ac:dyDescent="0.3">
      <c r="A701" t="s">
        <v>729</v>
      </c>
      <c r="B701" s="46">
        <v>45225</v>
      </c>
      <c r="C701" s="45">
        <v>76500</v>
      </c>
      <c r="D701" t="s">
        <v>918</v>
      </c>
      <c r="E701" s="46">
        <v>45245</v>
      </c>
      <c r="F701" s="45" t="s">
        <v>721</v>
      </c>
      <c r="I701" t="s">
        <v>726</v>
      </c>
    </row>
    <row r="702" spans="1:9" hidden="1" x14ac:dyDescent="0.3">
      <c r="A702" t="s">
        <v>727</v>
      </c>
      <c r="B702" s="46">
        <v>45183</v>
      </c>
      <c r="C702" s="45">
        <v>76500</v>
      </c>
      <c r="D702" t="s">
        <v>919</v>
      </c>
      <c r="E702" s="46">
        <v>45215</v>
      </c>
      <c r="F702" s="45" t="s">
        <v>721</v>
      </c>
      <c r="I702" t="s">
        <v>726</v>
      </c>
    </row>
    <row r="703" spans="1:9" hidden="1" x14ac:dyDescent="0.3">
      <c r="A703" t="s">
        <v>727</v>
      </c>
      <c r="B703" s="46">
        <v>45288</v>
      </c>
      <c r="C703" s="45">
        <v>76400</v>
      </c>
      <c r="D703" t="s">
        <v>885</v>
      </c>
      <c r="E703" s="46">
        <v>45306</v>
      </c>
      <c r="F703" s="45" t="s">
        <v>721</v>
      </c>
      <c r="I703" t="s">
        <v>726</v>
      </c>
    </row>
    <row r="704" spans="1:9" hidden="1" x14ac:dyDescent="0.3">
      <c r="A704" t="s">
        <v>734</v>
      </c>
      <c r="B704" s="46">
        <v>45288</v>
      </c>
      <c r="C704" s="45">
        <v>76400</v>
      </c>
      <c r="D704" t="s">
        <v>885</v>
      </c>
      <c r="E704" s="46">
        <v>45306</v>
      </c>
      <c r="F704" s="45" t="s">
        <v>721</v>
      </c>
      <c r="I704" t="s">
        <v>726</v>
      </c>
    </row>
    <row r="705" spans="1:9" hidden="1" x14ac:dyDescent="0.3">
      <c r="A705" t="s">
        <v>748</v>
      </c>
      <c r="B705" s="46">
        <v>45421</v>
      </c>
      <c r="C705" s="45">
        <v>76351</v>
      </c>
      <c r="D705" t="s">
        <v>797</v>
      </c>
      <c r="E705" s="46">
        <v>45458</v>
      </c>
      <c r="F705" s="45" t="s">
        <v>721</v>
      </c>
      <c r="I705" t="s">
        <v>781</v>
      </c>
    </row>
    <row r="706" spans="1:9" hidden="1" x14ac:dyDescent="0.3">
      <c r="A706" t="s">
        <v>729</v>
      </c>
      <c r="B706" s="46">
        <v>45294</v>
      </c>
      <c r="C706" s="45">
        <v>76140</v>
      </c>
      <c r="D706" t="s">
        <v>790</v>
      </c>
      <c r="E706" s="46">
        <v>45337</v>
      </c>
      <c r="F706" s="45" t="s">
        <v>721</v>
      </c>
      <c r="I706" t="s">
        <v>834</v>
      </c>
    </row>
    <row r="707" spans="1:9" hidden="1" x14ac:dyDescent="0.3">
      <c r="A707" t="s">
        <v>734</v>
      </c>
      <c r="B707" s="46">
        <v>45309</v>
      </c>
      <c r="C707" s="45">
        <v>76000</v>
      </c>
      <c r="D707" t="s">
        <v>857</v>
      </c>
      <c r="E707" s="46">
        <v>45337</v>
      </c>
      <c r="F707" s="45" t="s">
        <v>721</v>
      </c>
      <c r="I707" t="s">
        <v>726</v>
      </c>
    </row>
    <row r="708" spans="1:9" hidden="1" x14ac:dyDescent="0.3">
      <c r="A708" t="s">
        <v>777</v>
      </c>
      <c r="B708" s="46">
        <v>45402</v>
      </c>
      <c r="C708" s="45">
        <v>76000</v>
      </c>
      <c r="D708" t="s">
        <v>871</v>
      </c>
      <c r="E708" s="46">
        <v>45428</v>
      </c>
      <c r="F708" s="45" t="s">
        <v>721</v>
      </c>
      <c r="I708" t="s">
        <v>818</v>
      </c>
    </row>
    <row r="709" spans="1:9" hidden="1" x14ac:dyDescent="0.3">
      <c r="A709" t="s">
        <v>772</v>
      </c>
      <c r="B709" s="46">
        <v>45330</v>
      </c>
      <c r="C709" s="45">
        <v>76000</v>
      </c>
      <c r="D709" t="s">
        <v>921</v>
      </c>
      <c r="E709" s="46">
        <v>45377</v>
      </c>
      <c r="F709" s="45" t="s">
        <v>721</v>
      </c>
      <c r="I709" t="s">
        <v>726</v>
      </c>
    </row>
    <row r="710" spans="1:9" hidden="1" x14ac:dyDescent="0.3">
      <c r="A710" t="s">
        <v>772</v>
      </c>
      <c r="B710" s="46">
        <v>45439</v>
      </c>
      <c r="C710" s="45">
        <v>76000</v>
      </c>
      <c r="D710" t="s">
        <v>915</v>
      </c>
      <c r="E710" s="46">
        <v>45469</v>
      </c>
      <c r="F710" s="45" t="s">
        <v>721</v>
      </c>
      <c r="I710" t="s">
        <v>818</v>
      </c>
    </row>
    <row r="711" spans="1:9" hidden="1" x14ac:dyDescent="0.3">
      <c r="A711" t="s">
        <v>777</v>
      </c>
      <c r="B711" s="46">
        <v>45219</v>
      </c>
      <c r="C711" s="45">
        <v>76000</v>
      </c>
      <c r="D711" t="s">
        <v>875</v>
      </c>
      <c r="E711" s="46">
        <v>45245</v>
      </c>
      <c r="F711" s="45" t="s">
        <v>721</v>
      </c>
      <c r="I711" t="s">
        <v>818</v>
      </c>
    </row>
    <row r="712" spans="1:9" hidden="1" x14ac:dyDescent="0.3">
      <c r="A712" t="s">
        <v>772</v>
      </c>
      <c r="B712" s="46">
        <v>45204</v>
      </c>
      <c r="C712" s="45">
        <v>76000</v>
      </c>
      <c r="D712" t="s">
        <v>857</v>
      </c>
      <c r="E712" s="46">
        <v>45256</v>
      </c>
      <c r="F712" s="45" t="s">
        <v>721</v>
      </c>
      <c r="I712" t="s">
        <v>726</v>
      </c>
    </row>
    <row r="713" spans="1:9" hidden="1" x14ac:dyDescent="0.3">
      <c r="A713" t="s">
        <v>777</v>
      </c>
      <c r="B713" s="46">
        <v>45183</v>
      </c>
      <c r="C713" s="45">
        <v>76000</v>
      </c>
      <c r="D713" t="s">
        <v>875</v>
      </c>
      <c r="E713" s="46">
        <v>45215</v>
      </c>
      <c r="F713" s="45" t="s">
        <v>721</v>
      </c>
      <c r="I713" t="s">
        <v>818</v>
      </c>
    </row>
    <row r="714" spans="1:9" hidden="1" x14ac:dyDescent="0.3">
      <c r="A714" t="s">
        <v>761</v>
      </c>
      <c r="B714" s="46">
        <v>45140</v>
      </c>
      <c r="C714" s="45">
        <v>76000</v>
      </c>
      <c r="D714" t="s">
        <v>920</v>
      </c>
      <c r="E714" s="46">
        <v>45164</v>
      </c>
      <c r="F714" s="45" t="s">
        <v>721</v>
      </c>
      <c r="I714" t="s">
        <v>818</v>
      </c>
    </row>
    <row r="715" spans="1:9" hidden="1" x14ac:dyDescent="0.3">
      <c r="A715" t="s">
        <v>722</v>
      </c>
      <c r="B715" s="46">
        <v>45329</v>
      </c>
      <c r="C715" s="45">
        <v>75840</v>
      </c>
      <c r="D715" t="s">
        <v>776</v>
      </c>
      <c r="E715" s="46">
        <v>45366</v>
      </c>
      <c r="F715" s="45" t="s">
        <v>721</v>
      </c>
      <c r="I715" t="s">
        <v>762</v>
      </c>
    </row>
    <row r="716" spans="1:9" hidden="1" x14ac:dyDescent="0.3">
      <c r="A716" t="s">
        <v>729</v>
      </c>
      <c r="B716" s="46">
        <v>45149</v>
      </c>
      <c r="C716" s="45">
        <v>75630</v>
      </c>
      <c r="D716" t="s">
        <v>730</v>
      </c>
      <c r="E716" s="46">
        <v>45184</v>
      </c>
      <c r="F716" s="45" t="s">
        <v>731</v>
      </c>
      <c r="G716" t="s">
        <v>732</v>
      </c>
      <c r="H716">
        <v>56</v>
      </c>
      <c r="I716" t="s">
        <v>733</v>
      </c>
    </row>
    <row r="717" spans="1:9" hidden="1" x14ac:dyDescent="0.3">
      <c r="A717" t="s">
        <v>727</v>
      </c>
      <c r="B717" s="46">
        <v>45134</v>
      </c>
      <c r="C717" s="45">
        <v>75600</v>
      </c>
      <c r="D717" t="s">
        <v>922</v>
      </c>
      <c r="E717" s="46">
        <v>45154</v>
      </c>
      <c r="F717" s="45" t="s">
        <v>721</v>
      </c>
      <c r="I717" t="s">
        <v>726</v>
      </c>
    </row>
    <row r="718" spans="1:9" hidden="1" x14ac:dyDescent="0.3">
      <c r="A718" t="s">
        <v>724</v>
      </c>
      <c r="B718" s="46">
        <v>45279</v>
      </c>
      <c r="C718" s="45">
        <v>75600</v>
      </c>
      <c r="D718" t="s">
        <v>755</v>
      </c>
      <c r="E718" s="46">
        <v>45317</v>
      </c>
      <c r="F718" s="45" t="s">
        <v>721</v>
      </c>
      <c r="I718" t="s">
        <v>756</v>
      </c>
    </row>
    <row r="719" spans="1:9" hidden="1" x14ac:dyDescent="0.3">
      <c r="A719" t="s">
        <v>743</v>
      </c>
      <c r="B719" s="46">
        <v>45341</v>
      </c>
      <c r="C719" s="45">
        <v>75278</v>
      </c>
      <c r="D719" t="s">
        <v>753</v>
      </c>
      <c r="E719" s="46">
        <v>45377</v>
      </c>
      <c r="F719" s="45" t="s">
        <v>731</v>
      </c>
      <c r="G719" t="s">
        <v>732</v>
      </c>
      <c r="H719">
        <v>55.25</v>
      </c>
      <c r="I719" t="s">
        <v>733</v>
      </c>
    </row>
    <row r="720" spans="1:9" hidden="1" x14ac:dyDescent="0.3">
      <c r="A720" t="s">
        <v>727</v>
      </c>
      <c r="B720" s="46">
        <v>45355</v>
      </c>
      <c r="C720" s="45">
        <v>75000</v>
      </c>
      <c r="D720" t="s">
        <v>2060</v>
      </c>
      <c r="E720" s="46">
        <v>45397</v>
      </c>
      <c r="F720" s="45" t="s">
        <v>721</v>
      </c>
      <c r="I720" t="s">
        <v>760</v>
      </c>
    </row>
    <row r="721" spans="1:9" hidden="1" x14ac:dyDescent="0.3">
      <c r="A721" t="s">
        <v>748</v>
      </c>
      <c r="B721" s="46">
        <v>45329</v>
      </c>
      <c r="C721" s="45">
        <v>75000</v>
      </c>
      <c r="D721" t="s">
        <v>783</v>
      </c>
      <c r="E721" s="46">
        <v>45366</v>
      </c>
      <c r="F721" s="45" t="s">
        <v>721</v>
      </c>
      <c r="I721" t="s">
        <v>784</v>
      </c>
    </row>
    <row r="722" spans="1:9" hidden="1" x14ac:dyDescent="0.3">
      <c r="A722" t="s">
        <v>729</v>
      </c>
      <c r="B722" s="46">
        <v>45422</v>
      </c>
      <c r="C722" s="45">
        <v>75000</v>
      </c>
      <c r="D722" t="s">
        <v>735</v>
      </c>
      <c r="E722" s="46">
        <v>45458</v>
      </c>
      <c r="F722" s="45" t="s">
        <v>721</v>
      </c>
      <c r="I722" t="s">
        <v>762</v>
      </c>
    </row>
    <row r="723" spans="1:9" hidden="1" x14ac:dyDescent="0.3">
      <c r="A723" t="s">
        <v>748</v>
      </c>
      <c r="B723" s="46">
        <v>45441</v>
      </c>
      <c r="C723" s="45">
        <v>75000</v>
      </c>
      <c r="D723" t="s">
        <v>783</v>
      </c>
      <c r="E723" s="46">
        <v>45458</v>
      </c>
      <c r="F723" s="45" t="s">
        <v>721</v>
      </c>
      <c r="I723" t="s">
        <v>784</v>
      </c>
    </row>
    <row r="724" spans="1:9" hidden="1" x14ac:dyDescent="0.3">
      <c r="A724" t="s">
        <v>748</v>
      </c>
      <c r="B724" s="46">
        <v>45408</v>
      </c>
      <c r="C724" s="45">
        <v>75000</v>
      </c>
      <c r="D724" t="s">
        <v>783</v>
      </c>
      <c r="E724" s="46">
        <v>45428</v>
      </c>
      <c r="F724" s="45" t="s">
        <v>721</v>
      </c>
      <c r="I724" t="s">
        <v>784</v>
      </c>
    </row>
    <row r="725" spans="1:9" hidden="1" x14ac:dyDescent="0.3">
      <c r="A725" t="s">
        <v>772</v>
      </c>
      <c r="B725" s="46">
        <v>45260</v>
      </c>
      <c r="C725" s="45">
        <v>75000</v>
      </c>
      <c r="D725" t="s">
        <v>923</v>
      </c>
      <c r="E725" s="46">
        <v>45286</v>
      </c>
      <c r="F725" s="45" t="s">
        <v>721</v>
      </c>
      <c r="I725" t="s">
        <v>726</v>
      </c>
    </row>
    <row r="726" spans="1:9" hidden="1" x14ac:dyDescent="0.3">
      <c r="A726" t="s">
        <v>729</v>
      </c>
      <c r="B726" s="46">
        <v>45139</v>
      </c>
      <c r="C726" s="45">
        <v>75000</v>
      </c>
      <c r="D726" t="s">
        <v>735</v>
      </c>
      <c r="E726" s="46">
        <v>45184</v>
      </c>
      <c r="F726" s="45" t="s">
        <v>721</v>
      </c>
      <c r="I726" t="s">
        <v>762</v>
      </c>
    </row>
    <row r="727" spans="1:9" hidden="1" x14ac:dyDescent="0.3">
      <c r="A727" t="s">
        <v>734</v>
      </c>
      <c r="B727" s="46">
        <v>45141</v>
      </c>
      <c r="C727" s="45">
        <v>75000</v>
      </c>
      <c r="D727" t="s">
        <v>830</v>
      </c>
      <c r="E727" s="46">
        <v>45184</v>
      </c>
      <c r="F727" s="45" t="s">
        <v>721</v>
      </c>
      <c r="I727" t="s">
        <v>726</v>
      </c>
    </row>
    <row r="728" spans="1:9" hidden="1" x14ac:dyDescent="0.3">
      <c r="A728" t="s">
        <v>777</v>
      </c>
      <c r="B728" s="46">
        <v>45170</v>
      </c>
      <c r="C728" s="45">
        <v>75000</v>
      </c>
      <c r="D728" t="s">
        <v>875</v>
      </c>
      <c r="E728" s="46">
        <v>45215</v>
      </c>
      <c r="F728" s="45" t="s">
        <v>721</v>
      </c>
      <c r="I728" t="s">
        <v>818</v>
      </c>
    </row>
    <row r="729" spans="1:9" hidden="1" x14ac:dyDescent="0.3">
      <c r="A729" t="s">
        <v>724</v>
      </c>
      <c r="B729" s="46">
        <v>45180</v>
      </c>
      <c r="C729" s="45">
        <v>75000</v>
      </c>
      <c r="D729" t="s">
        <v>791</v>
      </c>
      <c r="E729" s="46">
        <v>45225</v>
      </c>
      <c r="F729" s="45" t="s">
        <v>721</v>
      </c>
      <c r="I729" t="s">
        <v>726</v>
      </c>
    </row>
    <row r="730" spans="1:9" hidden="1" x14ac:dyDescent="0.3">
      <c r="A730" t="s">
        <v>748</v>
      </c>
      <c r="B730" s="46">
        <v>45421</v>
      </c>
      <c r="C730" s="45">
        <v>74680</v>
      </c>
      <c r="D730" t="s">
        <v>735</v>
      </c>
      <c r="E730" s="46">
        <v>45458</v>
      </c>
      <c r="F730" s="45" t="s">
        <v>721</v>
      </c>
      <c r="I730" t="s">
        <v>762</v>
      </c>
    </row>
    <row r="731" spans="1:9" hidden="1" x14ac:dyDescent="0.3">
      <c r="A731" t="s">
        <v>729</v>
      </c>
      <c r="B731" s="46">
        <v>45314</v>
      </c>
      <c r="C731" s="45">
        <v>74600</v>
      </c>
      <c r="D731" t="s">
        <v>765</v>
      </c>
      <c r="E731" s="46">
        <v>45337</v>
      </c>
      <c r="F731" s="45" t="s">
        <v>721</v>
      </c>
      <c r="I731" t="s">
        <v>726</v>
      </c>
    </row>
    <row r="732" spans="1:9" hidden="1" x14ac:dyDescent="0.3">
      <c r="A732" t="s">
        <v>734</v>
      </c>
      <c r="B732" s="46">
        <v>45435</v>
      </c>
      <c r="C732" s="45">
        <v>74400</v>
      </c>
      <c r="D732" t="s">
        <v>2046</v>
      </c>
      <c r="E732" s="46">
        <v>45458</v>
      </c>
      <c r="F732" s="45" t="s">
        <v>721</v>
      </c>
      <c r="I732" t="s">
        <v>726</v>
      </c>
    </row>
    <row r="733" spans="1:9" hidden="1" x14ac:dyDescent="0.3">
      <c r="A733" t="s">
        <v>779</v>
      </c>
      <c r="B733" s="46">
        <v>45240</v>
      </c>
      <c r="C733" s="45">
        <v>74300</v>
      </c>
      <c r="D733" t="s">
        <v>884</v>
      </c>
      <c r="E733" s="46">
        <v>45276</v>
      </c>
      <c r="F733" s="45" t="s">
        <v>721</v>
      </c>
      <c r="G733">
        <v>0</v>
      </c>
      <c r="I733" t="s">
        <v>726</v>
      </c>
    </row>
    <row r="734" spans="1:9" hidden="1" x14ac:dyDescent="0.3">
      <c r="A734" t="s">
        <v>779</v>
      </c>
      <c r="B734" s="46">
        <v>45240</v>
      </c>
      <c r="C734" s="45">
        <v>74300</v>
      </c>
      <c r="D734" t="s">
        <v>884</v>
      </c>
      <c r="E734" s="46">
        <v>45278</v>
      </c>
      <c r="F734" s="45" t="s">
        <v>721</v>
      </c>
      <c r="I734" t="s">
        <v>726</v>
      </c>
    </row>
    <row r="735" spans="1:9" hidden="1" x14ac:dyDescent="0.3">
      <c r="A735" t="s">
        <v>775</v>
      </c>
      <c r="B735" s="46">
        <v>45169</v>
      </c>
      <c r="C735" s="45">
        <v>74000</v>
      </c>
      <c r="D735" t="s">
        <v>925</v>
      </c>
      <c r="E735" s="46">
        <v>45184</v>
      </c>
      <c r="F735" s="45" t="s">
        <v>721</v>
      </c>
      <c r="I735" t="s">
        <v>726</v>
      </c>
    </row>
    <row r="736" spans="1:9" hidden="1" x14ac:dyDescent="0.3">
      <c r="A736" t="s">
        <v>724</v>
      </c>
      <c r="B736" s="46">
        <v>45446</v>
      </c>
      <c r="C736" s="45">
        <v>74000</v>
      </c>
      <c r="D736" t="s">
        <v>791</v>
      </c>
      <c r="E736" s="46">
        <v>45469</v>
      </c>
      <c r="F736" s="45" t="s">
        <v>721</v>
      </c>
      <c r="I736" t="s">
        <v>726</v>
      </c>
    </row>
    <row r="737" spans="1:9" hidden="1" x14ac:dyDescent="0.3">
      <c r="A737" t="s">
        <v>777</v>
      </c>
      <c r="B737" s="46">
        <v>45394</v>
      </c>
      <c r="C737" s="45">
        <v>74000</v>
      </c>
      <c r="D737" t="s">
        <v>875</v>
      </c>
      <c r="E737" s="46">
        <v>45428</v>
      </c>
      <c r="F737" s="45" t="s">
        <v>721</v>
      </c>
      <c r="I737" t="s">
        <v>818</v>
      </c>
    </row>
    <row r="738" spans="1:9" hidden="1" x14ac:dyDescent="0.3">
      <c r="A738" t="s">
        <v>779</v>
      </c>
      <c r="B738" s="46">
        <v>45314</v>
      </c>
      <c r="C738" s="45">
        <v>73800</v>
      </c>
      <c r="D738" t="s">
        <v>822</v>
      </c>
      <c r="E738" s="46">
        <v>45338</v>
      </c>
      <c r="F738" s="45" t="s">
        <v>721</v>
      </c>
      <c r="I738" t="s">
        <v>740</v>
      </c>
    </row>
    <row r="739" spans="1:9" hidden="1" x14ac:dyDescent="0.3">
      <c r="A739" t="s">
        <v>777</v>
      </c>
      <c r="B739" s="46">
        <v>45192</v>
      </c>
      <c r="C739" s="45">
        <v>73000</v>
      </c>
      <c r="D739" t="s">
        <v>849</v>
      </c>
      <c r="E739" s="46">
        <v>45245</v>
      </c>
      <c r="F739" s="45" t="s">
        <v>721</v>
      </c>
      <c r="I739" t="s">
        <v>818</v>
      </c>
    </row>
    <row r="740" spans="1:9" hidden="1" x14ac:dyDescent="0.3">
      <c r="A740" t="s">
        <v>772</v>
      </c>
      <c r="B740" s="46">
        <v>45373</v>
      </c>
      <c r="C740" s="45">
        <v>72908</v>
      </c>
      <c r="D740" t="s">
        <v>915</v>
      </c>
      <c r="E740" s="46">
        <v>45408</v>
      </c>
      <c r="F740" s="45" t="s">
        <v>721</v>
      </c>
      <c r="I740" t="s">
        <v>818</v>
      </c>
    </row>
    <row r="741" spans="1:9" hidden="1" x14ac:dyDescent="0.3">
      <c r="A741" t="s">
        <v>734</v>
      </c>
      <c r="B741" s="46">
        <v>45196</v>
      </c>
      <c r="C741" s="45">
        <v>72700</v>
      </c>
      <c r="D741" t="s">
        <v>926</v>
      </c>
      <c r="E741" s="46">
        <v>45245</v>
      </c>
      <c r="F741" s="45" t="s">
        <v>721</v>
      </c>
      <c r="I741" t="s">
        <v>726</v>
      </c>
    </row>
    <row r="742" spans="1:9" hidden="1" x14ac:dyDescent="0.3">
      <c r="A742" t="s">
        <v>803</v>
      </c>
      <c r="B742" s="46">
        <v>45422</v>
      </c>
      <c r="C742" s="45">
        <v>72540</v>
      </c>
      <c r="D742" t="s">
        <v>873</v>
      </c>
      <c r="E742" s="46">
        <v>45459</v>
      </c>
      <c r="F742" s="45" t="s">
        <v>721</v>
      </c>
      <c r="I742" t="s">
        <v>756</v>
      </c>
    </row>
    <row r="743" spans="1:9" hidden="1" x14ac:dyDescent="0.3">
      <c r="A743" t="s">
        <v>748</v>
      </c>
      <c r="B743" s="46">
        <v>45282</v>
      </c>
      <c r="C743" s="45">
        <v>72300</v>
      </c>
      <c r="D743" t="s">
        <v>927</v>
      </c>
      <c r="E743" s="46">
        <v>45306</v>
      </c>
      <c r="F743" s="45" t="s">
        <v>721</v>
      </c>
      <c r="I743" t="s">
        <v>726</v>
      </c>
    </row>
    <row r="744" spans="1:9" hidden="1" x14ac:dyDescent="0.3">
      <c r="A744" t="s">
        <v>772</v>
      </c>
      <c r="B744" s="46">
        <v>45216</v>
      </c>
      <c r="C744" s="45">
        <v>72000</v>
      </c>
      <c r="D744" t="s">
        <v>932</v>
      </c>
      <c r="E744" s="46">
        <v>45256</v>
      </c>
      <c r="F744" s="45" t="s">
        <v>721</v>
      </c>
      <c r="I744" t="s">
        <v>726</v>
      </c>
    </row>
    <row r="745" spans="1:9" hidden="1" x14ac:dyDescent="0.3">
      <c r="A745" t="s">
        <v>724</v>
      </c>
      <c r="B745" s="46">
        <v>45215</v>
      </c>
      <c r="C745" s="45">
        <v>72000</v>
      </c>
      <c r="D745" t="s">
        <v>933</v>
      </c>
      <c r="E745" s="46">
        <v>45256</v>
      </c>
      <c r="F745" s="45" t="s">
        <v>721</v>
      </c>
      <c r="I745" t="s">
        <v>726</v>
      </c>
    </row>
    <row r="746" spans="1:9" hidden="1" x14ac:dyDescent="0.3">
      <c r="A746" t="s">
        <v>775</v>
      </c>
      <c r="B746" s="46">
        <v>45225</v>
      </c>
      <c r="C746" s="45">
        <v>72000</v>
      </c>
      <c r="D746" t="s">
        <v>931</v>
      </c>
      <c r="E746" s="46">
        <v>45246</v>
      </c>
      <c r="F746" s="45" t="s">
        <v>721</v>
      </c>
      <c r="I746" t="s">
        <v>818</v>
      </c>
    </row>
    <row r="747" spans="1:9" hidden="1" x14ac:dyDescent="0.3">
      <c r="A747" t="s">
        <v>772</v>
      </c>
      <c r="B747" s="46">
        <v>45230</v>
      </c>
      <c r="C747" s="45">
        <v>72000</v>
      </c>
      <c r="D747" t="s">
        <v>850</v>
      </c>
      <c r="E747" s="46">
        <v>45256</v>
      </c>
      <c r="F747" s="45" t="s">
        <v>721</v>
      </c>
      <c r="I747" t="s">
        <v>726</v>
      </c>
    </row>
    <row r="748" spans="1:9" hidden="1" x14ac:dyDescent="0.3">
      <c r="A748" t="s">
        <v>777</v>
      </c>
      <c r="B748" s="46">
        <v>45122</v>
      </c>
      <c r="C748" s="45">
        <v>72000</v>
      </c>
      <c r="D748" t="s">
        <v>935</v>
      </c>
      <c r="E748" s="46">
        <v>45154</v>
      </c>
      <c r="F748" s="45" t="s">
        <v>721</v>
      </c>
      <c r="I748" t="s">
        <v>818</v>
      </c>
    </row>
    <row r="749" spans="1:9" hidden="1" x14ac:dyDescent="0.3">
      <c r="A749" t="s">
        <v>775</v>
      </c>
      <c r="B749" s="46">
        <v>45438</v>
      </c>
      <c r="C749" s="45">
        <v>72000</v>
      </c>
      <c r="D749" t="s">
        <v>2061</v>
      </c>
      <c r="E749" s="46">
        <v>45459</v>
      </c>
      <c r="F749" s="45" t="s">
        <v>721</v>
      </c>
      <c r="I749" t="s">
        <v>756</v>
      </c>
    </row>
    <row r="750" spans="1:9" hidden="1" x14ac:dyDescent="0.3">
      <c r="A750" t="s">
        <v>775</v>
      </c>
      <c r="B750" s="46">
        <v>45416</v>
      </c>
      <c r="C750" s="45">
        <v>72000</v>
      </c>
      <c r="D750" t="s">
        <v>909</v>
      </c>
      <c r="E750" s="46">
        <v>45459</v>
      </c>
      <c r="F750" s="45" t="s">
        <v>721</v>
      </c>
      <c r="I750" t="s">
        <v>818</v>
      </c>
    </row>
    <row r="751" spans="1:9" hidden="1" x14ac:dyDescent="0.3">
      <c r="A751" t="s">
        <v>772</v>
      </c>
      <c r="B751" s="46">
        <v>45359</v>
      </c>
      <c r="C751" s="45">
        <v>72000</v>
      </c>
      <c r="D751" t="s">
        <v>850</v>
      </c>
      <c r="E751" s="46">
        <v>45408</v>
      </c>
      <c r="F751" s="45" t="s">
        <v>721</v>
      </c>
      <c r="I751" t="s">
        <v>726</v>
      </c>
    </row>
    <row r="752" spans="1:9" hidden="1" x14ac:dyDescent="0.3">
      <c r="A752" t="s">
        <v>779</v>
      </c>
      <c r="B752" s="46">
        <v>45405</v>
      </c>
      <c r="C752" s="45">
        <v>72000</v>
      </c>
      <c r="D752" t="s">
        <v>1023</v>
      </c>
      <c r="E752" s="46">
        <v>45428</v>
      </c>
      <c r="F752" s="45" t="s">
        <v>721</v>
      </c>
      <c r="G752">
        <v>0</v>
      </c>
      <c r="I752" t="s">
        <v>726</v>
      </c>
    </row>
    <row r="753" spans="1:9" hidden="1" x14ac:dyDescent="0.3">
      <c r="A753" t="s">
        <v>734</v>
      </c>
      <c r="B753" s="46">
        <v>45369</v>
      </c>
      <c r="C753" s="45">
        <v>72000</v>
      </c>
      <c r="D753" t="s">
        <v>946</v>
      </c>
      <c r="E753" s="46">
        <v>45397</v>
      </c>
      <c r="F753" s="45" t="s">
        <v>721</v>
      </c>
      <c r="I753" t="s">
        <v>726</v>
      </c>
    </row>
    <row r="754" spans="1:9" hidden="1" x14ac:dyDescent="0.3">
      <c r="A754" t="s">
        <v>734</v>
      </c>
      <c r="B754" s="46">
        <v>45299</v>
      </c>
      <c r="C754" s="45">
        <v>72000</v>
      </c>
      <c r="D754" t="s">
        <v>928</v>
      </c>
      <c r="E754" s="46">
        <v>45337</v>
      </c>
      <c r="F754" s="45" t="s">
        <v>721</v>
      </c>
      <c r="I754" t="s">
        <v>726</v>
      </c>
    </row>
    <row r="755" spans="1:9" hidden="1" x14ac:dyDescent="0.3">
      <c r="A755" t="s">
        <v>734</v>
      </c>
      <c r="B755" s="46">
        <v>45308</v>
      </c>
      <c r="C755" s="45">
        <v>72000</v>
      </c>
      <c r="D755" t="s">
        <v>929</v>
      </c>
      <c r="E755" s="46">
        <v>45337</v>
      </c>
      <c r="F755" s="45" t="s">
        <v>721</v>
      </c>
      <c r="I755" t="s">
        <v>726</v>
      </c>
    </row>
    <row r="756" spans="1:9" hidden="1" x14ac:dyDescent="0.3">
      <c r="A756" t="s">
        <v>734</v>
      </c>
      <c r="B756" s="46">
        <v>45337</v>
      </c>
      <c r="C756" s="45">
        <v>72000</v>
      </c>
      <c r="D756" t="s">
        <v>930</v>
      </c>
      <c r="E756" s="46">
        <v>45366</v>
      </c>
      <c r="F756" s="45" t="s">
        <v>721</v>
      </c>
      <c r="I756" t="s">
        <v>726</v>
      </c>
    </row>
    <row r="757" spans="1:9" hidden="1" x14ac:dyDescent="0.3">
      <c r="A757" t="s">
        <v>734</v>
      </c>
      <c r="B757" s="46">
        <v>45377</v>
      </c>
      <c r="C757" s="45">
        <v>71900</v>
      </c>
      <c r="D757" t="s">
        <v>998</v>
      </c>
      <c r="E757" s="46">
        <v>45397</v>
      </c>
      <c r="F757" s="45" t="s">
        <v>721</v>
      </c>
      <c r="I757" t="s">
        <v>726</v>
      </c>
    </row>
    <row r="758" spans="1:9" hidden="1" x14ac:dyDescent="0.3">
      <c r="A758" t="s">
        <v>748</v>
      </c>
      <c r="B758" s="46">
        <v>45146</v>
      </c>
      <c r="C758" s="45">
        <v>71800</v>
      </c>
      <c r="D758" t="s">
        <v>936</v>
      </c>
      <c r="E758" s="46">
        <v>45184</v>
      </c>
      <c r="F758" s="45" t="s">
        <v>721</v>
      </c>
      <c r="I758" t="s">
        <v>726</v>
      </c>
    </row>
    <row r="759" spans="1:9" hidden="1" x14ac:dyDescent="0.3">
      <c r="A759" t="s">
        <v>734</v>
      </c>
      <c r="B759" s="46">
        <v>45301</v>
      </c>
      <c r="C759" s="45">
        <v>71740</v>
      </c>
      <c r="D759" t="s">
        <v>937</v>
      </c>
      <c r="E759" s="46">
        <v>45337</v>
      </c>
      <c r="F759" s="45" t="s">
        <v>721</v>
      </c>
      <c r="I759" t="s">
        <v>726</v>
      </c>
    </row>
    <row r="760" spans="1:9" hidden="1" x14ac:dyDescent="0.3">
      <c r="A760" t="s">
        <v>779</v>
      </c>
      <c r="B760" s="46">
        <v>45234</v>
      </c>
      <c r="C760" s="45">
        <v>71676</v>
      </c>
      <c r="D760" t="s">
        <v>871</v>
      </c>
      <c r="E760" s="46">
        <v>45278</v>
      </c>
      <c r="F760" s="45" t="s">
        <v>721</v>
      </c>
      <c r="I760" t="s">
        <v>818</v>
      </c>
    </row>
    <row r="761" spans="1:9" hidden="1" x14ac:dyDescent="0.3">
      <c r="A761" t="s">
        <v>779</v>
      </c>
      <c r="B761" s="46">
        <v>45234</v>
      </c>
      <c r="C761" s="45">
        <v>71676</v>
      </c>
      <c r="D761" t="s">
        <v>871</v>
      </c>
      <c r="E761" s="46">
        <v>45276</v>
      </c>
      <c r="F761" s="45" t="s">
        <v>721</v>
      </c>
      <c r="G761">
        <v>0</v>
      </c>
      <c r="I761" t="s">
        <v>818</v>
      </c>
    </row>
    <row r="762" spans="1:9" hidden="1" x14ac:dyDescent="0.3">
      <c r="A762" t="s">
        <v>757</v>
      </c>
      <c r="B762" s="46">
        <v>45390</v>
      </c>
      <c r="C762" s="45">
        <v>71564</v>
      </c>
      <c r="D762" t="s">
        <v>753</v>
      </c>
      <c r="E762" s="46">
        <v>45438</v>
      </c>
      <c r="F762" s="45" t="s">
        <v>731</v>
      </c>
      <c r="G762" t="s">
        <v>732</v>
      </c>
      <c r="H762">
        <v>51.75</v>
      </c>
      <c r="I762" t="s">
        <v>733</v>
      </c>
    </row>
    <row r="763" spans="1:9" hidden="1" x14ac:dyDescent="0.3">
      <c r="A763" t="s">
        <v>724</v>
      </c>
      <c r="B763" s="46">
        <v>45421</v>
      </c>
      <c r="C763" s="45">
        <v>71500</v>
      </c>
      <c r="D763" t="s">
        <v>885</v>
      </c>
      <c r="E763" s="46">
        <v>45469</v>
      </c>
      <c r="F763" s="45" t="s">
        <v>721</v>
      </c>
      <c r="I763" t="s">
        <v>726</v>
      </c>
    </row>
    <row r="764" spans="1:9" hidden="1" x14ac:dyDescent="0.3">
      <c r="A764" t="s">
        <v>734</v>
      </c>
      <c r="B764" s="46">
        <v>45348</v>
      </c>
      <c r="C764" s="45">
        <v>71500</v>
      </c>
      <c r="D764" t="s">
        <v>938</v>
      </c>
      <c r="E764" s="46">
        <v>45366</v>
      </c>
      <c r="F764" s="45" t="s">
        <v>721</v>
      </c>
      <c r="I764" t="s">
        <v>726</v>
      </c>
    </row>
    <row r="765" spans="1:9" hidden="1" x14ac:dyDescent="0.3">
      <c r="A765" t="s">
        <v>748</v>
      </c>
      <c r="B765" s="46">
        <v>45281</v>
      </c>
      <c r="C765" s="45">
        <v>71320</v>
      </c>
      <c r="D765" t="s">
        <v>735</v>
      </c>
      <c r="E765" s="46">
        <v>45306</v>
      </c>
      <c r="F765" s="45" t="s">
        <v>721</v>
      </c>
      <c r="I765" t="s">
        <v>762</v>
      </c>
    </row>
    <row r="766" spans="1:9" hidden="1" x14ac:dyDescent="0.3">
      <c r="A766" t="s">
        <v>734</v>
      </c>
      <c r="B766" s="46">
        <v>45317</v>
      </c>
      <c r="C766" s="45">
        <v>71200</v>
      </c>
      <c r="D766" t="s">
        <v>926</v>
      </c>
      <c r="E766" s="46">
        <v>45337</v>
      </c>
      <c r="F766" s="45" t="s">
        <v>721</v>
      </c>
      <c r="I766" t="s">
        <v>726</v>
      </c>
    </row>
    <row r="767" spans="1:9" hidden="1" x14ac:dyDescent="0.3">
      <c r="A767" t="s">
        <v>734</v>
      </c>
      <c r="B767" s="46">
        <v>45315</v>
      </c>
      <c r="C767" s="45">
        <v>71000</v>
      </c>
      <c r="D767" t="s">
        <v>939</v>
      </c>
      <c r="E767" s="46">
        <v>45337</v>
      </c>
      <c r="F767" s="45" t="s">
        <v>721</v>
      </c>
      <c r="I767" t="s">
        <v>726</v>
      </c>
    </row>
    <row r="768" spans="1:9" hidden="1" x14ac:dyDescent="0.3">
      <c r="A768" t="s">
        <v>777</v>
      </c>
      <c r="B768" s="46">
        <v>45247</v>
      </c>
      <c r="C768" s="45">
        <v>71000</v>
      </c>
      <c r="D768" t="s">
        <v>875</v>
      </c>
      <c r="E768" s="46">
        <v>45275</v>
      </c>
      <c r="F768" s="45" t="s">
        <v>721</v>
      </c>
      <c r="I768" t="s">
        <v>818</v>
      </c>
    </row>
    <row r="769" spans="1:9" hidden="1" x14ac:dyDescent="0.3">
      <c r="A769" t="s">
        <v>777</v>
      </c>
      <c r="B769" s="46">
        <v>45261</v>
      </c>
      <c r="C769" s="45">
        <v>71000</v>
      </c>
      <c r="D769" t="s">
        <v>875</v>
      </c>
      <c r="E769" s="46">
        <v>45306</v>
      </c>
      <c r="F769" s="45" t="s">
        <v>721</v>
      </c>
      <c r="I769" t="s">
        <v>818</v>
      </c>
    </row>
    <row r="770" spans="1:9" hidden="1" x14ac:dyDescent="0.3">
      <c r="A770" t="s">
        <v>777</v>
      </c>
      <c r="B770" s="46">
        <v>45205</v>
      </c>
      <c r="C770" s="45">
        <v>71000</v>
      </c>
      <c r="D770" t="s">
        <v>875</v>
      </c>
      <c r="E770" s="46">
        <v>45245</v>
      </c>
      <c r="F770" s="45" t="s">
        <v>721</v>
      </c>
      <c r="I770" t="s">
        <v>818</v>
      </c>
    </row>
    <row r="771" spans="1:9" hidden="1" x14ac:dyDescent="0.3">
      <c r="A771" t="s">
        <v>779</v>
      </c>
      <c r="B771" s="46">
        <v>45122</v>
      </c>
      <c r="C771" s="45">
        <v>71000</v>
      </c>
      <c r="D771" t="s">
        <v>940</v>
      </c>
      <c r="E771" s="46">
        <v>45154</v>
      </c>
      <c r="F771" s="45" t="s">
        <v>721</v>
      </c>
    </row>
    <row r="772" spans="1:9" hidden="1" x14ac:dyDescent="0.3">
      <c r="A772" t="s">
        <v>748</v>
      </c>
      <c r="B772" s="46">
        <v>45189</v>
      </c>
      <c r="C772" s="45">
        <v>71000</v>
      </c>
      <c r="D772" t="s">
        <v>735</v>
      </c>
      <c r="E772" s="46">
        <v>45215</v>
      </c>
      <c r="F772" s="45" t="s">
        <v>721</v>
      </c>
      <c r="I772" t="s">
        <v>795</v>
      </c>
    </row>
    <row r="773" spans="1:9" hidden="1" x14ac:dyDescent="0.3">
      <c r="A773" t="s">
        <v>748</v>
      </c>
      <c r="B773" s="46">
        <v>45188</v>
      </c>
      <c r="C773" s="45">
        <v>70870</v>
      </c>
      <c r="D773" t="s">
        <v>828</v>
      </c>
      <c r="E773" s="46">
        <v>45215</v>
      </c>
      <c r="F773" s="45" t="s">
        <v>721</v>
      </c>
      <c r="I773" t="s">
        <v>762</v>
      </c>
    </row>
    <row r="774" spans="1:9" hidden="1" x14ac:dyDescent="0.3">
      <c r="A774" t="s">
        <v>743</v>
      </c>
      <c r="B774" s="46">
        <v>45404</v>
      </c>
      <c r="C774" s="45">
        <v>70866</v>
      </c>
      <c r="D774" t="s">
        <v>753</v>
      </c>
      <c r="E774" s="46">
        <v>45438</v>
      </c>
      <c r="F774" s="45" t="s">
        <v>731</v>
      </c>
      <c r="G774" t="s">
        <v>732</v>
      </c>
      <c r="H774">
        <v>50.25</v>
      </c>
      <c r="I774" t="s">
        <v>733</v>
      </c>
    </row>
    <row r="775" spans="1:9" hidden="1" x14ac:dyDescent="0.3">
      <c r="A775" t="s">
        <v>734</v>
      </c>
      <c r="B775" s="46">
        <v>45373</v>
      </c>
      <c r="C775" s="45">
        <v>70800</v>
      </c>
      <c r="D775" t="s">
        <v>982</v>
      </c>
      <c r="E775" s="46">
        <v>45397</v>
      </c>
      <c r="F775" s="45" t="s">
        <v>721</v>
      </c>
      <c r="I775" t="s">
        <v>726</v>
      </c>
    </row>
    <row r="776" spans="1:9" hidden="1" x14ac:dyDescent="0.3">
      <c r="A776" t="s">
        <v>748</v>
      </c>
      <c r="B776" s="46">
        <v>45406</v>
      </c>
      <c r="C776" s="45">
        <v>70570</v>
      </c>
      <c r="D776" t="s">
        <v>735</v>
      </c>
      <c r="E776" s="46">
        <v>45428</v>
      </c>
      <c r="F776" s="45" t="s">
        <v>721</v>
      </c>
      <c r="I776" t="s">
        <v>762</v>
      </c>
    </row>
    <row r="777" spans="1:9" hidden="1" x14ac:dyDescent="0.3">
      <c r="A777" t="s">
        <v>748</v>
      </c>
      <c r="B777" s="46">
        <v>45266</v>
      </c>
      <c r="C777" s="45">
        <v>70570</v>
      </c>
      <c r="D777" t="s">
        <v>941</v>
      </c>
      <c r="E777" s="46">
        <v>45306</v>
      </c>
      <c r="F777" s="45" t="s">
        <v>721</v>
      </c>
      <c r="I777" t="s">
        <v>762</v>
      </c>
    </row>
    <row r="778" spans="1:9" hidden="1" x14ac:dyDescent="0.3">
      <c r="A778" t="s">
        <v>748</v>
      </c>
      <c r="B778" s="46">
        <v>45421</v>
      </c>
      <c r="C778" s="45">
        <v>70540</v>
      </c>
      <c r="D778" t="s">
        <v>828</v>
      </c>
      <c r="E778" s="46">
        <v>45458</v>
      </c>
      <c r="F778" s="45" t="s">
        <v>721</v>
      </c>
      <c r="I778" t="s">
        <v>762</v>
      </c>
    </row>
    <row r="779" spans="1:9" hidden="1" x14ac:dyDescent="0.3">
      <c r="A779" t="s">
        <v>724</v>
      </c>
      <c r="B779" s="46">
        <v>45435</v>
      </c>
      <c r="C779" s="45">
        <v>70500</v>
      </c>
      <c r="D779" t="s">
        <v>885</v>
      </c>
      <c r="E779" s="46">
        <v>45469</v>
      </c>
      <c r="F779" s="45" t="s">
        <v>721</v>
      </c>
      <c r="I779" t="s">
        <v>726</v>
      </c>
    </row>
    <row r="780" spans="1:9" hidden="1" x14ac:dyDescent="0.3">
      <c r="A780" t="s">
        <v>748</v>
      </c>
      <c r="B780" s="46">
        <v>45218</v>
      </c>
      <c r="C780" s="45">
        <v>70110</v>
      </c>
      <c r="D780" t="s">
        <v>735</v>
      </c>
      <c r="E780" s="46">
        <v>45245</v>
      </c>
      <c r="F780" s="45" t="s">
        <v>721</v>
      </c>
      <c r="I780" t="s">
        <v>726</v>
      </c>
    </row>
    <row r="781" spans="1:9" hidden="1" x14ac:dyDescent="0.3">
      <c r="A781" t="s">
        <v>772</v>
      </c>
      <c r="B781" s="46">
        <v>45187</v>
      </c>
      <c r="C781" s="45">
        <v>70000</v>
      </c>
      <c r="D781" t="s">
        <v>942</v>
      </c>
      <c r="E781" s="46">
        <v>45225</v>
      </c>
      <c r="F781" s="45" t="s">
        <v>721</v>
      </c>
      <c r="I781" t="s">
        <v>818</v>
      </c>
    </row>
    <row r="782" spans="1:9" hidden="1" x14ac:dyDescent="0.3">
      <c r="A782" t="s">
        <v>748</v>
      </c>
      <c r="B782" s="46">
        <v>45181</v>
      </c>
      <c r="C782" s="45">
        <v>70000</v>
      </c>
      <c r="D782" t="s">
        <v>915</v>
      </c>
      <c r="E782" s="46">
        <v>45215</v>
      </c>
      <c r="F782" s="45" t="s">
        <v>721</v>
      </c>
      <c r="I782" t="s">
        <v>818</v>
      </c>
    </row>
    <row r="783" spans="1:9" hidden="1" x14ac:dyDescent="0.3">
      <c r="A783" t="s">
        <v>748</v>
      </c>
      <c r="B783" s="46">
        <v>45145</v>
      </c>
      <c r="C783" s="45">
        <v>70000</v>
      </c>
      <c r="D783" t="s">
        <v>944</v>
      </c>
      <c r="E783" s="46">
        <v>45184</v>
      </c>
      <c r="F783" s="45" t="s">
        <v>721</v>
      </c>
      <c r="I783" t="s">
        <v>818</v>
      </c>
    </row>
    <row r="784" spans="1:9" hidden="1" x14ac:dyDescent="0.3">
      <c r="A784" t="s">
        <v>748</v>
      </c>
      <c r="B784" s="46">
        <v>45152</v>
      </c>
      <c r="C784" s="45">
        <v>70000</v>
      </c>
      <c r="D784" t="s">
        <v>915</v>
      </c>
      <c r="E784" s="46">
        <v>45184</v>
      </c>
      <c r="F784" s="45" t="s">
        <v>721</v>
      </c>
      <c r="I784" t="s">
        <v>818</v>
      </c>
    </row>
    <row r="785" spans="1:9" hidden="1" x14ac:dyDescent="0.3">
      <c r="A785" t="s">
        <v>748</v>
      </c>
      <c r="B785" s="46">
        <v>45163</v>
      </c>
      <c r="C785" s="45">
        <v>70000</v>
      </c>
      <c r="D785" t="s">
        <v>915</v>
      </c>
      <c r="E785" s="46">
        <v>45184</v>
      </c>
      <c r="F785" s="45" t="s">
        <v>721</v>
      </c>
      <c r="I785" t="s">
        <v>818</v>
      </c>
    </row>
    <row r="786" spans="1:9" hidden="1" x14ac:dyDescent="0.3">
      <c r="A786" t="s">
        <v>748</v>
      </c>
      <c r="B786" s="46">
        <v>45169</v>
      </c>
      <c r="C786" s="45">
        <v>70000</v>
      </c>
      <c r="D786" t="s">
        <v>915</v>
      </c>
      <c r="E786" s="46">
        <v>45184</v>
      </c>
      <c r="F786" s="45" t="s">
        <v>721</v>
      </c>
      <c r="I786" t="s">
        <v>818</v>
      </c>
    </row>
    <row r="787" spans="1:9" hidden="1" x14ac:dyDescent="0.3">
      <c r="A787" t="s">
        <v>779</v>
      </c>
      <c r="B787" s="46">
        <v>45241</v>
      </c>
      <c r="C787" s="45">
        <v>70000</v>
      </c>
      <c r="D787" t="s">
        <v>945</v>
      </c>
      <c r="E787" s="46">
        <v>45278</v>
      </c>
      <c r="F787" s="45" t="s">
        <v>721</v>
      </c>
      <c r="I787" t="s">
        <v>726</v>
      </c>
    </row>
    <row r="788" spans="1:9" hidden="1" x14ac:dyDescent="0.3">
      <c r="A788" t="s">
        <v>775</v>
      </c>
      <c r="B788" s="46">
        <v>45241</v>
      </c>
      <c r="C788" s="45">
        <v>70000</v>
      </c>
      <c r="D788" t="s">
        <v>909</v>
      </c>
      <c r="E788" s="46">
        <v>45278</v>
      </c>
      <c r="F788" s="45" t="s">
        <v>721</v>
      </c>
      <c r="I788" t="s">
        <v>818</v>
      </c>
    </row>
    <row r="789" spans="1:9" hidden="1" x14ac:dyDescent="0.3">
      <c r="A789" t="s">
        <v>748</v>
      </c>
      <c r="B789" s="46">
        <v>45272</v>
      </c>
      <c r="C789" s="45">
        <v>70000</v>
      </c>
      <c r="D789" t="s">
        <v>915</v>
      </c>
      <c r="E789" s="46">
        <v>45306</v>
      </c>
      <c r="F789" s="45" t="s">
        <v>721</v>
      </c>
      <c r="I789" t="s">
        <v>818</v>
      </c>
    </row>
    <row r="790" spans="1:9" hidden="1" x14ac:dyDescent="0.3">
      <c r="A790" t="s">
        <v>748</v>
      </c>
      <c r="B790" s="46">
        <v>45264</v>
      </c>
      <c r="C790" s="45">
        <v>70000</v>
      </c>
      <c r="D790" t="s">
        <v>915</v>
      </c>
      <c r="E790" s="46">
        <v>45306</v>
      </c>
      <c r="F790" s="45" t="s">
        <v>721</v>
      </c>
      <c r="I790" t="s">
        <v>818</v>
      </c>
    </row>
    <row r="791" spans="1:9" hidden="1" x14ac:dyDescent="0.3">
      <c r="A791" t="s">
        <v>779</v>
      </c>
      <c r="B791" s="46">
        <v>45241</v>
      </c>
      <c r="C791" s="45">
        <v>70000</v>
      </c>
      <c r="D791" t="s">
        <v>945</v>
      </c>
      <c r="E791" s="46">
        <v>45276</v>
      </c>
      <c r="F791" s="45" t="s">
        <v>721</v>
      </c>
      <c r="G791">
        <v>0</v>
      </c>
      <c r="I791" t="s">
        <v>726</v>
      </c>
    </row>
    <row r="792" spans="1:9" hidden="1" x14ac:dyDescent="0.3">
      <c r="A792" t="s">
        <v>761</v>
      </c>
      <c r="B792" s="46">
        <v>45288</v>
      </c>
      <c r="C792" s="45">
        <v>70000</v>
      </c>
      <c r="D792" t="s">
        <v>837</v>
      </c>
      <c r="E792" s="46">
        <v>45317</v>
      </c>
      <c r="F792" s="45" t="s">
        <v>721</v>
      </c>
      <c r="I792" t="s">
        <v>838</v>
      </c>
    </row>
    <row r="793" spans="1:9" hidden="1" x14ac:dyDescent="0.3">
      <c r="A793" t="s">
        <v>779</v>
      </c>
      <c r="B793" s="46">
        <v>45213</v>
      </c>
      <c r="C793" s="45">
        <v>70000</v>
      </c>
      <c r="D793" t="s">
        <v>871</v>
      </c>
      <c r="E793" s="46">
        <v>45246</v>
      </c>
      <c r="F793" s="45" t="s">
        <v>721</v>
      </c>
      <c r="I793" t="s">
        <v>818</v>
      </c>
    </row>
    <row r="794" spans="1:9" hidden="1" x14ac:dyDescent="0.3">
      <c r="A794" t="s">
        <v>727</v>
      </c>
      <c r="B794" s="46">
        <v>45224</v>
      </c>
      <c r="C794" s="45">
        <v>70000</v>
      </c>
      <c r="D794" t="s">
        <v>943</v>
      </c>
      <c r="E794" s="46">
        <v>45245</v>
      </c>
      <c r="F794" s="45" t="s">
        <v>721</v>
      </c>
      <c r="I794" t="s">
        <v>818</v>
      </c>
    </row>
    <row r="795" spans="1:9" hidden="1" x14ac:dyDescent="0.3">
      <c r="A795" t="s">
        <v>724</v>
      </c>
      <c r="B795" s="46">
        <v>45215</v>
      </c>
      <c r="C795" s="45">
        <v>70000</v>
      </c>
      <c r="D795" t="s">
        <v>915</v>
      </c>
      <c r="E795" s="46">
        <v>45256</v>
      </c>
      <c r="F795" s="45" t="s">
        <v>721</v>
      </c>
      <c r="I795" t="s">
        <v>818</v>
      </c>
    </row>
    <row r="796" spans="1:9" hidden="1" x14ac:dyDescent="0.3">
      <c r="A796" t="s">
        <v>748</v>
      </c>
      <c r="B796" s="46">
        <v>45233</v>
      </c>
      <c r="C796" s="45">
        <v>70000</v>
      </c>
      <c r="D796" t="s">
        <v>915</v>
      </c>
      <c r="E796" s="46">
        <v>45275</v>
      </c>
      <c r="F796" s="45" t="s">
        <v>721</v>
      </c>
      <c r="I796" t="s">
        <v>818</v>
      </c>
    </row>
    <row r="797" spans="1:9" hidden="1" x14ac:dyDescent="0.3">
      <c r="A797" t="s">
        <v>748</v>
      </c>
      <c r="B797" s="46">
        <v>45240</v>
      </c>
      <c r="C797" s="45">
        <v>70000</v>
      </c>
      <c r="D797" t="s">
        <v>944</v>
      </c>
      <c r="E797" s="46">
        <v>45275</v>
      </c>
      <c r="F797" s="45" t="s">
        <v>721</v>
      </c>
      <c r="I797" t="s">
        <v>818</v>
      </c>
    </row>
    <row r="798" spans="1:9" hidden="1" x14ac:dyDescent="0.3">
      <c r="A798" t="s">
        <v>779</v>
      </c>
      <c r="B798" s="46">
        <v>45430</v>
      </c>
      <c r="C798" s="45">
        <v>70000</v>
      </c>
      <c r="D798" t="s">
        <v>871</v>
      </c>
      <c r="E798" s="46">
        <v>45459</v>
      </c>
      <c r="F798" s="45" t="s">
        <v>721</v>
      </c>
      <c r="I798" t="s">
        <v>818</v>
      </c>
    </row>
    <row r="799" spans="1:9" hidden="1" x14ac:dyDescent="0.3">
      <c r="A799" t="s">
        <v>748</v>
      </c>
      <c r="B799" s="46">
        <v>45401</v>
      </c>
      <c r="C799" s="45">
        <v>70000</v>
      </c>
      <c r="D799" t="s">
        <v>943</v>
      </c>
      <c r="E799" s="46">
        <v>45428</v>
      </c>
      <c r="F799" s="45" t="s">
        <v>721</v>
      </c>
      <c r="I799" t="s">
        <v>818</v>
      </c>
    </row>
    <row r="800" spans="1:9" hidden="1" x14ac:dyDescent="0.3">
      <c r="A800" t="s">
        <v>748</v>
      </c>
      <c r="B800" s="46">
        <v>45411</v>
      </c>
      <c r="C800" s="45">
        <v>70000</v>
      </c>
      <c r="D800" t="s">
        <v>2062</v>
      </c>
      <c r="E800" s="46">
        <v>45428</v>
      </c>
      <c r="F800" s="45" t="s">
        <v>721</v>
      </c>
      <c r="I800" t="s">
        <v>818</v>
      </c>
    </row>
    <row r="801" spans="1:9" hidden="1" x14ac:dyDescent="0.3">
      <c r="A801" t="s">
        <v>748</v>
      </c>
      <c r="B801" s="46">
        <v>45373</v>
      </c>
      <c r="C801" s="45">
        <v>70000</v>
      </c>
      <c r="D801" t="s">
        <v>915</v>
      </c>
      <c r="E801" s="46">
        <v>45397</v>
      </c>
      <c r="F801" s="45" t="s">
        <v>721</v>
      </c>
      <c r="I801" t="s">
        <v>818</v>
      </c>
    </row>
    <row r="802" spans="1:9" hidden="1" x14ac:dyDescent="0.3">
      <c r="A802" t="s">
        <v>748</v>
      </c>
      <c r="B802" s="46">
        <v>45365</v>
      </c>
      <c r="C802" s="45">
        <v>70000</v>
      </c>
      <c r="D802" t="s">
        <v>2063</v>
      </c>
      <c r="E802" s="46">
        <v>45397</v>
      </c>
      <c r="F802" s="45" t="s">
        <v>721</v>
      </c>
      <c r="I802" t="s">
        <v>818</v>
      </c>
    </row>
    <row r="803" spans="1:9" hidden="1" x14ac:dyDescent="0.3">
      <c r="A803" t="s">
        <v>779</v>
      </c>
      <c r="B803" s="46">
        <v>45350</v>
      </c>
      <c r="C803" s="45">
        <v>70000</v>
      </c>
      <c r="D803" t="s">
        <v>947</v>
      </c>
      <c r="E803" s="46">
        <v>45369</v>
      </c>
      <c r="F803" s="45" t="s">
        <v>721</v>
      </c>
      <c r="G803">
        <v>0</v>
      </c>
      <c r="I803" t="s">
        <v>740</v>
      </c>
    </row>
    <row r="804" spans="1:9" hidden="1" x14ac:dyDescent="0.3">
      <c r="A804" t="s">
        <v>748</v>
      </c>
      <c r="B804" s="46">
        <v>45314</v>
      </c>
      <c r="C804" s="45">
        <v>70000</v>
      </c>
      <c r="D804" t="s">
        <v>915</v>
      </c>
      <c r="E804" s="46">
        <v>45337</v>
      </c>
      <c r="F804" s="45" t="s">
        <v>721</v>
      </c>
      <c r="I804" t="s">
        <v>818</v>
      </c>
    </row>
    <row r="805" spans="1:9" hidden="1" x14ac:dyDescent="0.3">
      <c r="A805" t="s">
        <v>734</v>
      </c>
      <c r="B805" s="46">
        <v>45349</v>
      </c>
      <c r="C805" s="45">
        <v>70000</v>
      </c>
      <c r="D805" t="s">
        <v>946</v>
      </c>
      <c r="E805" s="46">
        <v>45366</v>
      </c>
      <c r="F805" s="45" t="s">
        <v>721</v>
      </c>
      <c r="I805" t="s">
        <v>726</v>
      </c>
    </row>
    <row r="806" spans="1:9" hidden="1" x14ac:dyDescent="0.3">
      <c r="A806" t="s">
        <v>767</v>
      </c>
      <c r="B806" s="46">
        <v>45323</v>
      </c>
      <c r="C806" s="45">
        <v>70000</v>
      </c>
      <c r="D806" t="s">
        <v>836</v>
      </c>
      <c r="E806" s="46">
        <v>45366</v>
      </c>
      <c r="F806" s="45" t="s">
        <v>721</v>
      </c>
      <c r="I806" t="s">
        <v>726</v>
      </c>
    </row>
    <row r="807" spans="1:9" hidden="1" x14ac:dyDescent="0.3">
      <c r="A807" t="s">
        <v>748</v>
      </c>
      <c r="B807" s="46">
        <v>45343</v>
      </c>
      <c r="C807" s="45">
        <v>70000</v>
      </c>
      <c r="D807" t="s">
        <v>915</v>
      </c>
      <c r="E807" s="46">
        <v>45366</v>
      </c>
      <c r="F807" s="45" t="s">
        <v>721</v>
      </c>
      <c r="I807" t="s">
        <v>818</v>
      </c>
    </row>
    <row r="808" spans="1:9" hidden="1" x14ac:dyDescent="0.3">
      <c r="A808" t="s">
        <v>748</v>
      </c>
      <c r="B808" s="46">
        <v>45422</v>
      </c>
      <c r="C808" s="45">
        <v>69650</v>
      </c>
      <c r="D808" t="s">
        <v>2064</v>
      </c>
      <c r="E808" s="46">
        <v>45458</v>
      </c>
      <c r="F808" s="45" t="s">
        <v>721</v>
      </c>
      <c r="I808" t="s">
        <v>818</v>
      </c>
    </row>
    <row r="809" spans="1:9" hidden="1" x14ac:dyDescent="0.3">
      <c r="A809" t="s">
        <v>748</v>
      </c>
      <c r="B809" s="46">
        <v>45443</v>
      </c>
      <c r="C809" s="45">
        <v>69650</v>
      </c>
      <c r="D809" t="s">
        <v>2062</v>
      </c>
      <c r="E809" s="46">
        <v>45458</v>
      </c>
      <c r="F809" s="45" t="s">
        <v>721</v>
      </c>
      <c r="I809" t="s">
        <v>818</v>
      </c>
    </row>
    <row r="810" spans="1:9" hidden="1" x14ac:dyDescent="0.3">
      <c r="A810" t="s">
        <v>722</v>
      </c>
      <c r="B810" s="46">
        <v>45351</v>
      </c>
      <c r="C810" s="45">
        <v>69500</v>
      </c>
      <c r="D810" t="s">
        <v>2065</v>
      </c>
      <c r="E810" s="46">
        <v>45397</v>
      </c>
      <c r="F810" s="45" t="s">
        <v>721</v>
      </c>
      <c r="I810" t="s">
        <v>726</v>
      </c>
    </row>
    <row r="811" spans="1:9" hidden="1" x14ac:dyDescent="0.3">
      <c r="A811" t="s">
        <v>748</v>
      </c>
      <c r="B811" s="46">
        <v>45169</v>
      </c>
      <c r="C811" s="45">
        <v>69400</v>
      </c>
      <c r="D811" t="s">
        <v>735</v>
      </c>
      <c r="E811" s="46">
        <v>45184</v>
      </c>
      <c r="F811" s="45" t="s">
        <v>721</v>
      </c>
      <c r="I811" t="s">
        <v>762</v>
      </c>
    </row>
    <row r="812" spans="1:9" hidden="1" x14ac:dyDescent="0.3">
      <c r="A812" t="s">
        <v>748</v>
      </c>
      <c r="B812" s="46">
        <v>45132</v>
      </c>
      <c r="C812" s="45">
        <v>69400</v>
      </c>
      <c r="D812" t="s">
        <v>735</v>
      </c>
      <c r="E812" s="46">
        <v>45154</v>
      </c>
      <c r="F812" s="45" t="s">
        <v>721</v>
      </c>
      <c r="I812" t="s">
        <v>762</v>
      </c>
    </row>
    <row r="813" spans="1:9" hidden="1" x14ac:dyDescent="0.3">
      <c r="A813" t="s">
        <v>748</v>
      </c>
      <c r="B813" s="46">
        <v>45188</v>
      </c>
      <c r="C813" s="45">
        <v>69400</v>
      </c>
      <c r="D813" t="s">
        <v>735</v>
      </c>
      <c r="E813" s="46">
        <v>45215</v>
      </c>
      <c r="F813" s="45" t="s">
        <v>721</v>
      </c>
      <c r="I813" t="s">
        <v>762</v>
      </c>
    </row>
    <row r="814" spans="1:9" hidden="1" x14ac:dyDescent="0.3">
      <c r="A814" t="s">
        <v>748</v>
      </c>
      <c r="B814" s="46">
        <v>45125</v>
      </c>
      <c r="C814" s="45">
        <v>69200</v>
      </c>
      <c r="D814" t="s">
        <v>735</v>
      </c>
      <c r="E814" s="46">
        <v>45154</v>
      </c>
      <c r="F814" s="45" t="s">
        <v>721</v>
      </c>
      <c r="I814" t="s">
        <v>762</v>
      </c>
    </row>
    <row r="815" spans="1:9" hidden="1" x14ac:dyDescent="0.3">
      <c r="A815" t="s">
        <v>779</v>
      </c>
      <c r="B815" s="46">
        <v>45381</v>
      </c>
      <c r="C815" s="45">
        <v>69180</v>
      </c>
      <c r="D815" t="s">
        <v>2066</v>
      </c>
      <c r="E815" s="46">
        <v>45398</v>
      </c>
      <c r="F815" s="45" t="s">
        <v>721</v>
      </c>
      <c r="G815">
        <v>0</v>
      </c>
      <c r="I815" t="s">
        <v>750</v>
      </c>
    </row>
    <row r="816" spans="1:9" hidden="1" x14ac:dyDescent="0.3">
      <c r="A816" t="s">
        <v>722</v>
      </c>
      <c r="B816" s="46">
        <v>45349</v>
      </c>
      <c r="C816" s="45">
        <v>69000</v>
      </c>
      <c r="D816" t="s">
        <v>735</v>
      </c>
      <c r="E816" s="46">
        <v>45366</v>
      </c>
      <c r="F816" s="45" t="s">
        <v>721</v>
      </c>
      <c r="I816" t="s">
        <v>2025</v>
      </c>
    </row>
    <row r="817" spans="1:9" hidden="1" x14ac:dyDescent="0.3">
      <c r="A817" t="s">
        <v>734</v>
      </c>
      <c r="B817" s="46">
        <v>45412</v>
      </c>
      <c r="C817" s="45">
        <v>69000</v>
      </c>
      <c r="D817" t="s">
        <v>938</v>
      </c>
      <c r="E817" s="46">
        <v>45428</v>
      </c>
      <c r="F817" s="45" t="s">
        <v>721</v>
      </c>
      <c r="I817" t="s">
        <v>726</v>
      </c>
    </row>
    <row r="818" spans="1:9" hidden="1" x14ac:dyDescent="0.3">
      <c r="A818" t="s">
        <v>772</v>
      </c>
      <c r="B818" s="46">
        <v>45134</v>
      </c>
      <c r="C818" s="45">
        <v>69000</v>
      </c>
      <c r="D818" t="s">
        <v>949</v>
      </c>
      <c r="E818" s="46">
        <v>45164</v>
      </c>
      <c r="F818" s="45" t="s">
        <v>721</v>
      </c>
      <c r="I818" t="s">
        <v>726</v>
      </c>
    </row>
    <row r="819" spans="1:9" hidden="1" x14ac:dyDescent="0.3">
      <c r="A819" t="s">
        <v>772</v>
      </c>
      <c r="B819" s="46">
        <v>45209</v>
      </c>
      <c r="C819" s="45">
        <v>69000</v>
      </c>
      <c r="D819" t="s">
        <v>950</v>
      </c>
      <c r="E819" s="46">
        <v>45256</v>
      </c>
      <c r="F819" s="45" t="s">
        <v>721</v>
      </c>
      <c r="I819" t="s">
        <v>818</v>
      </c>
    </row>
    <row r="820" spans="1:9" hidden="1" x14ac:dyDescent="0.3">
      <c r="A820" t="s">
        <v>775</v>
      </c>
      <c r="B820" s="46">
        <v>45282</v>
      </c>
      <c r="C820" s="45">
        <v>69000</v>
      </c>
      <c r="D820" t="s">
        <v>909</v>
      </c>
      <c r="E820" s="46">
        <v>45307</v>
      </c>
      <c r="F820" s="45" t="s">
        <v>721</v>
      </c>
      <c r="I820" t="s">
        <v>818</v>
      </c>
    </row>
    <row r="821" spans="1:9" hidden="1" x14ac:dyDescent="0.3">
      <c r="A821" t="s">
        <v>775</v>
      </c>
      <c r="B821" s="46">
        <v>45269</v>
      </c>
      <c r="C821" s="45">
        <v>69000</v>
      </c>
      <c r="D821" t="s">
        <v>951</v>
      </c>
      <c r="E821" s="46">
        <v>45307</v>
      </c>
      <c r="F821" s="45" t="s">
        <v>721</v>
      </c>
      <c r="I821" t="s">
        <v>818</v>
      </c>
    </row>
    <row r="822" spans="1:9" hidden="1" x14ac:dyDescent="0.3">
      <c r="A822" t="s">
        <v>729</v>
      </c>
      <c r="B822" s="46">
        <v>45204</v>
      </c>
      <c r="C822" s="45">
        <v>68500</v>
      </c>
      <c r="D822" t="s">
        <v>856</v>
      </c>
      <c r="E822" s="46">
        <v>45245</v>
      </c>
      <c r="F822" s="45" t="s">
        <v>721</v>
      </c>
      <c r="I822" t="s">
        <v>726</v>
      </c>
    </row>
    <row r="823" spans="1:9" hidden="1" x14ac:dyDescent="0.3">
      <c r="A823" t="s">
        <v>767</v>
      </c>
      <c r="B823" s="46">
        <v>45330</v>
      </c>
      <c r="C823" s="45">
        <v>68500</v>
      </c>
      <c r="D823" t="s">
        <v>952</v>
      </c>
      <c r="E823" s="46">
        <v>45366</v>
      </c>
      <c r="F823" s="45" t="s">
        <v>721</v>
      </c>
      <c r="I823" t="s">
        <v>726</v>
      </c>
    </row>
    <row r="824" spans="1:9" hidden="1" x14ac:dyDescent="0.3">
      <c r="A824" t="s">
        <v>724</v>
      </c>
      <c r="B824" s="46">
        <v>45323</v>
      </c>
      <c r="C824" s="45">
        <v>68500</v>
      </c>
      <c r="D824" t="s">
        <v>953</v>
      </c>
      <c r="E824" s="46">
        <v>45348</v>
      </c>
      <c r="F824" s="45" t="s">
        <v>721</v>
      </c>
      <c r="I824" t="s">
        <v>726</v>
      </c>
    </row>
    <row r="825" spans="1:9" hidden="1" x14ac:dyDescent="0.3">
      <c r="A825" t="s">
        <v>748</v>
      </c>
      <c r="B825" s="46">
        <v>45303</v>
      </c>
      <c r="C825" s="45">
        <v>68400</v>
      </c>
      <c r="D825" t="s">
        <v>735</v>
      </c>
      <c r="E825" s="46">
        <v>45337</v>
      </c>
      <c r="F825" s="45" t="s">
        <v>721</v>
      </c>
      <c r="I825" t="s">
        <v>762</v>
      </c>
    </row>
    <row r="826" spans="1:9" hidden="1" x14ac:dyDescent="0.3">
      <c r="A826" t="s">
        <v>748</v>
      </c>
      <c r="B826" s="46">
        <v>45349</v>
      </c>
      <c r="C826" s="45">
        <v>68400</v>
      </c>
      <c r="D826" t="s">
        <v>735</v>
      </c>
      <c r="E826" s="46">
        <v>45366</v>
      </c>
      <c r="F826" s="45" t="s">
        <v>721</v>
      </c>
      <c r="I826" t="s">
        <v>762</v>
      </c>
    </row>
    <row r="827" spans="1:9" hidden="1" x14ac:dyDescent="0.3">
      <c r="A827" t="s">
        <v>748</v>
      </c>
      <c r="B827" s="46">
        <v>45380</v>
      </c>
      <c r="C827" s="45">
        <v>68400</v>
      </c>
      <c r="D827" t="s">
        <v>735</v>
      </c>
      <c r="E827" s="46">
        <v>45397</v>
      </c>
      <c r="F827" s="45" t="s">
        <v>721</v>
      </c>
      <c r="I827" t="s">
        <v>726</v>
      </c>
    </row>
    <row r="828" spans="1:9" hidden="1" x14ac:dyDescent="0.3">
      <c r="A828" t="s">
        <v>748</v>
      </c>
      <c r="B828" s="46">
        <v>45406</v>
      </c>
      <c r="C828" s="45">
        <v>68400</v>
      </c>
      <c r="D828" t="s">
        <v>735</v>
      </c>
      <c r="E828" s="46">
        <v>45428</v>
      </c>
      <c r="F828" s="45" t="s">
        <v>721</v>
      </c>
      <c r="I828" t="s">
        <v>762</v>
      </c>
    </row>
    <row r="829" spans="1:9" hidden="1" x14ac:dyDescent="0.3">
      <c r="A829" t="s">
        <v>748</v>
      </c>
      <c r="B829" s="46">
        <v>45267</v>
      </c>
      <c r="C829" s="45">
        <v>68400</v>
      </c>
      <c r="D829" t="s">
        <v>735</v>
      </c>
      <c r="E829" s="46">
        <v>45306</v>
      </c>
      <c r="F829" s="45" t="s">
        <v>721</v>
      </c>
      <c r="I829" t="s">
        <v>762</v>
      </c>
    </row>
    <row r="830" spans="1:9" hidden="1" x14ac:dyDescent="0.3">
      <c r="A830" t="s">
        <v>748</v>
      </c>
      <c r="B830" s="46">
        <v>45244</v>
      </c>
      <c r="C830" s="45">
        <v>68400</v>
      </c>
      <c r="D830" t="s">
        <v>735</v>
      </c>
      <c r="E830" s="46">
        <v>45275</v>
      </c>
      <c r="F830" s="45" t="s">
        <v>721</v>
      </c>
      <c r="I830" t="s">
        <v>762</v>
      </c>
    </row>
    <row r="831" spans="1:9" hidden="1" x14ac:dyDescent="0.3">
      <c r="A831" t="s">
        <v>734</v>
      </c>
      <c r="B831" s="46">
        <v>45313</v>
      </c>
      <c r="C831" s="45">
        <v>68100</v>
      </c>
      <c r="D831" t="s">
        <v>926</v>
      </c>
      <c r="E831" s="46">
        <v>45337</v>
      </c>
      <c r="F831" s="45" t="s">
        <v>721</v>
      </c>
      <c r="I831" t="s">
        <v>726</v>
      </c>
    </row>
    <row r="832" spans="1:9" hidden="1" x14ac:dyDescent="0.3">
      <c r="A832" t="s">
        <v>794</v>
      </c>
      <c r="B832" s="46">
        <v>45318</v>
      </c>
      <c r="C832" s="45">
        <v>68000</v>
      </c>
      <c r="D832" t="s">
        <v>897</v>
      </c>
      <c r="E832" s="46">
        <v>45338</v>
      </c>
      <c r="F832" s="45" t="s">
        <v>721</v>
      </c>
      <c r="I832" t="s">
        <v>818</v>
      </c>
    </row>
    <row r="833" spans="1:9" hidden="1" x14ac:dyDescent="0.3">
      <c r="A833" t="s">
        <v>794</v>
      </c>
      <c r="B833" s="46">
        <v>45321</v>
      </c>
      <c r="C833" s="45">
        <v>68000</v>
      </c>
      <c r="D833" t="s">
        <v>955</v>
      </c>
      <c r="E833" s="46">
        <v>45338</v>
      </c>
      <c r="F833" s="45" t="s">
        <v>721</v>
      </c>
      <c r="I833" t="s">
        <v>818</v>
      </c>
    </row>
    <row r="834" spans="1:9" hidden="1" x14ac:dyDescent="0.3">
      <c r="A834" t="s">
        <v>734</v>
      </c>
      <c r="B834" s="46">
        <v>45341</v>
      </c>
      <c r="C834" s="45">
        <v>68000</v>
      </c>
      <c r="D834" t="s">
        <v>954</v>
      </c>
      <c r="E834" s="46">
        <v>45366</v>
      </c>
      <c r="F834" s="45" t="s">
        <v>721</v>
      </c>
      <c r="I834" t="s">
        <v>726</v>
      </c>
    </row>
    <row r="835" spans="1:9" hidden="1" x14ac:dyDescent="0.3">
      <c r="A835" t="s">
        <v>734</v>
      </c>
      <c r="B835" s="46">
        <v>45363</v>
      </c>
      <c r="C835" s="45">
        <v>68000</v>
      </c>
      <c r="D835" t="s">
        <v>954</v>
      </c>
      <c r="E835" s="46">
        <v>45397</v>
      </c>
      <c r="F835" s="45" t="s">
        <v>721</v>
      </c>
      <c r="I835" t="s">
        <v>726</v>
      </c>
    </row>
    <row r="836" spans="1:9" hidden="1" x14ac:dyDescent="0.3">
      <c r="A836" t="s">
        <v>767</v>
      </c>
      <c r="B836" s="46">
        <v>45357</v>
      </c>
      <c r="C836" s="45">
        <v>68000</v>
      </c>
      <c r="D836" t="s">
        <v>988</v>
      </c>
      <c r="E836" s="46">
        <v>45397</v>
      </c>
      <c r="F836" s="45" t="s">
        <v>721</v>
      </c>
      <c r="I836" t="s">
        <v>726</v>
      </c>
    </row>
    <row r="837" spans="1:9" hidden="1" x14ac:dyDescent="0.3">
      <c r="A837" t="s">
        <v>779</v>
      </c>
      <c r="B837" s="46">
        <v>45391</v>
      </c>
      <c r="C837" s="45">
        <v>68000</v>
      </c>
      <c r="D837" t="s">
        <v>2067</v>
      </c>
      <c r="E837" s="46">
        <v>45428</v>
      </c>
      <c r="F837" s="45" t="s">
        <v>721</v>
      </c>
      <c r="G837">
        <v>0</v>
      </c>
      <c r="I837" t="s">
        <v>726</v>
      </c>
    </row>
    <row r="838" spans="1:9" hidden="1" x14ac:dyDescent="0.3">
      <c r="A838" t="s">
        <v>772</v>
      </c>
      <c r="B838" s="46">
        <v>45414</v>
      </c>
      <c r="C838" s="45">
        <v>68000</v>
      </c>
      <c r="D838" t="s">
        <v>920</v>
      </c>
      <c r="E838" s="46">
        <v>45438</v>
      </c>
      <c r="F838" s="45" t="s">
        <v>721</v>
      </c>
      <c r="I838" t="s">
        <v>818</v>
      </c>
    </row>
    <row r="839" spans="1:9" hidden="1" x14ac:dyDescent="0.3">
      <c r="A839" t="s">
        <v>803</v>
      </c>
      <c r="B839" s="46">
        <v>45413</v>
      </c>
      <c r="C839" s="45">
        <v>68000</v>
      </c>
      <c r="D839" t="s">
        <v>897</v>
      </c>
      <c r="E839" s="46">
        <v>45459</v>
      </c>
      <c r="F839" s="45" t="s">
        <v>721</v>
      </c>
      <c r="I839" t="s">
        <v>818</v>
      </c>
    </row>
    <row r="840" spans="1:9" hidden="1" x14ac:dyDescent="0.3">
      <c r="A840" t="s">
        <v>777</v>
      </c>
      <c r="B840" s="46">
        <v>45420</v>
      </c>
      <c r="C840" s="45">
        <v>68000</v>
      </c>
      <c r="D840" t="s">
        <v>875</v>
      </c>
      <c r="E840" s="46">
        <v>45458</v>
      </c>
      <c r="F840" s="45" t="s">
        <v>721</v>
      </c>
      <c r="I840" t="s">
        <v>818</v>
      </c>
    </row>
    <row r="841" spans="1:9" hidden="1" x14ac:dyDescent="0.3">
      <c r="A841" t="s">
        <v>779</v>
      </c>
      <c r="B841" s="46">
        <v>45240</v>
      </c>
      <c r="C841" s="45">
        <v>68000</v>
      </c>
      <c r="D841" t="s">
        <v>934</v>
      </c>
      <c r="E841" s="46">
        <v>45278</v>
      </c>
      <c r="F841" s="45" t="s">
        <v>721</v>
      </c>
      <c r="I841" t="s">
        <v>726</v>
      </c>
    </row>
    <row r="842" spans="1:9" hidden="1" x14ac:dyDescent="0.3">
      <c r="A842" t="s">
        <v>779</v>
      </c>
      <c r="B842" s="46">
        <v>45240</v>
      </c>
      <c r="C842" s="45">
        <v>68000</v>
      </c>
      <c r="D842" t="s">
        <v>934</v>
      </c>
      <c r="E842" s="46">
        <v>45276</v>
      </c>
      <c r="F842" s="45" t="s">
        <v>721</v>
      </c>
      <c r="G842">
        <v>0</v>
      </c>
      <c r="I842" t="s">
        <v>726</v>
      </c>
    </row>
    <row r="843" spans="1:9" hidden="1" x14ac:dyDescent="0.3">
      <c r="A843" t="s">
        <v>779</v>
      </c>
      <c r="B843" s="46">
        <v>45276</v>
      </c>
      <c r="C843" s="45">
        <v>68000</v>
      </c>
      <c r="D843" t="s">
        <v>871</v>
      </c>
      <c r="E843" s="46">
        <v>45307</v>
      </c>
      <c r="F843" s="45" t="s">
        <v>721</v>
      </c>
      <c r="I843" t="s">
        <v>818</v>
      </c>
    </row>
    <row r="844" spans="1:9" hidden="1" x14ac:dyDescent="0.3">
      <c r="A844" t="s">
        <v>748</v>
      </c>
      <c r="B844" s="46">
        <v>45124</v>
      </c>
      <c r="C844" s="45">
        <v>68000</v>
      </c>
      <c r="D844" t="s">
        <v>944</v>
      </c>
      <c r="E844" s="46">
        <v>45154</v>
      </c>
      <c r="F844" s="45" t="s">
        <v>721</v>
      </c>
      <c r="I844" t="s">
        <v>818</v>
      </c>
    </row>
    <row r="845" spans="1:9" hidden="1" x14ac:dyDescent="0.3">
      <c r="A845" t="s">
        <v>794</v>
      </c>
      <c r="B845" s="46">
        <v>45169</v>
      </c>
      <c r="C845" s="45">
        <v>68000</v>
      </c>
      <c r="D845" t="s">
        <v>958</v>
      </c>
      <c r="E845" s="46">
        <v>45184</v>
      </c>
      <c r="F845" s="45" t="s">
        <v>721</v>
      </c>
      <c r="I845" t="s">
        <v>818</v>
      </c>
    </row>
    <row r="846" spans="1:9" hidden="1" x14ac:dyDescent="0.3">
      <c r="A846" t="s">
        <v>767</v>
      </c>
      <c r="B846" s="46">
        <v>45162</v>
      </c>
      <c r="C846" s="45">
        <v>68000</v>
      </c>
      <c r="D846" t="s">
        <v>957</v>
      </c>
      <c r="E846" s="46">
        <v>45184</v>
      </c>
      <c r="F846" s="45" t="s">
        <v>721</v>
      </c>
      <c r="I846" t="s">
        <v>726</v>
      </c>
    </row>
    <row r="847" spans="1:9" hidden="1" x14ac:dyDescent="0.3">
      <c r="A847" t="s">
        <v>743</v>
      </c>
      <c r="B847" s="46">
        <v>45174</v>
      </c>
      <c r="C847" s="45">
        <v>67977</v>
      </c>
      <c r="D847" t="s">
        <v>753</v>
      </c>
      <c r="E847" s="46">
        <v>45225</v>
      </c>
      <c r="F847" s="45" t="s">
        <v>731</v>
      </c>
      <c r="G847" t="s">
        <v>732</v>
      </c>
      <c r="H847">
        <v>50.25</v>
      </c>
      <c r="I847" t="s">
        <v>733</v>
      </c>
    </row>
    <row r="848" spans="1:9" hidden="1" x14ac:dyDescent="0.3">
      <c r="A848" t="s">
        <v>734</v>
      </c>
      <c r="B848" s="46">
        <v>45322</v>
      </c>
      <c r="C848" s="45">
        <v>67500</v>
      </c>
      <c r="D848" t="s">
        <v>938</v>
      </c>
      <c r="E848" s="46">
        <v>45337</v>
      </c>
      <c r="F848" s="45" t="s">
        <v>721</v>
      </c>
      <c r="I848" t="s">
        <v>726</v>
      </c>
    </row>
    <row r="849" spans="1:9" hidden="1" x14ac:dyDescent="0.3">
      <c r="A849" t="s">
        <v>779</v>
      </c>
      <c r="B849" s="46">
        <v>45248</v>
      </c>
      <c r="C849" s="45">
        <v>67280</v>
      </c>
      <c r="D849" t="s">
        <v>960</v>
      </c>
      <c r="E849" s="46">
        <v>45276</v>
      </c>
      <c r="F849" s="45" t="s">
        <v>721</v>
      </c>
      <c r="G849">
        <v>0</v>
      </c>
      <c r="I849" t="s">
        <v>726</v>
      </c>
    </row>
    <row r="850" spans="1:9" hidden="1" x14ac:dyDescent="0.3">
      <c r="A850" t="s">
        <v>779</v>
      </c>
      <c r="B850" s="46">
        <v>45248</v>
      </c>
      <c r="C850" s="45">
        <v>67280</v>
      </c>
      <c r="D850" t="s">
        <v>960</v>
      </c>
      <c r="E850" s="46">
        <v>45278</v>
      </c>
      <c r="F850" s="45" t="s">
        <v>721</v>
      </c>
    </row>
    <row r="851" spans="1:9" hidden="1" x14ac:dyDescent="0.3">
      <c r="A851" t="s">
        <v>772</v>
      </c>
      <c r="B851" s="46">
        <v>45282</v>
      </c>
      <c r="C851" s="45">
        <v>67000</v>
      </c>
      <c r="D851" t="s">
        <v>915</v>
      </c>
      <c r="E851" s="46">
        <v>45317</v>
      </c>
      <c r="F851" s="45" t="s">
        <v>721</v>
      </c>
      <c r="I851" t="s">
        <v>818</v>
      </c>
    </row>
    <row r="852" spans="1:9" hidden="1" x14ac:dyDescent="0.3">
      <c r="A852" t="s">
        <v>794</v>
      </c>
      <c r="B852" s="46">
        <v>45209</v>
      </c>
      <c r="C852" s="45">
        <v>67000</v>
      </c>
      <c r="D852" t="s">
        <v>951</v>
      </c>
      <c r="E852" s="46">
        <v>45246</v>
      </c>
      <c r="F852" s="45" t="s">
        <v>721</v>
      </c>
      <c r="I852" t="s">
        <v>818</v>
      </c>
    </row>
    <row r="853" spans="1:9" hidden="1" x14ac:dyDescent="0.3">
      <c r="A853" t="s">
        <v>761</v>
      </c>
      <c r="B853" s="46">
        <v>45122</v>
      </c>
      <c r="C853" s="45">
        <v>67000</v>
      </c>
      <c r="D853" t="s">
        <v>920</v>
      </c>
      <c r="E853" s="46">
        <v>45164</v>
      </c>
      <c r="F853" s="45" t="s">
        <v>721</v>
      </c>
      <c r="I853" t="s">
        <v>818</v>
      </c>
    </row>
    <row r="854" spans="1:9" hidden="1" x14ac:dyDescent="0.3">
      <c r="A854" t="s">
        <v>748</v>
      </c>
      <c r="B854" s="46">
        <v>45293</v>
      </c>
      <c r="C854" s="45">
        <v>67000</v>
      </c>
      <c r="D854" t="s">
        <v>961</v>
      </c>
      <c r="E854" s="46">
        <v>45337</v>
      </c>
      <c r="F854" s="45" t="s">
        <v>721</v>
      </c>
      <c r="I854" t="s">
        <v>818</v>
      </c>
    </row>
    <row r="855" spans="1:9" hidden="1" x14ac:dyDescent="0.3">
      <c r="A855" t="s">
        <v>775</v>
      </c>
      <c r="B855" s="46">
        <v>45387</v>
      </c>
      <c r="C855" s="45">
        <v>67000</v>
      </c>
      <c r="D855" t="s">
        <v>2068</v>
      </c>
      <c r="E855" s="46">
        <v>45428</v>
      </c>
      <c r="F855" s="45" t="s">
        <v>721</v>
      </c>
      <c r="G855">
        <v>0</v>
      </c>
      <c r="I855" t="s">
        <v>726</v>
      </c>
    </row>
    <row r="856" spans="1:9" hidden="1" x14ac:dyDescent="0.3">
      <c r="A856" t="s">
        <v>734</v>
      </c>
      <c r="B856" s="46">
        <v>45356</v>
      </c>
      <c r="C856" s="45">
        <v>67000</v>
      </c>
      <c r="D856" t="s">
        <v>1054</v>
      </c>
      <c r="E856" s="46">
        <v>45397</v>
      </c>
      <c r="F856" s="45" t="s">
        <v>721</v>
      </c>
      <c r="I856" t="s">
        <v>726</v>
      </c>
    </row>
    <row r="857" spans="1:9" hidden="1" x14ac:dyDescent="0.3">
      <c r="A857" t="s">
        <v>775</v>
      </c>
      <c r="B857" s="46">
        <v>45335</v>
      </c>
      <c r="C857" s="45">
        <v>67000</v>
      </c>
      <c r="D857" t="s">
        <v>909</v>
      </c>
      <c r="E857" s="46">
        <v>45369</v>
      </c>
      <c r="F857" s="45" t="s">
        <v>721</v>
      </c>
      <c r="G857">
        <v>0</v>
      </c>
      <c r="I857" t="s">
        <v>818</v>
      </c>
    </row>
    <row r="858" spans="1:9" hidden="1" x14ac:dyDescent="0.3">
      <c r="A858" t="s">
        <v>748</v>
      </c>
      <c r="B858" s="46">
        <v>45223</v>
      </c>
      <c r="C858" s="45">
        <v>66960</v>
      </c>
      <c r="D858" t="s">
        <v>828</v>
      </c>
      <c r="E858" s="46">
        <v>45245</v>
      </c>
      <c r="F858" s="45" t="s">
        <v>721</v>
      </c>
      <c r="I858" t="s">
        <v>762</v>
      </c>
    </row>
    <row r="859" spans="1:9" hidden="1" x14ac:dyDescent="0.3">
      <c r="A859" t="s">
        <v>727</v>
      </c>
      <c r="B859" s="46">
        <v>45281</v>
      </c>
      <c r="C859" s="45">
        <v>66600</v>
      </c>
      <c r="D859" t="s">
        <v>952</v>
      </c>
      <c r="E859" s="46">
        <v>45306</v>
      </c>
      <c r="F859" s="45" t="s">
        <v>721</v>
      </c>
      <c r="I859" t="s">
        <v>726</v>
      </c>
    </row>
    <row r="860" spans="1:9" hidden="1" x14ac:dyDescent="0.3">
      <c r="A860" t="s">
        <v>734</v>
      </c>
      <c r="B860" s="46">
        <v>45294</v>
      </c>
      <c r="C860" s="45">
        <v>66500</v>
      </c>
      <c r="D860" t="s">
        <v>929</v>
      </c>
      <c r="E860" s="46">
        <v>45337</v>
      </c>
      <c r="F860" s="45" t="s">
        <v>721</v>
      </c>
      <c r="I860" t="s">
        <v>726</v>
      </c>
    </row>
    <row r="861" spans="1:9" hidden="1" x14ac:dyDescent="0.3">
      <c r="A861" t="s">
        <v>748</v>
      </c>
      <c r="B861" s="46">
        <v>45421</v>
      </c>
      <c r="C861" s="45">
        <v>66400</v>
      </c>
      <c r="D861" t="s">
        <v>735</v>
      </c>
      <c r="E861" s="46">
        <v>45458</v>
      </c>
      <c r="F861" s="45" t="s">
        <v>721</v>
      </c>
      <c r="I861" t="s">
        <v>762</v>
      </c>
    </row>
    <row r="862" spans="1:9" hidden="1" x14ac:dyDescent="0.3">
      <c r="A862" t="s">
        <v>748</v>
      </c>
      <c r="B862" s="46">
        <v>45204</v>
      </c>
      <c r="C862" s="45">
        <v>66400</v>
      </c>
      <c r="D862" t="s">
        <v>735</v>
      </c>
      <c r="E862" s="46">
        <v>45245</v>
      </c>
      <c r="F862" s="45" t="s">
        <v>721</v>
      </c>
      <c r="I862" t="s">
        <v>762</v>
      </c>
    </row>
    <row r="863" spans="1:9" hidden="1" x14ac:dyDescent="0.3">
      <c r="A863" t="s">
        <v>748</v>
      </c>
      <c r="B863" s="46">
        <v>45181</v>
      </c>
      <c r="C863" s="45">
        <v>66400</v>
      </c>
      <c r="D863" t="s">
        <v>735</v>
      </c>
      <c r="E863" s="46">
        <v>45215</v>
      </c>
      <c r="F863" s="45" t="s">
        <v>721</v>
      </c>
      <c r="I863" t="s">
        <v>762</v>
      </c>
    </row>
    <row r="864" spans="1:9" hidden="1" x14ac:dyDescent="0.3">
      <c r="A864" t="s">
        <v>748</v>
      </c>
      <c r="B864" s="46">
        <v>45146</v>
      </c>
      <c r="C864" s="45">
        <v>66400</v>
      </c>
      <c r="D864" t="s">
        <v>735</v>
      </c>
      <c r="E864" s="46">
        <v>45184</v>
      </c>
      <c r="F864" s="45" t="s">
        <v>721</v>
      </c>
      <c r="I864" t="s">
        <v>762</v>
      </c>
    </row>
    <row r="865" spans="1:9" hidden="1" x14ac:dyDescent="0.3">
      <c r="A865" t="s">
        <v>748</v>
      </c>
      <c r="B865" s="46">
        <v>45118</v>
      </c>
      <c r="C865" s="45">
        <v>66400</v>
      </c>
      <c r="D865" t="s">
        <v>735</v>
      </c>
      <c r="E865" s="46">
        <v>45154</v>
      </c>
      <c r="F865" s="45" t="s">
        <v>721</v>
      </c>
      <c r="I865" t="s">
        <v>762</v>
      </c>
    </row>
    <row r="866" spans="1:9" hidden="1" x14ac:dyDescent="0.3">
      <c r="A866" t="s">
        <v>745</v>
      </c>
      <c r="B866" s="46">
        <v>45183</v>
      </c>
      <c r="C866" s="45">
        <v>66320</v>
      </c>
      <c r="D866" t="s">
        <v>962</v>
      </c>
      <c r="E866" s="46">
        <v>45215</v>
      </c>
      <c r="F866" s="45" t="s">
        <v>721</v>
      </c>
      <c r="I866" t="s">
        <v>1200</v>
      </c>
    </row>
    <row r="867" spans="1:9" hidden="1" x14ac:dyDescent="0.3">
      <c r="A867" t="s">
        <v>745</v>
      </c>
      <c r="B867" s="46">
        <v>45274</v>
      </c>
      <c r="C867" s="45">
        <v>66320</v>
      </c>
      <c r="D867" t="s">
        <v>966</v>
      </c>
      <c r="E867" s="46">
        <v>45307</v>
      </c>
      <c r="F867" s="45" t="s">
        <v>721</v>
      </c>
      <c r="I867" t="s">
        <v>1200</v>
      </c>
    </row>
    <row r="868" spans="1:9" hidden="1" x14ac:dyDescent="0.3">
      <c r="A868" t="s">
        <v>745</v>
      </c>
      <c r="B868" s="46">
        <v>45244</v>
      </c>
      <c r="C868" s="45">
        <v>66320</v>
      </c>
      <c r="D868" t="s">
        <v>964</v>
      </c>
      <c r="E868" s="46">
        <v>45278</v>
      </c>
      <c r="F868" s="45" t="s">
        <v>721</v>
      </c>
      <c r="I868" t="s">
        <v>1200</v>
      </c>
    </row>
    <row r="869" spans="1:9" hidden="1" x14ac:dyDescent="0.3">
      <c r="A869" t="s">
        <v>745</v>
      </c>
      <c r="B869" s="46">
        <v>45244</v>
      </c>
      <c r="C869" s="45">
        <v>66320</v>
      </c>
      <c r="D869" t="s">
        <v>964</v>
      </c>
      <c r="E869" s="46">
        <v>45276</v>
      </c>
      <c r="F869" s="45" t="s">
        <v>721</v>
      </c>
      <c r="G869">
        <v>0</v>
      </c>
      <c r="I869" t="s">
        <v>1200</v>
      </c>
    </row>
    <row r="870" spans="1:9" hidden="1" x14ac:dyDescent="0.3">
      <c r="A870" t="s">
        <v>745</v>
      </c>
      <c r="B870" s="46">
        <v>45213</v>
      </c>
      <c r="C870" s="45">
        <v>66320</v>
      </c>
      <c r="D870" t="s">
        <v>963</v>
      </c>
      <c r="E870" s="46">
        <v>45246</v>
      </c>
      <c r="F870" s="45" t="s">
        <v>721</v>
      </c>
      <c r="I870" t="s">
        <v>1200</v>
      </c>
    </row>
    <row r="871" spans="1:9" hidden="1" x14ac:dyDescent="0.3">
      <c r="A871" t="s">
        <v>745</v>
      </c>
      <c r="B871" s="46">
        <v>45426</v>
      </c>
      <c r="C871" s="45">
        <v>66320</v>
      </c>
      <c r="D871" t="s">
        <v>1649</v>
      </c>
      <c r="E871" s="46">
        <v>45459</v>
      </c>
      <c r="F871" s="45" t="s">
        <v>721</v>
      </c>
      <c r="I871" t="s">
        <v>1200</v>
      </c>
    </row>
    <row r="872" spans="1:9" hidden="1" x14ac:dyDescent="0.3">
      <c r="A872" t="s">
        <v>745</v>
      </c>
      <c r="B872" s="46">
        <v>45305</v>
      </c>
      <c r="C872" s="45">
        <v>66320</v>
      </c>
      <c r="D872" t="s">
        <v>965</v>
      </c>
      <c r="E872" s="46">
        <v>45338</v>
      </c>
      <c r="F872" s="45" t="s">
        <v>721</v>
      </c>
      <c r="I872" t="s">
        <v>1200</v>
      </c>
    </row>
    <row r="873" spans="1:9" hidden="1" x14ac:dyDescent="0.3">
      <c r="A873" t="s">
        <v>745</v>
      </c>
      <c r="B873" s="46">
        <v>45396</v>
      </c>
      <c r="C873" s="45">
        <v>66320</v>
      </c>
      <c r="D873" t="s">
        <v>1648</v>
      </c>
      <c r="E873" s="46">
        <v>45428</v>
      </c>
      <c r="F873" s="45" t="s">
        <v>721</v>
      </c>
      <c r="G873">
        <v>0</v>
      </c>
      <c r="I873" t="s">
        <v>1200</v>
      </c>
    </row>
    <row r="874" spans="1:9" hidden="1" x14ac:dyDescent="0.3">
      <c r="A874" t="s">
        <v>772</v>
      </c>
      <c r="B874" s="46">
        <v>45350</v>
      </c>
      <c r="C874" s="45">
        <v>66280</v>
      </c>
      <c r="D874" t="s">
        <v>915</v>
      </c>
      <c r="E874" s="46">
        <v>45377</v>
      </c>
      <c r="F874" s="45" t="s">
        <v>721</v>
      </c>
      <c r="I874" t="s">
        <v>818</v>
      </c>
    </row>
    <row r="875" spans="1:9" hidden="1" x14ac:dyDescent="0.3">
      <c r="A875" t="s">
        <v>794</v>
      </c>
      <c r="B875" s="46">
        <v>45328</v>
      </c>
      <c r="C875" s="45">
        <v>66000</v>
      </c>
      <c r="D875" t="s">
        <v>967</v>
      </c>
      <c r="E875" s="46">
        <v>45369</v>
      </c>
      <c r="F875" s="45" t="s">
        <v>721</v>
      </c>
      <c r="G875">
        <v>0</v>
      </c>
      <c r="I875" t="s">
        <v>818</v>
      </c>
    </row>
    <row r="876" spans="1:9" hidden="1" x14ac:dyDescent="0.3">
      <c r="A876" t="s">
        <v>779</v>
      </c>
      <c r="B876" s="46">
        <v>45360</v>
      </c>
      <c r="C876" s="45">
        <v>66000</v>
      </c>
      <c r="D876" t="s">
        <v>871</v>
      </c>
      <c r="E876" s="46">
        <v>45398</v>
      </c>
      <c r="F876" s="45" t="s">
        <v>721</v>
      </c>
      <c r="G876">
        <v>0</v>
      </c>
      <c r="I876" t="s">
        <v>818</v>
      </c>
    </row>
    <row r="877" spans="1:9" hidden="1" x14ac:dyDescent="0.3">
      <c r="A877" t="s">
        <v>775</v>
      </c>
      <c r="B877" s="46">
        <v>45318</v>
      </c>
      <c r="C877" s="45">
        <v>66000</v>
      </c>
      <c r="D877" t="s">
        <v>909</v>
      </c>
      <c r="E877" s="46">
        <v>45338</v>
      </c>
      <c r="F877" s="45" t="s">
        <v>721</v>
      </c>
      <c r="I877" t="s">
        <v>818</v>
      </c>
    </row>
    <row r="878" spans="1:9" hidden="1" x14ac:dyDescent="0.3">
      <c r="A878" t="s">
        <v>775</v>
      </c>
      <c r="B878" s="46">
        <v>45420</v>
      </c>
      <c r="C878" s="45">
        <v>66000</v>
      </c>
      <c r="D878" t="s">
        <v>2069</v>
      </c>
      <c r="E878" s="46">
        <v>45459</v>
      </c>
      <c r="F878" s="45" t="s">
        <v>721</v>
      </c>
      <c r="I878" t="s">
        <v>726</v>
      </c>
    </row>
    <row r="879" spans="1:9" hidden="1" x14ac:dyDescent="0.3">
      <c r="A879" t="s">
        <v>734</v>
      </c>
      <c r="B879" s="46">
        <v>45419</v>
      </c>
      <c r="C879" s="45">
        <v>66000</v>
      </c>
      <c r="D879" t="s">
        <v>990</v>
      </c>
      <c r="E879" s="46">
        <v>45458</v>
      </c>
      <c r="F879" s="45" t="s">
        <v>721</v>
      </c>
      <c r="I879" t="s">
        <v>726</v>
      </c>
    </row>
    <row r="880" spans="1:9" hidden="1" x14ac:dyDescent="0.3">
      <c r="A880" t="s">
        <v>724</v>
      </c>
      <c r="B880" s="46">
        <v>45217</v>
      </c>
      <c r="C880" s="45">
        <v>66000</v>
      </c>
      <c r="D880" t="s">
        <v>969</v>
      </c>
      <c r="E880" s="46">
        <v>45256</v>
      </c>
      <c r="F880" s="45" t="s">
        <v>721</v>
      </c>
      <c r="I880" t="s">
        <v>726</v>
      </c>
    </row>
    <row r="881" spans="1:9" hidden="1" x14ac:dyDescent="0.3">
      <c r="A881" t="s">
        <v>794</v>
      </c>
      <c r="B881" s="46">
        <v>45238</v>
      </c>
      <c r="C881" s="45">
        <v>66000</v>
      </c>
      <c r="D881" t="s">
        <v>897</v>
      </c>
      <c r="E881" s="46">
        <v>45276</v>
      </c>
      <c r="F881" s="45" t="s">
        <v>721</v>
      </c>
      <c r="G881">
        <v>0</v>
      </c>
      <c r="I881" t="s">
        <v>818</v>
      </c>
    </row>
    <row r="882" spans="1:9" hidden="1" x14ac:dyDescent="0.3">
      <c r="A882" t="s">
        <v>772</v>
      </c>
      <c r="B882" s="46">
        <v>45240</v>
      </c>
      <c r="C882" s="45">
        <v>66000</v>
      </c>
      <c r="D882" t="s">
        <v>915</v>
      </c>
      <c r="E882" s="46">
        <v>45286</v>
      </c>
      <c r="F882" s="45" t="s">
        <v>721</v>
      </c>
      <c r="I882" t="s">
        <v>818</v>
      </c>
    </row>
    <row r="883" spans="1:9" hidden="1" x14ac:dyDescent="0.3">
      <c r="A883" t="s">
        <v>794</v>
      </c>
      <c r="B883" s="46">
        <v>45238</v>
      </c>
      <c r="C883" s="45">
        <v>66000</v>
      </c>
      <c r="D883" t="s">
        <v>897</v>
      </c>
      <c r="E883" s="46">
        <v>45278</v>
      </c>
      <c r="F883" s="45" t="s">
        <v>721</v>
      </c>
      <c r="I883" t="s">
        <v>818</v>
      </c>
    </row>
    <row r="884" spans="1:9" hidden="1" x14ac:dyDescent="0.3">
      <c r="A884" t="s">
        <v>772</v>
      </c>
      <c r="B884" s="46">
        <v>45271</v>
      </c>
      <c r="C884" s="45">
        <v>66000</v>
      </c>
      <c r="D884" t="s">
        <v>915</v>
      </c>
      <c r="E884" s="46">
        <v>45317</v>
      </c>
      <c r="F884" s="45" t="s">
        <v>721</v>
      </c>
      <c r="I884" t="s">
        <v>818</v>
      </c>
    </row>
    <row r="885" spans="1:9" hidden="1" x14ac:dyDescent="0.3">
      <c r="A885" t="s">
        <v>821</v>
      </c>
      <c r="B885" s="46">
        <v>45277</v>
      </c>
      <c r="C885" s="45">
        <v>66000</v>
      </c>
      <c r="D885" t="s">
        <v>968</v>
      </c>
      <c r="E885" s="46">
        <v>45306</v>
      </c>
      <c r="F885" s="45" t="s">
        <v>721</v>
      </c>
      <c r="I885" t="s">
        <v>760</v>
      </c>
    </row>
    <row r="886" spans="1:9" hidden="1" x14ac:dyDescent="0.3">
      <c r="A886" t="s">
        <v>767</v>
      </c>
      <c r="B886" s="46">
        <v>45209</v>
      </c>
      <c r="C886" s="45">
        <v>65500</v>
      </c>
      <c r="D886" t="s">
        <v>970</v>
      </c>
      <c r="E886" s="46">
        <v>45245</v>
      </c>
      <c r="F886" s="45" t="s">
        <v>721</v>
      </c>
      <c r="I886" t="s">
        <v>782</v>
      </c>
    </row>
    <row r="887" spans="1:9" hidden="1" x14ac:dyDescent="0.3">
      <c r="A887" t="s">
        <v>767</v>
      </c>
      <c r="B887" s="46">
        <v>45428</v>
      </c>
      <c r="C887" s="45">
        <v>65500</v>
      </c>
      <c r="D887" t="s">
        <v>885</v>
      </c>
      <c r="E887" s="46">
        <v>45458</v>
      </c>
      <c r="F887" s="45" t="s">
        <v>721</v>
      </c>
      <c r="I887" t="s">
        <v>726</v>
      </c>
    </row>
    <row r="888" spans="1:9" hidden="1" x14ac:dyDescent="0.3">
      <c r="A888" t="s">
        <v>729</v>
      </c>
      <c r="B888" s="46">
        <v>45302</v>
      </c>
      <c r="C888" s="45">
        <v>65500</v>
      </c>
      <c r="D888" t="s">
        <v>885</v>
      </c>
      <c r="E888" s="46">
        <v>45337</v>
      </c>
      <c r="F888" s="45" t="s">
        <v>721</v>
      </c>
      <c r="I888" t="s">
        <v>726</v>
      </c>
    </row>
    <row r="889" spans="1:9" hidden="1" x14ac:dyDescent="0.3">
      <c r="A889" t="s">
        <v>729</v>
      </c>
      <c r="B889" s="46">
        <v>45253</v>
      </c>
      <c r="C889" s="45">
        <v>65047</v>
      </c>
      <c r="D889" t="s">
        <v>971</v>
      </c>
      <c r="E889" s="46">
        <v>45275</v>
      </c>
      <c r="F889" s="45" t="s">
        <v>731</v>
      </c>
      <c r="G889" t="s">
        <v>732</v>
      </c>
      <c r="H889">
        <v>49</v>
      </c>
      <c r="I889" t="s">
        <v>733</v>
      </c>
    </row>
    <row r="890" spans="1:9" hidden="1" x14ac:dyDescent="0.3">
      <c r="A890" t="s">
        <v>794</v>
      </c>
      <c r="B890" s="46">
        <v>45288</v>
      </c>
      <c r="C890" s="45">
        <v>65000</v>
      </c>
      <c r="D890" t="s">
        <v>973</v>
      </c>
      <c r="E890" s="46">
        <v>45307</v>
      </c>
      <c r="F890" s="45" t="s">
        <v>721</v>
      </c>
      <c r="I890" t="s">
        <v>726</v>
      </c>
    </row>
    <row r="891" spans="1:9" hidden="1" x14ac:dyDescent="0.3">
      <c r="A891" t="s">
        <v>794</v>
      </c>
      <c r="B891" s="46">
        <v>45289</v>
      </c>
      <c r="C891" s="45">
        <v>65000</v>
      </c>
      <c r="D891" t="s">
        <v>951</v>
      </c>
      <c r="E891" s="46">
        <v>45307</v>
      </c>
      <c r="F891" s="45" t="s">
        <v>721</v>
      </c>
      <c r="I891" t="s">
        <v>818</v>
      </c>
    </row>
    <row r="892" spans="1:9" hidden="1" x14ac:dyDescent="0.3">
      <c r="A892" t="s">
        <v>794</v>
      </c>
      <c r="B892" s="46">
        <v>45235</v>
      </c>
      <c r="C892" s="45">
        <v>65000</v>
      </c>
      <c r="D892" t="s">
        <v>897</v>
      </c>
      <c r="E892" s="46">
        <v>45278</v>
      </c>
      <c r="F892" s="45" t="s">
        <v>721</v>
      </c>
      <c r="I892" t="s">
        <v>818</v>
      </c>
    </row>
    <row r="893" spans="1:9" hidden="1" x14ac:dyDescent="0.3">
      <c r="A893" t="s">
        <v>779</v>
      </c>
      <c r="B893" s="46">
        <v>45239</v>
      </c>
      <c r="C893" s="45">
        <v>65000</v>
      </c>
      <c r="D893" t="s">
        <v>868</v>
      </c>
      <c r="E893" s="46">
        <v>45278</v>
      </c>
      <c r="F893" s="45" t="s">
        <v>721</v>
      </c>
      <c r="I893" t="s">
        <v>726</v>
      </c>
    </row>
    <row r="894" spans="1:9" hidden="1" x14ac:dyDescent="0.3">
      <c r="A894" t="s">
        <v>794</v>
      </c>
      <c r="B894" s="46">
        <v>45235</v>
      </c>
      <c r="C894" s="45">
        <v>65000</v>
      </c>
      <c r="D894" t="s">
        <v>897</v>
      </c>
      <c r="E894" s="46">
        <v>45276</v>
      </c>
      <c r="F894" s="45" t="s">
        <v>721</v>
      </c>
      <c r="G894">
        <v>0</v>
      </c>
      <c r="I894" t="s">
        <v>818</v>
      </c>
    </row>
    <row r="895" spans="1:9" hidden="1" x14ac:dyDescent="0.3">
      <c r="A895" t="s">
        <v>779</v>
      </c>
      <c r="B895" s="46">
        <v>45239</v>
      </c>
      <c r="C895" s="45">
        <v>65000</v>
      </c>
      <c r="D895" t="s">
        <v>868</v>
      </c>
      <c r="E895" s="46">
        <v>45276</v>
      </c>
      <c r="F895" s="45" t="s">
        <v>721</v>
      </c>
      <c r="G895">
        <v>0</v>
      </c>
      <c r="I895" t="s">
        <v>726</v>
      </c>
    </row>
    <row r="896" spans="1:9" hidden="1" x14ac:dyDescent="0.3">
      <c r="A896" t="s">
        <v>748</v>
      </c>
      <c r="B896" s="46">
        <v>45183</v>
      </c>
      <c r="C896" s="45">
        <v>65000</v>
      </c>
      <c r="D896" t="s">
        <v>791</v>
      </c>
      <c r="E896" s="46">
        <v>45215</v>
      </c>
      <c r="F896" s="45" t="s">
        <v>721</v>
      </c>
      <c r="I896" t="s">
        <v>726</v>
      </c>
    </row>
    <row r="897" spans="1:9" hidden="1" x14ac:dyDescent="0.3">
      <c r="A897" t="s">
        <v>772</v>
      </c>
      <c r="B897" s="46">
        <v>45146</v>
      </c>
      <c r="C897" s="45">
        <v>65000</v>
      </c>
      <c r="D897" t="s">
        <v>915</v>
      </c>
      <c r="E897" s="46">
        <v>45195</v>
      </c>
      <c r="F897" s="45" t="s">
        <v>721</v>
      </c>
      <c r="I897" t="s">
        <v>818</v>
      </c>
    </row>
    <row r="898" spans="1:9" hidden="1" x14ac:dyDescent="0.3">
      <c r="A898" t="s">
        <v>775</v>
      </c>
      <c r="B898" s="46">
        <v>45380</v>
      </c>
      <c r="C898" s="45">
        <v>65000</v>
      </c>
      <c r="D898" t="s">
        <v>1025</v>
      </c>
      <c r="E898" s="46">
        <v>45398</v>
      </c>
      <c r="F898" s="45" t="s">
        <v>721</v>
      </c>
      <c r="G898">
        <v>0</v>
      </c>
      <c r="I898" t="s">
        <v>818</v>
      </c>
    </row>
    <row r="899" spans="1:9" hidden="1" x14ac:dyDescent="0.3">
      <c r="A899" t="s">
        <v>803</v>
      </c>
      <c r="B899" s="46">
        <v>45337</v>
      </c>
      <c r="C899" s="45">
        <v>65000</v>
      </c>
      <c r="D899" t="s">
        <v>972</v>
      </c>
      <c r="E899" s="46">
        <v>45369</v>
      </c>
      <c r="F899" s="45" t="s">
        <v>721</v>
      </c>
      <c r="G899">
        <v>0</v>
      </c>
      <c r="I899" t="s">
        <v>818</v>
      </c>
    </row>
    <row r="900" spans="1:9" hidden="1" x14ac:dyDescent="0.3">
      <c r="A900" t="s">
        <v>772</v>
      </c>
      <c r="B900" s="46">
        <v>45328</v>
      </c>
      <c r="C900" s="45">
        <v>65000</v>
      </c>
      <c r="D900" t="s">
        <v>913</v>
      </c>
      <c r="E900" s="46">
        <v>45377</v>
      </c>
      <c r="F900" s="45" t="s">
        <v>721</v>
      </c>
      <c r="I900" t="s">
        <v>818</v>
      </c>
    </row>
    <row r="901" spans="1:9" hidden="1" x14ac:dyDescent="0.3">
      <c r="A901" t="s">
        <v>772</v>
      </c>
      <c r="B901" s="46">
        <v>45394</v>
      </c>
      <c r="C901" s="45">
        <v>65000</v>
      </c>
      <c r="D901" t="s">
        <v>920</v>
      </c>
      <c r="E901" s="46">
        <v>45438</v>
      </c>
      <c r="F901" s="45" t="s">
        <v>721</v>
      </c>
      <c r="I901" t="s">
        <v>818</v>
      </c>
    </row>
    <row r="902" spans="1:9" hidden="1" x14ac:dyDescent="0.3">
      <c r="A902" t="s">
        <v>748</v>
      </c>
      <c r="B902" s="46">
        <v>45216</v>
      </c>
      <c r="C902" s="45">
        <v>64800</v>
      </c>
      <c r="D902" t="s">
        <v>735</v>
      </c>
      <c r="E902" s="46">
        <v>45245</v>
      </c>
      <c r="F902" s="45" t="s">
        <v>721</v>
      </c>
      <c r="I902" t="s">
        <v>762</v>
      </c>
    </row>
    <row r="903" spans="1:9" hidden="1" x14ac:dyDescent="0.3">
      <c r="A903" t="s">
        <v>748</v>
      </c>
      <c r="B903" s="46">
        <v>45230</v>
      </c>
      <c r="C903" s="45">
        <v>64800</v>
      </c>
      <c r="D903" t="s">
        <v>735</v>
      </c>
      <c r="E903" s="46">
        <v>45245</v>
      </c>
      <c r="F903" s="45" t="s">
        <v>721</v>
      </c>
      <c r="I903" t="s">
        <v>762</v>
      </c>
    </row>
    <row r="904" spans="1:9" hidden="1" x14ac:dyDescent="0.3">
      <c r="A904" t="s">
        <v>767</v>
      </c>
      <c r="B904" s="46">
        <v>45421</v>
      </c>
      <c r="C904" s="45">
        <v>64500</v>
      </c>
      <c r="D904" t="s">
        <v>869</v>
      </c>
      <c r="E904" s="46">
        <v>45458</v>
      </c>
      <c r="F904" s="45" t="s">
        <v>721</v>
      </c>
      <c r="I904" t="s">
        <v>726</v>
      </c>
    </row>
    <row r="905" spans="1:9" hidden="1" x14ac:dyDescent="0.3">
      <c r="A905" t="s">
        <v>803</v>
      </c>
      <c r="B905" s="46">
        <v>45360</v>
      </c>
      <c r="C905" s="45">
        <v>64000</v>
      </c>
      <c r="D905" t="s">
        <v>897</v>
      </c>
      <c r="E905" s="46">
        <v>45398</v>
      </c>
      <c r="F905" s="45" t="s">
        <v>721</v>
      </c>
      <c r="G905">
        <v>0</v>
      </c>
      <c r="I905" t="s">
        <v>818</v>
      </c>
    </row>
    <row r="906" spans="1:9" hidden="1" x14ac:dyDescent="0.3">
      <c r="A906" t="s">
        <v>794</v>
      </c>
      <c r="B906" s="46">
        <v>45298</v>
      </c>
      <c r="C906" s="45">
        <v>64000</v>
      </c>
      <c r="D906" t="s">
        <v>897</v>
      </c>
      <c r="E906" s="46">
        <v>45338</v>
      </c>
      <c r="F906" s="45" t="s">
        <v>721</v>
      </c>
      <c r="I906" t="s">
        <v>818</v>
      </c>
    </row>
    <row r="907" spans="1:9" hidden="1" x14ac:dyDescent="0.3">
      <c r="A907" t="s">
        <v>748</v>
      </c>
      <c r="B907" s="46">
        <v>45345</v>
      </c>
      <c r="C907" s="45">
        <v>64000</v>
      </c>
      <c r="D907" t="s">
        <v>976</v>
      </c>
      <c r="E907" s="46">
        <v>45366</v>
      </c>
      <c r="F907" s="45" t="s">
        <v>721</v>
      </c>
      <c r="I907" t="s">
        <v>818</v>
      </c>
    </row>
    <row r="908" spans="1:9" hidden="1" x14ac:dyDescent="0.3">
      <c r="A908" t="s">
        <v>779</v>
      </c>
      <c r="B908" s="46">
        <v>45258</v>
      </c>
      <c r="C908" s="45">
        <v>64000</v>
      </c>
      <c r="D908" t="s">
        <v>910</v>
      </c>
      <c r="E908" s="46">
        <v>45276</v>
      </c>
      <c r="F908" s="45" t="s">
        <v>721</v>
      </c>
      <c r="G908">
        <v>0</v>
      </c>
      <c r="I908" t="s">
        <v>726</v>
      </c>
    </row>
    <row r="909" spans="1:9" hidden="1" x14ac:dyDescent="0.3">
      <c r="A909" t="s">
        <v>772</v>
      </c>
      <c r="B909" s="46">
        <v>45254</v>
      </c>
      <c r="C909" s="45">
        <v>64000</v>
      </c>
      <c r="D909" t="s">
        <v>948</v>
      </c>
      <c r="E909" s="46">
        <v>45286</v>
      </c>
      <c r="F909" s="45" t="s">
        <v>721</v>
      </c>
      <c r="I909" t="s">
        <v>818</v>
      </c>
    </row>
    <row r="910" spans="1:9" hidden="1" x14ac:dyDescent="0.3">
      <c r="A910" t="s">
        <v>779</v>
      </c>
      <c r="B910" s="46">
        <v>45258</v>
      </c>
      <c r="C910" s="45">
        <v>64000</v>
      </c>
      <c r="D910" t="s">
        <v>910</v>
      </c>
      <c r="E910" s="46">
        <v>45278</v>
      </c>
      <c r="F910" s="45" t="s">
        <v>721</v>
      </c>
      <c r="I910" t="s">
        <v>740</v>
      </c>
    </row>
    <row r="911" spans="1:9" hidden="1" x14ac:dyDescent="0.3">
      <c r="A911" t="s">
        <v>729</v>
      </c>
      <c r="B911" s="46">
        <v>45288</v>
      </c>
      <c r="C911" s="45">
        <v>64000</v>
      </c>
      <c r="D911" t="s">
        <v>892</v>
      </c>
      <c r="E911" s="46">
        <v>45306</v>
      </c>
      <c r="F911" s="45" t="s">
        <v>721</v>
      </c>
      <c r="I911" t="s">
        <v>726</v>
      </c>
    </row>
    <row r="912" spans="1:9" hidden="1" x14ac:dyDescent="0.3">
      <c r="A912" t="s">
        <v>794</v>
      </c>
      <c r="B912" s="46">
        <v>45279</v>
      </c>
      <c r="C912" s="45">
        <v>64000</v>
      </c>
      <c r="D912" t="s">
        <v>897</v>
      </c>
      <c r="E912" s="46">
        <v>45307</v>
      </c>
      <c r="F912" s="45" t="s">
        <v>721</v>
      </c>
      <c r="I912" t="s">
        <v>818</v>
      </c>
    </row>
    <row r="913" spans="1:9" hidden="1" x14ac:dyDescent="0.3">
      <c r="A913" t="s">
        <v>779</v>
      </c>
      <c r="B913" s="46">
        <v>45304</v>
      </c>
      <c r="C913" s="45">
        <v>63580</v>
      </c>
      <c r="D913" t="s">
        <v>871</v>
      </c>
      <c r="E913" s="46">
        <v>45338</v>
      </c>
      <c r="F913" s="45" t="s">
        <v>721</v>
      </c>
      <c r="I913" t="s">
        <v>818</v>
      </c>
    </row>
    <row r="914" spans="1:9" hidden="1" x14ac:dyDescent="0.3">
      <c r="A914" t="s">
        <v>772</v>
      </c>
      <c r="B914" s="46">
        <v>45239</v>
      </c>
      <c r="C914" s="45">
        <v>63500</v>
      </c>
      <c r="D914" t="s">
        <v>888</v>
      </c>
      <c r="E914" s="46">
        <v>45286</v>
      </c>
      <c r="F914" s="45" t="s">
        <v>721</v>
      </c>
      <c r="I914" t="s">
        <v>726</v>
      </c>
    </row>
    <row r="915" spans="1:9" hidden="1" x14ac:dyDescent="0.3">
      <c r="A915" t="s">
        <v>727</v>
      </c>
      <c r="B915" s="46">
        <v>45384</v>
      </c>
      <c r="C915" s="45">
        <v>63469</v>
      </c>
      <c r="D915" t="s">
        <v>1183</v>
      </c>
      <c r="E915" s="46">
        <v>45428</v>
      </c>
      <c r="F915" s="45" t="s">
        <v>721</v>
      </c>
      <c r="I915" t="s">
        <v>782</v>
      </c>
    </row>
    <row r="916" spans="1:9" hidden="1" x14ac:dyDescent="0.3">
      <c r="A916" t="s">
        <v>729</v>
      </c>
      <c r="B916" s="46">
        <v>45173</v>
      </c>
      <c r="C916" s="45">
        <v>63450</v>
      </c>
      <c r="D916" t="s">
        <v>790</v>
      </c>
      <c r="E916" s="46">
        <v>45215</v>
      </c>
      <c r="F916" s="45" t="s">
        <v>721</v>
      </c>
      <c r="I916" t="s">
        <v>834</v>
      </c>
    </row>
    <row r="917" spans="1:9" hidden="1" x14ac:dyDescent="0.3">
      <c r="A917" t="s">
        <v>729</v>
      </c>
      <c r="B917" s="46">
        <v>45139</v>
      </c>
      <c r="C917" s="45">
        <v>63450</v>
      </c>
      <c r="D917" t="s">
        <v>790</v>
      </c>
      <c r="E917" s="46">
        <v>45184</v>
      </c>
      <c r="F917" s="45" t="s">
        <v>721</v>
      </c>
      <c r="I917" t="s">
        <v>834</v>
      </c>
    </row>
    <row r="918" spans="1:9" hidden="1" x14ac:dyDescent="0.3">
      <c r="A918" t="s">
        <v>748</v>
      </c>
      <c r="B918" s="46">
        <v>45216</v>
      </c>
      <c r="C918" s="45">
        <v>63380</v>
      </c>
      <c r="D918" t="s">
        <v>735</v>
      </c>
      <c r="E918" s="46">
        <v>45245</v>
      </c>
      <c r="F918" s="45" t="s">
        <v>721</v>
      </c>
      <c r="I918" t="s">
        <v>762</v>
      </c>
    </row>
    <row r="919" spans="1:9" hidden="1" x14ac:dyDescent="0.3">
      <c r="A919" t="s">
        <v>729</v>
      </c>
      <c r="B919" s="46">
        <v>45190</v>
      </c>
      <c r="C919" s="45">
        <v>63192</v>
      </c>
      <c r="D919" t="s">
        <v>765</v>
      </c>
      <c r="E919" s="46">
        <v>45215</v>
      </c>
      <c r="F919" s="45" t="s">
        <v>721</v>
      </c>
      <c r="I919" t="s">
        <v>756</v>
      </c>
    </row>
    <row r="920" spans="1:9" hidden="1" x14ac:dyDescent="0.3">
      <c r="A920" t="s">
        <v>794</v>
      </c>
      <c r="B920" s="46">
        <v>45182</v>
      </c>
      <c r="C920" s="45">
        <v>63000</v>
      </c>
      <c r="D920" t="s">
        <v>958</v>
      </c>
      <c r="E920" s="46">
        <v>45215</v>
      </c>
      <c r="F920" s="45" t="s">
        <v>721</v>
      </c>
      <c r="I920" t="s">
        <v>818</v>
      </c>
    </row>
    <row r="921" spans="1:9" hidden="1" x14ac:dyDescent="0.3">
      <c r="A921" t="s">
        <v>767</v>
      </c>
      <c r="B921" s="46">
        <v>45169</v>
      </c>
      <c r="C921" s="45">
        <v>63000</v>
      </c>
      <c r="D921" t="s">
        <v>978</v>
      </c>
      <c r="E921" s="46">
        <v>45184</v>
      </c>
      <c r="F921" s="45" t="s">
        <v>721</v>
      </c>
      <c r="I921" t="s">
        <v>726</v>
      </c>
    </row>
    <row r="922" spans="1:9" hidden="1" x14ac:dyDescent="0.3">
      <c r="A922" t="s">
        <v>779</v>
      </c>
      <c r="B922" s="46">
        <v>45166</v>
      </c>
      <c r="C922" s="45">
        <v>63000</v>
      </c>
      <c r="D922" t="s">
        <v>979</v>
      </c>
      <c r="E922" s="46">
        <v>45184</v>
      </c>
      <c r="F922" s="45" t="s">
        <v>721</v>
      </c>
      <c r="I922" t="s">
        <v>726</v>
      </c>
    </row>
    <row r="923" spans="1:9" hidden="1" x14ac:dyDescent="0.3">
      <c r="A923" t="s">
        <v>772</v>
      </c>
      <c r="B923" s="46">
        <v>45170</v>
      </c>
      <c r="C923" s="45">
        <v>63000</v>
      </c>
      <c r="D923" t="s">
        <v>915</v>
      </c>
      <c r="E923" s="46">
        <v>45195</v>
      </c>
      <c r="F923" s="45" t="s">
        <v>721</v>
      </c>
      <c r="I923" t="s">
        <v>818</v>
      </c>
    </row>
    <row r="924" spans="1:9" hidden="1" x14ac:dyDescent="0.3">
      <c r="A924" t="s">
        <v>729</v>
      </c>
      <c r="B924" s="46">
        <v>45127</v>
      </c>
      <c r="C924" s="45">
        <v>63000</v>
      </c>
      <c r="D924" t="s">
        <v>830</v>
      </c>
      <c r="E924" s="46">
        <v>45154</v>
      </c>
      <c r="F924" s="45" t="s">
        <v>721</v>
      </c>
      <c r="I924" t="s">
        <v>726</v>
      </c>
    </row>
    <row r="925" spans="1:9" hidden="1" x14ac:dyDescent="0.3">
      <c r="A925" t="s">
        <v>775</v>
      </c>
      <c r="B925" s="46">
        <v>45243</v>
      </c>
      <c r="C925" s="45">
        <v>63000</v>
      </c>
      <c r="D925" t="s">
        <v>863</v>
      </c>
      <c r="E925" s="46">
        <v>45278</v>
      </c>
      <c r="F925" s="45" t="s">
        <v>721</v>
      </c>
      <c r="I925" t="s">
        <v>726</v>
      </c>
    </row>
    <row r="926" spans="1:9" hidden="1" x14ac:dyDescent="0.3">
      <c r="A926" t="s">
        <v>727</v>
      </c>
      <c r="B926" s="46">
        <v>45302</v>
      </c>
      <c r="C926" s="45">
        <v>63000</v>
      </c>
      <c r="D926" t="s">
        <v>908</v>
      </c>
      <c r="E926" s="46">
        <v>45337</v>
      </c>
      <c r="F926" s="45" t="s">
        <v>721</v>
      </c>
      <c r="I926" t="s">
        <v>726</v>
      </c>
    </row>
    <row r="927" spans="1:9" hidden="1" x14ac:dyDescent="0.3">
      <c r="A927" t="s">
        <v>722</v>
      </c>
      <c r="B927" s="46">
        <v>45363</v>
      </c>
      <c r="C927" s="45">
        <v>62770</v>
      </c>
      <c r="D927" t="s">
        <v>2070</v>
      </c>
      <c r="E927" s="46">
        <v>45397</v>
      </c>
      <c r="F927" s="45" t="s">
        <v>721</v>
      </c>
      <c r="I927" t="s">
        <v>2071</v>
      </c>
    </row>
    <row r="928" spans="1:9" hidden="1" x14ac:dyDescent="0.3">
      <c r="A928" t="s">
        <v>729</v>
      </c>
      <c r="B928" s="46">
        <v>45141</v>
      </c>
      <c r="C928" s="45">
        <v>62500</v>
      </c>
      <c r="D928" t="s">
        <v>981</v>
      </c>
      <c r="E928" s="46">
        <v>45184</v>
      </c>
      <c r="F928" s="45" t="s">
        <v>721</v>
      </c>
      <c r="I928" t="s">
        <v>726</v>
      </c>
    </row>
    <row r="929" spans="1:9" hidden="1" x14ac:dyDescent="0.3">
      <c r="A929" t="s">
        <v>772</v>
      </c>
      <c r="B929" s="46">
        <v>45408</v>
      </c>
      <c r="C929" s="45">
        <v>62460</v>
      </c>
      <c r="D929" t="s">
        <v>755</v>
      </c>
      <c r="E929" s="46">
        <v>45438</v>
      </c>
      <c r="F929" s="45" t="s">
        <v>721</v>
      </c>
      <c r="I929" t="s">
        <v>726</v>
      </c>
    </row>
    <row r="930" spans="1:9" hidden="1" x14ac:dyDescent="0.3">
      <c r="A930" t="s">
        <v>734</v>
      </c>
      <c r="B930" s="46">
        <v>45428</v>
      </c>
      <c r="C930" s="45">
        <v>62000</v>
      </c>
      <c r="D930" t="s">
        <v>2044</v>
      </c>
      <c r="E930" s="46">
        <v>45458</v>
      </c>
      <c r="F930" s="45" t="s">
        <v>721</v>
      </c>
      <c r="I930" t="s">
        <v>726</v>
      </c>
    </row>
    <row r="931" spans="1:9" hidden="1" x14ac:dyDescent="0.3">
      <c r="A931" t="s">
        <v>734</v>
      </c>
      <c r="B931" s="46">
        <v>45414</v>
      </c>
      <c r="C931" s="45">
        <v>62000</v>
      </c>
      <c r="D931" t="s">
        <v>2044</v>
      </c>
      <c r="E931" s="46">
        <v>45458</v>
      </c>
      <c r="F931" s="45" t="s">
        <v>721</v>
      </c>
      <c r="I931" t="s">
        <v>726</v>
      </c>
    </row>
    <row r="932" spans="1:9" hidden="1" x14ac:dyDescent="0.3">
      <c r="A932" t="s">
        <v>724</v>
      </c>
      <c r="B932" s="46">
        <v>45441</v>
      </c>
      <c r="C932" s="45">
        <v>62000</v>
      </c>
      <c r="D932" t="s">
        <v>986</v>
      </c>
      <c r="E932" s="46">
        <v>45469</v>
      </c>
      <c r="F932" s="45" t="s">
        <v>721</v>
      </c>
      <c r="I932" t="s">
        <v>726</v>
      </c>
    </row>
    <row r="933" spans="1:9" hidden="1" x14ac:dyDescent="0.3">
      <c r="A933" t="s">
        <v>734</v>
      </c>
      <c r="B933" s="46">
        <v>45377</v>
      </c>
      <c r="C933" s="45">
        <v>62000</v>
      </c>
      <c r="D933" t="s">
        <v>1052</v>
      </c>
      <c r="E933" s="46">
        <v>45397</v>
      </c>
      <c r="F933" s="45" t="s">
        <v>721</v>
      </c>
      <c r="I933" t="s">
        <v>726</v>
      </c>
    </row>
    <row r="934" spans="1:9" hidden="1" x14ac:dyDescent="0.3">
      <c r="A934" t="s">
        <v>794</v>
      </c>
      <c r="B934" s="46">
        <v>45314</v>
      </c>
      <c r="C934" s="45">
        <v>62000</v>
      </c>
      <c r="D934" t="s">
        <v>955</v>
      </c>
      <c r="E934" s="46">
        <v>45338</v>
      </c>
      <c r="F934" s="45" t="s">
        <v>721</v>
      </c>
      <c r="I934" t="s">
        <v>818</v>
      </c>
    </row>
    <row r="935" spans="1:9" hidden="1" x14ac:dyDescent="0.3">
      <c r="A935" t="s">
        <v>772</v>
      </c>
      <c r="B935" s="46">
        <v>45306</v>
      </c>
      <c r="C935" s="45">
        <v>62000</v>
      </c>
      <c r="D935" t="s">
        <v>915</v>
      </c>
      <c r="E935" s="46">
        <v>45348</v>
      </c>
      <c r="F935" s="45" t="s">
        <v>721</v>
      </c>
      <c r="I935" t="s">
        <v>818</v>
      </c>
    </row>
    <row r="936" spans="1:9" hidden="1" x14ac:dyDescent="0.3">
      <c r="A936" t="s">
        <v>772</v>
      </c>
      <c r="B936" s="46">
        <v>45125</v>
      </c>
      <c r="C936" s="45">
        <v>62000</v>
      </c>
      <c r="D936" t="s">
        <v>915</v>
      </c>
      <c r="E936" s="46">
        <v>45164</v>
      </c>
      <c r="F936" s="45" t="s">
        <v>721</v>
      </c>
      <c r="I936" t="s">
        <v>818</v>
      </c>
    </row>
    <row r="937" spans="1:9" hidden="1" x14ac:dyDescent="0.3">
      <c r="A937" t="s">
        <v>794</v>
      </c>
      <c r="B937" s="46">
        <v>45169</v>
      </c>
      <c r="C937" s="45">
        <v>62000</v>
      </c>
      <c r="D937" t="s">
        <v>959</v>
      </c>
      <c r="E937" s="46">
        <v>45184</v>
      </c>
      <c r="F937" s="45" t="s">
        <v>721</v>
      </c>
      <c r="I937" t="s">
        <v>726</v>
      </c>
    </row>
    <row r="938" spans="1:9" hidden="1" x14ac:dyDescent="0.3">
      <c r="A938" t="s">
        <v>777</v>
      </c>
      <c r="B938" s="46">
        <v>45127</v>
      </c>
      <c r="C938" s="45">
        <v>62000</v>
      </c>
      <c r="D938" t="s">
        <v>875</v>
      </c>
      <c r="E938" s="46">
        <v>45154</v>
      </c>
      <c r="F938" s="45" t="s">
        <v>721</v>
      </c>
      <c r="I938" t="s">
        <v>818</v>
      </c>
    </row>
    <row r="939" spans="1:9" hidden="1" x14ac:dyDescent="0.3">
      <c r="A939" t="s">
        <v>775</v>
      </c>
      <c r="B939" s="46">
        <v>45121</v>
      </c>
      <c r="C939" s="45">
        <v>62000</v>
      </c>
      <c r="D939" t="s">
        <v>850</v>
      </c>
      <c r="E939" s="46">
        <v>45154</v>
      </c>
      <c r="F939" s="45" t="s">
        <v>721</v>
      </c>
      <c r="I939" t="s">
        <v>726</v>
      </c>
    </row>
    <row r="940" spans="1:9" hidden="1" x14ac:dyDescent="0.3">
      <c r="A940" t="s">
        <v>761</v>
      </c>
      <c r="B940" s="46">
        <v>45167</v>
      </c>
      <c r="C940" s="45">
        <v>62000</v>
      </c>
      <c r="D940" t="s">
        <v>920</v>
      </c>
      <c r="E940" s="46">
        <v>45195</v>
      </c>
      <c r="F940" s="45" t="s">
        <v>721</v>
      </c>
      <c r="I940" t="s">
        <v>818</v>
      </c>
    </row>
    <row r="941" spans="1:9" hidden="1" x14ac:dyDescent="0.3">
      <c r="A941" t="s">
        <v>772</v>
      </c>
      <c r="B941" s="46">
        <v>45159</v>
      </c>
      <c r="C941" s="45">
        <v>62000</v>
      </c>
      <c r="D941" t="s">
        <v>915</v>
      </c>
      <c r="E941" s="46">
        <v>45195</v>
      </c>
      <c r="F941" s="45" t="s">
        <v>721</v>
      </c>
      <c r="I941" t="s">
        <v>818</v>
      </c>
    </row>
    <row r="942" spans="1:9" hidden="1" x14ac:dyDescent="0.3">
      <c r="A942" t="s">
        <v>779</v>
      </c>
      <c r="B942" s="46">
        <v>45267</v>
      </c>
      <c r="C942" s="45">
        <v>62000</v>
      </c>
      <c r="D942" t="s">
        <v>949</v>
      </c>
      <c r="E942" s="46">
        <v>45307</v>
      </c>
      <c r="F942" s="45" t="s">
        <v>721</v>
      </c>
      <c r="I942" t="s">
        <v>726</v>
      </c>
    </row>
    <row r="943" spans="1:9" hidden="1" x14ac:dyDescent="0.3">
      <c r="A943" t="s">
        <v>767</v>
      </c>
      <c r="B943" s="46">
        <v>45295</v>
      </c>
      <c r="C943" s="45">
        <v>61500</v>
      </c>
      <c r="D943" t="s">
        <v>924</v>
      </c>
      <c r="E943" s="46">
        <v>45337</v>
      </c>
      <c r="F943" s="45" t="s">
        <v>721</v>
      </c>
      <c r="I943" t="s">
        <v>726</v>
      </c>
    </row>
    <row r="944" spans="1:9" hidden="1" x14ac:dyDescent="0.3">
      <c r="A944" t="s">
        <v>775</v>
      </c>
      <c r="B944" s="46">
        <v>45420</v>
      </c>
      <c r="C944" s="45">
        <v>61500</v>
      </c>
      <c r="D944" t="s">
        <v>1021</v>
      </c>
      <c r="E944" s="46">
        <v>45459</v>
      </c>
      <c r="F944" s="45" t="s">
        <v>721</v>
      </c>
      <c r="I944" t="s">
        <v>726</v>
      </c>
    </row>
    <row r="945" spans="1:9" hidden="1" x14ac:dyDescent="0.3">
      <c r="A945" t="s">
        <v>734</v>
      </c>
      <c r="B945" s="46">
        <v>45306</v>
      </c>
      <c r="C945" s="45">
        <v>61400</v>
      </c>
      <c r="D945" t="s">
        <v>982</v>
      </c>
      <c r="E945" s="46">
        <v>45337</v>
      </c>
      <c r="F945" s="45" t="s">
        <v>721</v>
      </c>
      <c r="I945" t="s">
        <v>726</v>
      </c>
    </row>
    <row r="946" spans="1:9" hidden="1" x14ac:dyDescent="0.3">
      <c r="A946" t="s">
        <v>746</v>
      </c>
      <c r="B946" s="46">
        <v>45281</v>
      </c>
      <c r="C946" s="45">
        <v>61369</v>
      </c>
      <c r="D946" t="s">
        <v>751</v>
      </c>
      <c r="E946" s="46">
        <v>45306</v>
      </c>
      <c r="F946" s="45" t="s">
        <v>731</v>
      </c>
      <c r="G946" t="s">
        <v>732</v>
      </c>
      <c r="H946">
        <v>46.15</v>
      </c>
      <c r="I946" t="s">
        <v>733</v>
      </c>
    </row>
    <row r="947" spans="1:9" hidden="1" x14ac:dyDescent="0.3">
      <c r="A947" t="s">
        <v>794</v>
      </c>
      <c r="B947" s="46">
        <v>45250</v>
      </c>
      <c r="C947" s="45">
        <v>61000</v>
      </c>
      <c r="D947" t="s">
        <v>951</v>
      </c>
      <c r="E947" s="46">
        <v>45278</v>
      </c>
      <c r="F947" s="45" t="s">
        <v>721</v>
      </c>
      <c r="I947" t="s">
        <v>818</v>
      </c>
    </row>
    <row r="948" spans="1:9" hidden="1" x14ac:dyDescent="0.3">
      <c r="A948" t="s">
        <v>794</v>
      </c>
      <c r="B948" s="46">
        <v>45250</v>
      </c>
      <c r="C948" s="45">
        <v>61000</v>
      </c>
      <c r="D948" t="s">
        <v>951</v>
      </c>
      <c r="E948" s="46">
        <v>45276</v>
      </c>
      <c r="F948" s="45" t="s">
        <v>721</v>
      </c>
      <c r="G948">
        <v>0</v>
      </c>
    </row>
    <row r="949" spans="1:9" hidden="1" x14ac:dyDescent="0.3">
      <c r="A949" t="s">
        <v>734</v>
      </c>
      <c r="B949" s="46">
        <v>45250</v>
      </c>
      <c r="C949" s="45">
        <v>61000</v>
      </c>
      <c r="D949" t="s">
        <v>938</v>
      </c>
      <c r="E949" s="46">
        <v>45275</v>
      </c>
      <c r="F949" s="45" t="s">
        <v>721</v>
      </c>
      <c r="I949" t="s">
        <v>726</v>
      </c>
    </row>
    <row r="950" spans="1:9" hidden="1" x14ac:dyDescent="0.3">
      <c r="A950" t="s">
        <v>794</v>
      </c>
      <c r="B950" s="46">
        <v>45178</v>
      </c>
      <c r="C950" s="45">
        <v>61000</v>
      </c>
      <c r="D950" t="s">
        <v>897</v>
      </c>
      <c r="E950" s="46">
        <v>45215</v>
      </c>
      <c r="F950" s="45" t="s">
        <v>721</v>
      </c>
      <c r="I950" t="s">
        <v>818</v>
      </c>
    </row>
    <row r="951" spans="1:9" hidden="1" x14ac:dyDescent="0.3">
      <c r="A951" t="s">
        <v>748</v>
      </c>
      <c r="B951" s="46">
        <v>45377</v>
      </c>
      <c r="C951" s="45">
        <v>61000</v>
      </c>
      <c r="D951" t="s">
        <v>2072</v>
      </c>
      <c r="E951" s="46">
        <v>45397</v>
      </c>
      <c r="F951" s="45" t="s">
        <v>721</v>
      </c>
      <c r="I951" t="s">
        <v>750</v>
      </c>
    </row>
    <row r="952" spans="1:9" hidden="1" x14ac:dyDescent="0.3">
      <c r="A952" t="s">
        <v>727</v>
      </c>
      <c r="B952" s="46">
        <v>45435</v>
      </c>
      <c r="C952" s="45">
        <v>61000</v>
      </c>
      <c r="D952" t="s">
        <v>2044</v>
      </c>
      <c r="E952" s="46">
        <v>45458</v>
      </c>
      <c r="F952" s="45" t="s">
        <v>721</v>
      </c>
      <c r="I952" t="s">
        <v>726</v>
      </c>
    </row>
    <row r="953" spans="1:9" hidden="1" x14ac:dyDescent="0.3">
      <c r="A953" t="s">
        <v>794</v>
      </c>
      <c r="B953" s="46">
        <v>45171</v>
      </c>
      <c r="C953" s="45">
        <v>60700</v>
      </c>
      <c r="D953" t="s">
        <v>983</v>
      </c>
      <c r="E953" s="46">
        <v>45215</v>
      </c>
      <c r="F953" s="45" t="s">
        <v>721</v>
      </c>
    </row>
    <row r="954" spans="1:9" hidden="1" x14ac:dyDescent="0.3">
      <c r="A954" t="s">
        <v>779</v>
      </c>
      <c r="B954" s="46">
        <v>45285</v>
      </c>
      <c r="C954" s="45">
        <v>60600</v>
      </c>
      <c r="D954" t="s">
        <v>984</v>
      </c>
      <c r="E954" s="46">
        <v>45307</v>
      </c>
      <c r="F954" s="45" t="s">
        <v>721</v>
      </c>
      <c r="I954" t="s">
        <v>726</v>
      </c>
    </row>
    <row r="955" spans="1:9" hidden="1" x14ac:dyDescent="0.3">
      <c r="A955" t="s">
        <v>734</v>
      </c>
      <c r="B955" s="46">
        <v>45257</v>
      </c>
      <c r="C955" s="45">
        <v>60500</v>
      </c>
      <c r="D955" t="s">
        <v>939</v>
      </c>
      <c r="E955" s="46">
        <v>45275</v>
      </c>
      <c r="F955" s="45" t="s">
        <v>721</v>
      </c>
      <c r="I955" t="s">
        <v>726</v>
      </c>
    </row>
    <row r="956" spans="1:9" hidden="1" x14ac:dyDescent="0.3">
      <c r="A956" t="s">
        <v>734</v>
      </c>
      <c r="B956" s="46">
        <v>45281</v>
      </c>
      <c r="C956" s="45">
        <v>60500</v>
      </c>
      <c r="D956" t="s">
        <v>830</v>
      </c>
      <c r="E956" s="46">
        <v>45306</v>
      </c>
      <c r="F956" s="45" t="s">
        <v>721</v>
      </c>
      <c r="I956" t="s">
        <v>726</v>
      </c>
    </row>
    <row r="957" spans="1:9" hidden="1" x14ac:dyDescent="0.3">
      <c r="A957" t="s">
        <v>748</v>
      </c>
      <c r="B957" s="46">
        <v>45169</v>
      </c>
      <c r="C957" s="45">
        <v>60340</v>
      </c>
      <c r="D957" t="s">
        <v>828</v>
      </c>
      <c r="E957" s="46">
        <v>45184</v>
      </c>
      <c r="F957" s="45" t="s">
        <v>721</v>
      </c>
      <c r="I957" t="s">
        <v>762</v>
      </c>
    </row>
    <row r="958" spans="1:9" hidden="1" x14ac:dyDescent="0.3">
      <c r="A958" t="s">
        <v>734</v>
      </c>
      <c r="B958" s="46">
        <v>45140</v>
      </c>
      <c r="C958" s="45">
        <v>60000</v>
      </c>
      <c r="D958" t="s">
        <v>929</v>
      </c>
      <c r="E958" s="46">
        <v>45184</v>
      </c>
      <c r="F958" s="45" t="s">
        <v>721</v>
      </c>
      <c r="I958" t="s">
        <v>726</v>
      </c>
    </row>
    <row r="959" spans="1:9" hidden="1" x14ac:dyDescent="0.3">
      <c r="A959" t="s">
        <v>794</v>
      </c>
      <c r="B959" s="46">
        <v>45157</v>
      </c>
      <c r="C959" s="45">
        <v>60000</v>
      </c>
      <c r="D959" t="s">
        <v>958</v>
      </c>
      <c r="E959" s="46">
        <v>45184</v>
      </c>
      <c r="F959" s="45" t="s">
        <v>721</v>
      </c>
      <c r="I959" t="s">
        <v>818</v>
      </c>
    </row>
    <row r="960" spans="1:9" hidden="1" x14ac:dyDescent="0.3">
      <c r="A960" t="s">
        <v>779</v>
      </c>
      <c r="B960" s="46">
        <v>45143</v>
      </c>
      <c r="C960" s="45">
        <v>60000</v>
      </c>
      <c r="D960" t="s">
        <v>871</v>
      </c>
      <c r="E960" s="46">
        <v>45184</v>
      </c>
      <c r="F960" s="45" t="s">
        <v>721</v>
      </c>
      <c r="I960" t="s">
        <v>818</v>
      </c>
    </row>
    <row r="961" spans="1:9" hidden="1" x14ac:dyDescent="0.3">
      <c r="A961" t="s">
        <v>748</v>
      </c>
      <c r="B961" s="46">
        <v>45128</v>
      </c>
      <c r="C961" s="45">
        <v>60000</v>
      </c>
      <c r="D961" t="s">
        <v>903</v>
      </c>
      <c r="E961" s="46">
        <v>45154</v>
      </c>
      <c r="F961" s="45" t="s">
        <v>721</v>
      </c>
      <c r="I961" t="s">
        <v>818</v>
      </c>
    </row>
    <row r="962" spans="1:9" hidden="1" x14ac:dyDescent="0.3">
      <c r="A962" t="s">
        <v>727</v>
      </c>
      <c r="B962" s="46">
        <v>45127</v>
      </c>
      <c r="C962" s="45">
        <v>60000</v>
      </c>
      <c r="D962" t="s">
        <v>832</v>
      </c>
      <c r="E962" s="46">
        <v>45154</v>
      </c>
      <c r="F962" s="45" t="s">
        <v>721</v>
      </c>
      <c r="I962" t="s">
        <v>726</v>
      </c>
    </row>
    <row r="963" spans="1:9" hidden="1" x14ac:dyDescent="0.3">
      <c r="A963" t="s">
        <v>821</v>
      </c>
      <c r="B963" s="46">
        <v>45118</v>
      </c>
      <c r="C963" s="45">
        <v>60000</v>
      </c>
      <c r="D963" t="s">
        <v>987</v>
      </c>
      <c r="E963" s="46">
        <v>45154</v>
      </c>
      <c r="F963" s="45" t="s">
        <v>721</v>
      </c>
      <c r="I963" t="s">
        <v>726</v>
      </c>
    </row>
    <row r="964" spans="1:9" hidden="1" x14ac:dyDescent="0.3">
      <c r="A964" t="s">
        <v>734</v>
      </c>
      <c r="B964" s="46">
        <v>45132</v>
      </c>
      <c r="C964" s="45">
        <v>60000</v>
      </c>
      <c r="D964" t="s">
        <v>869</v>
      </c>
      <c r="E964" s="46">
        <v>45154</v>
      </c>
      <c r="F964" s="45" t="s">
        <v>721</v>
      </c>
      <c r="I964" t="s">
        <v>726</v>
      </c>
    </row>
    <row r="965" spans="1:9" hidden="1" x14ac:dyDescent="0.3">
      <c r="A965" t="s">
        <v>777</v>
      </c>
      <c r="B965" s="46">
        <v>45163</v>
      </c>
      <c r="C965" s="45">
        <v>60000</v>
      </c>
      <c r="D965" t="s">
        <v>875</v>
      </c>
      <c r="E965" s="46">
        <v>45215</v>
      </c>
      <c r="F965" s="45" t="s">
        <v>721</v>
      </c>
      <c r="I965" t="s">
        <v>818</v>
      </c>
    </row>
    <row r="966" spans="1:9" hidden="1" x14ac:dyDescent="0.3">
      <c r="A966" t="s">
        <v>748</v>
      </c>
      <c r="B966" s="46">
        <v>45205</v>
      </c>
      <c r="C966" s="45">
        <v>60000</v>
      </c>
      <c r="D966" t="s">
        <v>915</v>
      </c>
      <c r="E966" s="46">
        <v>45245</v>
      </c>
      <c r="F966" s="45" t="s">
        <v>721</v>
      </c>
      <c r="I966" t="s">
        <v>818</v>
      </c>
    </row>
    <row r="967" spans="1:9" hidden="1" x14ac:dyDescent="0.3">
      <c r="A967" t="s">
        <v>748</v>
      </c>
      <c r="B967" s="46">
        <v>45229</v>
      </c>
      <c r="C967" s="45">
        <v>60000</v>
      </c>
      <c r="D967" t="s">
        <v>903</v>
      </c>
      <c r="E967" s="46">
        <v>45245</v>
      </c>
      <c r="F967" s="45" t="s">
        <v>721</v>
      </c>
      <c r="I967" t="s">
        <v>818</v>
      </c>
    </row>
    <row r="968" spans="1:9" hidden="1" x14ac:dyDescent="0.3">
      <c r="A968" t="s">
        <v>748</v>
      </c>
      <c r="B968" s="46">
        <v>45170</v>
      </c>
      <c r="C968" s="45">
        <v>60000</v>
      </c>
      <c r="D968" t="s">
        <v>903</v>
      </c>
      <c r="E968" s="46">
        <v>45215</v>
      </c>
      <c r="F968" s="45" t="s">
        <v>721</v>
      </c>
      <c r="I968" t="s">
        <v>818</v>
      </c>
    </row>
    <row r="969" spans="1:9" hidden="1" x14ac:dyDescent="0.3">
      <c r="A969" t="s">
        <v>734</v>
      </c>
      <c r="B969" s="46">
        <v>45170</v>
      </c>
      <c r="C969" s="45">
        <v>60000</v>
      </c>
      <c r="D969" t="s">
        <v>990</v>
      </c>
      <c r="E969" s="46">
        <v>45215</v>
      </c>
      <c r="F969" s="45" t="s">
        <v>721</v>
      </c>
      <c r="I969" t="s">
        <v>726</v>
      </c>
    </row>
    <row r="970" spans="1:9" hidden="1" x14ac:dyDescent="0.3">
      <c r="A970" t="s">
        <v>734</v>
      </c>
      <c r="B970" s="46">
        <v>45182</v>
      </c>
      <c r="C970" s="45">
        <v>60000</v>
      </c>
      <c r="D970" t="s">
        <v>869</v>
      </c>
      <c r="E970" s="46">
        <v>45215</v>
      </c>
      <c r="F970" s="45" t="s">
        <v>721</v>
      </c>
      <c r="I970" t="s">
        <v>726</v>
      </c>
    </row>
    <row r="971" spans="1:9" hidden="1" x14ac:dyDescent="0.3">
      <c r="A971" t="s">
        <v>729</v>
      </c>
      <c r="B971" s="46">
        <v>45188</v>
      </c>
      <c r="C971" s="45">
        <v>60000</v>
      </c>
      <c r="D971" t="s">
        <v>991</v>
      </c>
      <c r="E971" s="46">
        <v>45215</v>
      </c>
      <c r="F971" s="45" t="s">
        <v>721</v>
      </c>
      <c r="I971" t="s">
        <v>756</v>
      </c>
    </row>
    <row r="972" spans="1:9" hidden="1" x14ac:dyDescent="0.3">
      <c r="A972" t="s">
        <v>748</v>
      </c>
      <c r="B972" s="46">
        <v>45182</v>
      </c>
      <c r="C972" s="45">
        <v>60000</v>
      </c>
      <c r="D972" t="s">
        <v>783</v>
      </c>
      <c r="E972" s="46">
        <v>45215</v>
      </c>
      <c r="F972" s="45" t="s">
        <v>721</v>
      </c>
      <c r="I972" t="s">
        <v>784</v>
      </c>
    </row>
    <row r="973" spans="1:9" hidden="1" x14ac:dyDescent="0.3">
      <c r="A973" t="s">
        <v>748</v>
      </c>
      <c r="B973" s="46">
        <v>45184</v>
      </c>
      <c r="C973" s="45">
        <v>60000</v>
      </c>
      <c r="D973" t="s">
        <v>783</v>
      </c>
      <c r="E973" s="46">
        <v>45215</v>
      </c>
      <c r="F973" s="45" t="s">
        <v>721</v>
      </c>
      <c r="I973" t="s">
        <v>784</v>
      </c>
    </row>
    <row r="974" spans="1:9" hidden="1" x14ac:dyDescent="0.3">
      <c r="A974" t="s">
        <v>734</v>
      </c>
      <c r="B974" s="46">
        <v>45280</v>
      </c>
      <c r="C974" s="45">
        <v>60000</v>
      </c>
      <c r="D974" t="s">
        <v>850</v>
      </c>
      <c r="E974" s="46">
        <v>45306</v>
      </c>
      <c r="F974" s="45" t="s">
        <v>721</v>
      </c>
      <c r="I974" t="s">
        <v>726</v>
      </c>
    </row>
    <row r="975" spans="1:9" hidden="1" x14ac:dyDescent="0.3">
      <c r="A975" t="s">
        <v>748</v>
      </c>
      <c r="B975" s="46">
        <v>45280</v>
      </c>
      <c r="C975" s="45">
        <v>60000</v>
      </c>
      <c r="D975" t="s">
        <v>992</v>
      </c>
      <c r="E975" s="46">
        <v>45306</v>
      </c>
      <c r="F975" s="45" t="s">
        <v>721</v>
      </c>
      <c r="I975" t="s">
        <v>818</v>
      </c>
    </row>
    <row r="976" spans="1:9" hidden="1" x14ac:dyDescent="0.3">
      <c r="A976" t="s">
        <v>748</v>
      </c>
      <c r="B976" s="46">
        <v>45273</v>
      </c>
      <c r="C976" s="45">
        <v>60000</v>
      </c>
      <c r="D976" t="s">
        <v>783</v>
      </c>
      <c r="E976" s="46">
        <v>45306</v>
      </c>
      <c r="F976" s="45" t="s">
        <v>721</v>
      </c>
      <c r="I976" t="s">
        <v>784</v>
      </c>
    </row>
    <row r="977" spans="1:9" hidden="1" x14ac:dyDescent="0.3">
      <c r="A977" t="s">
        <v>748</v>
      </c>
      <c r="B977" s="46">
        <v>45287</v>
      </c>
      <c r="C977" s="45">
        <v>60000</v>
      </c>
      <c r="D977" t="s">
        <v>783</v>
      </c>
      <c r="E977" s="46">
        <v>45306</v>
      </c>
      <c r="F977" s="45" t="s">
        <v>721</v>
      </c>
      <c r="I977" t="s">
        <v>784</v>
      </c>
    </row>
    <row r="978" spans="1:9" hidden="1" x14ac:dyDescent="0.3">
      <c r="A978" t="s">
        <v>734</v>
      </c>
      <c r="B978" s="46">
        <v>45243</v>
      </c>
      <c r="C978" s="45">
        <v>60000</v>
      </c>
      <c r="D978" t="s">
        <v>988</v>
      </c>
      <c r="E978" s="46">
        <v>45275</v>
      </c>
      <c r="F978" s="45" t="s">
        <v>721</v>
      </c>
      <c r="I978" t="s">
        <v>726</v>
      </c>
    </row>
    <row r="979" spans="1:9" hidden="1" x14ac:dyDescent="0.3">
      <c r="A979" t="s">
        <v>734</v>
      </c>
      <c r="B979" s="46">
        <v>45244</v>
      </c>
      <c r="C979" s="45">
        <v>60000</v>
      </c>
      <c r="D979" t="s">
        <v>929</v>
      </c>
      <c r="E979" s="46">
        <v>45275</v>
      </c>
      <c r="F979" s="45" t="s">
        <v>721</v>
      </c>
      <c r="I979" t="s">
        <v>726</v>
      </c>
    </row>
    <row r="980" spans="1:9" hidden="1" x14ac:dyDescent="0.3">
      <c r="A980" t="s">
        <v>772</v>
      </c>
      <c r="B980" s="46">
        <v>45226</v>
      </c>
      <c r="C980" s="45">
        <v>60000</v>
      </c>
      <c r="D980" t="s">
        <v>989</v>
      </c>
      <c r="E980" s="46">
        <v>45256</v>
      </c>
      <c r="F980" s="45" t="s">
        <v>721</v>
      </c>
      <c r="I980" t="s">
        <v>726</v>
      </c>
    </row>
    <row r="981" spans="1:9" hidden="1" x14ac:dyDescent="0.3">
      <c r="A981" t="s">
        <v>748</v>
      </c>
      <c r="B981" s="46">
        <v>45307</v>
      </c>
      <c r="C981" s="45">
        <v>60000</v>
      </c>
      <c r="D981" t="s">
        <v>915</v>
      </c>
      <c r="E981" s="46">
        <v>45337</v>
      </c>
      <c r="F981" s="45" t="s">
        <v>721</v>
      </c>
      <c r="I981" t="s">
        <v>818</v>
      </c>
    </row>
    <row r="982" spans="1:9" hidden="1" x14ac:dyDescent="0.3">
      <c r="A982" t="s">
        <v>772</v>
      </c>
      <c r="B982" s="46">
        <v>45322</v>
      </c>
      <c r="C982" s="45">
        <v>60000</v>
      </c>
      <c r="D982" t="s">
        <v>915</v>
      </c>
      <c r="E982" s="46">
        <v>45348</v>
      </c>
      <c r="F982" s="45" t="s">
        <v>721</v>
      </c>
      <c r="I982" t="s">
        <v>818</v>
      </c>
    </row>
    <row r="983" spans="1:9" hidden="1" x14ac:dyDescent="0.3">
      <c r="A983" t="s">
        <v>727</v>
      </c>
      <c r="B983" s="46">
        <v>45316</v>
      </c>
      <c r="C983" s="45">
        <v>60000</v>
      </c>
      <c r="D983" t="s">
        <v>993</v>
      </c>
      <c r="E983" s="46">
        <v>45337</v>
      </c>
      <c r="F983" s="45" t="s">
        <v>721</v>
      </c>
      <c r="I983" t="s">
        <v>726</v>
      </c>
    </row>
    <row r="984" spans="1:9" hidden="1" x14ac:dyDescent="0.3">
      <c r="A984" t="s">
        <v>748</v>
      </c>
      <c r="B984" s="46">
        <v>45336</v>
      </c>
      <c r="C984" s="45">
        <v>60000</v>
      </c>
      <c r="D984" t="s">
        <v>783</v>
      </c>
      <c r="E984" s="46">
        <v>45366</v>
      </c>
      <c r="F984" s="45" t="s">
        <v>721</v>
      </c>
      <c r="I984" t="s">
        <v>784</v>
      </c>
    </row>
    <row r="985" spans="1:9" hidden="1" x14ac:dyDescent="0.3">
      <c r="A985" t="s">
        <v>748</v>
      </c>
      <c r="B985" s="46">
        <v>45330</v>
      </c>
      <c r="C985" s="45">
        <v>60000</v>
      </c>
      <c r="D985" t="s">
        <v>783</v>
      </c>
      <c r="E985" s="46">
        <v>45366</v>
      </c>
      <c r="F985" s="45" t="s">
        <v>721</v>
      </c>
      <c r="I985" t="s">
        <v>784</v>
      </c>
    </row>
    <row r="986" spans="1:9" hidden="1" x14ac:dyDescent="0.3">
      <c r="A986" t="s">
        <v>748</v>
      </c>
      <c r="B986" s="46">
        <v>45335</v>
      </c>
      <c r="C986" s="45">
        <v>60000</v>
      </c>
      <c r="D986" t="s">
        <v>903</v>
      </c>
      <c r="E986" s="46">
        <v>45366</v>
      </c>
      <c r="F986" s="45" t="s">
        <v>721</v>
      </c>
      <c r="I986" t="s">
        <v>818</v>
      </c>
    </row>
    <row r="987" spans="1:9" hidden="1" x14ac:dyDescent="0.3">
      <c r="A987" t="s">
        <v>734</v>
      </c>
      <c r="B987" s="46">
        <v>45343</v>
      </c>
      <c r="C987" s="45">
        <v>60000</v>
      </c>
      <c r="D987" t="s">
        <v>994</v>
      </c>
      <c r="E987" s="46">
        <v>45366</v>
      </c>
      <c r="F987" s="45" t="s">
        <v>721</v>
      </c>
      <c r="I987" t="s">
        <v>726</v>
      </c>
    </row>
    <row r="988" spans="1:9" hidden="1" x14ac:dyDescent="0.3">
      <c r="A988" t="s">
        <v>734</v>
      </c>
      <c r="B988" s="46">
        <v>45362</v>
      </c>
      <c r="C988" s="45">
        <v>60000</v>
      </c>
      <c r="D988" t="s">
        <v>1013</v>
      </c>
      <c r="E988" s="46">
        <v>45397</v>
      </c>
      <c r="F988" s="45" t="s">
        <v>721</v>
      </c>
      <c r="I988" t="s">
        <v>726</v>
      </c>
    </row>
    <row r="989" spans="1:9" hidden="1" x14ac:dyDescent="0.3">
      <c r="A989" t="s">
        <v>779</v>
      </c>
      <c r="B989" s="46">
        <v>45381</v>
      </c>
      <c r="C989" s="45">
        <v>60000</v>
      </c>
      <c r="D989" t="s">
        <v>2074</v>
      </c>
      <c r="E989" s="46">
        <v>45398</v>
      </c>
      <c r="F989" s="45" t="s">
        <v>721</v>
      </c>
      <c r="G989">
        <v>0</v>
      </c>
      <c r="I989" t="s">
        <v>818</v>
      </c>
    </row>
    <row r="990" spans="1:9" hidden="1" x14ac:dyDescent="0.3">
      <c r="A990" t="s">
        <v>775</v>
      </c>
      <c r="B990" s="46">
        <v>45364</v>
      </c>
      <c r="C990" s="45">
        <v>60000</v>
      </c>
      <c r="D990" t="s">
        <v>2073</v>
      </c>
      <c r="E990" s="46">
        <v>45398</v>
      </c>
      <c r="F990" s="45" t="s">
        <v>721</v>
      </c>
      <c r="G990">
        <v>0</v>
      </c>
      <c r="I990" t="s">
        <v>726</v>
      </c>
    </row>
    <row r="991" spans="1:9" hidden="1" x14ac:dyDescent="0.3">
      <c r="A991" t="s">
        <v>748</v>
      </c>
      <c r="B991" s="46">
        <v>45355</v>
      </c>
      <c r="C991" s="45">
        <v>60000</v>
      </c>
      <c r="D991" t="s">
        <v>915</v>
      </c>
      <c r="E991" s="46">
        <v>45397</v>
      </c>
      <c r="F991" s="45" t="s">
        <v>721</v>
      </c>
      <c r="I991" t="s">
        <v>818</v>
      </c>
    </row>
    <row r="992" spans="1:9" hidden="1" x14ac:dyDescent="0.3">
      <c r="A992" t="s">
        <v>722</v>
      </c>
      <c r="B992" s="46">
        <v>45433</v>
      </c>
      <c r="C992" s="45">
        <v>60000</v>
      </c>
      <c r="D992" t="s">
        <v>991</v>
      </c>
      <c r="E992" s="46">
        <v>45458</v>
      </c>
      <c r="F992" s="45" t="s">
        <v>721</v>
      </c>
      <c r="I992" t="s">
        <v>740</v>
      </c>
    </row>
    <row r="993" spans="1:9" hidden="1" x14ac:dyDescent="0.3">
      <c r="A993" t="s">
        <v>748</v>
      </c>
      <c r="B993" s="46">
        <v>45443</v>
      </c>
      <c r="C993" s="45">
        <v>60000</v>
      </c>
      <c r="D993" t="s">
        <v>783</v>
      </c>
      <c r="E993" s="46">
        <v>45458</v>
      </c>
      <c r="F993" s="45" t="s">
        <v>721</v>
      </c>
      <c r="I993" t="s">
        <v>784</v>
      </c>
    </row>
    <row r="994" spans="1:9" hidden="1" x14ac:dyDescent="0.3">
      <c r="A994" t="s">
        <v>767</v>
      </c>
      <c r="B994" s="46">
        <v>45443</v>
      </c>
      <c r="C994" s="45">
        <v>60000</v>
      </c>
      <c r="D994" t="s">
        <v>850</v>
      </c>
      <c r="E994" s="46">
        <v>45458</v>
      </c>
      <c r="F994" s="45" t="s">
        <v>721</v>
      </c>
      <c r="I994" t="s">
        <v>726</v>
      </c>
    </row>
    <row r="995" spans="1:9" hidden="1" x14ac:dyDescent="0.3">
      <c r="A995" t="s">
        <v>724</v>
      </c>
      <c r="B995" s="46">
        <v>45391</v>
      </c>
      <c r="C995" s="45">
        <v>60000</v>
      </c>
      <c r="D995" t="s">
        <v>2076</v>
      </c>
      <c r="E995" s="46">
        <v>45438</v>
      </c>
      <c r="F995" s="45" t="s">
        <v>721</v>
      </c>
      <c r="I995" t="s">
        <v>899</v>
      </c>
    </row>
    <row r="996" spans="1:9" hidden="1" x14ac:dyDescent="0.3">
      <c r="A996" t="s">
        <v>748</v>
      </c>
      <c r="B996" s="46">
        <v>45393</v>
      </c>
      <c r="C996" s="45">
        <v>60000</v>
      </c>
      <c r="D996" t="s">
        <v>915</v>
      </c>
      <c r="E996" s="46">
        <v>45428</v>
      </c>
      <c r="F996" s="45" t="s">
        <v>721</v>
      </c>
      <c r="I996" t="s">
        <v>818</v>
      </c>
    </row>
    <row r="997" spans="1:9" hidden="1" x14ac:dyDescent="0.3">
      <c r="A997" t="s">
        <v>748</v>
      </c>
      <c r="B997" s="46">
        <v>45397</v>
      </c>
      <c r="C997" s="45">
        <v>60000</v>
      </c>
      <c r="D997" t="s">
        <v>915</v>
      </c>
      <c r="E997" s="46">
        <v>45428</v>
      </c>
      <c r="F997" s="45" t="s">
        <v>721</v>
      </c>
      <c r="I997" t="s">
        <v>818</v>
      </c>
    </row>
    <row r="998" spans="1:9" hidden="1" x14ac:dyDescent="0.3">
      <c r="A998" t="s">
        <v>748</v>
      </c>
      <c r="B998" s="46">
        <v>45384</v>
      </c>
      <c r="C998" s="45">
        <v>60000</v>
      </c>
      <c r="D998" t="s">
        <v>943</v>
      </c>
      <c r="E998" s="46">
        <v>45428</v>
      </c>
      <c r="F998" s="45" t="s">
        <v>721</v>
      </c>
      <c r="I998" t="s">
        <v>818</v>
      </c>
    </row>
    <row r="999" spans="1:9" hidden="1" x14ac:dyDescent="0.3">
      <c r="A999" t="s">
        <v>734</v>
      </c>
      <c r="B999" s="46">
        <v>45406</v>
      </c>
      <c r="C999" s="45">
        <v>60000</v>
      </c>
      <c r="D999" t="s">
        <v>1011</v>
      </c>
      <c r="E999" s="46">
        <v>45428</v>
      </c>
      <c r="F999" s="45" t="s">
        <v>721</v>
      </c>
      <c r="I999" t="s">
        <v>726</v>
      </c>
    </row>
    <row r="1000" spans="1:9" hidden="1" x14ac:dyDescent="0.3">
      <c r="A1000" t="s">
        <v>748</v>
      </c>
      <c r="B1000" s="46">
        <v>45399</v>
      </c>
      <c r="C1000" s="45">
        <v>60000</v>
      </c>
      <c r="D1000" t="s">
        <v>783</v>
      </c>
      <c r="E1000" s="46">
        <v>45428</v>
      </c>
      <c r="F1000" s="45" t="s">
        <v>721</v>
      </c>
      <c r="I1000" t="s">
        <v>784</v>
      </c>
    </row>
    <row r="1001" spans="1:9" hidden="1" x14ac:dyDescent="0.3">
      <c r="A1001" t="s">
        <v>727</v>
      </c>
      <c r="B1001" s="46">
        <v>45397</v>
      </c>
      <c r="C1001" s="45">
        <v>60000</v>
      </c>
      <c r="D1001" t="s">
        <v>2075</v>
      </c>
      <c r="E1001" s="46">
        <v>45428</v>
      </c>
      <c r="F1001" s="45" t="s">
        <v>721</v>
      </c>
      <c r="I1001" t="s">
        <v>756</v>
      </c>
    </row>
    <row r="1002" spans="1:9" hidden="1" x14ac:dyDescent="0.3">
      <c r="A1002" t="s">
        <v>761</v>
      </c>
      <c r="B1002" s="46">
        <v>45204</v>
      </c>
      <c r="C1002" s="45">
        <v>59900</v>
      </c>
      <c r="D1002" t="s">
        <v>995</v>
      </c>
      <c r="E1002" s="46">
        <v>45256</v>
      </c>
      <c r="F1002" s="45" t="s">
        <v>721</v>
      </c>
      <c r="I1002" t="s">
        <v>736</v>
      </c>
    </row>
    <row r="1003" spans="1:9" hidden="1" x14ac:dyDescent="0.3">
      <c r="A1003" t="s">
        <v>729</v>
      </c>
      <c r="B1003" s="46">
        <v>45121</v>
      </c>
      <c r="C1003" s="45">
        <v>59900</v>
      </c>
      <c r="D1003" t="s">
        <v>996</v>
      </c>
      <c r="E1003" s="46">
        <v>45154</v>
      </c>
      <c r="F1003" s="45" t="s">
        <v>721</v>
      </c>
      <c r="I1003" t="s">
        <v>726</v>
      </c>
    </row>
    <row r="1004" spans="1:9" hidden="1" x14ac:dyDescent="0.3">
      <c r="A1004" t="s">
        <v>729</v>
      </c>
      <c r="B1004" s="46">
        <v>45189</v>
      </c>
      <c r="C1004" s="45">
        <v>59700</v>
      </c>
      <c r="D1004" t="s">
        <v>790</v>
      </c>
      <c r="E1004" s="46">
        <v>45215</v>
      </c>
      <c r="F1004" s="45" t="s">
        <v>721</v>
      </c>
      <c r="I1004" t="s">
        <v>756</v>
      </c>
    </row>
    <row r="1005" spans="1:9" hidden="1" x14ac:dyDescent="0.3">
      <c r="A1005" t="s">
        <v>734</v>
      </c>
      <c r="B1005" s="46">
        <v>45274</v>
      </c>
      <c r="C1005" s="45">
        <v>59700</v>
      </c>
      <c r="D1005" t="s">
        <v>997</v>
      </c>
      <c r="E1005" s="46">
        <v>45306</v>
      </c>
      <c r="F1005" s="45" t="s">
        <v>721</v>
      </c>
      <c r="I1005" t="s">
        <v>726</v>
      </c>
    </row>
    <row r="1006" spans="1:9" hidden="1" x14ac:dyDescent="0.3">
      <c r="A1006" t="s">
        <v>748</v>
      </c>
      <c r="B1006" s="46">
        <v>45433</v>
      </c>
      <c r="C1006" s="45">
        <v>59700</v>
      </c>
      <c r="D1006" t="s">
        <v>915</v>
      </c>
      <c r="E1006" s="46">
        <v>45458</v>
      </c>
      <c r="F1006" s="45" t="s">
        <v>721</v>
      </c>
      <c r="I1006" t="s">
        <v>818</v>
      </c>
    </row>
    <row r="1007" spans="1:9" hidden="1" x14ac:dyDescent="0.3">
      <c r="A1007" t="s">
        <v>748</v>
      </c>
      <c r="B1007" s="46">
        <v>45432</v>
      </c>
      <c r="C1007" s="45">
        <v>59700</v>
      </c>
      <c r="D1007" t="s">
        <v>915</v>
      </c>
      <c r="E1007" s="46">
        <v>45458</v>
      </c>
      <c r="F1007" s="45" t="s">
        <v>721</v>
      </c>
      <c r="I1007" t="s">
        <v>818</v>
      </c>
    </row>
    <row r="1008" spans="1:9" hidden="1" x14ac:dyDescent="0.3">
      <c r="A1008" t="s">
        <v>734</v>
      </c>
      <c r="B1008" s="46">
        <v>45379</v>
      </c>
      <c r="C1008" s="45">
        <v>59700</v>
      </c>
      <c r="D1008" t="s">
        <v>2077</v>
      </c>
      <c r="E1008" s="46">
        <v>45397</v>
      </c>
      <c r="F1008" s="45" t="s">
        <v>721</v>
      </c>
      <c r="I1008" t="s">
        <v>726</v>
      </c>
    </row>
    <row r="1009" spans="1:9" hidden="1" x14ac:dyDescent="0.3">
      <c r="A1009" t="s">
        <v>722</v>
      </c>
      <c r="B1009" s="46">
        <v>45257</v>
      </c>
      <c r="C1009" s="45">
        <v>59660</v>
      </c>
      <c r="D1009" t="s">
        <v>776</v>
      </c>
      <c r="E1009" s="46">
        <v>45275</v>
      </c>
      <c r="F1009" s="45" t="s">
        <v>721</v>
      </c>
      <c r="I1009" t="s">
        <v>762</v>
      </c>
    </row>
    <row r="1010" spans="1:9" hidden="1" x14ac:dyDescent="0.3">
      <c r="A1010" t="s">
        <v>722</v>
      </c>
      <c r="B1010" s="46">
        <v>45251</v>
      </c>
      <c r="C1010" s="45">
        <v>59650</v>
      </c>
      <c r="D1010" t="s">
        <v>776</v>
      </c>
      <c r="E1010" s="46">
        <v>45275</v>
      </c>
      <c r="F1010" s="45" t="s">
        <v>721</v>
      </c>
      <c r="I1010" t="s">
        <v>726</v>
      </c>
    </row>
    <row r="1011" spans="1:9" hidden="1" x14ac:dyDescent="0.3">
      <c r="A1011" t="s">
        <v>729</v>
      </c>
      <c r="B1011" s="46">
        <v>45309</v>
      </c>
      <c r="C1011" s="45">
        <v>59600</v>
      </c>
      <c r="D1011" t="s">
        <v>952</v>
      </c>
      <c r="E1011" s="46">
        <v>45337</v>
      </c>
      <c r="F1011" s="45" t="s">
        <v>721</v>
      </c>
      <c r="I1011" t="s">
        <v>726</v>
      </c>
    </row>
    <row r="1012" spans="1:9" hidden="1" x14ac:dyDescent="0.3">
      <c r="A1012" t="s">
        <v>734</v>
      </c>
      <c r="B1012" s="46">
        <v>45296</v>
      </c>
      <c r="C1012" s="45">
        <v>59500</v>
      </c>
      <c r="D1012" t="s">
        <v>926</v>
      </c>
      <c r="E1012" s="46">
        <v>45337</v>
      </c>
      <c r="F1012" s="45" t="s">
        <v>721</v>
      </c>
      <c r="I1012" t="s">
        <v>726</v>
      </c>
    </row>
    <row r="1013" spans="1:9" hidden="1" x14ac:dyDescent="0.3">
      <c r="A1013" t="s">
        <v>734</v>
      </c>
      <c r="B1013" s="46">
        <v>45391</v>
      </c>
      <c r="C1013" s="45">
        <v>59400</v>
      </c>
      <c r="D1013" t="s">
        <v>998</v>
      </c>
      <c r="E1013" s="46">
        <v>45428</v>
      </c>
      <c r="F1013" s="45" t="s">
        <v>721</v>
      </c>
      <c r="I1013" t="s">
        <v>726</v>
      </c>
    </row>
    <row r="1014" spans="1:9" hidden="1" x14ac:dyDescent="0.3">
      <c r="A1014" t="s">
        <v>734</v>
      </c>
      <c r="B1014" s="46">
        <v>45345</v>
      </c>
      <c r="C1014" s="45">
        <v>59200</v>
      </c>
      <c r="D1014" t="s">
        <v>999</v>
      </c>
      <c r="E1014" s="46">
        <v>45366</v>
      </c>
      <c r="F1014" s="45" t="s">
        <v>721</v>
      </c>
      <c r="I1014" t="s">
        <v>726</v>
      </c>
    </row>
    <row r="1015" spans="1:9" hidden="1" x14ac:dyDescent="0.3">
      <c r="A1015" t="s">
        <v>727</v>
      </c>
      <c r="B1015" s="46">
        <v>45218</v>
      </c>
      <c r="C1015" s="45">
        <v>59100</v>
      </c>
      <c r="D1015" t="s">
        <v>1000</v>
      </c>
      <c r="E1015" s="46">
        <v>45245</v>
      </c>
      <c r="F1015" s="45" t="s">
        <v>721</v>
      </c>
      <c r="I1015" t="s">
        <v>726</v>
      </c>
    </row>
    <row r="1016" spans="1:9" hidden="1" x14ac:dyDescent="0.3">
      <c r="A1016" t="s">
        <v>748</v>
      </c>
      <c r="B1016" s="46">
        <v>45152</v>
      </c>
      <c r="C1016" s="45">
        <v>59060</v>
      </c>
      <c r="D1016" t="s">
        <v>735</v>
      </c>
      <c r="E1016" s="46">
        <v>45184</v>
      </c>
      <c r="F1016" s="45" t="s">
        <v>721</v>
      </c>
      <c r="I1016" t="s">
        <v>762</v>
      </c>
    </row>
    <row r="1017" spans="1:9" hidden="1" x14ac:dyDescent="0.3">
      <c r="A1017" t="s">
        <v>794</v>
      </c>
      <c r="B1017" s="46">
        <v>45161</v>
      </c>
      <c r="C1017" s="45">
        <v>59000</v>
      </c>
      <c r="D1017" t="s">
        <v>958</v>
      </c>
      <c r="E1017" s="46">
        <v>45184</v>
      </c>
      <c r="F1017" s="45" t="s">
        <v>721</v>
      </c>
      <c r="I1017" t="s">
        <v>818</v>
      </c>
    </row>
    <row r="1018" spans="1:9" hidden="1" x14ac:dyDescent="0.3">
      <c r="A1018" t="s">
        <v>794</v>
      </c>
      <c r="B1018" s="46">
        <v>45131</v>
      </c>
      <c r="C1018" s="45">
        <v>59000</v>
      </c>
      <c r="D1018" t="s">
        <v>1001</v>
      </c>
      <c r="E1018" s="46">
        <v>45154</v>
      </c>
      <c r="F1018" s="45" t="s">
        <v>721</v>
      </c>
    </row>
    <row r="1019" spans="1:9" hidden="1" x14ac:dyDescent="0.3">
      <c r="A1019" t="s">
        <v>794</v>
      </c>
      <c r="B1019" s="46">
        <v>45123</v>
      </c>
      <c r="C1019" s="45">
        <v>59000</v>
      </c>
      <c r="D1019" t="s">
        <v>958</v>
      </c>
      <c r="E1019" s="46">
        <v>45154</v>
      </c>
      <c r="F1019" s="45" t="s">
        <v>721</v>
      </c>
      <c r="I1019" t="s">
        <v>818</v>
      </c>
    </row>
    <row r="1020" spans="1:9" hidden="1" x14ac:dyDescent="0.3">
      <c r="A1020" t="s">
        <v>727</v>
      </c>
      <c r="B1020" s="46">
        <v>45176</v>
      </c>
      <c r="C1020" s="45">
        <v>59000</v>
      </c>
      <c r="D1020" t="s">
        <v>929</v>
      </c>
      <c r="E1020" s="46">
        <v>45215</v>
      </c>
      <c r="F1020" s="45" t="s">
        <v>721</v>
      </c>
      <c r="I1020" t="s">
        <v>726</v>
      </c>
    </row>
    <row r="1021" spans="1:9" hidden="1" x14ac:dyDescent="0.3">
      <c r="A1021" t="s">
        <v>772</v>
      </c>
      <c r="B1021" s="46">
        <v>45145</v>
      </c>
      <c r="C1021" s="45">
        <v>59000</v>
      </c>
      <c r="D1021" t="s">
        <v>920</v>
      </c>
      <c r="E1021" s="46">
        <v>45195</v>
      </c>
      <c r="F1021" s="45" t="s">
        <v>721</v>
      </c>
      <c r="I1021" t="s">
        <v>818</v>
      </c>
    </row>
    <row r="1022" spans="1:9" hidden="1" x14ac:dyDescent="0.3">
      <c r="A1022" t="s">
        <v>734</v>
      </c>
      <c r="B1022" s="46">
        <v>45203</v>
      </c>
      <c r="C1022" s="45">
        <v>59000</v>
      </c>
      <c r="D1022" t="s">
        <v>869</v>
      </c>
      <c r="E1022" s="46">
        <v>45245</v>
      </c>
      <c r="F1022" s="45" t="s">
        <v>721</v>
      </c>
      <c r="I1022" t="s">
        <v>726</v>
      </c>
    </row>
    <row r="1023" spans="1:9" hidden="1" x14ac:dyDescent="0.3">
      <c r="A1023" t="s">
        <v>767</v>
      </c>
      <c r="B1023" s="46">
        <v>45204</v>
      </c>
      <c r="C1023" s="45">
        <v>59000</v>
      </c>
      <c r="D1023" t="s">
        <v>832</v>
      </c>
      <c r="E1023" s="46">
        <v>45245</v>
      </c>
      <c r="F1023" s="45" t="s">
        <v>721</v>
      </c>
      <c r="I1023" t="s">
        <v>726</v>
      </c>
    </row>
    <row r="1024" spans="1:9" hidden="1" x14ac:dyDescent="0.3">
      <c r="A1024" t="s">
        <v>777</v>
      </c>
      <c r="B1024" s="46">
        <v>45211</v>
      </c>
      <c r="C1024" s="45">
        <v>59000</v>
      </c>
      <c r="D1024" t="s">
        <v>875</v>
      </c>
      <c r="E1024" s="46">
        <v>45245</v>
      </c>
      <c r="F1024" s="45" t="s">
        <v>721</v>
      </c>
      <c r="I1024" t="s">
        <v>818</v>
      </c>
    </row>
    <row r="1025" spans="1:9" hidden="1" x14ac:dyDescent="0.3">
      <c r="A1025" t="s">
        <v>734</v>
      </c>
      <c r="B1025" s="46">
        <v>45278</v>
      </c>
      <c r="C1025" s="45">
        <v>59000</v>
      </c>
      <c r="D1025" t="s">
        <v>928</v>
      </c>
      <c r="E1025" s="46">
        <v>45306</v>
      </c>
      <c r="F1025" s="45" t="s">
        <v>721</v>
      </c>
      <c r="I1025" t="s">
        <v>726</v>
      </c>
    </row>
    <row r="1026" spans="1:9" hidden="1" x14ac:dyDescent="0.3">
      <c r="A1026" t="s">
        <v>775</v>
      </c>
      <c r="B1026" s="46">
        <v>45284</v>
      </c>
      <c r="C1026" s="45">
        <v>59000</v>
      </c>
      <c r="D1026" t="s">
        <v>1002</v>
      </c>
      <c r="E1026" s="46">
        <v>45307</v>
      </c>
      <c r="F1026" s="45" t="s">
        <v>721</v>
      </c>
      <c r="I1026" t="s">
        <v>726</v>
      </c>
    </row>
    <row r="1027" spans="1:9" hidden="1" x14ac:dyDescent="0.3">
      <c r="A1027" t="s">
        <v>777</v>
      </c>
      <c r="B1027" s="46">
        <v>45282</v>
      </c>
      <c r="C1027" s="45">
        <v>59000</v>
      </c>
      <c r="D1027" t="s">
        <v>875</v>
      </c>
      <c r="E1027" s="46">
        <v>45306</v>
      </c>
      <c r="F1027" s="45" t="s">
        <v>721</v>
      </c>
      <c r="I1027" t="s">
        <v>818</v>
      </c>
    </row>
    <row r="1028" spans="1:9" hidden="1" x14ac:dyDescent="0.3">
      <c r="A1028" t="s">
        <v>779</v>
      </c>
      <c r="B1028" s="46">
        <v>45240</v>
      </c>
      <c r="C1028" s="45">
        <v>59000</v>
      </c>
      <c r="D1028" t="s">
        <v>947</v>
      </c>
      <c r="E1028" s="46">
        <v>45278</v>
      </c>
      <c r="F1028" s="45" t="s">
        <v>721</v>
      </c>
      <c r="I1028" t="s">
        <v>726</v>
      </c>
    </row>
    <row r="1029" spans="1:9" hidden="1" x14ac:dyDescent="0.3">
      <c r="A1029" t="s">
        <v>779</v>
      </c>
      <c r="B1029" s="46">
        <v>45240</v>
      </c>
      <c r="C1029" s="45">
        <v>59000</v>
      </c>
      <c r="D1029" t="s">
        <v>947</v>
      </c>
      <c r="E1029" s="46">
        <v>45276</v>
      </c>
      <c r="F1029" s="45" t="s">
        <v>721</v>
      </c>
      <c r="G1029">
        <v>0</v>
      </c>
      <c r="I1029" t="s">
        <v>726</v>
      </c>
    </row>
    <row r="1030" spans="1:9" hidden="1" x14ac:dyDescent="0.3">
      <c r="A1030" t="s">
        <v>734</v>
      </c>
      <c r="B1030" s="46">
        <v>45329</v>
      </c>
      <c r="C1030" s="45">
        <v>59000</v>
      </c>
      <c r="D1030" t="s">
        <v>939</v>
      </c>
      <c r="E1030" s="46">
        <v>45366</v>
      </c>
      <c r="F1030" s="45" t="s">
        <v>721</v>
      </c>
      <c r="I1030" t="s">
        <v>726</v>
      </c>
    </row>
    <row r="1031" spans="1:9" hidden="1" x14ac:dyDescent="0.3">
      <c r="A1031" t="s">
        <v>724</v>
      </c>
      <c r="B1031" s="46">
        <v>45336</v>
      </c>
      <c r="C1031" s="45">
        <v>59000</v>
      </c>
      <c r="D1031" t="s">
        <v>1003</v>
      </c>
      <c r="E1031" s="46">
        <v>45377</v>
      </c>
      <c r="F1031" s="45" t="s">
        <v>721</v>
      </c>
      <c r="I1031" t="s">
        <v>726</v>
      </c>
    </row>
    <row r="1032" spans="1:9" hidden="1" x14ac:dyDescent="0.3">
      <c r="A1032" t="s">
        <v>772</v>
      </c>
      <c r="B1032" s="46">
        <v>45380</v>
      </c>
      <c r="C1032" s="45">
        <v>59000</v>
      </c>
      <c r="D1032" t="s">
        <v>939</v>
      </c>
      <c r="E1032" s="46">
        <v>45408</v>
      </c>
      <c r="F1032" s="45" t="s">
        <v>721</v>
      </c>
      <c r="I1032" t="s">
        <v>726</v>
      </c>
    </row>
    <row r="1033" spans="1:9" hidden="1" x14ac:dyDescent="0.3">
      <c r="A1033" t="s">
        <v>777</v>
      </c>
      <c r="B1033" s="46">
        <v>45359</v>
      </c>
      <c r="C1033" s="45">
        <v>59000</v>
      </c>
      <c r="D1033" t="s">
        <v>875</v>
      </c>
      <c r="E1033" s="46">
        <v>45397</v>
      </c>
      <c r="F1033" s="45" t="s">
        <v>721</v>
      </c>
      <c r="I1033" t="s">
        <v>818</v>
      </c>
    </row>
    <row r="1034" spans="1:9" hidden="1" x14ac:dyDescent="0.3">
      <c r="A1034" t="s">
        <v>767</v>
      </c>
      <c r="B1034" s="46">
        <v>45390</v>
      </c>
      <c r="C1034" s="45">
        <v>59000</v>
      </c>
      <c r="D1034" t="s">
        <v>997</v>
      </c>
      <c r="E1034" s="46">
        <v>45428</v>
      </c>
      <c r="F1034" s="45" t="s">
        <v>721</v>
      </c>
      <c r="I1034" t="s">
        <v>726</v>
      </c>
    </row>
    <row r="1035" spans="1:9" hidden="1" x14ac:dyDescent="0.3">
      <c r="A1035" t="s">
        <v>767</v>
      </c>
      <c r="B1035" s="46">
        <v>45131</v>
      </c>
      <c r="C1035" s="45">
        <v>58900</v>
      </c>
      <c r="D1035" t="s">
        <v>980</v>
      </c>
      <c r="E1035" s="46">
        <v>45154</v>
      </c>
      <c r="F1035" s="45" t="s">
        <v>721</v>
      </c>
      <c r="I1035" t="s">
        <v>726</v>
      </c>
    </row>
    <row r="1036" spans="1:9" hidden="1" x14ac:dyDescent="0.3">
      <c r="A1036" t="s">
        <v>734</v>
      </c>
      <c r="B1036" s="46">
        <v>45131</v>
      </c>
      <c r="C1036" s="45">
        <v>58900</v>
      </c>
      <c r="D1036" t="s">
        <v>982</v>
      </c>
      <c r="E1036" s="46">
        <v>45154</v>
      </c>
      <c r="F1036" s="45" t="s">
        <v>721</v>
      </c>
      <c r="I1036" t="s">
        <v>726</v>
      </c>
    </row>
    <row r="1037" spans="1:9" hidden="1" x14ac:dyDescent="0.3">
      <c r="A1037" t="s">
        <v>734</v>
      </c>
      <c r="B1037" s="46">
        <v>45188</v>
      </c>
      <c r="C1037" s="45">
        <v>58500</v>
      </c>
      <c r="D1037" t="s">
        <v>1005</v>
      </c>
      <c r="E1037" s="46">
        <v>45215</v>
      </c>
      <c r="F1037" s="45" t="s">
        <v>721</v>
      </c>
      <c r="I1037" t="s">
        <v>726</v>
      </c>
    </row>
    <row r="1038" spans="1:9" hidden="1" x14ac:dyDescent="0.3">
      <c r="A1038" t="s">
        <v>748</v>
      </c>
      <c r="B1038" s="46">
        <v>45247</v>
      </c>
      <c r="C1038" s="45">
        <v>58500</v>
      </c>
      <c r="D1038" t="s">
        <v>1004</v>
      </c>
      <c r="E1038" s="46">
        <v>45275</v>
      </c>
      <c r="F1038" s="45" t="s">
        <v>721</v>
      </c>
      <c r="I1038" t="s">
        <v>726</v>
      </c>
    </row>
    <row r="1039" spans="1:9" hidden="1" x14ac:dyDescent="0.3">
      <c r="A1039" t="s">
        <v>727</v>
      </c>
      <c r="B1039" s="46">
        <v>45400</v>
      </c>
      <c r="C1039" s="45">
        <v>58500</v>
      </c>
      <c r="D1039" t="s">
        <v>2050</v>
      </c>
      <c r="E1039" s="46">
        <v>45428</v>
      </c>
      <c r="F1039" s="45" t="s">
        <v>721</v>
      </c>
      <c r="I1039" t="s">
        <v>2027</v>
      </c>
    </row>
    <row r="1040" spans="1:9" hidden="1" x14ac:dyDescent="0.3">
      <c r="A1040" t="s">
        <v>748</v>
      </c>
      <c r="B1040" s="46">
        <v>45440</v>
      </c>
      <c r="C1040" s="45">
        <v>58366</v>
      </c>
      <c r="D1040" t="s">
        <v>797</v>
      </c>
      <c r="E1040" s="46">
        <v>45458</v>
      </c>
      <c r="F1040" s="45" t="s">
        <v>721</v>
      </c>
      <c r="I1040" t="s">
        <v>781</v>
      </c>
    </row>
    <row r="1041" spans="1:9" hidden="1" x14ac:dyDescent="0.3">
      <c r="A1041" t="s">
        <v>734</v>
      </c>
      <c r="B1041" s="46">
        <v>45264</v>
      </c>
      <c r="C1041" s="45">
        <v>58200</v>
      </c>
      <c r="D1041" t="s">
        <v>893</v>
      </c>
      <c r="E1041" s="46">
        <v>45306</v>
      </c>
      <c r="F1041" s="45" t="s">
        <v>721</v>
      </c>
      <c r="I1041" t="s">
        <v>726</v>
      </c>
    </row>
    <row r="1042" spans="1:9" hidden="1" x14ac:dyDescent="0.3">
      <c r="A1042" t="s">
        <v>734</v>
      </c>
      <c r="B1042" s="46">
        <v>45254</v>
      </c>
      <c r="C1042" s="45">
        <v>58100</v>
      </c>
      <c r="D1042" t="s">
        <v>926</v>
      </c>
      <c r="E1042" s="46">
        <v>45275</v>
      </c>
      <c r="F1042" s="45" t="s">
        <v>721</v>
      </c>
      <c r="I1042" t="s">
        <v>726</v>
      </c>
    </row>
    <row r="1043" spans="1:9" hidden="1" x14ac:dyDescent="0.3">
      <c r="A1043" t="s">
        <v>734</v>
      </c>
      <c r="B1043" s="46">
        <v>45224</v>
      </c>
      <c r="C1043" s="45">
        <v>58000</v>
      </c>
      <c r="D1043" t="s">
        <v>918</v>
      </c>
      <c r="E1043" s="46">
        <v>45245</v>
      </c>
      <c r="F1043" s="45" t="s">
        <v>721</v>
      </c>
      <c r="I1043" t="s">
        <v>726</v>
      </c>
    </row>
    <row r="1044" spans="1:9" hidden="1" x14ac:dyDescent="0.3">
      <c r="A1044" t="s">
        <v>734</v>
      </c>
      <c r="B1044" s="46">
        <v>45286</v>
      </c>
      <c r="C1044" s="45">
        <v>58000</v>
      </c>
      <c r="D1044" t="s">
        <v>938</v>
      </c>
      <c r="E1044" s="46">
        <v>45306</v>
      </c>
      <c r="F1044" s="45" t="s">
        <v>721</v>
      </c>
      <c r="I1044" t="s">
        <v>726</v>
      </c>
    </row>
    <row r="1045" spans="1:9" hidden="1" x14ac:dyDescent="0.3">
      <c r="A1045" t="s">
        <v>794</v>
      </c>
      <c r="B1045" s="46">
        <v>45173</v>
      </c>
      <c r="C1045" s="45">
        <v>58000</v>
      </c>
      <c r="D1045" t="s">
        <v>1006</v>
      </c>
      <c r="E1045" s="46">
        <v>45215</v>
      </c>
      <c r="F1045" s="45" t="s">
        <v>721</v>
      </c>
      <c r="I1045" t="s">
        <v>818</v>
      </c>
    </row>
    <row r="1046" spans="1:9" hidden="1" x14ac:dyDescent="0.3">
      <c r="A1046" t="s">
        <v>734</v>
      </c>
      <c r="B1046" s="46">
        <v>45133</v>
      </c>
      <c r="C1046" s="45">
        <v>58000</v>
      </c>
      <c r="D1046" t="s">
        <v>1009</v>
      </c>
      <c r="E1046" s="46">
        <v>45154</v>
      </c>
      <c r="F1046" s="45" t="s">
        <v>721</v>
      </c>
      <c r="I1046" t="s">
        <v>726</v>
      </c>
    </row>
    <row r="1047" spans="1:9" hidden="1" x14ac:dyDescent="0.3">
      <c r="A1047" t="s">
        <v>734</v>
      </c>
      <c r="B1047" s="46">
        <v>45124</v>
      </c>
      <c r="C1047" s="45">
        <v>58000</v>
      </c>
      <c r="D1047" t="s">
        <v>998</v>
      </c>
      <c r="E1047" s="46">
        <v>45154</v>
      </c>
      <c r="F1047" s="45" t="s">
        <v>721</v>
      </c>
      <c r="I1047" t="s">
        <v>726</v>
      </c>
    </row>
    <row r="1048" spans="1:9" hidden="1" x14ac:dyDescent="0.3">
      <c r="A1048" t="s">
        <v>734</v>
      </c>
      <c r="B1048" s="46">
        <v>45336</v>
      </c>
      <c r="C1048" s="45">
        <v>58000</v>
      </c>
      <c r="D1048" t="s">
        <v>1008</v>
      </c>
      <c r="E1048" s="46">
        <v>45366</v>
      </c>
      <c r="F1048" s="45" t="s">
        <v>721</v>
      </c>
      <c r="I1048" t="s">
        <v>726</v>
      </c>
    </row>
    <row r="1049" spans="1:9" hidden="1" x14ac:dyDescent="0.3">
      <c r="A1049" t="s">
        <v>734</v>
      </c>
      <c r="B1049" s="46">
        <v>45314</v>
      </c>
      <c r="C1049" s="45">
        <v>58000</v>
      </c>
      <c r="D1049" t="s">
        <v>938</v>
      </c>
      <c r="E1049" s="46">
        <v>45337</v>
      </c>
      <c r="F1049" s="45" t="s">
        <v>721</v>
      </c>
      <c r="I1049" t="s">
        <v>726</v>
      </c>
    </row>
    <row r="1050" spans="1:9" hidden="1" x14ac:dyDescent="0.3">
      <c r="A1050" t="s">
        <v>779</v>
      </c>
      <c r="B1050" s="46">
        <v>45300</v>
      </c>
      <c r="C1050" s="45">
        <v>58000</v>
      </c>
      <c r="D1050" t="s">
        <v>1007</v>
      </c>
      <c r="E1050" s="46">
        <v>45338</v>
      </c>
      <c r="F1050" s="45" t="s">
        <v>721</v>
      </c>
      <c r="I1050" t="s">
        <v>726</v>
      </c>
    </row>
    <row r="1051" spans="1:9" hidden="1" x14ac:dyDescent="0.3">
      <c r="A1051" t="s">
        <v>772</v>
      </c>
      <c r="B1051" s="46">
        <v>45205</v>
      </c>
      <c r="C1051" s="45">
        <v>57900</v>
      </c>
      <c r="D1051" t="s">
        <v>1010</v>
      </c>
      <c r="E1051" s="46">
        <v>45256</v>
      </c>
      <c r="F1051" s="45" t="s">
        <v>721</v>
      </c>
      <c r="I1051" t="s">
        <v>726</v>
      </c>
    </row>
    <row r="1052" spans="1:9" hidden="1" x14ac:dyDescent="0.3">
      <c r="A1052" t="s">
        <v>729</v>
      </c>
      <c r="B1052" s="46">
        <v>45260</v>
      </c>
      <c r="C1052" s="45">
        <v>57500</v>
      </c>
      <c r="D1052" t="s">
        <v>830</v>
      </c>
      <c r="E1052" s="46">
        <v>45275</v>
      </c>
      <c r="F1052" s="45" t="s">
        <v>721</v>
      </c>
      <c r="I1052" t="s">
        <v>726</v>
      </c>
    </row>
    <row r="1053" spans="1:9" hidden="1" x14ac:dyDescent="0.3">
      <c r="A1053" t="s">
        <v>748</v>
      </c>
      <c r="B1053" s="46">
        <v>45244</v>
      </c>
      <c r="C1053" s="45">
        <v>57491</v>
      </c>
      <c r="D1053" t="s">
        <v>797</v>
      </c>
      <c r="E1053" s="46">
        <v>45275</v>
      </c>
      <c r="F1053" s="45" t="s">
        <v>721</v>
      </c>
      <c r="I1053" t="s">
        <v>781</v>
      </c>
    </row>
    <row r="1054" spans="1:9" hidden="1" x14ac:dyDescent="0.3">
      <c r="A1054" t="s">
        <v>729</v>
      </c>
      <c r="B1054" s="46">
        <v>45230</v>
      </c>
      <c r="C1054" s="45">
        <v>57480</v>
      </c>
      <c r="D1054" t="s">
        <v>790</v>
      </c>
      <c r="E1054" s="46">
        <v>45245</v>
      </c>
      <c r="F1054" s="45" t="s">
        <v>721</v>
      </c>
      <c r="I1054" t="s">
        <v>834</v>
      </c>
    </row>
    <row r="1055" spans="1:9" hidden="1" x14ac:dyDescent="0.3">
      <c r="A1055" t="s">
        <v>724</v>
      </c>
      <c r="B1055" s="46">
        <v>45364</v>
      </c>
      <c r="C1055" s="45">
        <v>57200</v>
      </c>
      <c r="D1055" t="s">
        <v>1014</v>
      </c>
      <c r="E1055" s="46">
        <v>45408</v>
      </c>
      <c r="F1055" s="45" t="s">
        <v>721</v>
      </c>
      <c r="I1055" t="s">
        <v>726</v>
      </c>
    </row>
    <row r="1056" spans="1:9" hidden="1" x14ac:dyDescent="0.3">
      <c r="A1056" t="s">
        <v>727</v>
      </c>
      <c r="B1056" s="46">
        <v>45393</v>
      </c>
      <c r="C1056" s="45">
        <v>57200</v>
      </c>
      <c r="D1056" t="s">
        <v>788</v>
      </c>
      <c r="E1056" s="46">
        <v>45428</v>
      </c>
      <c r="F1056" s="45" t="s">
        <v>721</v>
      </c>
      <c r="I1056" t="s">
        <v>726</v>
      </c>
    </row>
    <row r="1057" spans="1:9" hidden="1" x14ac:dyDescent="0.3">
      <c r="A1057" t="s">
        <v>748</v>
      </c>
      <c r="B1057" s="46">
        <v>45266</v>
      </c>
      <c r="C1057" s="45">
        <v>57156</v>
      </c>
      <c r="D1057" t="s">
        <v>797</v>
      </c>
      <c r="E1057" s="46">
        <v>45306</v>
      </c>
      <c r="F1057" s="45" t="s">
        <v>721</v>
      </c>
      <c r="I1057" t="s">
        <v>781</v>
      </c>
    </row>
    <row r="1058" spans="1:9" hidden="1" x14ac:dyDescent="0.3">
      <c r="A1058" t="s">
        <v>748</v>
      </c>
      <c r="B1058" s="46">
        <v>45266</v>
      </c>
      <c r="C1058" s="45">
        <v>57000</v>
      </c>
      <c r="D1058" t="s">
        <v>735</v>
      </c>
      <c r="E1058" s="46">
        <v>45306</v>
      </c>
      <c r="F1058" s="45" t="s">
        <v>721</v>
      </c>
      <c r="I1058" t="s">
        <v>762</v>
      </c>
    </row>
    <row r="1059" spans="1:9" hidden="1" x14ac:dyDescent="0.3">
      <c r="A1059" t="s">
        <v>794</v>
      </c>
      <c r="B1059" s="46">
        <v>45242</v>
      </c>
      <c r="C1059" s="45">
        <v>57000</v>
      </c>
      <c r="D1059" t="s">
        <v>951</v>
      </c>
      <c r="E1059" s="46">
        <v>45278</v>
      </c>
      <c r="F1059" s="45" t="s">
        <v>721</v>
      </c>
      <c r="I1059" t="s">
        <v>818</v>
      </c>
    </row>
    <row r="1060" spans="1:9" hidden="1" x14ac:dyDescent="0.3">
      <c r="A1060" t="s">
        <v>794</v>
      </c>
      <c r="B1060" s="46">
        <v>45242</v>
      </c>
      <c r="C1060" s="45">
        <v>57000</v>
      </c>
      <c r="D1060" t="s">
        <v>951</v>
      </c>
      <c r="E1060" s="46">
        <v>45276</v>
      </c>
      <c r="F1060" s="45" t="s">
        <v>721</v>
      </c>
      <c r="G1060">
        <v>0</v>
      </c>
    </row>
    <row r="1061" spans="1:9" hidden="1" x14ac:dyDescent="0.3">
      <c r="A1061" t="s">
        <v>734</v>
      </c>
      <c r="B1061" s="46">
        <v>45209</v>
      </c>
      <c r="C1061" s="45">
        <v>57000</v>
      </c>
      <c r="D1061" t="s">
        <v>1011</v>
      </c>
      <c r="E1061" s="46">
        <v>45245</v>
      </c>
      <c r="F1061" s="45" t="s">
        <v>721</v>
      </c>
      <c r="I1061" t="s">
        <v>726</v>
      </c>
    </row>
    <row r="1062" spans="1:9" hidden="1" x14ac:dyDescent="0.3">
      <c r="A1062" t="s">
        <v>794</v>
      </c>
      <c r="B1062" s="46">
        <v>45229</v>
      </c>
      <c r="C1062" s="45">
        <v>57000</v>
      </c>
      <c r="D1062" t="s">
        <v>958</v>
      </c>
      <c r="E1062" s="46">
        <v>45246</v>
      </c>
      <c r="F1062" s="45" t="s">
        <v>721</v>
      </c>
      <c r="I1062" t="s">
        <v>818</v>
      </c>
    </row>
    <row r="1063" spans="1:9" hidden="1" x14ac:dyDescent="0.3">
      <c r="A1063" t="s">
        <v>772</v>
      </c>
      <c r="B1063" s="46">
        <v>45222</v>
      </c>
      <c r="C1063" s="45">
        <v>57000</v>
      </c>
      <c r="D1063" t="s">
        <v>942</v>
      </c>
      <c r="E1063" s="46">
        <v>45256</v>
      </c>
      <c r="F1063" s="45" t="s">
        <v>721</v>
      </c>
      <c r="I1063" t="s">
        <v>818</v>
      </c>
    </row>
    <row r="1064" spans="1:9" hidden="1" x14ac:dyDescent="0.3">
      <c r="A1064" t="s">
        <v>748</v>
      </c>
      <c r="B1064" s="46">
        <v>45244</v>
      </c>
      <c r="C1064" s="45">
        <v>57000</v>
      </c>
      <c r="D1064" t="s">
        <v>735</v>
      </c>
      <c r="E1064" s="46">
        <v>45275</v>
      </c>
      <c r="F1064" s="45" t="s">
        <v>721</v>
      </c>
      <c r="I1064" t="s">
        <v>762</v>
      </c>
    </row>
    <row r="1065" spans="1:9" hidden="1" x14ac:dyDescent="0.3">
      <c r="A1065" t="s">
        <v>729</v>
      </c>
      <c r="B1065" s="46">
        <v>45239</v>
      </c>
      <c r="C1065" s="45">
        <v>57000</v>
      </c>
      <c r="D1065" t="s">
        <v>830</v>
      </c>
      <c r="E1065" s="46">
        <v>45275</v>
      </c>
      <c r="F1065" s="45" t="s">
        <v>721</v>
      </c>
      <c r="I1065" t="s">
        <v>726</v>
      </c>
    </row>
    <row r="1066" spans="1:9" hidden="1" x14ac:dyDescent="0.3">
      <c r="A1066" t="s">
        <v>734</v>
      </c>
      <c r="B1066" s="46">
        <v>45251</v>
      </c>
      <c r="C1066" s="45">
        <v>57000</v>
      </c>
      <c r="D1066" t="s">
        <v>938</v>
      </c>
      <c r="E1066" s="46">
        <v>45275</v>
      </c>
      <c r="F1066" s="45" t="s">
        <v>721</v>
      </c>
      <c r="I1066" t="s">
        <v>726</v>
      </c>
    </row>
    <row r="1067" spans="1:9" hidden="1" x14ac:dyDescent="0.3">
      <c r="A1067" t="s">
        <v>748</v>
      </c>
      <c r="B1067" s="46">
        <v>45125</v>
      </c>
      <c r="C1067" s="45">
        <v>57000</v>
      </c>
      <c r="D1067" t="s">
        <v>735</v>
      </c>
      <c r="E1067" s="46">
        <v>45154</v>
      </c>
      <c r="F1067" s="45" t="s">
        <v>721</v>
      </c>
      <c r="I1067" t="s">
        <v>762</v>
      </c>
    </row>
    <row r="1068" spans="1:9" hidden="1" x14ac:dyDescent="0.3">
      <c r="A1068" t="s">
        <v>748</v>
      </c>
      <c r="B1068" s="46">
        <v>45139</v>
      </c>
      <c r="C1068" s="45">
        <v>57000</v>
      </c>
      <c r="D1068" t="s">
        <v>735</v>
      </c>
      <c r="E1068" s="46">
        <v>45184</v>
      </c>
      <c r="F1068" s="45" t="s">
        <v>721</v>
      </c>
      <c r="I1068" t="s">
        <v>762</v>
      </c>
    </row>
    <row r="1069" spans="1:9" hidden="1" x14ac:dyDescent="0.3">
      <c r="A1069" t="s">
        <v>748</v>
      </c>
      <c r="B1069" s="46">
        <v>45146</v>
      </c>
      <c r="C1069" s="45">
        <v>57000</v>
      </c>
      <c r="D1069" t="s">
        <v>735</v>
      </c>
      <c r="E1069" s="46">
        <v>45184</v>
      </c>
      <c r="F1069" s="45" t="s">
        <v>721</v>
      </c>
      <c r="I1069" t="s">
        <v>762</v>
      </c>
    </row>
    <row r="1070" spans="1:9" hidden="1" x14ac:dyDescent="0.3">
      <c r="A1070" t="s">
        <v>748</v>
      </c>
      <c r="B1070" s="46">
        <v>45229</v>
      </c>
      <c r="C1070" s="45">
        <v>57000</v>
      </c>
      <c r="D1070" t="s">
        <v>735</v>
      </c>
      <c r="E1070" s="46">
        <v>45245</v>
      </c>
      <c r="F1070" s="45" t="s">
        <v>721</v>
      </c>
      <c r="I1070" t="s">
        <v>762</v>
      </c>
    </row>
    <row r="1071" spans="1:9" hidden="1" x14ac:dyDescent="0.3">
      <c r="A1071" t="s">
        <v>724</v>
      </c>
      <c r="B1071" s="46">
        <v>45194</v>
      </c>
      <c r="C1071" s="45">
        <v>57000</v>
      </c>
      <c r="D1071" t="s">
        <v>949</v>
      </c>
      <c r="E1071" s="46">
        <v>45225</v>
      </c>
      <c r="F1071" s="45" t="s">
        <v>721</v>
      </c>
      <c r="I1071" t="s">
        <v>726</v>
      </c>
    </row>
    <row r="1072" spans="1:9" hidden="1" x14ac:dyDescent="0.3">
      <c r="A1072" t="s">
        <v>748</v>
      </c>
      <c r="B1072" s="46">
        <v>45406</v>
      </c>
      <c r="C1072" s="45">
        <v>57000</v>
      </c>
      <c r="D1072" t="s">
        <v>735</v>
      </c>
      <c r="E1072" s="46">
        <v>45428</v>
      </c>
      <c r="F1072" s="45" t="s">
        <v>721</v>
      </c>
      <c r="I1072" t="s">
        <v>762</v>
      </c>
    </row>
    <row r="1073" spans="1:9" hidden="1" x14ac:dyDescent="0.3">
      <c r="A1073" t="s">
        <v>775</v>
      </c>
      <c r="B1073" s="46">
        <v>45442</v>
      </c>
      <c r="C1073" s="45">
        <v>57000</v>
      </c>
      <c r="D1073" t="s">
        <v>839</v>
      </c>
      <c r="E1073" s="46">
        <v>45459</v>
      </c>
      <c r="F1073" s="45" t="s">
        <v>721</v>
      </c>
      <c r="I1073" t="s">
        <v>726</v>
      </c>
    </row>
    <row r="1074" spans="1:9" hidden="1" x14ac:dyDescent="0.3">
      <c r="A1074" t="s">
        <v>803</v>
      </c>
      <c r="B1074" s="46">
        <v>45341</v>
      </c>
      <c r="C1074" s="45">
        <v>57000</v>
      </c>
      <c r="D1074" t="s">
        <v>897</v>
      </c>
      <c r="E1074" s="46">
        <v>45369</v>
      </c>
      <c r="F1074" s="45" t="s">
        <v>721</v>
      </c>
      <c r="G1074">
        <v>0</v>
      </c>
      <c r="I1074" t="s">
        <v>818</v>
      </c>
    </row>
    <row r="1075" spans="1:9" hidden="1" x14ac:dyDescent="0.3">
      <c r="A1075" t="s">
        <v>775</v>
      </c>
      <c r="B1075" s="46">
        <v>45366</v>
      </c>
      <c r="C1075" s="45">
        <v>57000</v>
      </c>
      <c r="D1075" t="s">
        <v>2068</v>
      </c>
      <c r="E1075" s="46">
        <v>45398</v>
      </c>
      <c r="F1075" s="45" t="s">
        <v>721</v>
      </c>
      <c r="G1075">
        <v>0</v>
      </c>
      <c r="I1075" t="s">
        <v>726</v>
      </c>
    </row>
    <row r="1076" spans="1:9" hidden="1" x14ac:dyDescent="0.3">
      <c r="A1076" t="s">
        <v>748</v>
      </c>
      <c r="B1076" s="46">
        <v>45365</v>
      </c>
      <c r="C1076" s="45">
        <v>57000</v>
      </c>
      <c r="D1076" t="s">
        <v>735</v>
      </c>
      <c r="E1076" s="46">
        <v>45397</v>
      </c>
      <c r="F1076" s="45" t="s">
        <v>721</v>
      </c>
      <c r="I1076" t="s">
        <v>762</v>
      </c>
    </row>
    <row r="1077" spans="1:9" hidden="1" x14ac:dyDescent="0.3">
      <c r="A1077" t="s">
        <v>748</v>
      </c>
      <c r="B1077" s="46">
        <v>45314</v>
      </c>
      <c r="C1077" s="45">
        <v>57000</v>
      </c>
      <c r="D1077" t="s">
        <v>735</v>
      </c>
      <c r="E1077" s="46">
        <v>45337</v>
      </c>
      <c r="F1077" s="45" t="s">
        <v>721</v>
      </c>
      <c r="I1077" t="s">
        <v>762</v>
      </c>
    </row>
    <row r="1078" spans="1:9" hidden="1" x14ac:dyDescent="0.3">
      <c r="A1078" t="s">
        <v>734</v>
      </c>
      <c r="B1078" s="46">
        <v>45293</v>
      </c>
      <c r="C1078" s="45">
        <v>57000</v>
      </c>
      <c r="D1078" t="s">
        <v>954</v>
      </c>
      <c r="E1078" s="46">
        <v>45337</v>
      </c>
      <c r="F1078" s="45" t="s">
        <v>721</v>
      </c>
      <c r="I1078" t="s">
        <v>726</v>
      </c>
    </row>
    <row r="1079" spans="1:9" hidden="1" x14ac:dyDescent="0.3">
      <c r="A1079" t="s">
        <v>727</v>
      </c>
      <c r="B1079" s="46">
        <v>45190</v>
      </c>
      <c r="C1079" s="45">
        <v>56600</v>
      </c>
      <c r="D1079" t="s">
        <v>952</v>
      </c>
      <c r="E1079" s="46">
        <v>45215</v>
      </c>
      <c r="F1079" s="45" t="s">
        <v>721</v>
      </c>
      <c r="I1079" t="s">
        <v>726</v>
      </c>
    </row>
    <row r="1080" spans="1:9" hidden="1" x14ac:dyDescent="0.3">
      <c r="A1080" t="s">
        <v>734</v>
      </c>
      <c r="B1080" s="46">
        <v>45187</v>
      </c>
      <c r="C1080" s="45">
        <v>56000</v>
      </c>
      <c r="D1080" t="s">
        <v>1013</v>
      </c>
      <c r="E1080" s="46">
        <v>45215</v>
      </c>
      <c r="F1080" s="45" t="s">
        <v>721</v>
      </c>
      <c r="I1080" t="s">
        <v>726</v>
      </c>
    </row>
    <row r="1081" spans="1:9" hidden="1" x14ac:dyDescent="0.3">
      <c r="A1081" t="s">
        <v>734</v>
      </c>
      <c r="B1081" s="46">
        <v>45195</v>
      </c>
      <c r="C1081" s="45">
        <v>56000</v>
      </c>
      <c r="D1081" t="s">
        <v>1013</v>
      </c>
      <c r="E1081" s="46">
        <v>45215</v>
      </c>
      <c r="F1081" s="45" t="s">
        <v>721</v>
      </c>
      <c r="I1081" t="s">
        <v>726</v>
      </c>
    </row>
    <row r="1082" spans="1:9" hidden="1" x14ac:dyDescent="0.3">
      <c r="A1082" t="s">
        <v>724</v>
      </c>
      <c r="B1082" s="46">
        <v>45160</v>
      </c>
      <c r="C1082" s="45">
        <v>56000</v>
      </c>
      <c r="D1082" t="s">
        <v>1012</v>
      </c>
      <c r="E1082" s="46">
        <v>45195</v>
      </c>
      <c r="F1082" s="45" t="s">
        <v>721</v>
      </c>
      <c r="I1082" t="s">
        <v>726</v>
      </c>
    </row>
    <row r="1083" spans="1:9" hidden="1" x14ac:dyDescent="0.3">
      <c r="A1083" t="s">
        <v>724</v>
      </c>
      <c r="B1083" s="46">
        <v>45177</v>
      </c>
      <c r="C1083" s="45">
        <v>56000</v>
      </c>
      <c r="D1083" t="s">
        <v>1014</v>
      </c>
      <c r="E1083" s="46">
        <v>45225</v>
      </c>
      <c r="F1083" s="45" t="s">
        <v>721</v>
      </c>
      <c r="I1083" t="s">
        <v>726</v>
      </c>
    </row>
    <row r="1084" spans="1:9" hidden="1" x14ac:dyDescent="0.3">
      <c r="A1084" t="s">
        <v>734</v>
      </c>
      <c r="B1084" s="46">
        <v>45245</v>
      </c>
      <c r="C1084" s="45">
        <v>56000</v>
      </c>
      <c r="D1084" t="s">
        <v>1013</v>
      </c>
      <c r="E1084" s="46">
        <v>45275</v>
      </c>
      <c r="F1084" s="45" t="s">
        <v>721</v>
      </c>
      <c r="I1084" t="s">
        <v>726</v>
      </c>
    </row>
    <row r="1085" spans="1:9" hidden="1" x14ac:dyDescent="0.3">
      <c r="A1085" t="s">
        <v>734</v>
      </c>
      <c r="B1085" s="46">
        <v>45237</v>
      </c>
      <c r="C1085" s="45">
        <v>56000</v>
      </c>
      <c r="D1085" t="s">
        <v>1013</v>
      </c>
      <c r="E1085" s="46">
        <v>45275</v>
      </c>
      <c r="F1085" s="45" t="s">
        <v>721</v>
      </c>
      <c r="I1085" t="s">
        <v>726</v>
      </c>
    </row>
    <row r="1086" spans="1:9" hidden="1" x14ac:dyDescent="0.3">
      <c r="A1086" t="s">
        <v>775</v>
      </c>
      <c r="B1086" s="46">
        <v>45288</v>
      </c>
      <c r="C1086" s="45">
        <v>56000</v>
      </c>
      <c r="D1086" t="s">
        <v>1015</v>
      </c>
      <c r="E1086" s="46">
        <v>45307</v>
      </c>
      <c r="F1086" s="45" t="s">
        <v>721</v>
      </c>
      <c r="I1086" t="s">
        <v>726</v>
      </c>
    </row>
    <row r="1087" spans="1:9" hidden="1" x14ac:dyDescent="0.3">
      <c r="A1087" t="s">
        <v>777</v>
      </c>
      <c r="B1087" s="46">
        <v>45289</v>
      </c>
      <c r="C1087" s="45">
        <v>56000</v>
      </c>
      <c r="D1087" t="s">
        <v>875</v>
      </c>
      <c r="E1087" s="46">
        <v>45337</v>
      </c>
      <c r="F1087" s="45" t="s">
        <v>721</v>
      </c>
      <c r="I1087" t="s">
        <v>818</v>
      </c>
    </row>
    <row r="1088" spans="1:9" hidden="1" x14ac:dyDescent="0.3">
      <c r="A1088" t="s">
        <v>734</v>
      </c>
      <c r="B1088" s="46">
        <v>45432</v>
      </c>
      <c r="C1088" s="45">
        <v>56000</v>
      </c>
      <c r="D1088" t="s">
        <v>994</v>
      </c>
      <c r="E1088" s="46">
        <v>45458</v>
      </c>
      <c r="F1088" s="45" t="s">
        <v>721</v>
      </c>
      <c r="I1088" t="s">
        <v>726</v>
      </c>
    </row>
    <row r="1089" spans="1:9" hidden="1" x14ac:dyDescent="0.3">
      <c r="A1089" t="s">
        <v>767</v>
      </c>
      <c r="B1089" s="46">
        <v>45442</v>
      </c>
      <c r="C1089" s="45">
        <v>55000</v>
      </c>
      <c r="D1089" t="s">
        <v>836</v>
      </c>
      <c r="E1089" s="46">
        <v>45458</v>
      </c>
      <c r="F1089" s="45" t="s">
        <v>721</v>
      </c>
      <c r="I1089" t="s">
        <v>726</v>
      </c>
    </row>
    <row r="1090" spans="1:9" hidden="1" x14ac:dyDescent="0.3">
      <c r="A1090" t="s">
        <v>794</v>
      </c>
      <c r="B1090" s="46">
        <v>45310</v>
      </c>
      <c r="C1090" s="45">
        <v>55000</v>
      </c>
      <c r="D1090" t="s">
        <v>951</v>
      </c>
      <c r="E1090" s="46">
        <v>45338</v>
      </c>
      <c r="F1090" s="45" t="s">
        <v>721</v>
      </c>
      <c r="I1090" t="s">
        <v>818</v>
      </c>
    </row>
    <row r="1091" spans="1:9" hidden="1" x14ac:dyDescent="0.3">
      <c r="A1091" t="s">
        <v>734</v>
      </c>
      <c r="B1091" s="46">
        <v>45355</v>
      </c>
      <c r="C1091" s="45">
        <v>55000</v>
      </c>
      <c r="D1091" t="s">
        <v>1016</v>
      </c>
      <c r="E1091" s="46">
        <v>45397</v>
      </c>
      <c r="F1091" s="45" t="s">
        <v>721</v>
      </c>
      <c r="I1091" t="s">
        <v>726</v>
      </c>
    </row>
    <row r="1092" spans="1:9" hidden="1" x14ac:dyDescent="0.3">
      <c r="A1092" t="s">
        <v>727</v>
      </c>
      <c r="B1092" s="46">
        <v>45379</v>
      </c>
      <c r="C1092" s="45">
        <v>55000</v>
      </c>
      <c r="D1092" t="s">
        <v>832</v>
      </c>
      <c r="E1092" s="46">
        <v>45397</v>
      </c>
      <c r="F1092" s="45" t="s">
        <v>721</v>
      </c>
      <c r="I1092" t="s">
        <v>726</v>
      </c>
    </row>
    <row r="1093" spans="1:9" hidden="1" x14ac:dyDescent="0.3">
      <c r="A1093" t="s">
        <v>777</v>
      </c>
      <c r="B1093" s="46">
        <v>45338</v>
      </c>
      <c r="C1093" s="45">
        <v>55000</v>
      </c>
      <c r="D1093" t="s">
        <v>875</v>
      </c>
      <c r="E1093" s="46">
        <v>45366</v>
      </c>
      <c r="F1093" s="45" t="s">
        <v>721</v>
      </c>
      <c r="I1093" t="s">
        <v>818</v>
      </c>
    </row>
    <row r="1094" spans="1:9" hidden="1" x14ac:dyDescent="0.3">
      <c r="A1094" t="s">
        <v>724</v>
      </c>
      <c r="B1094" s="46">
        <v>45330</v>
      </c>
      <c r="C1094" s="45">
        <v>55000</v>
      </c>
      <c r="D1094" t="s">
        <v>907</v>
      </c>
      <c r="E1094" s="46">
        <v>45377</v>
      </c>
      <c r="F1094" s="45" t="s">
        <v>721</v>
      </c>
      <c r="I1094" t="s">
        <v>726</v>
      </c>
    </row>
    <row r="1095" spans="1:9" hidden="1" x14ac:dyDescent="0.3">
      <c r="A1095" t="s">
        <v>734</v>
      </c>
      <c r="B1095" s="46">
        <v>45222</v>
      </c>
      <c r="C1095" s="45">
        <v>55000</v>
      </c>
      <c r="D1095" t="s">
        <v>1013</v>
      </c>
      <c r="E1095" s="46">
        <v>45245</v>
      </c>
      <c r="F1095" s="45" t="s">
        <v>721</v>
      </c>
      <c r="I1095" t="s">
        <v>726</v>
      </c>
    </row>
    <row r="1096" spans="1:9" hidden="1" x14ac:dyDescent="0.3">
      <c r="A1096" t="s">
        <v>734</v>
      </c>
      <c r="B1096" s="46">
        <v>45161</v>
      </c>
      <c r="C1096" s="45">
        <v>55000</v>
      </c>
      <c r="D1096" t="s">
        <v>1013</v>
      </c>
      <c r="E1096" s="46">
        <v>45184</v>
      </c>
      <c r="F1096" s="45" t="s">
        <v>721</v>
      </c>
      <c r="I1096" t="s">
        <v>726</v>
      </c>
    </row>
    <row r="1097" spans="1:9" hidden="1" x14ac:dyDescent="0.3">
      <c r="A1097" t="s">
        <v>779</v>
      </c>
      <c r="B1097" s="46">
        <v>45168</v>
      </c>
      <c r="C1097" s="45">
        <v>55000</v>
      </c>
      <c r="D1097" t="s">
        <v>881</v>
      </c>
      <c r="E1097" s="46">
        <v>45184</v>
      </c>
      <c r="F1097" s="45" t="s">
        <v>721</v>
      </c>
    </row>
    <row r="1098" spans="1:9" hidden="1" x14ac:dyDescent="0.3">
      <c r="A1098" t="s">
        <v>748</v>
      </c>
      <c r="B1098" s="46">
        <v>45329</v>
      </c>
      <c r="C1098" s="45">
        <v>54725</v>
      </c>
      <c r="D1098" t="s">
        <v>797</v>
      </c>
      <c r="E1098" s="46">
        <v>45366</v>
      </c>
      <c r="F1098" s="45" t="s">
        <v>721</v>
      </c>
      <c r="I1098" t="s">
        <v>781</v>
      </c>
    </row>
    <row r="1099" spans="1:9" hidden="1" x14ac:dyDescent="0.3">
      <c r="A1099" t="s">
        <v>748</v>
      </c>
      <c r="B1099" s="46">
        <v>45336</v>
      </c>
      <c r="C1099" s="45">
        <v>54700</v>
      </c>
      <c r="D1099" t="s">
        <v>735</v>
      </c>
      <c r="E1099" s="46">
        <v>45366</v>
      </c>
      <c r="F1099" s="45" t="s">
        <v>721</v>
      </c>
      <c r="I1099" t="s">
        <v>762</v>
      </c>
    </row>
    <row r="1100" spans="1:9" hidden="1" x14ac:dyDescent="0.3">
      <c r="A1100" t="s">
        <v>767</v>
      </c>
      <c r="B1100" s="46">
        <v>45141</v>
      </c>
      <c r="C1100" s="45">
        <v>54700</v>
      </c>
      <c r="D1100" t="s">
        <v>952</v>
      </c>
      <c r="E1100" s="46">
        <v>45184</v>
      </c>
      <c r="F1100" s="45" t="s">
        <v>721</v>
      </c>
      <c r="I1100" t="s">
        <v>726</v>
      </c>
    </row>
    <row r="1101" spans="1:9" hidden="1" x14ac:dyDescent="0.3">
      <c r="A1101" t="s">
        <v>767</v>
      </c>
      <c r="B1101" s="46">
        <v>45400</v>
      </c>
      <c r="C1101" s="45">
        <v>54500</v>
      </c>
      <c r="D1101" t="s">
        <v>1197</v>
      </c>
      <c r="E1101" s="46">
        <v>45428</v>
      </c>
      <c r="F1101" s="45" t="s">
        <v>721</v>
      </c>
      <c r="I1101" t="s">
        <v>726</v>
      </c>
    </row>
    <row r="1102" spans="1:9" hidden="1" x14ac:dyDescent="0.3">
      <c r="A1102" t="s">
        <v>779</v>
      </c>
      <c r="B1102" s="46">
        <v>45359</v>
      </c>
      <c r="C1102" s="45">
        <v>54100</v>
      </c>
      <c r="D1102" t="s">
        <v>884</v>
      </c>
      <c r="E1102" s="46">
        <v>45398</v>
      </c>
      <c r="F1102" s="45" t="s">
        <v>721</v>
      </c>
      <c r="G1102">
        <v>0</v>
      </c>
      <c r="I1102" t="s">
        <v>726</v>
      </c>
    </row>
    <row r="1103" spans="1:9" hidden="1" x14ac:dyDescent="0.3">
      <c r="A1103" t="s">
        <v>803</v>
      </c>
      <c r="B1103" s="46">
        <v>45356</v>
      </c>
      <c r="C1103" s="45">
        <v>54000</v>
      </c>
      <c r="D1103" t="s">
        <v>1243</v>
      </c>
      <c r="E1103" s="46">
        <v>45398</v>
      </c>
      <c r="F1103" s="45" t="s">
        <v>721</v>
      </c>
      <c r="G1103">
        <v>0</v>
      </c>
      <c r="I1103" t="s">
        <v>726</v>
      </c>
    </row>
    <row r="1104" spans="1:9" hidden="1" x14ac:dyDescent="0.3">
      <c r="A1104" t="s">
        <v>734</v>
      </c>
      <c r="B1104" s="46">
        <v>45327</v>
      </c>
      <c r="C1104" s="45">
        <v>54000</v>
      </c>
      <c r="D1104" t="s">
        <v>1016</v>
      </c>
      <c r="E1104" s="46">
        <v>45366</v>
      </c>
      <c r="F1104" s="45" t="s">
        <v>721</v>
      </c>
      <c r="I1104" t="s">
        <v>726</v>
      </c>
    </row>
    <row r="1105" spans="1:9" hidden="1" x14ac:dyDescent="0.3">
      <c r="A1105" t="s">
        <v>777</v>
      </c>
      <c r="B1105" s="46">
        <v>45314</v>
      </c>
      <c r="C1105" s="45">
        <v>54000</v>
      </c>
      <c r="D1105" t="s">
        <v>875</v>
      </c>
      <c r="E1105" s="46">
        <v>45366</v>
      </c>
      <c r="F1105" s="45" t="s">
        <v>721</v>
      </c>
      <c r="I1105" t="s">
        <v>818</v>
      </c>
    </row>
    <row r="1106" spans="1:9" hidden="1" x14ac:dyDescent="0.3">
      <c r="A1106" t="s">
        <v>722</v>
      </c>
      <c r="B1106" s="46">
        <v>45338</v>
      </c>
      <c r="C1106" s="45">
        <v>54000</v>
      </c>
      <c r="D1106" t="s">
        <v>776</v>
      </c>
      <c r="E1106" s="46">
        <v>45366</v>
      </c>
      <c r="F1106" s="45" t="s">
        <v>721</v>
      </c>
      <c r="I1106" t="s">
        <v>762</v>
      </c>
    </row>
    <row r="1107" spans="1:9" hidden="1" x14ac:dyDescent="0.3">
      <c r="A1107" t="s">
        <v>777</v>
      </c>
      <c r="B1107" s="46">
        <v>45412</v>
      </c>
      <c r="C1107" s="45">
        <v>54000</v>
      </c>
      <c r="D1107" t="s">
        <v>875</v>
      </c>
      <c r="E1107" s="46">
        <v>45458</v>
      </c>
      <c r="F1107" s="45" t="s">
        <v>721</v>
      </c>
      <c r="I1107" t="s">
        <v>818</v>
      </c>
    </row>
    <row r="1108" spans="1:9" hidden="1" x14ac:dyDescent="0.3">
      <c r="A1108" t="s">
        <v>734</v>
      </c>
      <c r="B1108" s="46">
        <v>45125</v>
      </c>
      <c r="C1108" s="45">
        <v>53700</v>
      </c>
      <c r="D1108" t="s">
        <v>893</v>
      </c>
      <c r="E1108" s="46">
        <v>45154</v>
      </c>
      <c r="F1108" s="45" t="s">
        <v>721</v>
      </c>
      <c r="I1108" t="s">
        <v>726</v>
      </c>
    </row>
    <row r="1109" spans="1:9" hidden="1" x14ac:dyDescent="0.3">
      <c r="A1109" t="s">
        <v>734</v>
      </c>
      <c r="B1109" s="46">
        <v>45275</v>
      </c>
      <c r="C1109" s="45">
        <v>53500</v>
      </c>
      <c r="D1109" t="s">
        <v>998</v>
      </c>
      <c r="E1109" s="46">
        <v>45306</v>
      </c>
      <c r="F1109" s="45" t="s">
        <v>721</v>
      </c>
      <c r="I1109" t="s">
        <v>726</v>
      </c>
    </row>
    <row r="1110" spans="1:9" hidden="1" x14ac:dyDescent="0.3">
      <c r="A1110" t="s">
        <v>734</v>
      </c>
      <c r="B1110" s="46">
        <v>45287</v>
      </c>
      <c r="C1110" s="45">
        <v>53500</v>
      </c>
      <c r="D1110" t="s">
        <v>928</v>
      </c>
      <c r="E1110" s="46">
        <v>45306</v>
      </c>
      <c r="F1110" s="45" t="s">
        <v>721</v>
      </c>
      <c r="I1110" t="s">
        <v>726</v>
      </c>
    </row>
    <row r="1111" spans="1:9" hidden="1" x14ac:dyDescent="0.3">
      <c r="A1111" t="s">
        <v>767</v>
      </c>
      <c r="B1111" s="46">
        <v>45414</v>
      </c>
      <c r="C1111" s="45">
        <v>53500</v>
      </c>
      <c r="D1111" t="s">
        <v>805</v>
      </c>
      <c r="E1111" s="46">
        <v>45458</v>
      </c>
      <c r="F1111" s="45" t="s">
        <v>721</v>
      </c>
      <c r="I1111" t="s">
        <v>726</v>
      </c>
    </row>
    <row r="1112" spans="1:9" hidden="1" x14ac:dyDescent="0.3">
      <c r="A1112" t="s">
        <v>748</v>
      </c>
      <c r="B1112" s="46">
        <v>45412</v>
      </c>
      <c r="C1112" s="45">
        <v>53000</v>
      </c>
      <c r="D1112" t="s">
        <v>735</v>
      </c>
      <c r="E1112" s="46">
        <v>45428</v>
      </c>
      <c r="F1112" s="45" t="s">
        <v>721</v>
      </c>
      <c r="I1112" t="s">
        <v>726</v>
      </c>
    </row>
    <row r="1113" spans="1:9" hidden="1" x14ac:dyDescent="0.3">
      <c r="A1113" t="s">
        <v>767</v>
      </c>
      <c r="B1113" s="46">
        <v>45155</v>
      </c>
      <c r="C1113" s="45">
        <v>53000</v>
      </c>
      <c r="D1113" t="s">
        <v>908</v>
      </c>
      <c r="E1113" s="46">
        <v>45184</v>
      </c>
      <c r="F1113" s="45" t="s">
        <v>721</v>
      </c>
      <c r="I1113" t="s">
        <v>726</v>
      </c>
    </row>
    <row r="1114" spans="1:9" hidden="1" x14ac:dyDescent="0.3">
      <c r="A1114" t="s">
        <v>734</v>
      </c>
      <c r="B1114" s="46">
        <v>45268</v>
      </c>
      <c r="C1114" s="45">
        <v>52800</v>
      </c>
      <c r="D1114" t="s">
        <v>766</v>
      </c>
      <c r="E1114" s="46">
        <v>45306</v>
      </c>
      <c r="F1114" s="45" t="s">
        <v>721</v>
      </c>
      <c r="I1114" t="s">
        <v>738</v>
      </c>
    </row>
    <row r="1115" spans="1:9" hidden="1" x14ac:dyDescent="0.3">
      <c r="A1115" t="s">
        <v>748</v>
      </c>
      <c r="B1115" s="46">
        <v>45176</v>
      </c>
      <c r="C1115" s="45">
        <v>52600</v>
      </c>
      <c r="D1115" t="s">
        <v>1018</v>
      </c>
      <c r="E1115" s="46">
        <v>45215</v>
      </c>
      <c r="F1115" s="45" t="s">
        <v>721</v>
      </c>
      <c r="I1115" t="s">
        <v>726</v>
      </c>
    </row>
    <row r="1116" spans="1:9" hidden="1" x14ac:dyDescent="0.3">
      <c r="A1116" t="s">
        <v>734</v>
      </c>
      <c r="B1116" s="46">
        <v>45180</v>
      </c>
      <c r="C1116" s="45">
        <v>52500</v>
      </c>
      <c r="D1116" t="s">
        <v>998</v>
      </c>
      <c r="E1116" s="46">
        <v>45215</v>
      </c>
      <c r="F1116" s="45" t="s">
        <v>721</v>
      </c>
      <c r="I1116" t="s">
        <v>726</v>
      </c>
    </row>
    <row r="1117" spans="1:9" hidden="1" x14ac:dyDescent="0.3">
      <c r="A1117" t="s">
        <v>729</v>
      </c>
      <c r="B1117" s="46">
        <v>45183</v>
      </c>
      <c r="C1117" s="45">
        <v>52500</v>
      </c>
      <c r="D1117" t="s">
        <v>924</v>
      </c>
      <c r="E1117" s="46">
        <v>45215</v>
      </c>
      <c r="F1117" s="45" t="s">
        <v>721</v>
      </c>
      <c r="I1117" t="s">
        <v>726</v>
      </c>
    </row>
    <row r="1118" spans="1:9" hidden="1" x14ac:dyDescent="0.3">
      <c r="A1118" t="s">
        <v>729</v>
      </c>
      <c r="B1118" s="46">
        <v>45169</v>
      </c>
      <c r="C1118" s="45">
        <v>52500</v>
      </c>
      <c r="D1118" t="s">
        <v>1019</v>
      </c>
      <c r="E1118" s="46">
        <v>45184</v>
      </c>
      <c r="F1118" s="45" t="s">
        <v>721</v>
      </c>
      <c r="I1118" t="s">
        <v>726</v>
      </c>
    </row>
    <row r="1119" spans="1:9" hidden="1" x14ac:dyDescent="0.3">
      <c r="A1119" t="s">
        <v>734</v>
      </c>
      <c r="B1119" s="46">
        <v>45421</v>
      </c>
      <c r="C1119" s="45">
        <v>52500</v>
      </c>
      <c r="D1119" t="s">
        <v>924</v>
      </c>
      <c r="E1119" s="46">
        <v>45458</v>
      </c>
      <c r="F1119" s="45" t="s">
        <v>721</v>
      </c>
      <c r="I1119" t="s">
        <v>726</v>
      </c>
    </row>
    <row r="1120" spans="1:9" hidden="1" x14ac:dyDescent="0.3">
      <c r="A1120" t="s">
        <v>729</v>
      </c>
      <c r="B1120" s="46">
        <v>45414</v>
      </c>
      <c r="C1120" s="45">
        <v>52360</v>
      </c>
      <c r="D1120" t="s">
        <v>2078</v>
      </c>
      <c r="E1120" s="46">
        <v>45458</v>
      </c>
      <c r="F1120" s="45" t="s">
        <v>721</v>
      </c>
      <c r="I1120" t="s">
        <v>834</v>
      </c>
    </row>
    <row r="1121" spans="1:9" hidden="1" x14ac:dyDescent="0.3">
      <c r="A1121" t="s">
        <v>729</v>
      </c>
      <c r="B1121" s="46">
        <v>45383</v>
      </c>
      <c r="C1121" s="45">
        <v>52360</v>
      </c>
      <c r="D1121" t="s">
        <v>790</v>
      </c>
      <c r="E1121" s="46">
        <v>45428</v>
      </c>
      <c r="F1121" s="45" t="s">
        <v>721</v>
      </c>
      <c r="I1121" t="s">
        <v>834</v>
      </c>
    </row>
    <row r="1122" spans="1:9" hidden="1" x14ac:dyDescent="0.3">
      <c r="A1122" t="s">
        <v>729</v>
      </c>
      <c r="B1122" s="46">
        <v>45362</v>
      </c>
      <c r="C1122" s="45">
        <v>52360</v>
      </c>
      <c r="D1122" t="s">
        <v>790</v>
      </c>
      <c r="E1122" s="46">
        <v>45397</v>
      </c>
      <c r="F1122" s="45" t="s">
        <v>721</v>
      </c>
      <c r="I1122" t="s">
        <v>834</v>
      </c>
    </row>
    <row r="1123" spans="1:9" hidden="1" x14ac:dyDescent="0.3">
      <c r="A1123" t="s">
        <v>724</v>
      </c>
      <c r="B1123" s="46">
        <v>45372</v>
      </c>
      <c r="C1123" s="45">
        <v>52200</v>
      </c>
      <c r="D1123" t="s">
        <v>1131</v>
      </c>
      <c r="E1123" s="46">
        <v>45408</v>
      </c>
      <c r="F1123" s="45" t="s">
        <v>721</v>
      </c>
      <c r="I1123" t="s">
        <v>726</v>
      </c>
    </row>
    <row r="1124" spans="1:9" hidden="1" x14ac:dyDescent="0.3">
      <c r="A1124" t="s">
        <v>722</v>
      </c>
      <c r="B1124" s="46">
        <v>45174</v>
      </c>
      <c r="C1124" s="45">
        <v>52070</v>
      </c>
      <c r="D1124" t="s">
        <v>776</v>
      </c>
      <c r="E1124" s="46">
        <v>45215</v>
      </c>
      <c r="F1124" s="45" t="s">
        <v>721</v>
      </c>
      <c r="I1124" t="s">
        <v>726</v>
      </c>
    </row>
    <row r="1125" spans="1:9" hidden="1" x14ac:dyDescent="0.3">
      <c r="A1125" t="s">
        <v>734</v>
      </c>
      <c r="B1125" s="46">
        <v>45176</v>
      </c>
      <c r="C1125" s="45">
        <v>52000</v>
      </c>
      <c r="D1125" t="s">
        <v>976</v>
      </c>
      <c r="E1125" s="46">
        <v>45215</v>
      </c>
      <c r="F1125" s="45" t="s">
        <v>721</v>
      </c>
      <c r="I1125" t="s">
        <v>818</v>
      </c>
    </row>
    <row r="1126" spans="1:9" hidden="1" x14ac:dyDescent="0.3">
      <c r="A1126" t="s">
        <v>775</v>
      </c>
      <c r="B1126" s="46">
        <v>45354</v>
      </c>
      <c r="C1126" s="45">
        <v>52000</v>
      </c>
      <c r="D1126" t="s">
        <v>951</v>
      </c>
      <c r="E1126" s="46">
        <v>45398</v>
      </c>
      <c r="F1126" s="45" t="s">
        <v>721</v>
      </c>
      <c r="G1126">
        <v>0</v>
      </c>
      <c r="I1126" t="s">
        <v>818</v>
      </c>
    </row>
    <row r="1127" spans="1:9" hidden="1" x14ac:dyDescent="0.3">
      <c r="A1127" t="s">
        <v>734</v>
      </c>
      <c r="B1127" s="46">
        <v>45411</v>
      </c>
      <c r="C1127" s="45">
        <v>52000</v>
      </c>
      <c r="D1127" t="s">
        <v>928</v>
      </c>
      <c r="E1127" s="46">
        <v>45428</v>
      </c>
      <c r="F1127" s="45" t="s">
        <v>721</v>
      </c>
      <c r="I1127" t="s">
        <v>726</v>
      </c>
    </row>
    <row r="1128" spans="1:9" hidden="1" x14ac:dyDescent="0.3">
      <c r="A1128" t="s">
        <v>722</v>
      </c>
      <c r="B1128" s="46">
        <v>45211</v>
      </c>
      <c r="C1128" s="45">
        <v>51800</v>
      </c>
      <c r="D1128" t="s">
        <v>1020</v>
      </c>
      <c r="E1128" s="46">
        <v>45245</v>
      </c>
      <c r="F1128" s="45" t="s">
        <v>721</v>
      </c>
      <c r="I1128" t="s">
        <v>726</v>
      </c>
    </row>
    <row r="1129" spans="1:9" hidden="1" x14ac:dyDescent="0.3">
      <c r="A1129" t="s">
        <v>724</v>
      </c>
      <c r="B1129" s="46">
        <v>45414</v>
      </c>
      <c r="C1129" s="45">
        <v>51700</v>
      </c>
      <c r="D1129" t="s">
        <v>2079</v>
      </c>
      <c r="E1129" s="46">
        <v>45438</v>
      </c>
      <c r="F1129" s="45" t="s">
        <v>721</v>
      </c>
      <c r="I1129" t="s">
        <v>726</v>
      </c>
    </row>
    <row r="1130" spans="1:9" hidden="1" x14ac:dyDescent="0.3">
      <c r="A1130" t="s">
        <v>748</v>
      </c>
      <c r="B1130" s="46">
        <v>45188</v>
      </c>
      <c r="C1130" s="45">
        <v>51300</v>
      </c>
      <c r="D1130" t="s">
        <v>735</v>
      </c>
      <c r="E1130" s="46">
        <v>45215</v>
      </c>
      <c r="F1130" s="45" t="s">
        <v>721</v>
      </c>
      <c r="I1130" t="s">
        <v>762</v>
      </c>
    </row>
    <row r="1131" spans="1:9" hidden="1" x14ac:dyDescent="0.3">
      <c r="A1131" t="s">
        <v>748</v>
      </c>
      <c r="B1131" s="46">
        <v>45216</v>
      </c>
      <c r="C1131" s="45">
        <v>51300</v>
      </c>
      <c r="D1131" t="s">
        <v>735</v>
      </c>
      <c r="E1131" s="46">
        <v>45245</v>
      </c>
      <c r="F1131" s="45" t="s">
        <v>721</v>
      </c>
      <c r="I1131" t="s">
        <v>762</v>
      </c>
    </row>
    <row r="1132" spans="1:9" hidden="1" x14ac:dyDescent="0.3">
      <c r="A1132" t="s">
        <v>767</v>
      </c>
      <c r="B1132" s="46">
        <v>45176</v>
      </c>
      <c r="C1132" s="45">
        <v>51000</v>
      </c>
      <c r="D1132" t="s">
        <v>924</v>
      </c>
      <c r="E1132" s="46">
        <v>45215</v>
      </c>
      <c r="F1132" s="45" t="s">
        <v>721</v>
      </c>
      <c r="I1132" t="s">
        <v>726</v>
      </c>
    </row>
    <row r="1133" spans="1:9" hidden="1" x14ac:dyDescent="0.3">
      <c r="A1133" t="s">
        <v>777</v>
      </c>
      <c r="B1133" s="46">
        <v>45142</v>
      </c>
      <c r="C1133" s="45">
        <v>51000</v>
      </c>
      <c r="D1133" t="s">
        <v>875</v>
      </c>
      <c r="E1133" s="46">
        <v>45184</v>
      </c>
      <c r="F1133" s="45" t="s">
        <v>721</v>
      </c>
      <c r="I1133" t="s">
        <v>818</v>
      </c>
    </row>
    <row r="1134" spans="1:9" hidden="1" x14ac:dyDescent="0.3">
      <c r="A1134" t="s">
        <v>777</v>
      </c>
      <c r="B1134" s="46">
        <v>45196</v>
      </c>
      <c r="C1134" s="45">
        <v>51000</v>
      </c>
      <c r="D1134" t="s">
        <v>875</v>
      </c>
      <c r="E1134" s="46">
        <v>45245</v>
      </c>
      <c r="F1134" s="45" t="s">
        <v>721</v>
      </c>
      <c r="I1134" t="s">
        <v>818</v>
      </c>
    </row>
    <row r="1135" spans="1:9" hidden="1" x14ac:dyDescent="0.3">
      <c r="A1135" t="s">
        <v>724</v>
      </c>
      <c r="B1135" s="46">
        <v>45216</v>
      </c>
      <c r="C1135" s="45">
        <v>51000</v>
      </c>
      <c r="D1135" t="s">
        <v>886</v>
      </c>
      <c r="E1135" s="46">
        <v>45256</v>
      </c>
      <c r="F1135" s="45" t="s">
        <v>721</v>
      </c>
      <c r="I1135" t="s">
        <v>726</v>
      </c>
    </row>
    <row r="1136" spans="1:9" hidden="1" x14ac:dyDescent="0.3">
      <c r="A1136" t="s">
        <v>724</v>
      </c>
      <c r="B1136" s="46">
        <v>45373</v>
      </c>
      <c r="C1136" s="45">
        <v>51000</v>
      </c>
      <c r="D1136" t="s">
        <v>934</v>
      </c>
      <c r="E1136" s="46">
        <v>45408</v>
      </c>
      <c r="F1136" s="45" t="s">
        <v>721</v>
      </c>
      <c r="I1136" t="s">
        <v>726</v>
      </c>
    </row>
    <row r="1137" spans="1:9" hidden="1" x14ac:dyDescent="0.3">
      <c r="A1137" t="s">
        <v>734</v>
      </c>
      <c r="B1137" s="46">
        <v>45436</v>
      </c>
      <c r="C1137" s="45">
        <v>51000</v>
      </c>
      <c r="D1137" t="s">
        <v>2080</v>
      </c>
      <c r="E1137" s="46">
        <v>45458</v>
      </c>
      <c r="F1137" s="45" t="s">
        <v>721</v>
      </c>
      <c r="I1137" t="s">
        <v>726</v>
      </c>
    </row>
    <row r="1138" spans="1:9" hidden="1" x14ac:dyDescent="0.3">
      <c r="A1138" t="s">
        <v>772</v>
      </c>
      <c r="B1138" s="46">
        <v>45428</v>
      </c>
      <c r="C1138" s="45">
        <v>51000</v>
      </c>
      <c r="D1138" t="s">
        <v>934</v>
      </c>
      <c r="E1138" s="46">
        <v>45469</v>
      </c>
      <c r="F1138" s="45" t="s">
        <v>721</v>
      </c>
      <c r="I1138" t="s">
        <v>726</v>
      </c>
    </row>
    <row r="1139" spans="1:9" hidden="1" x14ac:dyDescent="0.3">
      <c r="A1139" t="s">
        <v>729</v>
      </c>
      <c r="B1139" s="46">
        <v>45264</v>
      </c>
      <c r="C1139" s="45">
        <v>50760</v>
      </c>
      <c r="D1139" t="s">
        <v>790</v>
      </c>
      <c r="E1139" s="46">
        <v>45306</v>
      </c>
      <c r="F1139" s="45" t="s">
        <v>721</v>
      </c>
      <c r="I1139" t="s">
        <v>834</v>
      </c>
    </row>
    <row r="1140" spans="1:9" hidden="1" x14ac:dyDescent="0.3">
      <c r="A1140" t="s">
        <v>729</v>
      </c>
      <c r="B1140" s="46">
        <v>45203</v>
      </c>
      <c r="C1140" s="45">
        <v>50760</v>
      </c>
      <c r="D1140" t="s">
        <v>790</v>
      </c>
      <c r="E1140" s="46">
        <v>45245</v>
      </c>
      <c r="F1140" s="45" t="s">
        <v>721</v>
      </c>
      <c r="I1140" t="s">
        <v>834</v>
      </c>
    </row>
    <row r="1141" spans="1:9" hidden="1" x14ac:dyDescent="0.3">
      <c r="A1141" t="s">
        <v>722</v>
      </c>
      <c r="B1141" s="46">
        <v>45146</v>
      </c>
      <c r="C1141" s="45">
        <v>50670</v>
      </c>
      <c r="D1141" t="s">
        <v>771</v>
      </c>
      <c r="E1141" s="46">
        <v>45184</v>
      </c>
      <c r="F1141" s="45" t="s">
        <v>721</v>
      </c>
      <c r="I1141" t="s">
        <v>726</v>
      </c>
    </row>
    <row r="1142" spans="1:9" hidden="1" x14ac:dyDescent="0.3">
      <c r="A1142" t="s">
        <v>724</v>
      </c>
      <c r="B1142" s="46">
        <v>45175</v>
      </c>
      <c r="C1142" s="45">
        <v>50400</v>
      </c>
      <c r="D1142" t="s">
        <v>1023</v>
      </c>
      <c r="E1142" s="46">
        <v>45225</v>
      </c>
      <c r="F1142" s="45" t="s">
        <v>721</v>
      </c>
      <c r="I1142" t="s">
        <v>726</v>
      </c>
    </row>
    <row r="1143" spans="1:9" hidden="1" x14ac:dyDescent="0.3">
      <c r="A1143" t="s">
        <v>767</v>
      </c>
      <c r="B1143" s="46">
        <v>45156</v>
      </c>
      <c r="C1143" s="45">
        <v>50200</v>
      </c>
      <c r="D1143" t="s">
        <v>980</v>
      </c>
      <c r="E1143" s="46">
        <v>45184</v>
      </c>
      <c r="F1143" s="45" t="s">
        <v>721</v>
      </c>
      <c r="I1143" t="s">
        <v>760</v>
      </c>
    </row>
    <row r="1144" spans="1:9" hidden="1" x14ac:dyDescent="0.3">
      <c r="A1144" t="s">
        <v>734</v>
      </c>
      <c r="B1144" s="46">
        <v>45271</v>
      </c>
      <c r="C1144" s="45">
        <v>50160</v>
      </c>
      <c r="D1144" t="s">
        <v>1024</v>
      </c>
      <c r="E1144" s="46">
        <v>45306</v>
      </c>
      <c r="F1144" s="45" t="s">
        <v>721</v>
      </c>
      <c r="I1144" t="s">
        <v>738</v>
      </c>
    </row>
    <row r="1145" spans="1:9" hidden="1" x14ac:dyDescent="0.3">
      <c r="A1145" t="s">
        <v>724</v>
      </c>
      <c r="B1145" s="46">
        <v>45217</v>
      </c>
      <c r="C1145" s="45">
        <v>50000</v>
      </c>
      <c r="D1145" t="s">
        <v>1030</v>
      </c>
      <c r="E1145" s="46">
        <v>45256</v>
      </c>
      <c r="F1145" s="45" t="s">
        <v>721</v>
      </c>
      <c r="I1145" t="s">
        <v>726</v>
      </c>
    </row>
    <row r="1146" spans="1:9" hidden="1" x14ac:dyDescent="0.3">
      <c r="A1146" t="s">
        <v>745</v>
      </c>
      <c r="B1146" s="46">
        <v>45218</v>
      </c>
      <c r="C1146" s="45">
        <v>50000</v>
      </c>
      <c r="D1146" t="s">
        <v>849</v>
      </c>
      <c r="E1146" s="46">
        <v>45246</v>
      </c>
      <c r="F1146" s="45" t="s">
        <v>721</v>
      </c>
      <c r="I1146" t="s">
        <v>818</v>
      </c>
    </row>
    <row r="1147" spans="1:9" hidden="1" x14ac:dyDescent="0.3">
      <c r="A1147" t="s">
        <v>748</v>
      </c>
      <c r="B1147" s="46">
        <v>45247</v>
      </c>
      <c r="C1147" s="45">
        <v>50000</v>
      </c>
      <c r="D1147" t="s">
        <v>944</v>
      </c>
      <c r="E1147" s="46">
        <v>45275</v>
      </c>
      <c r="F1147" s="45" t="s">
        <v>721</v>
      </c>
      <c r="I1147" t="s">
        <v>818</v>
      </c>
    </row>
    <row r="1148" spans="1:9" hidden="1" x14ac:dyDescent="0.3">
      <c r="A1148" t="s">
        <v>748</v>
      </c>
      <c r="B1148" s="46">
        <v>45254</v>
      </c>
      <c r="C1148" s="45">
        <v>50000</v>
      </c>
      <c r="D1148" t="s">
        <v>1025</v>
      </c>
      <c r="E1148" s="46">
        <v>45275</v>
      </c>
      <c r="F1148" s="45" t="s">
        <v>721</v>
      </c>
      <c r="I1148" t="s">
        <v>818</v>
      </c>
    </row>
    <row r="1149" spans="1:9" hidden="1" x14ac:dyDescent="0.3">
      <c r="A1149" t="s">
        <v>748</v>
      </c>
      <c r="B1149" s="46">
        <v>45257</v>
      </c>
      <c r="C1149" s="45">
        <v>50000</v>
      </c>
      <c r="D1149" t="s">
        <v>915</v>
      </c>
      <c r="E1149" s="46">
        <v>45275</v>
      </c>
      <c r="F1149" s="45" t="s">
        <v>721</v>
      </c>
      <c r="I1149" t="s">
        <v>818</v>
      </c>
    </row>
    <row r="1150" spans="1:9" hidden="1" x14ac:dyDescent="0.3">
      <c r="A1150" t="s">
        <v>777</v>
      </c>
      <c r="B1150" s="46">
        <v>45135</v>
      </c>
      <c r="C1150" s="45">
        <v>50000</v>
      </c>
      <c r="D1150" t="s">
        <v>791</v>
      </c>
      <c r="E1150" s="46">
        <v>45184</v>
      </c>
      <c r="F1150" s="45" t="s">
        <v>721</v>
      </c>
      <c r="I1150" t="s">
        <v>726</v>
      </c>
    </row>
    <row r="1151" spans="1:9" hidden="1" x14ac:dyDescent="0.3">
      <c r="A1151" t="s">
        <v>745</v>
      </c>
      <c r="B1151" s="46">
        <v>45168</v>
      </c>
      <c r="C1151" s="45">
        <v>50000</v>
      </c>
      <c r="D1151" t="s">
        <v>1026</v>
      </c>
      <c r="E1151" s="46">
        <v>45184</v>
      </c>
      <c r="F1151" s="45" t="s">
        <v>721</v>
      </c>
      <c r="I1151" t="s">
        <v>818</v>
      </c>
    </row>
    <row r="1152" spans="1:9" hidden="1" x14ac:dyDescent="0.3">
      <c r="A1152" t="s">
        <v>748</v>
      </c>
      <c r="B1152" s="46">
        <v>45138</v>
      </c>
      <c r="C1152" s="45">
        <v>50000</v>
      </c>
      <c r="D1152" t="s">
        <v>915</v>
      </c>
      <c r="E1152" s="46">
        <v>45154</v>
      </c>
      <c r="F1152" s="45" t="s">
        <v>721</v>
      </c>
      <c r="I1152" t="s">
        <v>818</v>
      </c>
    </row>
    <row r="1153" spans="1:9" hidden="1" x14ac:dyDescent="0.3">
      <c r="A1153" t="s">
        <v>794</v>
      </c>
      <c r="B1153" s="46">
        <v>45121</v>
      </c>
      <c r="C1153" s="45">
        <v>50000</v>
      </c>
      <c r="D1153" t="s">
        <v>956</v>
      </c>
      <c r="E1153" s="46">
        <v>45154</v>
      </c>
      <c r="F1153" s="45" t="s">
        <v>721</v>
      </c>
      <c r="I1153" t="s">
        <v>818</v>
      </c>
    </row>
    <row r="1154" spans="1:9" hidden="1" x14ac:dyDescent="0.3">
      <c r="A1154" t="s">
        <v>772</v>
      </c>
      <c r="B1154" s="46">
        <v>45196</v>
      </c>
      <c r="C1154" s="45">
        <v>50000</v>
      </c>
      <c r="D1154" t="s">
        <v>948</v>
      </c>
      <c r="E1154" s="46">
        <v>45225</v>
      </c>
      <c r="F1154" s="45" t="s">
        <v>721</v>
      </c>
      <c r="I1154" t="s">
        <v>818</v>
      </c>
    </row>
    <row r="1155" spans="1:9" hidden="1" x14ac:dyDescent="0.3">
      <c r="A1155" t="s">
        <v>748</v>
      </c>
      <c r="B1155" s="46">
        <v>45196</v>
      </c>
      <c r="C1155" s="45">
        <v>50000</v>
      </c>
      <c r="D1155" t="s">
        <v>915</v>
      </c>
      <c r="E1155" s="46">
        <v>45245</v>
      </c>
      <c r="F1155" s="45" t="s">
        <v>721</v>
      </c>
      <c r="I1155" t="s">
        <v>818</v>
      </c>
    </row>
    <row r="1156" spans="1:9" hidden="1" x14ac:dyDescent="0.3">
      <c r="A1156" t="s">
        <v>748</v>
      </c>
      <c r="B1156" s="46">
        <v>45176</v>
      </c>
      <c r="C1156" s="45">
        <v>50000</v>
      </c>
      <c r="D1156" t="s">
        <v>1029</v>
      </c>
      <c r="E1156" s="46">
        <v>45215</v>
      </c>
      <c r="F1156" s="45" t="s">
        <v>721</v>
      </c>
      <c r="I1156" t="s">
        <v>818</v>
      </c>
    </row>
    <row r="1157" spans="1:9" hidden="1" x14ac:dyDescent="0.3">
      <c r="A1157" t="s">
        <v>772</v>
      </c>
      <c r="B1157" s="46">
        <v>45391</v>
      </c>
      <c r="C1157" s="45">
        <v>50000</v>
      </c>
      <c r="D1157" t="s">
        <v>2081</v>
      </c>
      <c r="E1157" s="46">
        <v>45438</v>
      </c>
      <c r="F1157" s="45" t="s">
        <v>721</v>
      </c>
      <c r="I1157" t="s">
        <v>899</v>
      </c>
    </row>
    <row r="1158" spans="1:9" hidden="1" x14ac:dyDescent="0.3">
      <c r="A1158" t="s">
        <v>772</v>
      </c>
      <c r="B1158" s="46">
        <v>45401</v>
      </c>
      <c r="C1158" s="45">
        <v>50000</v>
      </c>
      <c r="D1158" t="s">
        <v>915</v>
      </c>
      <c r="E1158" s="46">
        <v>45438</v>
      </c>
      <c r="F1158" s="45" t="s">
        <v>721</v>
      </c>
      <c r="I1158" t="s">
        <v>818</v>
      </c>
    </row>
    <row r="1159" spans="1:9" hidden="1" x14ac:dyDescent="0.3">
      <c r="A1159" t="s">
        <v>803</v>
      </c>
      <c r="B1159" s="46">
        <v>45394</v>
      </c>
      <c r="C1159" s="45">
        <v>50000</v>
      </c>
      <c r="D1159" t="s">
        <v>914</v>
      </c>
      <c r="E1159" s="46">
        <v>45428</v>
      </c>
      <c r="F1159" s="45" t="s">
        <v>721</v>
      </c>
      <c r="G1159">
        <v>0</v>
      </c>
      <c r="I1159" t="s">
        <v>818</v>
      </c>
    </row>
    <row r="1160" spans="1:9" hidden="1" x14ac:dyDescent="0.3">
      <c r="A1160" t="s">
        <v>775</v>
      </c>
      <c r="B1160" s="46">
        <v>45394</v>
      </c>
      <c r="C1160" s="45">
        <v>50000</v>
      </c>
      <c r="D1160" t="s">
        <v>850</v>
      </c>
      <c r="E1160" s="46">
        <v>45428</v>
      </c>
      <c r="F1160" s="45" t="s">
        <v>721</v>
      </c>
      <c r="G1160">
        <v>0</v>
      </c>
      <c r="I1160" t="s">
        <v>726</v>
      </c>
    </row>
    <row r="1161" spans="1:9" hidden="1" x14ac:dyDescent="0.3">
      <c r="A1161" t="s">
        <v>803</v>
      </c>
      <c r="B1161" s="46">
        <v>45357</v>
      </c>
      <c r="C1161" s="45">
        <v>50000</v>
      </c>
      <c r="D1161" t="s">
        <v>914</v>
      </c>
      <c r="E1161" s="46">
        <v>45398</v>
      </c>
      <c r="F1161" s="45" t="s">
        <v>721</v>
      </c>
      <c r="G1161">
        <v>0</v>
      </c>
      <c r="I1161" t="s">
        <v>818</v>
      </c>
    </row>
    <row r="1162" spans="1:9" hidden="1" x14ac:dyDescent="0.3">
      <c r="A1162" t="s">
        <v>777</v>
      </c>
      <c r="B1162" s="46">
        <v>45303</v>
      </c>
      <c r="C1162" s="45">
        <v>50000</v>
      </c>
      <c r="D1162" t="s">
        <v>875</v>
      </c>
      <c r="E1162" s="46">
        <v>45337</v>
      </c>
      <c r="F1162" s="45" t="s">
        <v>721</v>
      </c>
      <c r="I1162" t="s">
        <v>818</v>
      </c>
    </row>
    <row r="1163" spans="1:9" hidden="1" x14ac:dyDescent="0.3">
      <c r="A1163" t="s">
        <v>748</v>
      </c>
      <c r="B1163" s="46">
        <v>45322</v>
      </c>
      <c r="C1163" s="45">
        <v>50000</v>
      </c>
      <c r="D1163" t="s">
        <v>915</v>
      </c>
      <c r="E1163" s="46">
        <v>45337</v>
      </c>
      <c r="F1163" s="45" t="s">
        <v>721</v>
      </c>
      <c r="I1163" t="s">
        <v>818</v>
      </c>
    </row>
    <row r="1164" spans="1:9" hidden="1" x14ac:dyDescent="0.3">
      <c r="A1164" t="s">
        <v>748</v>
      </c>
      <c r="B1164" s="46">
        <v>45301</v>
      </c>
      <c r="C1164" s="45">
        <v>50000</v>
      </c>
      <c r="D1164" t="s">
        <v>1027</v>
      </c>
      <c r="E1164" s="46">
        <v>45337</v>
      </c>
      <c r="F1164" s="45" t="s">
        <v>721</v>
      </c>
      <c r="I1164" t="s">
        <v>818</v>
      </c>
    </row>
    <row r="1165" spans="1:9" hidden="1" x14ac:dyDescent="0.3">
      <c r="A1165" t="s">
        <v>748</v>
      </c>
      <c r="B1165" s="46">
        <v>45303</v>
      </c>
      <c r="C1165" s="45">
        <v>50000</v>
      </c>
      <c r="D1165" t="s">
        <v>915</v>
      </c>
      <c r="E1165" s="46">
        <v>45337</v>
      </c>
      <c r="F1165" s="45" t="s">
        <v>721</v>
      </c>
      <c r="I1165" t="s">
        <v>818</v>
      </c>
    </row>
    <row r="1166" spans="1:9" hidden="1" x14ac:dyDescent="0.3">
      <c r="A1166" t="s">
        <v>734</v>
      </c>
      <c r="B1166" s="46">
        <v>45309</v>
      </c>
      <c r="C1166" s="45">
        <v>50000</v>
      </c>
      <c r="D1166" t="s">
        <v>1028</v>
      </c>
      <c r="E1166" s="46">
        <v>45337</v>
      </c>
      <c r="F1166" s="45" t="s">
        <v>721</v>
      </c>
      <c r="I1166" t="s">
        <v>738</v>
      </c>
    </row>
    <row r="1167" spans="1:9" hidden="1" x14ac:dyDescent="0.3">
      <c r="A1167" t="s">
        <v>748</v>
      </c>
      <c r="B1167" s="46">
        <v>45324</v>
      </c>
      <c r="C1167" s="45">
        <v>49874</v>
      </c>
      <c r="D1167" t="s">
        <v>797</v>
      </c>
      <c r="E1167" s="46">
        <v>45366</v>
      </c>
      <c r="F1167" s="45" t="s">
        <v>721</v>
      </c>
      <c r="I1167" t="s">
        <v>781</v>
      </c>
    </row>
    <row r="1168" spans="1:9" hidden="1" x14ac:dyDescent="0.3">
      <c r="A1168" t="s">
        <v>734</v>
      </c>
      <c r="B1168" s="46">
        <v>45246</v>
      </c>
      <c r="C1168" s="45">
        <v>49850</v>
      </c>
      <c r="D1168" t="s">
        <v>1031</v>
      </c>
      <c r="E1168" s="46">
        <v>45275</v>
      </c>
      <c r="F1168" s="45" t="s">
        <v>721</v>
      </c>
      <c r="I1168" t="s">
        <v>726</v>
      </c>
    </row>
    <row r="1169" spans="1:9" hidden="1" x14ac:dyDescent="0.3">
      <c r="A1169" t="s">
        <v>729</v>
      </c>
      <c r="B1169" s="46">
        <v>45189</v>
      </c>
      <c r="C1169" s="45">
        <v>49750</v>
      </c>
      <c r="D1169" t="s">
        <v>790</v>
      </c>
      <c r="E1169" s="46">
        <v>45215</v>
      </c>
      <c r="F1169" s="45" t="s">
        <v>721</v>
      </c>
      <c r="I1169" t="s">
        <v>756</v>
      </c>
    </row>
    <row r="1170" spans="1:9" hidden="1" x14ac:dyDescent="0.3">
      <c r="A1170" t="s">
        <v>803</v>
      </c>
      <c r="B1170" s="46">
        <v>45357</v>
      </c>
      <c r="C1170" s="45">
        <v>49500</v>
      </c>
      <c r="D1170" t="s">
        <v>2082</v>
      </c>
      <c r="E1170" s="46">
        <v>45398</v>
      </c>
      <c r="F1170" s="45" t="s">
        <v>721</v>
      </c>
      <c r="G1170">
        <v>0</v>
      </c>
      <c r="I1170" t="s">
        <v>726</v>
      </c>
    </row>
    <row r="1171" spans="1:9" hidden="1" x14ac:dyDescent="0.3">
      <c r="A1171" t="s">
        <v>724</v>
      </c>
      <c r="B1171" s="46">
        <v>45125</v>
      </c>
      <c r="C1171" s="45">
        <v>49300</v>
      </c>
      <c r="D1171" t="s">
        <v>789</v>
      </c>
      <c r="E1171" s="46">
        <v>45164</v>
      </c>
      <c r="F1171" s="45" t="s">
        <v>721</v>
      </c>
      <c r="I1171" t="s">
        <v>726</v>
      </c>
    </row>
    <row r="1172" spans="1:9" hidden="1" x14ac:dyDescent="0.3">
      <c r="A1172" t="s">
        <v>722</v>
      </c>
      <c r="B1172" s="46">
        <v>45266</v>
      </c>
      <c r="C1172" s="45">
        <v>49020</v>
      </c>
      <c r="D1172" t="s">
        <v>776</v>
      </c>
      <c r="E1172" s="46">
        <v>45306</v>
      </c>
      <c r="F1172" s="45" t="s">
        <v>721</v>
      </c>
      <c r="I1172" t="s">
        <v>782</v>
      </c>
    </row>
    <row r="1173" spans="1:9" hidden="1" x14ac:dyDescent="0.3">
      <c r="A1173" t="s">
        <v>767</v>
      </c>
      <c r="B1173" s="46">
        <v>45274</v>
      </c>
      <c r="C1173" s="45">
        <v>49000</v>
      </c>
      <c r="D1173" t="s">
        <v>1017</v>
      </c>
      <c r="E1173" s="46">
        <v>45306</v>
      </c>
      <c r="F1173" s="45" t="s">
        <v>721</v>
      </c>
      <c r="I1173" t="s">
        <v>726</v>
      </c>
    </row>
    <row r="1174" spans="1:9" hidden="1" x14ac:dyDescent="0.3">
      <c r="A1174" t="s">
        <v>761</v>
      </c>
      <c r="B1174" s="46">
        <v>45284</v>
      </c>
      <c r="C1174" s="45">
        <v>49000</v>
      </c>
      <c r="D1174" t="s">
        <v>1032</v>
      </c>
      <c r="E1174" s="46">
        <v>45317</v>
      </c>
      <c r="F1174" s="45" t="s">
        <v>721</v>
      </c>
      <c r="I1174" t="s">
        <v>726</v>
      </c>
    </row>
    <row r="1175" spans="1:9" hidden="1" x14ac:dyDescent="0.3">
      <c r="A1175" t="s">
        <v>821</v>
      </c>
      <c r="B1175" s="46">
        <v>45133</v>
      </c>
      <c r="C1175" s="45">
        <v>49000</v>
      </c>
      <c r="D1175" t="s">
        <v>1033</v>
      </c>
      <c r="E1175" s="46">
        <v>45154</v>
      </c>
      <c r="F1175" s="45" t="s">
        <v>721</v>
      </c>
      <c r="I1175" t="s">
        <v>760</v>
      </c>
    </row>
    <row r="1176" spans="1:9" hidden="1" x14ac:dyDescent="0.3">
      <c r="A1176" t="s">
        <v>734</v>
      </c>
      <c r="B1176" s="46">
        <v>45174</v>
      </c>
      <c r="C1176" s="45">
        <v>49000</v>
      </c>
      <c r="D1176" t="s">
        <v>1016</v>
      </c>
      <c r="E1176" s="46">
        <v>45215</v>
      </c>
      <c r="F1176" s="45" t="s">
        <v>721</v>
      </c>
      <c r="I1176" t="s">
        <v>726</v>
      </c>
    </row>
    <row r="1177" spans="1:9" hidden="1" x14ac:dyDescent="0.3">
      <c r="A1177" t="s">
        <v>803</v>
      </c>
      <c r="B1177" s="46">
        <v>45385</v>
      </c>
      <c r="C1177" s="45">
        <v>49000</v>
      </c>
      <c r="D1177" t="s">
        <v>897</v>
      </c>
      <c r="E1177" s="46">
        <v>45428</v>
      </c>
      <c r="F1177" s="45" t="s">
        <v>721</v>
      </c>
      <c r="G1177">
        <v>0</v>
      </c>
      <c r="I1177" t="s">
        <v>818</v>
      </c>
    </row>
    <row r="1178" spans="1:9" hidden="1" x14ac:dyDescent="0.3">
      <c r="A1178" t="s">
        <v>743</v>
      </c>
      <c r="B1178" s="46">
        <v>45119</v>
      </c>
      <c r="C1178" s="45">
        <v>48812</v>
      </c>
      <c r="D1178" t="s">
        <v>753</v>
      </c>
      <c r="E1178" s="46">
        <v>45164</v>
      </c>
      <c r="F1178" s="45" t="s">
        <v>731</v>
      </c>
      <c r="G1178" t="s">
        <v>732</v>
      </c>
      <c r="H1178">
        <v>37</v>
      </c>
      <c r="I1178" t="s">
        <v>733</v>
      </c>
    </row>
    <row r="1179" spans="1:9" hidden="1" x14ac:dyDescent="0.3">
      <c r="A1179" t="s">
        <v>722</v>
      </c>
      <c r="B1179" s="46">
        <v>45231</v>
      </c>
      <c r="C1179" s="45">
        <v>48600</v>
      </c>
      <c r="D1179" t="s">
        <v>776</v>
      </c>
      <c r="E1179" s="46">
        <v>45275</v>
      </c>
      <c r="F1179" s="45" t="s">
        <v>721</v>
      </c>
      <c r="I1179" t="s">
        <v>762</v>
      </c>
    </row>
    <row r="1180" spans="1:9" hidden="1" x14ac:dyDescent="0.3">
      <c r="A1180" t="s">
        <v>821</v>
      </c>
      <c r="B1180" s="46">
        <v>45323</v>
      </c>
      <c r="C1180" s="45">
        <v>48600</v>
      </c>
      <c r="D1180" t="s">
        <v>1036</v>
      </c>
      <c r="E1180" s="46">
        <v>45366</v>
      </c>
      <c r="F1180" s="45" t="s">
        <v>721</v>
      </c>
      <c r="I1180" t="s">
        <v>726</v>
      </c>
    </row>
    <row r="1181" spans="1:9" hidden="1" x14ac:dyDescent="0.3">
      <c r="A1181" t="s">
        <v>772</v>
      </c>
      <c r="B1181" s="46">
        <v>45224</v>
      </c>
      <c r="C1181" s="45">
        <v>48500</v>
      </c>
      <c r="D1181" t="s">
        <v>1010</v>
      </c>
      <c r="E1181" s="46">
        <v>45256</v>
      </c>
      <c r="F1181" s="45" t="s">
        <v>721</v>
      </c>
      <c r="I1181" t="s">
        <v>726</v>
      </c>
    </row>
    <row r="1182" spans="1:9" hidden="1" x14ac:dyDescent="0.3">
      <c r="A1182" t="s">
        <v>722</v>
      </c>
      <c r="B1182" s="46">
        <v>45230</v>
      </c>
      <c r="C1182" s="45">
        <v>48240</v>
      </c>
      <c r="D1182" t="s">
        <v>1037</v>
      </c>
      <c r="E1182" s="46">
        <v>45245</v>
      </c>
      <c r="F1182" s="45" t="s">
        <v>721</v>
      </c>
    </row>
    <row r="1183" spans="1:9" hidden="1" x14ac:dyDescent="0.3">
      <c r="A1183" t="s">
        <v>727</v>
      </c>
      <c r="B1183" s="46">
        <v>45243</v>
      </c>
      <c r="C1183" s="45">
        <v>48070</v>
      </c>
      <c r="D1183" t="s">
        <v>1031</v>
      </c>
      <c r="E1183" s="46">
        <v>45275</v>
      </c>
      <c r="F1183" s="45" t="s">
        <v>721</v>
      </c>
      <c r="I1183" t="s">
        <v>726</v>
      </c>
    </row>
    <row r="1184" spans="1:9" hidden="1" x14ac:dyDescent="0.3">
      <c r="A1184" t="s">
        <v>734</v>
      </c>
      <c r="B1184" s="46">
        <v>45233</v>
      </c>
      <c r="C1184" s="45">
        <v>48000</v>
      </c>
      <c r="D1184" t="s">
        <v>869</v>
      </c>
      <c r="E1184" s="46">
        <v>45275</v>
      </c>
      <c r="F1184" s="45" t="s">
        <v>721</v>
      </c>
      <c r="I1184" t="s">
        <v>726</v>
      </c>
    </row>
    <row r="1185" spans="1:9" hidden="1" x14ac:dyDescent="0.3">
      <c r="A1185" t="s">
        <v>772</v>
      </c>
      <c r="B1185" s="46">
        <v>45212</v>
      </c>
      <c r="C1185" s="45">
        <v>48000</v>
      </c>
      <c r="D1185" t="s">
        <v>934</v>
      </c>
      <c r="E1185" s="46">
        <v>45256</v>
      </c>
      <c r="F1185" s="45" t="s">
        <v>721</v>
      </c>
      <c r="I1185" t="s">
        <v>726</v>
      </c>
    </row>
    <row r="1186" spans="1:9" hidden="1" x14ac:dyDescent="0.3">
      <c r="A1186" t="s">
        <v>767</v>
      </c>
      <c r="B1186" s="46">
        <v>45226</v>
      </c>
      <c r="C1186" s="45">
        <v>48000</v>
      </c>
      <c r="D1186" t="s">
        <v>1038</v>
      </c>
      <c r="E1186" s="46">
        <v>45245</v>
      </c>
      <c r="F1186" s="45" t="s">
        <v>721</v>
      </c>
      <c r="I1186" t="s">
        <v>726</v>
      </c>
    </row>
    <row r="1187" spans="1:9" hidden="1" x14ac:dyDescent="0.3">
      <c r="A1187" t="s">
        <v>734</v>
      </c>
      <c r="B1187" s="46">
        <v>45226</v>
      </c>
      <c r="C1187" s="45">
        <v>48000</v>
      </c>
      <c r="D1187" t="s">
        <v>988</v>
      </c>
      <c r="E1187" s="46">
        <v>45245</v>
      </c>
      <c r="F1187" s="45" t="s">
        <v>721</v>
      </c>
      <c r="I1187" t="s">
        <v>726</v>
      </c>
    </row>
    <row r="1188" spans="1:9" hidden="1" x14ac:dyDescent="0.3">
      <c r="A1188" t="s">
        <v>821</v>
      </c>
      <c r="B1188" s="46">
        <v>45226</v>
      </c>
      <c r="C1188" s="45">
        <v>48000</v>
      </c>
      <c r="D1188" t="s">
        <v>850</v>
      </c>
      <c r="E1188" s="46">
        <v>45245</v>
      </c>
      <c r="F1188" s="45" t="s">
        <v>721</v>
      </c>
      <c r="I1188" t="s">
        <v>726</v>
      </c>
    </row>
    <row r="1189" spans="1:9" hidden="1" x14ac:dyDescent="0.3">
      <c r="A1189" t="s">
        <v>729</v>
      </c>
      <c r="B1189" s="46">
        <v>45219</v>
      </c>
      <c r="C1189" s="45">
        <v>48000</v>
      </c>
      <c r="D1189" t="s">
        <v>946</v>
      </c>
      <c r="E1189" s="46">
        <v>45245</v>
      </c>
      <c r="F1189" s="45" t="s">
        <v>721</v>
      </c>
      <c r="I1189" t="s">
        <v>726</v>
      </c>
    </row>
    <row r="1190" spans="1:9" hidden="1" x14ac:dyDescent="0.3">
      <c r="A1190" t="s">
        <v>794</v>
      </c>
      <c r="B1190" s="46">
        <v>45289</v>
      </c>
      <c r="C1190" s="45">
        <v>48000</v>
      </c>
      <c r="D1190" t="s">
        <v>845</v>
      </c>
      <c r="E1190" s="46">
        <v>45307</v>
      </c>
      <c r="F1190" s="45" t="s">
        <v>721</v>
      </c>
      <c r="I1190" t="s">
        <v>740</v>
      </c>
    </row>
    <row r="1191" spans="1:9" hidden="1" x14ac:dyDescent="0.3">
      <c r="A1191" t="s">
        <v>777</v>
      </c>
      <c r="B1191" s="46">
        <v>45275</v>
      </c>
      <c r="C1191" s="45">
        <v>48000</v>
      </c>
      <c r="D1191" t="s">
        <v>875</v>
      </c>
      <c r="E1191" s="46">
        <v>45306</v>
      </c>
      <c r="F1191" s="45" t="s">
        <v>721</v>
      </c>
      <c r="I1191" t="s">
        <v>818</v>
      </c>
    </row>
    <row r="1192" spans="1:9" hidden="1" x14ac:dyDescent="0.3">
      <c r="A1192" t="s">
        <v>734</v>
      </c>
      <c r="B1192" s="46">
        <v>45266</v>
      </c>
      <c r="C1192" s="45">
        <v>48000</v>
      </c>
      <c r="D1192" t="s">
        <v>928</v>
      </c>
      <c r="E1192" s="46">
        <v>45306</v>
      </c>
      <c r="F1192" s="45" t="s">
        <v>721</v>
      </c>
      <c r="I1192" t="s">
        <v>726</v>
      </c>
    </row>
    <row r="1193" spans="1:9" hidden="1" x14ac:dyDescent="0.3">
      <c r="A1193" t="s">
        <v>734</v>
      </c>
      <c r="B1193" s="46">
        <v>45146</v>
      </c>
      <c r="C1193" s="45">
        <v>48000</v>
      </c>
      <c r="D1193" t="s">
        <v>869</v>
      </c>
      <c r="E1193" s="46">
        <v>45184</v>
      </c>
      <c r="F1193" s="45" t="s">
        <v>721</v>
      </c>
      <c r="I1193" t="s">
        <v>726</v>
      </c>
    </row>
    <row r="1194" spans="1:9" hidden="1" x14ac:dyDescent="0.3">
      <c r="A1194" t="s">
        <v>734</v>
      </c>
      <c r="B1194" s="46">
        <v>45159</v>
      </c>
      <c r="C1194" s="45">
        <v>48000</v>
      </c>
      <c r="D1194" t="s">
        <v>974</v>
      </c>
      <c r="E1194" s="46">
        <v>45184</v>
      </c>
      <c r="F1194" s="45" t="s">
        <v>721</v>
      </c>
      <c r="I1194" t="s">
        <v>726</v>
      </c>
    </row>
    <row r="1195" spans="1:9" hidden="1" x14ac:dyDescent="0.3">
      <c r="A1195" t="s">
        <v>734</v>
      </c>
      <c r="B1195" s="46">
        <v>45135</v>
      </c>
      <c r="C1195" s="45">
        <v>48000</v>
      </c>
      <c r="D1195" t="s">
        <v>1040</v>
      </c>
      <c r="E1195" s="46">
        <v>45154</v>
      </c>
      <c r="F1195" s="45" t="s">
        <v>721</v>
      </c>
      <c r="I1195" t="s">
        <v>726</v>
      </c>
    </row>
    <row r="1196" spans="1:9" hidden="1" x14ac:dyDescent="0.3">
      <c r="A1196" t="s">
        <v>734</v>
      </c>
      <c r="B1196" s="46">
        <v>45138</v>
      </c>
      <c r="C1196" s="45">
        <v>48000</v>
      </c>
      <c r="D1196" t="s">
        <v>1042</v>
      </c>
      <c r="E1196" s="46">
        <v>45154</v>
      </c>
      <c r="F1196" s="45" t="s">
        <v>721</v>
      </c>
      <c r="I1196" t="s">
        <v>726</v>
      </c>
    </row>
    <row r="1197" spans="1:9" hidden="1" x14ac:dyDescent="0.3">
      <c r="A1197" t="s">
        <v>729</v>
      </c>
      <c r="B1197" s="46">
        <v>45128</v>
      </c>
      <c r="C1197" s="45">
        <v>48000</v>
      </c>
      <c r="D1197" t="s">
        <v>850</v>
      </c>
      <c r="E1197" s="46">
        <v>45154</v>
      </c>
      <c r="F1197" s="45" t="s">
        <v>721</v>
      </c>
      <c r="I1197" t="s">
        <v>726</v>
      </c>
    </row>
    <row r="1198" spans="1:9" hidden="1" x14ac:dyDescent="0.3">
      <c r="A1198" t="s">
        <v>734</v>
      </c>
      <c r="B1198" s="46">
        <v>45184</v>
      </c>
      <c r="C1198" s="45">
        <v>48000</v>
      </c>
      <c r="D1198" t="s">
        <v>974</v>
      </c>
      <c r="E1198" s="46">
        <v>45215</v>
      </c>
      <c r="F1198" s="45" t="s">
        <v>721</v>
      </c>
      <c r="I1198" t="s">
        <v>726</v>
      </c>
    </row>
    <row r="1199" spans="1:9" hidden="1" x14ac:dyDescent="0.3">
      <c r="A1199" t="s">
        <v>821</v>
      </c>
      <c r="B1199" s="46">
        <v>45191</v>
      </c>
      <c r="C1199" s="45">
        <v>48000</v>
      </c>
      <c r="D1199" t="s">
        <v>1039</v>
      </c>
      <c r="E1199" s="46">
        <v>45215</v>
      </c>
      <c r="F1199" s="45" t="s">
        <v>721</v>
      </c>
      <c r="I1199" t="s">
        <v>726</v>
      </c>
    </row>
    <row r="1200" spans="1:9" hidden="1" x14ac:dyDescent="0.3">
      <c r="A1200" t="s">
        <v>772</v>
      </c>
      <c r="B1200" s="46">
        <v>45168</v>
      </c>
      <c r="C1200" s="45">
        <v>48000</v>
      </c>
      <c r="D1200" t="s">
        <v>850</v>
      </c>
      <c r="E1200" s="46">
        <v>45195</v>
      </c>
      <c r="F1200" s="45" t="s">
        <v>721</v>
      </c>
      <c r="I1200" t="s">
        <v>726</v>
      </c>
    </row>
    <row r="1201" spans="1:9" hidden="1" x14ac:dyDescent="0.3">
      <c r="A1201" t="s">
        <v>724</v>
      </c>
      <c r="B1201" s="46">
        <v>45166</v>
      </c>
      <c r="C1201" s="45">
        <v>48000</v>
      </c>
      <c r="D1201" t="s">
        <v>1043</v>
      </c>
      <c r="E1201" s="46">
        <v>45195</v>
      </c>
      <c r="F1201" s="45" t="s">
        <v>721</v>
      </c>
      <c r="I1201" t="s">
        <v>726</v>
      </c>
    </row>
    <row r="1202" spans="1:9" hidden="1" x14ac:dyDescent="0.3">
      <c r="A1202" t="s">
        <v>727</v>
      </c>
      <c r="B1202" s="46">
        <v>45329</v>
      </c>
      <c r="C1202" s="45">
        <v>48000</v>
      </c>
      <c r="D1202" t="s">
        <v>850</v>
      </c>
      <c r="E1202" s="46">
        <v>45366</v>
      </c>
      <c r="F1202" s="45" t="s">
        <v>721</v>
      </c>
      <c r="I1202" t="s">
        <v>726</v>
      </c>
    </row>
    <row r="1203" spans="1:9" hidden="1" x14ac:dyDescent="0.3">
      <c r="A1203" t="s">
        <v>767</v>
      </c>
      <c r="B1203" s="46">
        <v>45345</v>
      </c>
      <c r="C1203" s="45">
        <v>48000</v>
      </c>
      <c r="D1203" t="s">
        <v>1030</v>
      </c>
      <c r="E1203" s="46">
        <v>45366</v>
      </c>
      <c r="F1203" s="45" t="s">
        <v>721</v>
      </c>
      <c r="I1203" t="s">
        <v>726</v>
      </c>
    </row>
    <row r="1204" spans="1:9" hidden="1" x14ac:dyDescent="0.3">
      <c r="A1204" t="s">
        <v>734</v>
      </c>
      <c r="B1204" s="46">
        <v>45321</v>
      </c>
      <c r="C1204" s="45">
        <v>48000</v>
      </c>
      <c r="D1204" t="s">
        <v>974</v>
      </c>
      <c r="E1204" s="46">
        <v>45337</v>
      </c>
      <c r="F1204" s="45" t="s">
        <v>721</v>
      </c>
      <c r="I1204" t="s">
        <v>726</v>
      </c>
    </row>
    <row r="1205" spans="1:9" hidden="1" x14ac:dyDescent="0.3">
      <c r="A1205" t="s">
        <v>772</v>
      </c>
      <c r="B1205" s="46">
        <v>45415</v>
      </c>
      <c r="C1205" s="45">
        <v>48000</v>
      </c>
      <c r="D1205" t="s">
        <v>989</v>
      </c>
      <c r="E1205" s="46">
        <v>45438</v>
      </c>
      <c r="F1205" s="45" t="s">
        <v>721</v>
      </c>
      <c r="I1205" t="s">
        <v>726</v>
      </c>
    </row>
    <row r="1206" spans="1:9" hidden="1" x14ac:dyDescent="0.3">
      <c r="A1206" t="s">
        <v>767</v>
      </c>
      <c r="B1206" s="46">
        <v>45377</v>
      </c>
      <c r="C1206" s="45">
        <v>48000</v>
      </c>
      <c r="D1206" t="s">
        <v>850</v>
      </c>
      <c r="E1206" s="46">
        <v>45397</v>
      </c>
      <c r="F1206" s="45" t="s">
        <v>721</v>
      </c>
      <c r="I1206" t="s">
        <v>726</v>
      </c>
    </row>
    <row r="1207" spans="1:9" hidden="1" x14ac:dyDescent="0.3">
      <c r="A1207" t="s">
        <v>767</v>
      </c>
      <c r="B1207" s="46">
        <v>45370</v>
      </c>
      <c r="C1207" s="45">
        <v>48000</v>
      </c>
      <c r="D1207" t="s">
        <v>850</v>
      </c>
      <c r="E1207" s="46">
        <v>45397</v>
      </c>
      <c r="F1207" s="45" t="s">
        <v>721</v>
      </c>
      <c r="I1207" t="s">
        <v>726</v>
      </c>
    </row>
    <row r="1208" spans="1:9" hidden="1" x14ac:dyDescent="0.3">
      <c r="A1208" t="s">
        <v>772</v>
      </c>
      <c r="B1208" s="46">
        <v>45378</v>
      </c>
      <c r="C1208" s="45">
        <v>48000</v>
      </c>
      <c r="D1208" t="s">
        <v>989</v>
      </c>
      <c r="E1208" s="46">
        <v>45408</v>
      </c>
      <c r="F1208" s="45" t="s">
        <v>721</v>
      </c>
      <c r="I1208" t="s">
        <v>726</v>
      </c>
    </row>
    <row r="1209" spans="1:9" hidden="1" x14ac:dyDescent="0.3">
      <c r="A1209" t="s">
        <v>772</v>
      </c>
      <c r="B1209" s="46">
        <v>45404</v>
      </c>
      <c r="C1209" s="45">
        <v>48000</v>
      </c>
      <c r="D1209" t="s">
        <v>850</v>
      </c>
      <c r="E1209" s="46">
        <v>45438</v>
      </c>
      <c r="F1209" s="45" t="s">
        <v>721</v>
      </c>
      <c r="I1209" t="s">
        <v>726</v>
      </c>
    </row>
    <row r="1210" spans="1:9" hidden="1" x14ac:dyDescent="0.3">
      <c r="A1210" t="s">
        <v>724</v>
      </c>
      <c r="B1210" s="46">
        <v>45399</v>
      </c>
      <c r="C1210" s="45">
        <v>48000</v>
      </c>
      <c r="D1210" t="s">
        <v>1724</v>
      </c>
      <c r="E1210" s="46">
        <v>45438</v>
      </c>
      <c r="F1210" s="45" t="s">
        <v>721</v>
      </c>
      <c r="I1210" t="s">
        <v>726</v>
      </c>
    </row>
    <row r="1211" spans="1:9" hidden="1" x14ac:dyDescent="0.3">
      <c r="A1211" t="s">
        <v>734</v>
      </c>
      <c r="B1211" s="46">
        <v>45404</v>
      </c>
      <c r="C1211" s="45">
        <v>48000</v>
      </c>
      <c r="D1211" t="s">
        <v>1013</v>
      </c>
      <c r="E1211" s="46">
        <v>45428</v>
      </c>
      <c r="F1211" s="45" t="s">
        <v>721</v>
      </c>
      <c r="I1211" t="s">
        <v>726</v>
      </c>
    </row>
    <row r="1212" spans="1:9" hidden="1" x14ac:dyDescent="0.3">
      <c r="A1212" t="s">
        <v>734</v>
      </c>
      <c r="B1212" s="46">
        <v>45397</v>
      </c>
      <c r="C1212" s="45">
        <v>48000</v>
      </c>
      <c r="D1212" t="s">
        <v>974</v>
      </c>
      <c r="E1212" s="46">
        <v>45428</v>
      </c>
      <c r="F1212" s="45" t="s">
        <v>721</v>
      </c>
      <c r="I1212" t="s">
        <v>726</v>
      </c>
    </row>
    <row r="1213" spans="1:9" hidden="1" x14ac:dyDescent="0.3">
      <c r="A1213" t="s">
        <v>772</v>
      </c>
      <c r="B1213" s="46">
        <v>45425</v>
      </c>
      <c r="C1213" s="45">
        <v>48000</v>
      </c>
      <c r="D1213" t="s">
        <v>2083</v>
      </c>
      <c r="E1213" s="46">
        <v>45469</v>
      </c>
      <c r="F1213" s="45" t="s">
        <v>721</v>
      </c>
      <c r="I1213" t="s">
        <v>726</v>
      </c>
    </row>
    <row r="1214" spans="1:9" hidden="1" x14ac:dyDescent="0.3">
      <c r="A1214" t="s">
        <v>772</v>
      </c>
      <c r="B1214" s="46">
        <v>45420</v>
      </c>
      <c r="C1214" s="45">
        <v>48000</v>
      </c>
      <c r="D1214" t="s">
        <v>1108</v>
      </c>
      <c r="E1214" s="46">
        <v>45469</v>
      </c>
      <c r="F1214" s="45" t="s">
        <v>721</v>
      </c>
      <c r="I1214" t="s">
        <v>726</v>
      </c>
    </row>
    <row r="1215" spans="1:9" hidden="1" x14ac:dyDescent="0.3">
      <c r="A1215" t="s">
        <v>772</v>
      </c>
      <c r="B1215" s="46">
        <v>45439</v>
      </c>
      <c r="C1215" s="45">
        <v>48000</v>
      </c>
      <c r="D1215" t="s">
        <v>1139</v>
      </c>
      <c r="E1215" s="46">
        <v>45469</v>
      </c>
      <c r="F1215" s="45" t="s">
        <v>721</v>
      </c>
      <c r="I1215" t="s">
        <v>726</v>
      </c>
    </row>
    <row r="1216" spans="1:9" hidden="1" x14ac:dyDescent="0.3">
      <c r="A1216" t="s">
        <v>772</v>
      </c>
      <c r="B1216" s="46">
        <v>45446</v>
      </c>
      <c r="C1216" s="45">
        <v>48000</v>
      </c>
      <c r="D1216" t="s">
        <v>1012</v>
      </c>
      <c r="E1216" s="46">
        <v>45469</v>
      </c>
      <c r="F1216" s="45" t="s">
        <v>721</v>
      </c>
      <c r="I1216" t="s">
        <v>726</v>
      </c>
    </row>
    <row r="1217" spans="1:9" hidden="1" x14ac:dyDescent="0.3">
      <c r="A1217" t="s">
        <v>772</v>
      </c>
      <c r="B1217" s="46">
        <v>45443</v>
      </c>
      <c r="C1217" s="45">
        <v>48000</v>
      </c>
      <c r="D1217" t="s">
        <v>1041</v>
      </c>
      <c r="E1217" s="46">
        <v>45469</v>
      </c>
      <c r="F1217" s="45" t="s">
        <v>721</v>
      </c>
      <c r="I1217" t="s">
        <v>726</v>
      </c>
    </row>
    <row r="1218" spans="1:9" hidden="1" x14ac:dyDescent="0.3">
      <c r="A1218" t="s">
        <v>734</v>
      </c>
      <c r="B1218" s="46">
        <v>45425</v>
      </c>
      <c r="C1218" s="45">
        <v>48000</v>
      </c>
      <c r="D1218" t="s">
        <v>926</v>
      </c>
      <c r="E1218" s="46">
        <v>45458</v>
      </c>
      <c r="F1218" s="45" t="s">
        <v>721</v>
      </c>
      <c r="I1218" t="s">
        <v>726</v>
      </c>
    </row>
    <row r="1219" spans="1:9" hidden="1" x14ac:dyDescent="0.3">
      <c r="A1219" t="s">
        <v>794</v>
      </c>
      <c r="B1219" s="46">
        <v>45118</v>
      </c>
      <c r="C1219" s="45">
        <v>47900</v>
      </c>
      <c r="D1219" t="s">
        <v>1044</v>
      </c>
      <c r="E1219" s="46">
        <v>45154</v>
      </c>
      <c r="F1219" s="45" t="s">
        <v>721</v>
      </c>
    </row>
    <row r="1220" spans="1:9" hidden="1" x14ac:dyDescent="0.3">
      <c r="A1220" t="s">
        <v>729</v>
      </c>
      <c r="B1220" s="46">
        <v>45275</v>
      </c>
      <c r="C1220" s="45">
        <v>47700</v>
      </c>
      <c r="D1220" t="s">
        <v>1046</v>
      </c>
      <c r="E1220" s="46">
        <v>45306</v>
      </c>
      <c r="F1220" s="45" t="s">
        <v>721</v>
      </c>
      <c r="I1220" t="s">
        <v>726</v>
      </c>
    </row>
    <row r="1221" spans="1:9" hidden="1" x14ac:dyDescent="0.3">
      <c r="A1221" t="s">
        <v>734</v>
      </c>
      <c r="B1221" s="46">
        <v>45434</v>
      </c>
      <c r="C1221" s="45">
        <v>47600</v>
      </c>
      <c r="D1221" t="s">
        <v>2084</v>
      </c>
      <c r="E1221" s="46">
        <v>45458</v>
      </c>
      <c r="F1221" s="45" t="s">
        <v>721</v>
      </c>
      <c r="I1221" t="s">
        <v>726</v>
      </c>
    </row>
    <row r="1222" spans="1:9" hidden="1" x14ac:dyDescent="0.3">
      <c r="A1222" t="s">
        <v>724</v>
      </c>
      <c r="B1222" s="46">
        <v>45405</v>
      </c>
      <c r="C1222" s="45">
        <v>47600</v>
      </c>
      <c r="D1222" t="s">
        <v>2085</v>
      </c>
      <c r="E1222" s="46">
        <v>45438</v>
      </c>
      <c r="F1222" s="45" t="s">
        <v>721</v>
      </c>
      <c r="I1222" t="s">
        <v>726</v>
      </c>
    </row>
    <row r="1223" spans="1:9" hidden="1" x14ac:dyDescent="0.3">
      <c r="A1223" t="s">
        <v>772</v>
      </c>
      <c r="B1223" s="46">
        <v>45408</v>
      </c>
      <c r="C1223" s="45">
        <v>47500</v>
      </c>
      <c r="D1223" t="s">
        <v>2086</v>
      </c>
      <c r="E1223" s="46">
        <v>45438</v>
      </c>
      <c r="F1223" s="45" t="s">
        <v>721</v>
      </c>
      <c r="I1223" t="s">
        <v>726</v>
      </c>
    </row>
    <row r="1224" spans="1:9" hidden="1" x14ac:dyDescent="0.3">
      <c r="A1224" t="s">
        <v>772</v>
      </c>
      <c r="B1224" s="46">
        <v>45411</v>
      </c>
      <c r="C1224" s="45">
        <v>47500</v>
      </c>
      <c r="D1224" t="s">
        <v>939</v>
      </c>
      <c r="E1224" s="46">
        <v>45438</v>
      </c>
      <c r="F1224" s="45" t="s">
        <v>721</v>
      </c>
      <c r="I1224" t="s">
        <v>726</v>
      </c>
    </row>
    <row r="1225" spans="1:9" hidden="1" x14ac:dyDescent="0.3">
      <c r="A1225" t="s">
        <v>772</v>
      </c>
      <c r="B1225" s="46">
        <v>45432</v>
      </c>
      <c r="C1225" s="45">
        <v>47400</v>
      </c>
      <c r="D1225" t="s">
        <v>2087</v>
      </c>
      <c r="E1225" s="46">
        <v>45469</v>
      </c>
      <c r="F1225" s="45" t="s">
        <v>721</v>
      </c>
      <c r="I1225" t="s">
        <v>726</v>
      </c>
    </row>
    <row r="1226" spans="1:9" hidden="1" x14ac:dyDescent="0.3">
      <c r="A1226" t="s">
        <v>734</v>
      </c>
      <c r="B1226" s="46">
        <v>45236</v>
      </c>
      <c r="C1226" s="45">
        <v>47400</v>
      </c>
      <c r="D1226" t="s">
        <v>926</v>
      </c>
      <c r="E1226" s="46">
        <v>45275</v>
      </c>
      <c r="F1226" s="45" t="s">
        <v>721</v>
      </c>
      <c r="I1226" t="s">
        <v>726</v>
      </c>
    </row>
    <row r="1227" spans="1:9" hidden="1" x14ac:dyDescent="0.3">
      <c r="A1227" t="s">
        <v>803</v>
      </c>
      <c r="B1227" s="46">
        <v>45356</v>
      </c>
      <c r="C1227" s="45">
        <v>47300</v>
      </c>
      <c r="D1227" t="s">
        <v>1266</v>
      </c>
      <c r="E1227" s="46">
        <v>45398</v>
      </c>
      <c r="F1227" s="45" t="s">
        <v>721</v>
      </c>
      <c r="G1227">
        <v>0</v>
      </c>
      <c r="I1227" t="s">
        <v>726</v>
      </c>
    </row>
    <row r="1228" spans="1:9" hidden="1" x14ac:dyDescent="0.3">
      <c r="A1228" t="s">
        <v>727</v>
      </c>
      <c r="B1228" s="46">
        <v>45169</v>
      </c>
      <c r="C1228" s="45">
        <v>47200</v>
      </c>
      <c r="D1228" t="s">
        <v>1049</v>
      </c>
      <c r="E1228" s="46">
        <v>45184</v>
      </c>
      <c r="F1228" s="45" t="s">
        <v>721</v>
      </c>
      <c r="I1228" t="s">
        <v>726</v>
      </c>
    </row>
    <row r="1229" spans="1:9" hidden="1" x14ac:dyDescent="0.3">
      <c r="A1229" t="s">
        <v>722</v>
      </c>
      <c r="B1229" s="46">
        <v>45301</v>
      </c>
      <c r="C1229" s="45">
        <v>47040</v>
      </c>
      <c r="D1229" t="s">
        <v>771</v>
      </c>
      <c r="E1229" s="46">
        <v>45337</v>
      </c>
      <c r="F1229" s="45" t="s">
        <v>721</v>
      </c>
      <c r="I1229" t="s">
        <v>756</v>
      </c>
    </row>
    <row r="1230" spans="1:9" hidden="1" x14ac:dyDescent="0.3">
      <c r="A1230" t="s">
        <v>821</v>
      </c>
      <c r="B1230" s="46">
        <v>45313</v>
      </c>
      <c r="C1230" s="45">
        <v>47000</v>
      </c>
      <c r="D1230" t="s">
        <v>1050</v>
      </c>
      <c r="E1230" s="46">
        <v>45337</v>
      </c>
      <c r="F1230" s="45" t="s">
        <v>721</v>
      </c>
      <c r="I1230" t="s">
        <v>726</v>
      </c>
    </row>
    <row r="1231" spans="1:9" hidden="1" x14ac:dyDescent="0.3">
      <c r="A1231" t="s">
        <v>777</v>
      </c>
      <c r="B1231" s="46">
        <v>45373</v>
      </c>
      <c r="C1231" s="45">
        <v>47000</v>
      </c>
      <c r="D1231" t="s">
        <v>875</v>
      </c>
      <c r="E1231" s="46">
        <v>45397</v>
      </c>
      <c r="F1231" s="45" t="s">
        <v>721</v>
      </c>
      <c r="I1231" t="s">
        <v>818</v>
      </c>
    </row>
    <row r="1232" spans="1:9" hidden="1" x14ac:dyDescent="0.3">
      <c r="A1232" t="s">
        <v>734</v>
      </c>
      <c r="B1232" s="46">
        <v>45168</v>
      </c>
      <c r="C1232" s="45">
        <v>47000</v>
      </c>
      <c r="D1232" t="s">
        <v>928</v>
      </c>
      <c r="E1232" s="46">
        <v>45184</v>
      </c>
      <c r="F1232" s="45" t="s">
        <v>721</v>
      </c>
      <c r="I1232" t="s">
        <v>726</v>
      </c>
    </row>
    <row r="1233" spans="1:9" hidden="1" x14ac:dyDescent="0.3">
      <c r="A1233" t="s">
        <v>734</v>
      </c>
      <c r="B1233" s="46">
        <v>45147</v>
      </c>
      <c r="C1233" s="45">
        <v>47000</v>
      </c>
      <c r="D1233" t="s">
        <v>928</v>
      </c>
      <c r="E1233" s="46">
        <v>45184</v>
      </c>
      <c r="F1233" s="45" t="s">
        <v>721</v>
      </c>
      <c r="I1233" t="s">
        <v>726</v>
      </c>
    </row>
    <row r="1234" spans="1:9" hidden="1" x14ac:dyDescent="0.3">
      <c r="A1234" t="s">
        <v>734</v>
      </c>
      <c r="B1234" s="46">
        <v>45128</v>
      </c>
      <c r="C1234" s="45">
        <v>47000</v>
      </c>
      <c r="D1234" t="s">
        <v>869</v>
      </c>
      <c r="E1234" s="46">
        <v>45154</v>
      </c>
      <c r="F1234" s="45" t="s">
        <v>721</v>
      </c>
      <c r="I1234" t="s">
        <v>726</v>
      </c>
    </row>
    <row r="1235" spans="1:9" hidden="1" x14ac:dyDescent="0.3">
      <c r="A1235" t="s">
        <v>821</v>
      </c>
      <c r="B1235" s="46">
        <v>45176</v>
      </c>
      <c r="C1235" s="45">
        <v>47000</v>
      </c>
      <c r="D1235" t="s">
        <v>908</v>
      </c>
      <c r="E1235" s="46">
        <v>45215</v>
      </c>
      <c r="F1235" s="45" t="s">
        <v>721</v>
      </c>
      <c r="I1235" t="s">
        <v>726</v>
      </c>
    </row>
    <row r="1236" spans="1:9" hidden="1" x14ac:dyDescent="0.3">
      <c r="A1236" t="s">
        <v>748</v>
      </c>
      <c r="B1236" s="46">
        <v>45223</v>
      </c>
      <c r="C1236" s="45">
        <v>47000</v>
      </c>
      <c r="D1236" t="s">
        <v>988</v>
      </c>
      <c r="E1236" s="46">
        <v>45245</v>
      </c>
      <c r="F1236" s="45" t="s">
        <v>721</v>
      </c>
      <c r="I1236" t="s">
        <v>726</v>
      </c>
    </row>
    <row r="1237" spans="1:9" hidden="1" x14ac:dyDescent="0.3">
      <c r="A1237" t="s">
        <v>772</v>
      </c>
      <c r="B1237" s="46">
        <v>45210</v>
      </c>
      <c r="C1237" s="45">
        <v>47000</v>
      </c>
      <c r="D1237" t="s">
        <v>1011</v>
      </c>
      <c r="E1237" s="46">
        <v>45256</v>
      </c>
      <c r="F1237" s="45" t="s">
        <v>721</v>
      </c>
      <c r="I1237" t="s">
        <v>726</v>
      </c>
    </row>
    <row r="1238" spans="1:9" hidden="1" x14ac:dyDescent="0.3">
      <c r="A1238" t="s">
        <v>767</v>
      </c>
      <c r="B1238" s="46">
        <v>45425</v>
      </c>
      <c r="C1238" s="45">
        <v>46600</v>
      </c>
      <c r="D1238" t="s">
        <v>2083</v>
      </c>
      <c r="E1238" s="46">
        <v>45458</v>
      </c>
      <c r="F1238" s="45" t="s">
        <v>721</v>
      </c>
      <c r="I1238" t="s">
        <v>726</v>
      </c>
    </row>
    <row r="1239" spans="1:9" hidden="1" x14ac:dyDescent="0.3">
      <c r="A1239" t="s">
        <v>748</v>
      </c>
      <c r="B1239" s="46">
        <v>45160</v>
      </c>
      <c r="C1239" s="45">
        <v>46530</v>
      </c>
      <c r="D1239" t="s">
        <v>735</v>
      </c>
      <c r="E1239" s="46">
        <v>45184</v>
      </c>
      <c r="F1239" s="45" t="s">
        <v>721</v>
      </c>
      <c r="I1239" t="s">
        <v>762</v>
      </c>
    </row>
    <row r="1240" spans="1:9" hidden="1" x14ac:dyDescent="0.3">
      <c r="A1240" t="s">
        <v>724</v>
      </c>
      <c r="B1240" s="46">
        <v>45281</v>
      </c>
      <c r="C1240" s="45">
        <v>46500</v>
      </c>
      <c r="D1240" t="s">
        <v>1053</v>
      </c>
      <c r="E1240" s="46">
        <v>45317</v>
      </c>
      <c r="F1240" s="45" t="s">
        <v>721</v>
      </c>
      <c r="I1240" t="s">
        <v>726</v>
      </c>
    </row>
    <row r="1241" spans="1:9" hidden="1" x14ac:dyDescent="0.3">
      <c r="A1241" t="s">
        <v>734</v>
      </c>
      <c r="B1241" s="46">
        <v>45364</v>
      </c>
      <c r="C1241" s="45">
        <v>46500</v>
      </c>
      <c r="D1241" t="s">
        <v>1004</v>
      </c>
      <c r="E1241" s="46">
        <v>45397</v>
      </c>
      <c r="F1241" s="45" t="s">
        <v>721</v>
      </c>
      <c r="I1241" t="s">
        <v>726</v>
      </c>
    </row>
    <row r="1242" spans="1:9" hidden="1" x14ac:dyDescent="0.3">
      <c r="A1242" t="s">
        <v>722</v>
      </c>
      <c r="B1242" s="46">
        <v>45439</v>
      </c>
      <c r="C1242" s="45">
        <v>46480</v>
      </c>
      <c r="D1242" t="s">
        <v>771</v>
      </c>
      <c r="E1242" s="46">
        <v>45458</v>
      </c>
      <c r="F1242" s="45" t="s">
        <v>721</v>
      </c>
      <c r="I1242" t="s">
        <v>726</v>
      </c>
    </row>
    <row r="1243" spans="1:9" hidden="1" x14ac:dyDescent="0.3">
      <c r="A1243" t="s">
        <v>727</v>
      </c>
      <c r="B1243" s="46">
        <v>45167</v>
      </c>
      <c r="C1243" s="45">
        <v>46300</v>
      </c>
      <c r="D1243" t="s">
        <v>998</v>
      </c>
      <c r="E1243" s="46">
        <v>45184</v>
      </c>
      <c r="F1243" s="45" t="s">
        <v>721</v>
      </c>
      <c r="I1243" t="s">
        <v>726</v>
      </c>
    </row>
    <row r="1244" spans="1:9" hidden="1" x14ac:dyDescent="0.3">
      <c r="A1244" t="s">
        <v>727</v>
      </c>
      <c r="B1244" s="46">
        <v>45162</v>
      </c>
      <c r="C1244" s="45">
        <v>46000</v>
      </c>
      <c r="D1244" t="s">
        <v>1055</v>
      </c>
      <c r="E1244" s="46">
        <v>45184</v>
      </c>
      <c r="F1244" s="45" t="s">
        <v>721</v>
      </c>
      <c r="I1244" t="s">
        <v>756</v>
      </c>
    </row>
    <row r="1245" spans="1:9" hidden="1" x14ac:dyDescent="0.3">
      <c r="A1245" t="s">
        <v>775</v>
      </c>
      <c r="B1245" s="46">
        <v>45140</v>
      </c>
      <c r="C1245" s="45">
        <v>46000</v>
      </c>
      <c r="D1245" t="s">
        <v>925</v>
      </c>
      <c r="E1245" s="46">
        <v>45184</v>
      </c>
      <c r="F1245" s="45" t="s">
        <v>721</v>
      </c>
      <c r="I1245" t="s">
        <v>726</v>
      </c>
    </row>
    <row r="1246" spans="1:9" hidden="1" x14ac:dyDescent="0.3">
      <c r="A1246" t="s">
        <v>734</v>
      </c>
      <c r="B1246" s="46">
        <v>45139</v>
      </c>
      <c r="C1246" s="45">
        <v>46000</v>
      </c>
      <c r="D1246" t="s">
        <v>791</v>
      </c>
      <c r="E1246" s="46">
        <v>45184</v>
      </c>
      <c r="F1246" s="45" t="s">
        <v>721</v>
      </c>
      <c r="I1246" t="s">
        <v>726</v>
      </c>
    </row>
    <row r="1247" spans="1:9" hidden="1" x14ac:dyDescent="0.3">
      <c r="A1247" t="s">
        <v>734</v>
      </c>
      <c r="B1247" s="46">
        <v>45273</v>
      </c>
      <c r="C1247" s="45">
        <v>46000</v>
      </c>
      <c r="D1247" t="s">
        <v>1054</v>
      </c>
      <c r="E1247" s="46">
        <v>45306</v>
      </c>
      <c r="F1247" s="45" t="s">
        <v>721</v>
      </c>
      <c r="I1247" t="s">
        <v>726</v>
      </c>
    </row>
    <row r="1248" spans="1:9" hidden="1" x14ac:dyDescent="0.3">
      <c r="A1248" t="s">
        <v>734</v>
      </c>
      <c r="B1248" s="46">
        <v>45289</v>
      </c>
      <c r="C1248" s="45">
        <v>46000</v>
      </c>
      <c r="D1248" t="s">
        <v>1013</v>
      </c>
      <c r="E1248" s="46">
        <v>45306</v>
      </c>
      <c r="F1248" s="45" t="s">
        <v>721</v>
      </c>
      <c r="I1248" t="s">
        <v>726</v>
      </c>
    </row>
    <row r="1249" spans="1:9" hidden="1" x14ac:dyDescent="0.3">
      <c r="A1249" t="s">
        <v>798</v>
      </c>
      <c r="B1249" s="46">
        <v>45237</v>
      </c>
      <c r="C1249" s="45">
        <v>46000</v>
      </c>
      <c r="D1249" t="s">
        <v>949</v>
      </c>
      <c r="E1249" s="46">
        <v>45275</v>
      </c>
      <c r="F1249" s="45" t="s">
        <v>721</v>
      </c>
      <c r="I1249" t="s">
        <v>726</v>
      </c>
    </row>
    <row r="1250" spans="1:9" hidden="1" x14ac:dyDescent="0.3">
      <c r="A1250" t="s">
        <v>734</v>
      </c>
      <c r="B1250" s="46">
        <v>45366</v>
      </c>
      <c r="C1250" s="45">
        <v>46000</v>
      </c>
      <c r="D1250" t="s">
        <v>869</v>
      </c>
      <c r="E1250" s="46">
        <v>45397</v>
      </c>
      <c r="F1250" s="45" t="s">
        <v>721</v>
      </c>
      <c r="I1250" t="s">
        <v>726</v>
      </c>
    </row>
    <row r="1251" spans="1:9" hidden="1" x14ac:dyDescent="0.3">
      <c r="A1251" t="s">
        <v>724</v>
      </c>
      <c r="B1251" s="46">
        <v>45351</v>
      </c>
      <c r="C1251" s="45">
        <v>46000</v>
      </c>
      <c r="D1251" t="s">
        <v>1057</v>
      </c>
      <c r="E1251" s="46">
        <v>45377</v>
      </c>
      <c r="F1251" s="45" t="s">
        <v>721</v>
      </c>
      <c r="I1251" t="s">
        <v>726</v>
      </c>
    </row>
    <row r="1252" spans="1:9" hidden="1" x14ac:dyDescent="0.3">
      <c r="A1252" t="s">
        <v>779</v>
      </c>
      <c r="B1252" s="46">
        <v>45319</v>
      </c>
      <c r="C1252" s="45">
        <v>46000</v>
      </c>
      <c r="D1252" t="s">
        <v>1056</v>
      </c>
      <c r="E1252" s="46">
        <v>45338</v>
      </c>
      <c r="F1252" s="45" t="s">
        <v>721</v>
      </c>
      <c r="I1252" t="s">
        <v>740</v>
      </c>
    </row>
    <row r="1253" spans="1:9" hidden="1" x14ac:dyDescent="0.3">
      <c r="A1253" t="s">
        <v>722</v>
      </c>
      <c r="B1253" s="46">
        <v>45344</v>
      </c>
      <c r="C1253" s="45">
        <v>46000</v>
      </c>
      <c r="D1253" t="s">
        <v>830</v>
      </c>
      <c r="E1253" s="46">
        <v>45366</v>
      </c>
      <c r="F1253" s="45" t="s">
        <v>721</v>
      </c>
      <c r="I1253" t="s">
        <v>726</v>
      </c>
    </row>
    <row r="1254" spans="1:9" hidden="1" x14ac:dyDescent="0.3">
      <c r="A1254" t="s">
        <v>722</v>
      </c>
      <c r="B1254" s="46">
        <v>45286</v>
      </c>
      <c r="C1254" s="45">
        <v>45910</v>
      </c>
      <c r="D1254" t="s">
        <v>771</v>
      </c>
      <c r="E1254" s="46">
        <v>45306</v>
      </c>
      <c r="F1254" s="45" t="s">
        <v>721</v>
      </c>
      <c r="I1254" t="s">
        <v>756</v>
      </c>
    </row>
    <row r="1255" spans="1:9" hidden="1" x14ac:dyDescent="0.3">
      <c r="A1255" t="s">
        <v>722</v>
      </c>
      <c r="B1255" s="46">
        <v>45313</v>
      </c>
      <c r="C1255" s="45">
        <v>45890</v>
      </c>
      <c r="D1255" t="s">
        <v>771</v>
      </c>
      <c r="E1255" s="46">
        <v>45337</v>
      </c>
      <c r="F1255" s="45" t="s">
        <v>721</v>
      </c>
      <c r="I1255" t="s">
        <v>726</v>
      </c>
    </row>
    <row r="1256" spans="1:9" hidden="1" x14ac:dyDescent="0.3">
      <c r="A1256" t="s">
        <v>734</v>
      </c>
      <c r="B1256" s="46">
        <v>45441</v>
      </c>
      <c r="C1256" s="45">
        <v>45700</v>
      </c>
      <c r="D1256" t="s">
        <v>1724</v>
      </c>
      <c r="E1256" s="46">
        <v>45458</v>
      </c>
      <c r="F1256" s="45" t="s">
        <v>721</v>
      </c>
      <c r="I1256" t="s">
        <v>726</v>
      </c>
    </row>
    <row r="1257" spans="1:9" hidden="1" x14ac:dyDescent="0.3">
      <c r="A1257" t="s">
        <v>748</v>
      </c>
      <c r="B1257" s="46">
        <v>45274</v>
      </c>
      <c r="C1257" s="45">
        <v>45700</v>
      </c>
      <c r="D1257" t="s">
        <v>735</v>
      </c>
      <c r="E1257" s="46">
        <v>45306</v>
      </c>
      <c r="F1257" s="45" t="s">
        <v>721</v>
      </c>
      <c r="I1257" t="s">
        <v>762</v>
      </c>
    </row>
    <row r="1258" spans="1:9" hidden="1" x14ac:dyDescent="0.3">
      <c r="A1258" t="s">
        <v>748</v>
      </c>
      <c r="B1258" s="46">
        <v>45132</v>
      </c>
      <c r="C1258" s="45">
        <v>45600</v>
      </c>
      <c r="D1258" t="s">
        <v>735</v>
      </c>
      <c r="E1258" s="46">
        <v>45154</v>
      </c>
      <c r="F1258" s="45" t="s">
        <v>721</v>
      </c>
      <c r="I1258" t="s">
        <v>762</v>
      </c>
    </row>
    <row r="1259" spans="1:9" hidden="1" x14ac:dyDescent="0.3">
      <c r="A1259" t="s">
        <v>729</v>
      </c>
      <c r="B1259" s="46">
        <v>45196</v>
      </c>
      <c r="C1259" s="45">
        <v>45584</v>
      </c>
      <c r="D1259" t="s">
        <v>971</v>
      </c>
      <c r="E1259" s="46">
        <v>45245</v>
      </c>
      <c r="F1259" s="45" t="s">
        <v>731</v>
      </c>
      <c r="G1259" t="s">
        <v>732</v>
      </c>
      <c r="H1259">
        <v>33</v>
      </c>
      <c r="I1259" t="s">
        <v>733</v>
      </c>
    </row>
    <row r="1260" spans="1:9" hidden="1" x14ac:dyDescent="0.3">
      <c r="A1260" t="s">
        <v>767</v>
      </c>
      <c r="B1260" s="46">
        <v>45404</v>
      </c>
      <c r="C1260" s="45">
        <v>45500</v>
      </c>
      <c r="D1260" t="s">
        <v>938</v>
      </c>
      <c r="E1260" s="46">
        <v>45428</v>
      </c>
      <c r="F1260" s="45" t="s">
        <v>721</v>
      </c>
      <c r="I1260" t="s">
        <v>726</v>
      </c>
    </row>
    <row r="1261" spans="1:9" hidden="1" x14ac:dyDescent="0.3">
      <c r="A1261" t="s">
        <v>767</v>
      </c>
      <c r="B1261" s="46">
        <v>45322</v>
      </c>
      <c r="C1261" s="45">
        <v>45500</v>
      </c>
      <c r="D1261" t="s">
        <v>1008</v>
      </c>
      <c r="E1261" s="46">
        <v>45337</v>
      </c>
      <c r="F1261" s="45" t="s">
        <v>721</v>
      </c>
      <c r="I1261" t="s">
        <v>726</v>
      </c>
    </row>
    <row r="1262" spans="1:9" hidden="1" x14ac:dyDescent="0.3">
      <c r="A1262" t="s">
        <v>772</v>
      </c>
      <c r="B1262" s="46">
        <v>45156</v>
      </c>
      <c r="C1262" s="45">
        <v>45300</v>
      </c>
      <c r="D1262" t="s">
        <v>1010</v>
      </c>
      <c r="E1262" s="46">
        <v>45195</v>
      </c>
      <c r="F1262" s="45" t="s">
        <v>721</v>
      </c>
      <c r="I1262" t="s">
        <v>726</v>
      </c>
    </row>
    <row r="1263" spans="1:9" hidden="1" x14ac:dyDescent="0.3">
      <c r="A1263" t="s">
        <v>734</v>
      </c>
      <c r="B1263" s="46">
        <v>45181</v>
      </c>
      <c r="C1263" s="45">
        <v>45000</v>
      </c>
      <c r="D1263" t="s">
        <v>1013</v>
      </c>
      <c r="E1263" s="46">
        <v>45215</v>
      </c>
      <c r="F1263" s="45" t="s">
        <v>721</v>
      </c>
      <c r="I1263" t="s">
        <v>726</v>
      </c>
    </row>
    <row r="1264" spans="1:9" hidden="1" x14ac:dyDescent="0.3">
      <c r="A1264" t="s">
        <v>821</v>
      </c>
      <c r="B1264" s="46">
        <v>45174</v>
      </c>
      <c r="C1264" s="45">
        <v>45000</v>
      </c>
      <c r="D1264" t="s">
        <v>1066</v>
      </c>
      <c r="E1264" s="46">
        <v>45215</v>
      </c>
      <c r="F1264" s="45" t="s">
        <v>721</v>
      </c>
      <c r="I1264" t="s">
        <v>726</v>
      </c>
    </row>
    <row r="1265" spans="1:9" hidden="1" x14ac:dyDescent="0.3">
      <c r="A1265" t="s">
        <v>748</v>
      </c>
      <c r="B1265" s="46">
        <v>45205</v>
      </c>
      <c r="C1265" s="45">
        <v>45000</v>
      </c>
      <c r="D1265" t="s">
        <v>783</v>
      </c>
      <c r="E1265" s="46">
        <v>45245</v>
      </c>
      <c r="F1265" s="45" t="s">
        <v>721</v>
      </c>
      <c r="I1265" t="s">
        <v>784</v>
      </c>
    </row>
    <row r="1266" spans="1:9" hidden="1" x14ac:dyDescent="0.3">
      <c r="A1266" t="s">
        <v>775</v>
      </c>
      <c r="B1266" s="46">
        <v>45180</v>
      </c>
      <c r="C1266" s="45">
        <v>45000</v>
      </c>
      <c r="D1266" t="s">
        <v>910</v>
      </c>
      <c r="E1266" s="46">
        <v>45215</v>
      </c>
      <c r="F1266" s="45" t="s">
        <v>721</v>
      </c>
    </row>
    <row r="1267" spans="1:9" hidden="1" x14ac:dyDescent="0.3">
      <c r="A1267" t="s">
        <v>777</v>
      </c>
      <c r="B1267" s="46">
        <v>45161</v>
      </c>
      <c r="C1267" s="45">
        <v>45000</v>
      </c>
      <c r="D1267" t="s">
        <v>1065</v>
      </c>
      <c r="E1267" s="46">
        <v>45215</v>
      </c>
      <c r="F1267" s="45" t="s">
        <v>721</v>
      </c>
      <c r="I1267" t="s">
        <v>838</v>
      </c>
    </row>
    <row r="1268" spans="1:9" hidden="1" x14ac:dyDescent="0.3">
      <c r="A1268" t="s">
        <v>748</v>
      </c>
      <c r="B1268" s="46">
        <v>45119</v>
      </c>
      <c r="C1268" s="45">
        <v>45000</v>
      </c>
      <c r="D1268" t="s">
        <v>783</v>
      </c>
      <c r="E1268" s="46">
        <v>45154</v>
      </c>
      <c r="F1268" s="45" t="s">
        <v>721</v>
      </c>
      <c r="I1268" t="s">
        <v>784</v>
      </c>
    </row>
    <row r="1269" spans="1:9" hidden="1" x14ac:dyDescent="0.3">
      <c r="A1269" t="s">
        <v>734</v>
      </c>
      <c r="B1269" s="46">
        <v>45142</v>
      </c>
      <c r="C1269" s="45">
        <v>45000</v>
      </c>
      <c r="D1269" t="s">
        <v>1061</v>
      </c>
      <c r="E1269" s="46">
        <v>45184</v>
      </c>
      <c r="F1269" s="45" t="s">
        <v>721</v>
      </c>
      <c r="I1269" t="s">
        <v>726</v>
      </c>
    </row>
    <row r="1270" spans="1:9" hidden="1" x14ac:dyDescent="0.3">
      <c r="A1270" t="s">
        <v>779</v>
      </c>
      <c r="B1270" s="46">
        <v>45164</v>
      </c>
      <c r="C1270" s="45">
        <v>45000</v>
      </c>
      <c r="D1270" t="s">
        <v>1059</v>
      </c>
      <c r="E1270" s="46">
        <v>45184</v>
      </c>
      <c r="F1270" s="45" t="s">
        <v>721</v>
      </c>
      <c r="I1270" t="s">
        <v>726</v>
      </c>
    </row>
    <row r="1271" spans="1:9" hidden="1" x14ac:dyDescent="0.3">
      <c r="A1271" t="s">
        <v>779</v>
      </c>
      <c r="B1271" s="46">
        <v>45153</v>
      </c>
      <c r="C1271" s="45">
        <v>45000</v>
      </c>
      <c r="D1271" t="s">
        <v>1060</v>
      </c>
      <c r="E1271" s="46">
        <v>45184</v>
      </c>
      <c r="F1271" s="45" t="s">
        <v>721</v>
      </c>
      <c r="I1271" t="s">
        <v>750</v>
      </c>
    </row>
    <row r="1272" spans="1:9" hidden="1" x14ac:dyDescent="0.3">
      <c r="A1272" t="s">
        <v>748</v>
      </c>
      <c r="B1272" s="46">
        <v>45275</v>
      </c>
      <c r="C1272" s="45">
        <v>45000</v>
      </c>
      <c r="D1272" t="s">
        <v>783</v>
      </c>
      <c r="E1272" s="46">
        <v>45306</v>
      </c>
      <c r="F1272" s="45" t="s">
        <v>721</v>
      </c>
      <c r="I1272" t="s">
        <v>784</v>
      </c>
    </row>
    <row r="1273" spans="1:9" hidden="1" x14ac:dyDescent="0.3">
      <c r="A1273" t="s">
        <v>772</v>
      </c>
      <c r="B1273" s="46">
        <v>45238</v>
      </c>
      <c r="C1273" s="45">
        <v>45000</v>
      </c>
      <c r="D1273" t="s">
        <v>934</v>
      </c>
      <c r="E1273" s="46">
        <v>45286</v>
      </c>
      <c r="F1273" s="45" t="s">
        <v>721</v>
      </c>
      <c r="I1273" t="s">
        <v>726</v>
      </c>
    </row>
    <row r="1274" spans="1:9" hidden="1" x14ac:dyDescent="0.3">
      <c r="A1274" t="s">
        <v>734</v>
      </c>
      <c r="B1274" s="46">
        <v>45286</v>
      </c>
      <c r="C1274" s="45">
        <v>45000</v>
      </c>
      <c r="D1274" t="s">
        <v>1064</v>
      </c>
      <c r="E1274" s="46">
        <v>45306</v>
      </c>
      <c r="F1274" s="45" t="s">
        <v>721</v>
      </c>
      <c r="I1274" t="s">
        <v>760</v>
      </c>
    </row>
    <row r="1275" spans="1:9" hidden="1" x14ac:dyDescent="0.3">
      <c r="A1275" t="s">
        <v>761</v>
      </c>
      <c r="B1275" s="46">
        <v>45280</v>
      </c>
      <c r="C1275" s="45">
        <v>45000</v>
      </c>
      <c r="D1275" t="s">
        <v>837</v>
      </c>
      <c r="E1275" s="46">
        <v>45317</v>
      </c>
      <c r="F1275" s="45" t="s">
        <v>721</v>
      </c>
      <c r="I1275" t="s">
        <v>838</v>
      </c>
    </row>
    <row r="1276" spans="1:9" hidden="1" x14ac:dyDescent="0.3">
      <c r="A1276" t="s">
        <v>724</v>
      </c>
      <c r="B1276" s="46">
        <v>45272</v>
      </c>
      <c r="C1276" s="45">
        <v>45000</v>
      </c>
      <c r="D1276" t="s">
        <v>1030</v>
      </c>
      <c r="E1276" s="46">
        <v>45317</v>
      </c>
      <c r="F1276" s="45" t="s">
        <v>721</v>
      </c>
      <c r="I1276" t="s">
        <v>726</v>
      </c>
    </row>
    <row r="1277" spans="1:9" hidden="1" x14ac:dyDescent="0.3">
      <c r="A1277" t="s">
        <v>748</v>
      </c>
      <c r="B1277" s="46">
        <v>45245</v>
      </c>
      <c r="C1277" s="45">
        <v>45000</v>
      </c>
      <c r="D1277" t="s">
        <v>783</v>
      </c>
      <c r="E1277" s="46">
        <v>45275</v>
      </c>
      <c r="F1277" s="45" t="s">
        <v>721</v>
      </c>
      <c r="I1277" t="s">
        <v>784</v>
      </c>
    </row>
    <row r="1278" spans="1:9" hidden="1" x14ac:dyDescent="0.3">
      <c r="A1278" t="s">
        <v>748</v>
      </c>
      <c r="B1278" s="46">
        <v>45259</v>
      </c>
      <c r="C1278" s="45">
        <v>45000</v>
      </c>
      <c r="D1278" t="s">
        <v>783</v>
      </c>
      <c r="E1278" s="46">
        <v>45275</v>
      </c>
      <c r="F1278" s="45" t="s">
        <v>721</v>
      </c>
      <c r="I1278" t="s">
        <v>784</v>
      </c>
    </row>
    <row r="1279" spans="1:9" hidden="1" x14ac:dyDescent="0.3">
      <c r="A1279" t="s">
        <v>779</v>
      </c>
      <c r="B1279" s="46">
        <v>45226</v>
      </c>
      <c r="C1279" s="45">
        <v>45000</v>
      </c>
      <c r="D1279" t="s">
        <v>1067</v>
      </c>
      <c r="E1279" s="46">
        <v>45246</v>
      </c>
      <c r="F1279" s="45" t="s">
        <v>721</v>
      </c>
    </row>
    <row r="1280" spans="1:9" hidden="1" x14ac:dyDescent="0.3">
      <c r="A1280" t="s">
        <v>821</v>
      </c>
      <c r="B1280" s="46">
        <v>45320</v>
      </c>
      <c r="C1280" s="45">
        <v>45000</v>
      </c>
      <c r="D1280" t="s">
        <v>1008</v>
      </c>
      <c r="E1280" s="46">
        <v>45337</v>
      </c>
      <c r="F1280" s="45" t="s">
        <v>721</v>
      </c>
      <c r="I1280" t="s">
        <v>726</v>
      </c>
    </row>
    <row r="1281" spans="1:9" hidden="1" x14ac:dyDescent="0.3">
      <c r="A1281" t="s">
        <v>748</v>
      </c>
      <c r="B1281" s="46">
        <v>45307</v>
      </c>
      <c r="C1281" s="45">
        <v>45000</v>
      </c>
      <c r="D1281" t="s">
        <v>783</v>
      </c>
      <c r="E1281" s="46">
        <v>45337</v>
      </c>
      <c r="F1281" s="45" t="s">
        <v>721</v>
      </c>
      <c r="I1281" t="s">
        <v>784</v>
      </c>
    </row>
    <row r="1282" spans="1:9" hidden="1" x14ac:dyDescent="0.3">
      <c r="A1282" t="s">
        <v>724</v>
      </c>
      <c r="B1282" s="46">
        <v>45387</v>
      </c>
      <c r="C1282" s="45">
        <v>45000</v>
      </c>
      <c r="D1282" t="s">
        <v>2088</v>
      </c>
      <c r="E1282" s="46">
        <v>45438</v>
      </c>
      <c r="F1282" s="45" t="s">
        <v>721</v>
      </c>
      <c r="I1282" t="s">
        <v>726</v>
      </c>
    </row>
    <row r="1283" spans="1:9" hidden="1" x14ac:dyDescent="0.3">
      <c r="A1283" t="s">
        <v>734</v>
      </c>
      <c r="B1283" s="46">
        <v>45443</v>
      </c>
      <c r="C1283" s="45">
        <v>45000</v>
      </c>
      <c r="D1283" t="s">
        <v>869</v>
      </c>
      <c r="E1283" s="46">
        <v>45458</v>
      </c>
      <c r="F1283" s="45" t="s">
        <v>721</v>
      </c>
      <c r="I1283" t="s">
        <v>726</v>
      </c>
    </row>
    <row r="1284" spans="1:9" hidden="1" x14ac:dyDescent="0.3">
      <c r="A1284" t="s">
        <v>775</v>
      </c>
      <c r="B1284" s="46">
        <v>45226</v>
      </c>
      <c r="C1284" s="45">
        <v>44800</v>
      </c>
      <c r="D1284" t="s">
        <v>1068</v>
      </c>
      <c r="E1284" s="46">
        <v>45246</v>
      </c>
      <c r="F1284" s="45" t="s">
        <v>721</v>
      </c>
      <c r="I1284" t="s">
        <v>726</v>
      </c>
    </row>
    <row r="1285" spans="1:9" hidden="1" x14ac:dyDescent="0.3">
      <c r="A1285" t="s">
        <v>724</v>
      </c>
      <c r="B1285" s="46">
        <v>45218</v>
      </c>
      <c r="C1285" s="45">
        <v>44700</v>
      </c>
      <c r="D1285" t="s">
        <v>1069</v>
      </c>
      <c r="E1285" s="46">
        <v>45256</v>
      </c>
      <c r="F1285" s="45" t="s">
        <v>721</v>
      </c>
      <c r="I1285" t="s">
        <v>726</v>
      </c>
    </row>
    <row r="1286" spans="1:9" hidden="1" x14ac:dyDescent="0.3">
      <c r="A1286" t="s">
        <v>767</v>
      </c>
      <c r="B1286" s="46">
        <v>45393</v>
      </c>
      <c r="C1286" s="45">
        <v>44700</v>
      </c>
      <c r="D1286" t="s">
        <v>2089</v>
      </c>
      <c r="E1286" s="46">
        <v>45428</v>
      </c>
      <c r="F1286" s="45" t="s">
        <v>721</v>
      </c>
      <c r="I1286" t="s">
        <v>726</v>
      </c>
    </row>
    <row r="1287" spans="1:9" hidden="1" x14ac:dyDescent="0.3">
      <c r="A1287" t="s">
        <v>779</v>
      </c>
      <c r="B1287" s="46">
        <v>45167</v>
      </c>
      <c r="C1287" s="45">
        <v>44600</v>
      </c>
      <c r="D1287" t="s">
        <v>884</v>
      </c>
      <c r="E1287" s="46">
        <v>45184</v>
      </c>
      <c r="F1287" s="45" t="s">
        <v>721</v>
      </c>
      <c r="I1287" t="s">
        <v>726</v>
      </c>
    </row>
    <row r="1288" spans="1:9" hidden="1" x14ac:dyDescent="0.3">
      <c r="A1288" t="s">
        <v>722</v>
      </c>
      <c r="B1288" s="46">
        <v>45335</v>
      </c>
      <c r="C1288" s="45">
        <v>44550</v>
      </c>
      <c r="D1288" t="s">
        <v>776</v>
      </c>
      <c r="E1288" s="46">
        <v>45366</v>
      </c>
      <c r="F1288" s="45" t="s">
        <v>721</v>
      </c>
      <c r="I1288" t="s">
        <v>726</v>
      </c>
    </row>
    <row r="1289" spans="1:9" hidden="1" x14ac:dyDescent="0.3">
      <c r="A1289" t="s">
        <v>748</v>
      </c>
      <c r="B1289" s="46">
        <v>45321</v>
      </c>
      <c r="C1289" s="45">
        <v>44500</v>
      </c>
      <c r="D1289" t="s">
        <v>735</v>
      </c>
      <c r="E1289" s="46">
        <v>45337</v>
      </c>
      <c r="F1289" s="45" t="s">
        <v>721</v>
      </c>
      <c r="I1289" t="s">
        <v>726</v>
      </c>
    </row>
    <row r="1290" spans="1:9" hidden="1" x14ac:dyDescent="0.3">
      <c r="A1290" t="s">
        <v>803</v>
      </c>
      <c r="B1290" s="46">
        <v>45354</v>
      </c>
      <c r="C1290" s="45">
        <v>44500</v>
      </c>
      <c r="D1290" t="s">
        <v>2090</v>
      </c>
      <c r="E1290" s="46">
        <v>45398</v>
      </c>
      <c r="F1290" s="45" t="s">
        <v>721</v>
      </c>
      <c r="G1290">
        <v>0</v>
      </c>
      <c r="I1290" t="s">
        <v>726</v>
      </c>
    </row>
    <row r="1291" spans="1:9" hidden="1" x14ac:dyDescent="0.3">
      <c r="A1291" t="s">
        <v>722</v>
      </c>
      <c r="B1291" s="46">
        <v>45224</v>
      </c>
      <c r="C1291" s="45">
        <v>44480</v>
      </c>
      <c r="D1291" t="s">
        <v>776</v>
      </c>
      <c r="E1291" s="46">
        <v>45245</v>
      </c>
      <c r="F1291" s="45" t="s">
        <v>721</v>
      </c>
      <c r="I1291" t="s">
        <v>726</v>
      </c>
    </row>
    <row r="1292" spans="1:9" hidden="1" x14ac:dyDescent="0.3">
      <c r="A1292" t="s">
        <v>748</v>
      </c>
      <c r="B1292" s="46">
        <v>45349</v>
      </c>
      <c r="C1292" s="45">
        <v>44460</v>
      </c>
      <c r="D1292" t="s">
        <v>735</v>
      </c>
      <c r="E1292" s="46">
        <v>45366</v>
      </c>
      <c r="F1292" s="45" t="s">
        <v>721</v>
      </c>
      <c r="I1292" t="s">
        <v>762</v>
      </c>
    </row>
    <row r="1293" spans="1:9" hidden="1" x14ac:dyDescent="0.3">
      <c r="A1293" t="s">
        <v>722</v>
      </c>
      <c r="B1293" s="46">
        <v>45238</v>
      </c>
      <c r="C1293" s="45">
        <v>44370</v>
      </c>
      <c r="D1293" t="s">
        <v>771</v>
      </c>
      <c r="E1293" s="46">
        <v>45275</v>
      </c>
      <c r="F1293" s="45" t="s">
        <v>721</v>
      </c>
      <c r="I1293" t="s">
        <v>726</v>
      </c>
    </row>
    <row r="1294" spans="1:9" hidden="1" x14ac:dyDescent="0.3">
      <c r="A1294" t="s">
        <v>772</v>
      </c>
      <c r="B1294" s="46">
        <v>45274</v>
      </c>
      <c r="C1294" s="45">
        <v>44200</v>
      </c>
      <c r="D1294" t="s">
        <v>1053</v>
      </c>
      <c r="E1294" s="46">
        <v>45317</v>
      </c>
      <c r="F1294" s="45" t="s">
        <v>721</v>
      </c>
      <c r="I1294" t="s">
        <v>726</v>
      </c>
    </row>
    <row r="1295" spans="1:9" hidden="1" x14ac:dyDescent="0.3">
      <c r="A1295" t="s">
        <v>734</v>
      </c>
      <c r="B1295" s="46">
        <v>45261</v>
      </c>
      <c r="C1295" s="45">
        <v>44000</v>
      </c>
      <c r="D1295" t="s">
        <v>1013</v>
      </c>
      <c r="E1295" s="46">
        <v>45306</v>
      </c>
      <c r="F1295" s="45" t="s">
        <v>721</v>
      </c>
      <c r="I1295" t="s">
        <v>726</v>
      </c>
    </row>
    <row r="1296" spans="1:9" hidden="1" x14ac:dyDescent="0.3">
      <c r="A1296" t="s">
        <v>734</v>
      </c>
      <c r="B1296" s="46">
        <v>45259</v>
      </c>
      <c r="C1296" s="45">
        <v>44000</v>
      </c>
      <c r="D1296" t="s">
        <v>1013</v>
      </c>
      <c r="E1296" s="46">
        <v>45275</v>
      </c>
      <c r="F1296" s="45" t="s">
        <v>721</v>
      </c>
      <c r="I1296" t="s">
        <v>726</v>
      </c>
    </row>
    <row r="1297" spans="1:9" hidden="1" x14ac:dyDescent="0.3">
      <c r="A1297" t="s">
        <v>734</v>
      </c>
      <c r="B1297" s="46">
        <v>45232</v>
      </c>
      <c r="C1297" s="45">
        <v>44000</v>
      </c>
      <c r="D1297" t="s">
        <v>886</v>
      </c>
      <c r="E1297" s="46">
        <v>45275</v>
      </c>
      <c r="F1297" s="45" t="s">
        <v>721</v>
      </c>
      <c r="I1297" t="s">
        <v>726</v>
      </c>
    </row>
    <row r="1298" spans="1:9" hidden="1" x14ac:dyDescent="0.3">
      <c r="A1298" t="s">
        <v>777</v>
      </c>
      <c r="B1298" s="46">
        <v>45209</v>
      </c>
      <c r="C1298" s="45">
        <v>44000</v>
      </c>
      <c r="D1298" t="s">
        <v>883</v>
      </c>
      <c r="E1298" s="46">
        <v>45245</v>
      </c>
      <c r="F1298" s="45" t="s">
        <v>721</v>
      </c>
      <c r="I1298" t="s">
        <v>818</v>
      </c>
    </row>
    <row r="1299" spans="1:9" hidden="1" x14ac:dyDescent="0.3">
      <c r="A1299" t="s">
        <v>779</v>
      </c>
      <c r="B1299" s="46">
        <v>45185</v>
      </c>
      <c r="C1299" s="45">
        <v>44000</v>
      </c>
      <c r="D1299" t="s">
        <v>1071</v>
      </c>
      <c r="E1299" s="46">
        <v>45215</v>
      </c>
      <c r="F1299" s="45" t="s">
        <v>721</v>
      </c>
    </row>
    <row r="1300" spans="1:9" hidden="1" x14ac:dyDescent="0.3">
      <c r="A1300" t="s">
        <v>821</v>
      </c>
      <c r="B1300" s="46">
        <v>45170</v>
      </c>
      <c r="C1300" s="45">
        <v>44000</v>
      </c>
      <c r="D1300" t="s">
        <v>1030</v>
      </c>
      <c r="E1300" s="46">
        <v>45215</v>
      </c>
      <c r="F1300" s="45" t="s">
        <v>721</v>
      </c>
      <c r="I1300" t="s">
        <v>726</v>
      </c>
    </row>
    <row r="1301" spans="1:9" hidden="1" x14ac:dyDescent="0.3">
      <c r="A1301" t="s">
        <v>775</v>
      </c>
      <c r="B1301" s="46">
        <v>45399</v>
      </c>
      <c r="C1301" s="45">
        <v>44000</v>
      </c>
      <c r="D1301" t="s">
        <v>791</v>
      </c>
      <c r="E1301" s="46">
        <v>45428</v>
      </c>
      <c r="F1301" s="45" t="s">
        <v>721</v>
      </c>
      <c r="G1301">
        <v>0</v>
      </c>
      <c r="I1301" t="s">
        <v>726</v>
      </c>
    </row>
    <row r="1302" spans="1:9" hidden="1" x14ac:dyDescent="0.3">
      <c r="A1302" t="s">
        <v>734</v>
      </c>
      <c r="B1302" s="46">
        <v>45387</v>
      </c>
      <c r="C1302" s="45">
        <v>44000</v>
      </c>
      <c r="D1302" t="s">
        <v>938</v>
      </c>
      <c r="E1302" s="46">
        <v>45428</v>
      </c>
      <c r="F1302" s="45" t="s">
        <v>721</v>
      </c>
      <c r="I1302" t="s">
        <v>726</v>
      </c>
    </row>
    <row r="1303" spans="1:9" hidden="1" x14ac:dyDescent="0.3">
      <c r="A1303" t="s">
        <v>734</v>
      </c>
      <c r="B1303" s="46">
        <v>45439</v>
      </c>
      <c r="C1303" s="45">
        <v>44000</v>
      </c>
      <c r="D1303" t="s">
        <v>2091</v>
      </c>
      <c r="E1303" s="46">
        <v>45458</v>
      </c>
      <c r="F1303" s="45" t="s">
        <v>721</v>
      </c>
      <c r="I1303" t="s">
        <v>726</v>
      </c>
    </row>
    <row r="1304" spans="1:9" hidden="1" x14ac:dyDescent="0.3">
      <c r="A1304" t="s">
        <v>772</v>
      </c>
      <c r="B1304" s="46">
        <v>45422</v>
      </c>
      <c r="C1304" s="45">
        <v>44000</v>
      </c>
      <c r="D1304" t="s">
        <v>1138</v>
      </c>
      <c r="E1304" s="46">
        <v>45469</v>
      </c>
      <c r="F1304" s="45" t="s">
        <v>721</v>
      </c>
      <c r="I1304" t="s">
        <v>726</v>
      </c>
    </row>
    <row r="1305" spans="1:9" hidden="1" x14ac:dyDescent="0.3">
      <c r="A1305" t="s">
        <v>772</v>
      </c>
      <c r="B1305" s="46">
        <v>45441</v>
      </c>
      <c r="C1305" s="45">
        <v>44000</v>
      </c>
      <c r="D1305" t="s">
        <v>2092</v>
      </c>
      <c r="E1305" s="46">
        <v>45469</v>
      </c>
      <c r="F1305" s="45" t="s">
        <v>721</v>
      </c>
      <c r="I1305" t="s">
        <v>726</v>
      </c>
    </row>
    <row r="1306" spans="1:9" hidden="1" x14ac:dyDescent="0.3">
      <c r="A1306" t="s">
        <v>779</v>
      </c>
      <c r="B1306" s="46">
        <v>45430</v>
      </c>
      <c r="C1306" s="45">
        <v>44000</v>
      </c>
      <c r="D1306" t="s">
        <v>2093</v>
      </c>
      <c r="E1306" s="46">
        <v>45459</v>
      </c>
      <c r="F1306" s="45" t="s">
        <v>721</v>
      </c>
      <c r="I1306" t="s">
        <v>750</v>
      </c>
    </row>
    <row r="1307" spans="1:9" hidden="1" x14ac:dyDescent="0.3">
      <c r="A1307" t="s">
        <v>722</v>
      </c>
      <c r="B1307" s="46">
        <v>45187</v>
      </c>
      <c r="C1307" s="45">
        <v>43990</v>
      </c>
      <c r="D1307" t="s">
        <v>771</v>
      </c>
      <c r="E1307" s="46">
        <v>45215</v>
      </c>
      <c r="F1307" s="45" t="s">
        <v>721</v>
      </c>
      <c r="I1307" t="s">
        <v>726</v>
      </c>
    </row>
    <row r="1308" spans="1:9" hidden="1" x14ac:dyDescent="0.3">
      <c r="A1308" t="s">
        <v>729</v>
      </c>
      <c r="B1308" s="46">
        <v>45222</v>
      </c>
      <c r="C1308" s="45">
        <v>43600</v>
      </c>
      <c r="D1308" t="s">
        <v>1072</v>
      </c>
      <c r="E1308" s="46">
        <v>45245</v>
      </c>
      <c r="F1308" s="45" t="s">
        <v>721</v>
      </c>
      <c r="I1308" t="s">
        <v>726</v>
      </c>
    </row>
    <row r="1309" spans="1:9" hidden="1" x14ac:dyDescent="0.3">
      <c r="A1309" t="s">
        <v>1338</v>
      </c>
      <c r="B1309" s="46">
        <v>45369</v>
      </c>
      <c r="C1309" s="45">
        <v>43600</v>
      </c>
      <c r="D1309" t="s">
        <v>1229</v>
      </c>
      <c r="E1309" s="46">
        <v>45408</v>
      </c>
      <c r="F1309" s="45" t="s">
        <v>721</v>
      </c>
      <c r="I1309" t="s">
        <v>1162</v>
      </c>
    </row>
    <row r="1310" spans="1:9" hidden="1" x14ac:dyDescent="0.3">
      <c r="A1310" t="s">
        <v>734</v>
      </c>
      <c r="B1310" s="46">
        <v>45263</v>
      </c>
      <c r="C1310" s="45">
        <v>43538</v>
      </c>
      <c r="D1310" t="s">
        <v>799</v>
      </c>
      <c r="E1310" s="46">
        <v>45306</v>
      </c>
      <c r="F1310" s="45" t="s">
        <v>721</v>
      </c>
      <c r="I1310" t="s">
        <v>826</v>
      </c>
    </row>
    <row r="1311" spans="1:9" hidden="1" x14ac:dyDescent="0.3">
      <c r="A1311" t="s">
        <v>767</v>
      </c>
      <c r="B1311" s="46">
        <v>45210</v>
      </c>
      <c r="C1311" s="45">
        <v>43300</v>
      </c>
      <c r="D1311" t="s">
        <v>1073</v>
      </c>
      <c r="E1311" s="46">
        <v>45245</v>
      </c>
      <c r="F1311" s="45" t="s">
        <v>721</v>
      </c>
      <c r="I1311" t="s">
        <v>726</v>
      </c>
    </row>
    <row r="1312" spans="1:9" hidden="1" x14ac:dyDescent="0.3">
      <c r="A1312" t="s">
        <v>748</v>
      </c>
      <c r="B1312" s="46">
        <v>45239</v>
      </c>
      <c r="C1312" s="45">
        <v>43200</v>
      </c>
      <c r="D1312" t="s">
        <v>735</v>
      </c>
      <c r="E1312" s="46">
        <v>45275</v>
      </c>
      <c r="F1312" s="45" t="s">
        <v>721</v>
      </c>
      <c r="I1312" t="s">
        <v>762</v>
      </c>
    </row>
    <row r="1313" spans="1:9" hidden="1" x14ac:dyDescent="0.3">
      <c r="A1313" t="s">
        <v>748</v>
      </c>
      <c r="B1313" s="46">
        <v>45244</v>
      </c>
      <c r="C1313" s="45">
        <v>43200</v>
      </c>
      <c r="D1313" t="s">
        <v>735</v>
      </c>
      <c r="E1313" s="46">
        <v>45275</v>
      </c>
      <c r="F1313" s="45" t="s">
        <v>721</v>
      </c>
      <c r="I1313" t="s">
        <v>762</v>
      </c>
    </row>
    <row r="1314" spans="1:9" hidden="1" x14ac:dyDescent="0.3">
      <c r="A1314" t="s">
        <v>727</v>
      </c>
      <c r="B1314" s="46">
        <v>45365</v>
      </c>
      <c r="C1314" s="45">
        <v>43200</v>
      </c>
      <c r="D1314" t="s">
        <v>1057</v>
      </c>
      <c r="E1314" s="46">
        <v>45397</v>
      </c>
      <c r="F1314" s="45" t="s">
        <v>721</v>
      </c>
      <c r="I1314" t="s">
        <v>726</v>
      </c>
    </row>
    <row r="1315" spans="1:9" hidden="1" x14ac:dyDescent="0.3">
      <c r="A1315" t="s">
        <v>729</v>
      </c>
      <c r="B1315" s="46">
        <v>45294</v>
      </c>
      <c r="C1315" s="45">
        <v>43200</v>
      </c>
      <c r="D1315" t="s">
        <v>1074</v>
      </c>
      <c r="E1315" s="46">
        <v>45337</v>
      </c>
      <c r="F1315" s="45" t="s">
        <v>721</v>
      </c>
      <c r="I1315" t="s">
        <v>801</v>
      </c>
    </row>
    <row r="1316" spans="1:9" hidden="1" x14ac:dyDescent="0.3">
      <c r="A1316" t="s">
        <v>777</v>
      </c>
      <c r="B1316" s="46">
        <v>45308</v>
      </c>
      <c r="C1316" s="45">
        <v>43191</v>
      </c>
      <c r="D1316" t="s">
        <v>875</v>
      </c>
      <c r="E1316" s="46">
        <v>45337</v>
      </c>
      <c r="F1316" s="45" t="s">
        <v>721</v>
      </c>
      <c r="I1316" t="s">
        <v>818</v>
      </c>
    </row>
    <row r="1317" spans="1:9" hidden="1" x14ac:dyDescent="0.3">
      <c r="A1317" t="s">
        <v>794</v>
      </c>
      <c r="B1317" s="46">
        <v>45319</v>
      </c>
      <c r="C1317" s="45">
        <v>43000</v>
      </c>
      <c r="D1317" t="s">
        <v>897</v>
      </c>
      <c r="E1317" s="46">
        <v>45338</v>
      </c>
      <c r="F1317" s="45" t="s">
        <v>721</v>
      </c>
      <c r="I1317" t="s">
        <v>818</v>
      </c>
    </row>
    <row r="1318" spans="1:9" hidden="1" x14ac:dyDescent="0.3">
      <c r="A1318" t="s">
        <v>777</v>
      </c>
      <c r="B1318" s="46">
        <v>45380</v>
      </c>
      <c r="C1318" s="45">
        <v>43000</v>
      </c>
      <c r="D1318" t="s">
        <v>875</v>
      </c>
      <c r="E1318" s="46">
        <v>45428</v>
      </c>
      <c r="F1318" s="45" t="s">
        <v>721</v>
      </c>
      <c r="I1318" t="s">
        <v>818</v>
      </c>
    </row>
    <row r="1319" spans="1:9" hidden="1" x14ac:dyDescent="0.3">
      <c r="A1319" t="s">
        <v>777</v>
      </c>
      <c r="B1319" s="46">
        <v>45399</v>
      </c>
      <c r="C1319" s="45">
        <v>43000</v>
      </c>
      <c r="D1319" t="s">
        <v>875</v>
      </c>
      <c r="E1319" s="46">
        <v>45428</v>
      </c>
      <c r="F1319" s="45" t="s">
        <v>721</v>
      </c>
      <c r="I1319" t="s">
        <v>818</v>
      </c>
    </row>
    <row r="1320" spans="1:9" hidden="1" x14ac:dyDescent="0.3">
      <c r="A1320" t="s">
        <v>803</v>
      </c>
      <c r="B1320" s="46">
        <v>45372</v>
      </c>
      <c r="C1320" s="45">
        <v>43000</v>
      </c>
      <c r="D1320" t="s">
        <v>1107</v>
      </c>
      <c r="E1320" s="46">
        <v>45398</v>
      </c>
      <c r="F1320" s="45" t="s">
        <v>721</v>
      </c>
      <c r="G1320">
        <v>0</v>
      </c>
      <c r="I1320" t="s">
        <v>750</v>
      </c>
    </row>
    <row r="1321" spans="1:9" hidden="1" x14ac:dyDescent="0.3">
      <c r="A1321" t="s">
        <v>777</v>
      </c>
      <c r="B1321" s="46">
        <v>45350</v>
      </c>
      <c r="C1321" s="45">
        <v>43000</v>
      </c>
      <c r="D1321" t="s">
        <v>1065</v>
      </c>
      <c r="E1321" s="46">
        <v>45397</v>
      </c>
      <c r="F1321" s="45" t="s">
        <v>721</v>
      </c>
      <c r="I1321" t="s">
        <v>838</v>
      </c>
    </row>
    <row r="1322" spans="1:9" hidden="1" x14ac:dyDescent="0.3">
      <c r="A1322" t="s">
        <v>727</v>
      </c>
      <c r="B1322" s="46">
        <v>45399</v>
      </c>
      <c r="C1322" s="45">
        <v>43000</v>
      </c>
      <c r="D1322" t="s">
        <v>2094</v>
      </c>
      <c r="E1322" s="46">
        <v>45428</v>
      </c>
      <c r="F1322" s="45" t="s">
        <v>721</v>
      </c>
      <c r="I1322" t="s">
        <v>2027</v>
      </c>
    </row>
    <row r="1323" spans="1:9" hidden="1" x14ac:dyDescent="0.3">
      <c r="A1323" t="s">
        <v>729</v>
      </c>
      <c r="B1323" s="46">
        <v>45232</v>
      </c>
      <c r="C1323" s="45">
        <v>43000</v>
      </c>
      <c r="D1323" t="s">
        <v>1076</v>
      </c>
      <c r="E1323" s="46">
        <v>45275</v>
      </c>
      <c r="F1323" s="45" t="s">
        <v>721</v>
      </c>
      <c r="I1323" t="s">
        <v>726</v>
      </c>
    </row>
    <row r="1324" spans="1:9" hidden="1" x14ac:dyDescent="0.3">
      <c r="A1324" t="s">
        <v>777</v>
      </c>
      <c r="B1324" s="46">
        <v>45217</v>
      </c>
      <c r="C1324" s="45">
        <v>43000</v>
      </c>
      <c r="D1324" t="s">
        <v>875</v>
      </c>
      <c r="E1324" s="46">
        <v>45245</v>
      </c>
      <c r="F1324" s="45" t="s">
        <v>721</v>
      </c>
      <c r="I1324" t="s">
        <v>818</v>
      </c>
    </row>
    <row r="1325" spans="1:9" hidden="1" x14ac:dyDescent="0.3">
      <c r="A1325" t="s">
        <v>779</v>
      </c>
      <c r="B1325" s="46">
        <v>45246</v>
      </c>
      <c r="C1325" s="45">
        <v>43000</v>
      </c>
      <c r="D1325" t="s">
        <v>1075</v>
      </c>
      <c r="E1325" s="46">
        <v>45278</v>
      </c>
      <c r="F1325" s="45" t="s">
        <v>721</v>
      </c>
      <c r="I1325" t="s">
        <v>726</v>
      </c>
    </row>
    <row r="1326" spans="1:9" hidden="1" x14ac:dyDescent="0.3">
      <c r="A1326" t="s">
        <v>794</v>
      </c>
      <c r="B1326" s="46">
        <v>45245</v>
      </c>
      <c r="C1326" s="45">
        <v>43000</v>
      </c>
      <c r="D1326" t="s">
        <v>958</v>
      </c>
      <c r="E1326" s="46">
        <v>45278</v>
      </c>
      <c r="F1326" s="45" t="s">
        <v>721</v>
      </c>
      <c r="I1326" t="s">
        <v>818</v>
      </c>
    </row>
    <row r="1327" spans="1:9" hidden="1" x14ac:dyDescent="0.3">
      <c r="A1327" t="s">
        <v>779</v>
      </c>
      <c r="B1327" s="46">
        <v>45246</v>
      </c>
      <c r="C1327" s="45">
        <v>43000</v>
      </c>
      <c r="D1327" t="s">
        <v>1075</v>
      </c>
      <c r="E1327" s="46">
        <v>45276</v>
      </c>
      <c r="F1327" s="45" t="s">
        <v>721</v>
      </c>
      <c r="G1327">
        <v>0</v>
      </c>
      <c r="I1327" t="s">
        <v>726</v>
      </c>
    </row>
    <row r="1328" spans="1:9" hidden="1" x14ac:dyDescent="0.3">
      <c r="A1328" t="s">
        <v>794</v>
      </c>
      <c r="B1328" s="46">
        <v>45245</v>
      </c>
      <c r="C1328" s="45">
        <v>43000</v>
      </c>
      <c r="D1328" t="s">
        <v>958</v>
      </c>
      <c r="E1328" s="46">
        <v>45276</v>
      </c>
      <c r="F1328" s="45" t="s">
        <v>721</v>
      </c>
      <c r="G1328">
        <v>0</v>
      </c>
      <c r="I1328" t="s">
        <v>818</v>
      </c>
    </row>
    <row r="1329" spans="1:9" hidden="1" x14ac:dyDescent="0.3">
      <c r="A1329" t="s">
        <v>724</v>
      </c>
      <c r="B1329" s="46">
        <v>45252</v>
      </c>
      <c r="C1329" s="45">
        <v>43000</v>
      </c>
      <c r="D1329" t="s">
        <v>802</v>
      </c>
      <c r="E1329" s="46">
        <v>45286</v>
      </c>
      <c r="F1329" s="45" t="s">
        <v>721</v>
      </c>
      <c r="I1329" t="s">
        <v>726</v>
      </c>
    </row>
    <row r="1330" spans="1:9" hidden="1" x14ac:dyDescent="0.3">
      <c r="A1330" t="s">
        <v>748</v>
      </c>
      <c r="B1330" s="46">
        <v>45288</v>
      </c>
      <c r="C1330" s="45">
        <v>42900</v>
      </c>
      <c r="D1330" t="s">
        <v>1077</v>
      </c>
      <c r="E1330" s="46">
        <v>45306</v>
      </c>
      <c r="F1330" s="45" t="s">
        <v>721</v>
      </c>
      <c r="I1330" t="s">
        <v>738</v>
      </c>
    </row>
    <row r="1331" spans="1:9" hidden="1" x14ac:dyDescent="0.3">
      <c r="A1331" t="s">
        <v>748</v>
      </c>
      <c r="B1331" s="46">
        <v>45258</v>
      </c>
      <c r="C1331" s="45">
        <v>42900</v>
      </c>
      <c r="D1331" t="s">
        <v>1077</v>
      </c>
      <c r="E1331" s="46">
        <v>45275</v>
      </c>
      <c r="F1331" s="45" t="s">
        <v>721</v>
      </c>
      <c r="I1331" t="s">
        <v>762</v>
      </c>
    </row>
    <row r="1332" spans="1:9" hidden="1" x14ac:dyDescent="0.3">
      <c r="A1332" t="s">
        <v>748</v>
      </c>
      <c r="B1332" s="46">
        <v>45197</v>
      </c>
      <c r="C1332" s="45">
        <v>42900</v>
      </c>
      <c r="D1332" t="s">
        <v>1077</v>
      </c>
      <c r="E1332" s="46">
        <v>45245</v>
      </c>
      <c r="F1332" s="45" t="s">
        <v>721</v>
      </c>
    </row>
    <row r="1333" spans="1:9" hidden="1" x14ac:dyDescent="0.3">
      <c r="A1333" t="s">
        <v>748</v>
      </c>
      <c r="B1333" s="46">
        <v>45226</v>
      </c>
      <c r="C1333" s="45">
        <v>42900</v>
      </c>
      <c r="D1333" t="s">
        <v>1077</v>
      </c>
      <c r="E1333" s="46">
        <v>45245</v>
      </c>
      <c r="F1333" s="45" t="s">
        <v>721</v>
      </c>
    </row>
    <row r="1334" spans="1:9" hidden="1" x14ac:dyDescent="0.3">
      <c r="A1334" t="s">
        <v>748</v>
      </c>
      <c r="B1334" s="46">
        <v>45166</v>
      </c>
      <c r="C1334" s="45">
        <v>42900</v>
      </c>
      <c r="D1334" t="s">
        <v>1077</v>
      </c>
      <c r="E1334" s="46">
        <v>45184</v>
      </c>
      <c r="F1334" s="45" t="s">
        <v>721</v>
      </c>
      <c r="I1334" t="s">
        <v>738</v>
      </c>
    </row>
    <row r="1335" spans="1:9" hidden="1" x14ac:dyDescent="0.3">
      <c r="A1335" t="s">
        <v>748</v>
      </c>
      <c r="B1335" s="46">
        <v>45135</v>
      </c>
      <c r="C1335" s="45">
        <v>42900</v>
      </c>
      <c r="D1335" t="s">
        <v>1077</v>
      </c>
      <c r="E1335" s="46">
        <v>45154</v>
      </c>
      <c r="F1335" s="45" t="s">
        <v>721</v>
      </c>
    </row>
    <row r="1336" spans="1:9" hidden="1" x14ac:dyDescent="0.3">
      <c r="A1336" t="s">
        <v>748</v>
      </c>
      <c r="B1336" s="46">
        <v>45378</v>
      </c>
      <c r="C1336" s="45">
        <v>42900</v>
      </c>
      <c r="D1336" t="s">
        <v>1077</v>
      </c>
      <c r="E1336" s="46">
        <v>45397</v>
      </c>
      <c r="F1336" s="45" t="s">
        <v>721</v>
      </c>
      <c r="I1336" t="s">
        <v>726</v>
      </c>
    </row>
    <row r="1337" spans="1:9" hidden="1" x14ac:dyDescent="0.3">
      <c r="A1337" t="s">
        <v>748</v>
      </c>
      <c r="B1337" s="46">
        <v>45319</v>
      </c>
      <c r="C1337" s="45">
        <v>42900</v>
      </c>
      <c r="D1337" t="s">
        <v>1077</v>
      </c>
      <c r="E1337" s="46">
        <v>45337</v>
      </c>
      <c r="F1337" s="45" t="s">
        <v>721</v>
      </c>
      <c r="I1337" t="s">
        <v>738</v>
      </c>
    </row>
    <row r="1338" spans="1:9" hidden="1" x14ac:dyDescent="0.3">
      <c r="A1338" t="s">
        <v>748</v>
      </c>
      <c r="B1338" s="46">
        <v>45350</v>
      </c>
      <c r="C1338" s="45">
        <v>42900</v>
      </c>
      <c r="D1338" t="s">
        <v>1077</v>
      </c>
      <c r="E1338" s="46">
        <v>45366</v>
      </c>
      <c r="F1338" s="45" t="s">
        <v>721</v>
      </c>
      <c r="I1338" t="s">
        <v>738</v>
      </c>
    </row>
    <row r="1339" spans="1:9" hidden="1" x14ac:dyDescent="0.3">
      <c r="A1339" t="s">
        <v>748</v>
      </c>
      <c r="B1339" s="46">
        <v>45254</v>
      </c>
      <c r="C1339" s="45">
        <v>42600</v>
      </c>
      <c r="D1339" t="s">
        <v>1078</v>
      </c>
      <c r="E1339" s="46">
        <v>45275</v>
      </c>
      <c r="F1339" s="45" t="s">
        <v>721</v>
      </c>
      <c r="I1339" t="s">
        <v>762</v>
      </c>
    </row>
    <row r="1340" spans="1:9" hidden="1" x14ac:dyDescent="0.3">
      <c r="A1340" t="s">
        <v>729</v>
      </c>
      <c r="B1340" s="46">
        <v>45211</v>
      </c>
      <c r="C1340" s="45">
        <v>42600</v>
      </c>
      <c r="D1340" t="s">
        <v>876</v>
      </c>
      <c r="E1340" s="46">
        <v>45245</v>
      </c>
      <c r="F1340" s="45" t="s">
        <v>721</v>
      </c>
      <c r="I1340" t="s">
        <v>726</v>
      </c>
    </row>
    <row r="1341" spans="1:9" hidden="1" x14ac:dyDescent="0.3">
      <c r="A1341" t="s">
        <v>734</v>
      </c>
      <c r="B1341" s="46">
        <v>45125</v>
      </c>
      <c r="C1341" s="45">
        <v>42500</v>
      </c>
      <c r="D1341" t="s">
        <v>1079</v>
      </c>
      <c r="E1341" s="46">
        <v>45154</v>
      </c>
      <c r="F1341" s="45" t="s">
        <v>721</v>
      </c>
      <c r="I1341" t="s">
        <v>760</v>
      </c>
    </row>
    <row r="1342" spans="1:9" hidden="1" x14ac:dyDescent="0.3">
      <c r="A1342" t="s">
        <v>767</v>
      </c>
      <c r="B1342" s="46">
        <v>45124</v>
      </c>
      <c r="C1342" s="45">
        <v>42500</v>
      </c>
      <c r="D1342" t="s">
        <v>980</v>
      </c>
      <c r="E1342" s="46">
        <v>45154</v>
      </c>
      <c r="F1342" s="45" t="s">
        <v>721</v>
      </c>
      <c r="I1342" t="s">
        <v>726</v>
      </c>
    </row>
    <row r="1343" spans="1:9" hidden="1" x14ac:dyDescent="0.3">
      <c r="A1343" t="s">
        <v>734</v>
      </c>
      <c r="B1343" s="46">
        <v>45146</v>
      </c>
      <c r="C1343" s="45">
        <v>42500</v>
      </c>
      <c r="D1343" t="s">
        <v>1079</v>
      </c>
      <c r="E1343" s="46">
        <v>45184</v>
      </c>
      <c r="F1343" s="45" t="s">
        <v>721</v>
      </c>
      <c r="I1343" t="s">
        <v>760</v>
      </c>
    </row>
    <row r="1344" spans="1:9" hidden="1" x14ac:dyDescent="0.3">
      <c r="A1344" t="s">
        <v>772</v>
      </c>
      <c r="B1344" s="46">
        <v>45355</v>
      </c>
      <c r="C1344" s="45">
        <v>42400</v>
      </c>
      <c r="D1344" t="s">
        <v>1717</v>
      </c>
      <c r="E1344" s="46">
        <v>45408</v>
      </c>
      <c r="F1344" s="45" t="s">
        <v>721</v>
      </c>
      <c r="I1344" t="s">
        <v>760</v>
      </c>
    </row>
    <row r="1345" spans="1:9" hidden="1" x14ac:dyDescent="0.3">
      <c r="A1345" t="s">
        <v>748</v>
      </c>
      <c r="B1345" s="46">
        <v>45146</v>
      </c>
      <c r="C1345" s="45">
        <v>42370</v>
      </c>
      <c r="D1345" t="s">
        <v>828</v>
      </c>
      <c r="E1345" s="46">
        <v>45184</v>
      </c>
      <c r="F1345" s="45" t="s">
        <v>721</v>
      </c>
      <c r="I1345" t="s">
        <v>762</v>
      </c>
    </row>
    <row r="1346" spans="1:9" hidden="1" x14ac:dyDescent="0.3">
      <c r="A1346" t="s">
        <v>748</v>
      </c>
      <c r="B1346" s="46">
        <v>45181</v>
      </c>
      <c r="C1346" s="45">
        <v>42300</v>
      </c>
      <c r="D1346" t="s">
        <v>1078</v>
      </c>
      <c r="E1346" s="46">
        <v>45215</v>
      </c>
      <c r="F1346" s="45" t="s">
        <v>721</v>
      </c>
      <c r="I1346" t="s">
        <v>762</v>
      </c>
    </row>
    <row r="1347" spans="1:9" hidden="1" x14ac:dyDescent="0.3">
      <c r="A1347" t="s">
        <v>775</v>
      </c>
      <c r="B1347" s="46">
        <v>45210</v>
      </c>
      <c r="C1347" s="45">
        <v>42200</v>
      </c>
      <c r="D1347" t="s">
        <v>1080</v>
      </c>
      <c r="E1347" s="46">
        <v>45246</v>
      </c>
      <c r="F1347" s="45" t="s">
        <v>721</v>
      </c>
    </row>
    <row r="1348" spans="1:9" hidden="1" x14ac:dyDescent="0.3">
      <c r="A1348" t="s">
        <v>767</v>
      </c>
      <c r="B1348" s="46">
        <v>45336</v>
      </c>
      <c r="C1348" s="45">
        <v>42100</v>
      </c>
      <c r="D1348" t="s">
        <v>1081</v>
      </c>
      <c r="E1348" s="46">
        <v>45366</v>
      </c>
      <c r="F1348" s="45" t="s">
        <v>721</v>
      </c>
      <c r="I1348" t="s">
        <v>726</v>
      </c>
    </row>
    <row r="1349" spans="1:9" hidden="1" x14ac:dyDescent="0.3">
      <c r="A1349" t="s">
        <v>724</v>
      </c>
      <c r="B1349" s="46">
        <v>45303</v>
      </c>
      <c r="C1349" s="45">
        <v>42000</v>
      </c>
      <c r="D1349" t="s">
        <v>949</v>
      </c>
      <c r="E1349" s="46">
        <v>45348</v>
      </c>
      <c r="F1349" s="45" t="s">
        <v>721</v>
      </c>
      <c r="I1349" t="s">
        <v>726</v>
      </c>
    </row>
    <row r="1350" spans="1:9" hidden="1" x14ac:dyDescent="0.3">
      <c r="A1350" t="s">
        <v>724</v>
      </c>
      <c r="B1350" s="46">
        <v>45324</v>
      </c>
      <c r="C1350" s="45">
        <v>42000</v>
      </c>
      <c r="D1350" t="s">
        <v>1003</v>
      </c>
      <c r="E1350" s="46">
        <v>45348</v>
      </c>
      <c r="F1350" s="45" t="s">
        <v>721</v>
      </c>
      <c r="I1350" t="s">
        <v>726</v>
      </c>
    </row>
    <row r="1351" spans="1:9" hidden="1" x14ac:dyDescent="0.3">
      <c r="A1351" t="s">
        <v>772</v>
      </c>
      <c r="B1351" s="46">
        <v>45324</v>
      </c>
      <c r="C1351" s="45">
        <v>42000</v>
      </c>
      <c r="D1351" t="s">
        <v>1082</v>
      </c>
      <c r="E1351" s="46">
        <v>45348</v>
      </c>
      <c r="F1351" s="45" t="s">
        <v>721</v>
      </c>
      <c r="I1351" t="s">
        <v>726</v>
      </c>
    </row>
    <row r="1352" spans="1:9" hidden="1" x14ac:dyDescent="0.3">
      <c r="A1352" t="s">
        <v>734</v>
      </c>
      <c r="B1352" s="46">
        <v>45320</v>
      </c>
      <c r="C1352" s="45">
        <v>42000</v>
      </c>
      <c r="D1352" t="s">
        <v>1016</v>
      </c>
      <c r="E1352" s="46">
        <v>45337</v>
      </c>
      <c r="F1352" s="45" t="s">
        <v>721</v>
      </c>
      <c r="I1352" t="s">
        <v>726</v>
      </c>
    </row>
    <row r="1353" spans="1:9" hidden="1" x14ac:dyDescent="0.3">
      <c r="A1353" t="s">
        <v>724</v>
      </c>
      <c r="B1353" s="46">
        <v>45415</v>
      </c>
      <c r="C1353" s="45">
        <v>42000</v>
      </c>
      <c r="D1353" t="s">
        <v>1003</v>
      </c>
      <c r="E1353" s="46">
        <v>45438</v>
      </c>
      <c r="F1353" s="45" t="s">
        <v>721</v>
      </c>
      <c r="I1353" t="s">
        <v>726</v>
      </c>
    </row>
    <row r="1354" spans="1:9" hidden="1" x14ac:dyDescent="0.3">
      <c r="A1354" t="s">
        <v>803</v>
      </c>
      <c r="B1354" s="46">
        <v>45425</v>
      </c>
      <c r="C1354" s="45">
        <v>42000</v>
      </c>
      <c r="D1354" t="s">
        <v>897</v>
      </c>
      <c r="E1354" s="46">
        <v>45459</v>
      </c>
      <c r="F1354" s="45" t="s">
        <v>721</v>
      </c>
      <c r="I1354" t="s">
        <v>818</v>
      </c>
    </row>
    <row r="1355" spans="1:9" hidden="1" x14ac:dyDescent="0.3">
      <c r="A1355" t="s">
        <v>734</v>
      </c>
      <c r="B1355" s="46">
        <v>45415</v>
      </c>
      <c r="C1355" s="45">
        <v>42000</v>
      </c>
      <c r="D1355" t="s">
        <v>2095</v>
      </c>
      <c r="E1355" s="46">
        <v>45458</v>
      </c>
      <c r="F1355" s="45" t="s">
        <v>721</v>
      </c>
      <c r="I1355" t="s">
        <v>726</v>
      </c>
    </row>
    <row r="1356" spans="1:9" hidden="1" x14ac:dyDescent="0.3">
      <c r="A1356" t="s">
        <v>772</v>
      </c>
      <c r="B1356" s="46">
        <v>45212</v>
      </c>
      <c r="C1356" s="45">
        <v>42000</v>
      </c>
      <c r="D1356" t="s">
        <v>755</v>
      </c>
      <c r="E1356" s="46">
        <v>45256</v>
      </c>
      <c r="F1356" s="45" t="s">
        <v>721</v>
      </c>
      <c r="I1356" t="s">
        <v>726</v>
      </c>
    </row>
    <row r="1357" spans="1:9" hidden="1" x14ac:dyDescent="0.3">
      <c r="A1357" t="s">
        <v>777</v>
      </c>
      <c r="B1357" s="46">
        <v>45240</v>
      </c>
      <c r="C1357" s="45">
        <v>42000</v>
      </c>
      <c r="D1357" t="s">
        <v>875</v>
      </c>
      <c r="E1357" s="46">
        <v>45275</v>
      </c>
      <c r="F1357" s="45" t="s">
        <v>721</v>
      </c>
      <c r="I1357" t="s">
        <v>818</v>
      </c>
    </row>
    <row r="1358" spans="1:9" hidden="1" x14ac:dyDescent="0.3">
      <c r="A1358" t="s">
        <v>777</v>
      </c>
      <c r="B1358" s="46">
        <v>45223</v>
      </c>
      <c r="C1358" s="45">
        <v>42000</v>
      </c>
      <c r="D1358" t="s">
        <v>875</v>
      </c>
      <c r="E1358" s="46">
        <v>45275</v>
      </c>
      <c r="F1358" s="45" t="s">
        <v>721</v>
      </c>
      <c r="I1358" t="s">
        <v>818</v>
      </c>
    </row>
    <row r="1359" spans="1:9" hidden="1" x14ac:dyDescent="0.3">
      <c r="A1359" t="s">
        <v>777</v>
      </c>
      <c r="B1359" s="46">
        <v>45254</v>
      </c>
      <c r="C1359" s="45">
        <v>42000</v>
      </c>
      <c r="D1359" t="s">
        <v>875</v>
      </c>
      <c r="E1359" s="46">
        <v>45306</v>
      </c>
      <c r="F1359" s="45" t="s">
        <v>721</v>
      </c>
      <c r="I1359" t="s">
        <v>818</v>
      </c>
    </row>
    <row r="1360" spans="1:9" hidden="1" x14ac:dyDescent="0.3">
      <c r="A1360" t="s">
        <v>727</v>
      </c>
      <c r="B1360" s="46">
        <v>45282</v>
      </c>
      <c r="C1360" s="45">
        <v>42000</v>
      </c>
      <c r="D1360" t="s">
        <v>1083</v>
      </c>
      <c r="E1360" s="46">
        <v>45306</v>
      </c>
      <c r="F1360" s="45" t="s">
        <v>721</v>
      </c>
      <c r="I1360" t="s">
        <v>726</v>
      </c>
    </row>
    <row r="1361" spans="1:9" hidden="1" x14ac:dyDescent="0.3">
      <c r="A1361" t="s">
        <v>727</v>
      </c>
      <c r="B1361" s="46">
        <v>45272</v>
      </c>
      <c r="C1361" s="45">
        <v>42000</v>
      </c>
      <c r="D1361" t="s">
        <v>982</v>
      </c>
      <c r="E1361" s="46">
        <v>45306</v>
      </c>
      <c r="F1361" s="45" t="s">
        <v>721</v>
      </c>
      <c r="I1361" t="s">
        <v>726</v>
      </c>
    </row>
    <row r="1362" spans="1:9" hidden="1" x14ac:dyDescent="0.3">
      <c r="A1362" t="s">
        <v>722</v>
      </c>
      <c r="B1362" s="46">
        <v>45274</v>
      </c>
      <c r="C1362" s="45">
        <v>42000</v>
      </c>
      <c r="D1362" t="s">
        <v>1084</v>
      </c>
      <c r="E1362" s="46">
        <v>45306</v>
      </c>
      <c r="F1362" s="45" t="s">
        <v>721</v>
      </c>
      <c r="I1362" t="s">
        <v>756</v>
      </c>
    </row>
    <row r="1363" spans="1:9" hidden="1" x14ac:dyDescent="0.3">
      <c r="A1363" t="s">
        <v>724</v>
      </c>
      <c r="B1363" s="46">
        <v>45184</v>
      </c>
      <c r="C1363" s="45">
        <v>42000</v>
      </c>
      <c r="D1363" t="s">
        <v>755</v>
      </c>
      <c r="E1363" s="46">
        <v>45225</v>
      </c>
      <c r="F1363" s="45" t="s">
        <v>721</v>
      </c>
      <c r="I1363" t="s">
        <v>756</v>
      </c>
    </row>
    <row r="1364" spans="1:9" hidden="1" x14ac:dyDescent="0.3">
      <c r="A1364" t="s">
        <v>777</v>
      </c>
      <c r="B1364" s="46">
        <v>45135</v>
      </c>
      <c r="C1364" s="45">
        <v>42000</v>
      </c>
      <c r="D1364" t="s">
        <v>875</v>
      </c>
      <c r="E1364" s="46">
        <v>45184</v>
      </c>
      <c r="F1364" s="45" t="s">
        <v>721</v>
      </c>
      <c r="I1364" t="s">
        <v>818</v>
      </c>
    </row>
    <row r="1365" spans="1:9" hidden="1" x14ac:dyDescent="0.3">
      <c r="A1365" t="s">
        <v>794</v>
      </c>
      <c r="B1365" s="46">
        <v>45127</v>
      </c>
      <c r="C1365" s="45">
        <v>42000</v>
      </c>
      <c r="D1365" t="s">
        <v>951</v>
      </c>
      <c r="E1365" s="46">
        <v>45154</v>
      </c>
      <c r="F1365" s="45" t="s">
        <v>721</v>
      </c>
      <c r="I1365" t="s">
        <v>818</v>
      </c>
    </row>
    <row r="1366" spans="1:9" hidden="1" x14ac:dyDescent="0.3">
      <c r="A1366" t="s">
        <v>748</v>
      </c>
      <c r="B1366" s="46">
        <v>45261</v>
      </c>
      <c r="C1366" s="45">
        <v>41900</v>
      </c>
      <c r="D1366" t="s">
        <v>735</v>
      </c>
      <c r="E1366" s="46">
        <v>45306</v>
      </c>
      <c r="F1366" s="45" t="s">
        <v>721</v>
      </c>
      <c r="I1366" t="s">
        <v>762</v>
      </c>
    </row>
    <row r="1367" spans="1:9" hidden="1" x14ac:dyDescent="0.3">
      <c r="A1367" t="s">
        <v>779</v>
      </c>
      <c r="B1367" s="46">
        <v>45357</v>
      </c>
      <c r="C1367" s="45">
        <v>41900</v>
      </c>
      <c r="D1367" t="s">
        <v>947</v>
      </c>
      <c r="E1367" s="46">
        <v>45398</v>
      </c>
      <c r="F1367" s="45" t="s">
        <v>721</v>
      </c>
      <c r="G1367">
        <v>0</v>
      </c>
      <c r="I1367" t="s">
        <v>726</v>
      </c>
    </row>
    <row r="1368" spans="1:9" hidden="1" x14ac:dyDescent="0.3">
      <c r="A1368" t="s">
        <v>743</v>
      </c>
      <c r="B1368" s="46">
        <v>45330</v>
      </c>
      <c r="C1368" s="45">
        <v>41635</v>
      </c>
      <c r="D1368" t="s">
        <v>753</v>
      </c>
      <c r="E1368" s="46">
        <v>45377</v>
      </c>
      <c r="F1368" s="45" t="s">
        <v>731</v>
      </c>
      <c r="G1368" t="s">
        <v>732</v>
      </c>
      <c r="H1368">
        <v>30.75</v>
      </c>
      <c r="I1368" t="s">
        <v>733</v>
      </c>
    </row>
    <row r="1369" spans="1:9" hidden="1" x14ac:dyDescent="0.3">
      <c r="A1369" t="s">
        <v>729</v>
      </c>
      <c r="B1369" s="46">
        <v>45247</v>
      </c>
      <c r="C1369" s="45">
        <v>41600</v>
      </c>
      <c r="D1369" t="s">
        <v>1081</v>
      </c>
      <c r="E1369" s="46">
        <v>45275</v>
      </c>
      <c r="F1369" s="45" t="s">
        <v>721</v>
      </c>
      <c r="I1369" t="s">
        <v>726</v>
      </c>
    </row>
    <row r="1370" spans="1:9" hidden="1" x14ac:dyDescent="0.3">
      <c r="A1370" t="s">
        <v>724</v>
      </c>
      <c r="B1370" s="46">
        <v>45196</v>
      </c>
      <c r="C1370" s="45">
        <v>41300</v>
      </c>
      <c r="D1370" t="s">
        <v>1086</v>
      </c>
      <c r="E1370" s="46">
        <v>45225</v>
      </c>
      <c r="F1370" s="45" t="s">
        <v>721</v>
      </c>
      <c r="I1370" t="s">
        <v>726</v>
      </c>
    </row>
    <row r="1371" spans="1:9" hidden="1" x14ac:dyDescent="0.3">
      <c r="A1371" t="s">
        <v>821</v>
      </c>
      <c r="B1371" s="46">
        <v>45238</v>
      </c>
      <c r="C1371" s="45">
        <v>41000</v>
      </c>
      <c r="D1371" t="s">
        <v>1087</v>
      </c>
      <c r="E1371" s="46">
        <v>45275</v>
      </c>
      <c r="F1371" s="45" t="s">
        <v>721</v>
      </c>
      <c r="I1371" t="s">
        <v>760</v>
      </c>
    </row>
    <row r="1372" spans="1:9" hidden="1" x14ac:dyDescent="0.3">
      <c r="A1372" t="s">
        <v>748</v>
      </c>
      <c r="B1372" s="46">
        <v>45268</v>
      </c>
      <c r="C1372" s="45">
        <v>41000</v>
      </c>
      <c r="D1372" t="s">
        <v>735</v>
      </c>
      <c r="E1372" s="46">
        <v>45306</v>
      </c>
      <c r="F1372" s="45" t="s">
        <v>721</v>
      </c>
      <c r="I1372" t="s">
        <v>726</v>
      </c>
    </row>
    <row r="1373" spans="1:9" hidden="1" x14ac:dyDescent="0.3">
      <c r="A1373" t="s">
        <v>777</v>
      </c>
      <c r="B1373" s="46">
        <v>45241</v>
      </c>
      <c r="C1373" s="45">
        <v>41000</v>
      </c>
      <c r="D1373" t="s">
        <v>1065</v>
      </c>
      <c r="E1373" s="46">
        <v>45275</v>
      </c>
      <c r="F1373" s="45" t="s">
        <v>721</v>
      </c>
      <c r="I1373" t="s">
        <v>838</v>
      </c>
    </row>
    <row r="1374" spans="1:9" hidden="1" x14ac:dyDescent="0.3">
      <c r="A1374" t="s">
        <v>779</v>
      </c>
      <c r="B1374" s="46">
        <v>45287</v>
      </c>
      <c r="C1374" s="45">
        <v>41000</v>
      </c>
      <c r="D1374" t="s">
        <v>1088</v>
      </c>
      <c r="E1374" s="46">
        <v>45307</v>
      </c>
      <c r="F1374" s="45" t="s">
        <v>721</v>
      </c>
      <c r="I1374" t="s">
        <v>726</v>
      </c>
    </row>
    <row r="1375" spans="1:9" hidden="1" x14ac:dyDescent="0.3">
      <c r="A1375" t="s">
        <v>779</v>
      </c>
      <c r="B1375" s="46">
        <v>45294</v>
      </c>
      <c r="C1375" s="45">
        <v>41000</v>
      </c>
      <c r="D1375" t="s">
        <v>1034</v>
      </c>
      <c r="E1375" s="46">
        <v>45338</v>
      </c>
      <c r="F1375" s="45" t="s">
        <v>721</v>
      </c>
      <c r="I1375" t="s">
        <v>818</v>
      </c>
    </row>
    <row r="1376" spans="1:9" hidden="1" x14ac:dyDescent="0.3">
      <c r="A1376" t="s">
        <v>734</v>
      </c>
      <c r="B1376" s="46">
        <v>45408</v>
      </c>
      <c r="C1376" s="45">
        <v>41000</v>
      </c>
      <c r="D1376" t="s">
        <v>2095</v>
      </c>
      <c r="E1376" s="46">
        <v>45428</v>
      </c>
      <c r="F1376" s="45" t="s">
        <v>721</v>
      </c>
      <c r="I1376" t="s">
        <v>726</v>
      </c>
    </row>
    <row r="1377" spans="1:9" hidden="1" x14ac:dyDescent="0.3">
      <c r="A1377" t="s">
        <v>777</v>
      </c>
      <c r="B1377" s="46">
        <v>45426</v>
      </c>
      <c r="C1377" s="45">
        <v>41000</v>
      </c>
      <c r="D1377" t="s">
        <v>875</v>
      </c>
      <c r="E1377" s="46">
        <v>45458</v>
      </c>
      <c r="F1377" s="45" t="s">
        <v>721</v>
      </c>
      <c r="I1377" t="s">
        <v>818</v>
      </c>
    </row>
    <row r="1378" spans="1:9" hidden="1" x14ac:dyDescent="0.3">
      <c r="A1378" t="s">
        <v>722</v>
      </c>
      <c r="B1378" s="46">
        <v>45273</v>
      </c>
      <c r="C1378" s="45">
        <v>40920</v>
      </c>
      <c r="D1378" t="s">
        <v>776</v>
      </c>
      <c r="E1378" s="46">
        <v>45306</v>
      </c>
      <c r="F1378" s="45" t="s">
        <v>721</v>
      </c>
      <c r="I1378" t="s">
        <v>782</v>
      </c>
    </row>
    <row r="1379" spans="1:9" hidden="1" x14ac:dyDescent="0.3">
      <c r="A1379" t="s">
        <v>767</v>
      </c>
      <c r="B1379" s="46">
        <v>45412</v>
      </c>
      <c r="C1379" s="45">
        <v>40900</v>
      </c>
      <c r="D1379" t="s">
        <v>998</v>
      </c>
      <c r="E1379" s="46">
        <v>45428</v>
      </c>
      <c r="F1379" s="45" t="s">
        <v>721</v>
      </c>
      <c r="I1379" t="s">
        <v>726</v>
      </c>
    </row>
    <row r="1380" spans="1:9" hidden="1" x14ac:dyDescent="0.3">
      <c r="A1380" t="s">
        <v>767</v>
      </c>
      <c r="B1380" s="46">
        <v>45357</v>
      </c>
      <c r="C1380" s="45">
        <v>40860</v>
      </c>
      <c r="D1380" t="s">
        <v>1031</v>
      </c>
      <c r="E1380" s="46">
        <v>45397</v>
      </c>
      <c r="F1380" s="45" t="s">
        <v>721</v>
      </c>
      <c r="I1380" t="s">
        <v>726</v>
      </c>
    </row>
    <row r="1381" spans="1:9" hidden="1" x14ac:dyDescent="0.3">
      <c r="A1381" t="s">
        <v>748</v>
      </c>
      <c r="B1381" s="46">
        <v>45239</v>
      </c>
      <c r="C1381" s="45">
        <v>40340</v>
      </c>
      <c r="D1381" t="s">
        <v>941</v>
      </c>
      <c r="E1381" s="46">
        <v>45275</v>
      </c>
      <c r="F1381" s="45" t="s">
        <v>721</v>
      </c>
      <c r="I1381" t="s">
        <v>762</v>
      </c>
    </row>
    <row r="1382" spans="1:9" hidden="1" x14ac:dyDescent="0.3">
      <c r="A1382" t="s">
        <v>748</v>
      </c>
      <c r="B1382" s="46">
        <v>45254</v>
      </c>
      <c r="C1382" s="45">
        <v>40200</v>
      </c>
      <c r="D1382" t="s">
        <v>735</v>
      </c>
      <c r="E1382" s="46">
        <v>45275</v>
      </c>
      <c r="F1382" s="45" t="s">
        <v>721</v>
      </c>
      <c r="I1382" t="s">
        <v>762</v>
      </c>
    </row>
    <row r="1383" spans="1:9" hidden="1" x14ac:dyDescent="0.3">
      <c r="A1383" t="s">
        <v>722</v>
      </c>
      <c r="B1383" s="46">
        <v>45275</v>
      </c>
      <c r="C1383" s="45">
        <v>40200</v>
      </c>
      <c r="D1383" t="s">
        <v>771</v>
      </c>
      <c r="E1383" s="46">
        <v>45306</v>
      </c>
      <c r="F1383" s="45" t="s">
        <v>721</v>
      </c>
      <c r="I1383" t="s">
        <v>782</v>
      </c>
    </row>
    <row r="1384" spans="1:9" hidden="1" x14ac:dyDescent="0.3">
      <c r="A1384" t="s">
        <v>748</v>
      </c>
      <c r="B1384" s="46">
        <v>45393</v>
      </c>
      <c r="C1384" s="45">
        <v>40200</v>
      </c>
      <c r="D1384" t="s">
        <v>735</v>
      </c>
      <c r="E1384" s="46">
        <v>45428</v>
      </c>
      <c r="F1384" s="45" t="s">
        <v>721</v>
      </c>
      <c r="I1384" t="s">
        <v>762</v>
      </c>
    </row>
    <row r="1385" spans="1:9" hidden="1" x14ac:dyDescent="0.3">
      <c r="A1385" t="s">
        <v>767</v>
      </c>
      <c r="B1385" s="46">
        <v>45391</v>
      </c>
      <c r="C1385" s="45">
        <v>40000</v>
      </c>
      <c r="D1385" t="s">
        <v>939</v>
      </c>
      <c r="E1385" s="46">
        <v>45428</v>
      </c>
      <c r="F1385" s="45" t="s">
        <v>721</v>
      </c>
      <c r="I1385" t="s">
        <v>726</v>
      </c>
    </row>
    <row r="1386" spans="1:9" hidden="1" x14ac:dyDescent="0.3">
      <c r="A1386" t="s">
        <v>767</v>
      </c>
      <c r="B1386" s="46">
        <v>45441</v>
      </c>
      <c r="C1386" s="45">
        <v>40000</v>
      </c>
      <c r="D1386" t="s">
        <v>1095</v>
      </c>
      <c r="E1386" s="46">
        <v>45458</v>
      </c>
      <c r="F1386" s="45" t="s">
        <v>721</v>
      </c>
      <c r="I1386" t="s">
        <v>726</v>
      </c>
    </row>
    <row r="1387" spans="1:9" hidden="1" x14ac:dyDescent="0.3">
      <c r="A1387" t="s">
        <v>734</v>
      </c>
      <c r="B1387" s="46">
        <v>45363</v>
      </c>
      <c r="C1387" s="45">
        <v>40000</v>
      </c>
      <c r="D1387" t="s">
        <v>915</v>
      </c>
      <c r="E1387" s="46">
        <v>45397</v>
      </c>
      <c r="F1387" s="45" t="s">
        <v>721</v>
      </c>
      <c r="I1387" t="s">
        <v>818</v>
      </c>
    </row>
    <row r="1388" spans="1:9" hidden="1" x14ac:dyDescent="0.3">
      <c r="A1388" t="s">
        <v>745</v>
      </c>
      <c r="B1388" s="46">
        <v>45298</v>
      </c>
      <c r="C1388" s="45">
        <v>40000</v>
      </c>
      <c r="D1388" t="s">
        <v>1051</v>
      </c>
      <c r="E1388" s="46">
        <v>45338</v>
      </c>
      <c r="F1388" s="45" t="s">
        <v>721</v>
      </c>
      <c r="I1388" t="s">
        <v>726</v>
      </c>
    </row>
    <row r="1389" spans="1:9" hidden="1" x14ac:dyDescent="0.3">
      <c r="A1389" t="s">
        <v>727</v>
      </c>
      <c r="B1389" s="46">
        <v>45315</v>
      </c>
      <c r="C1389" s="45">
        <v>40000</v>
      </c>
      <c r="D1389" t="s">
        <v>1066</v>
      </c>
      <c r="E1389" s="46">
        <v>45337</v>
      </c>
      <c r="F1389" s="45" t="s">
        <v>721</v>
      </c>
      <c r="I1389" t="s">
        <v>726</v>
      </c>
    </row>
    <row r="1390" spans="1:9" hidden="1" x14ac:dyDescent="0.3">
      <c r="A1390" t="s">
        <v>777</v>
      </c>
      <c r="B1390" s="46">
        <v>45247</v>
      </c>
      <c r="C1390" s="45">
        <v>40000</v>
      </c>
      <c r="D1390" t="s">
        <v>813</v>
      </c>
      <c r="E1390" s="46">
        <v>45275</v>
      </c>
      <c r="F1390" s="45" t="s">
        <v>721</v>
      </c>
    </row>
    <row r="1391" spans="1:9" hidden="1" x14ac:dyDescent="0.3">
      <c r="A1391" t="s">
        <v>772</v>
      </c>
      <c r="B1391" s="46">
        <v>45239</v>
      </c>
      <c r="C1391" s="45">
        <v>40000</v>
      </c>
      <c r="D1391" t="s">
        <v>888</v>
      </c>
      <c r="E1391" s="46">
        <v>45286</v>
      </c>
      <c r="F1391" s="45" t="s">
        <v>721</v>
      </c>
      <c r="I1391" t="s">
        <v>726</v>
      </c>
    </row>
    <row r="1392" spans="1:9" hidden="1" x14ac:dyDescent="0.3">
      <c r="A1392" t="s">
        <v>748</v>
      </c>
      <c r="B1392" s="46">
        <v>45278</v>
      </c>
      <c r="C1392" s="45">
        <v>40000</v>
      </c>
      <c r="D1392" t="s">
        <v>992</v>
      </c>
      <c r="E1392" s="46">
        <v>45306</v>
      </c>
      <c r="F1392" s="45" t="s">
        <v>721</v>
      </c>
      <c r="I1392" t="s">
        <v>818</v>
      </c>
    </row>
    <row r="1393" spans="1:9" hidden="1" x14ac:dyDescent="0.3">
      <c r="A1393" t="s">
        <v>821</v>
      </c>
      <c r="B1393" s="46">
        <v>45238</v>
      </c>
      <c r="C1393" s="45">
        <v>40000</v>
      </c>
      <c r="D1393" t="s">
        <v>813</v>
      </c>
      <c r="E1393" s="46">
        <v>45275</v>
      </c>
      <c r="F1393" s="45" t="s">
        <v>721</v>
      </c>
      <c r="I1393" t="s">
        <v>814</v>
      </c>
    </row>
    <row r="1394" spans="1:9" hidden="1" x14ac:dyDescent="0.3">
      <c r="A1394" t="s">
        <v>734</v>
      </c>
      <c r="B1394" s="46">
        <v>45258</v>
      </c>
      <c r="C1394" s="45">
        <v>40000</v>
      </c>
      <c r="D1394" t="s">
        <v>1016</v>
      </c>
      <c r="E1394" s="46">
        <v>45275</v>
      </c>
      <c r="F1394" s="45" t="s">
        <v>721</v>
      </c>
      <c r="I1394" t="s">
        <v>726</v>
      </c>
    </row>
    <row r="1395" spans="1:9" hidden="1" x14ac:dyDescent="0.3">
      <c r="A1395" t="s">
        <v>775</v>
      </c>
      <c r="B1395" s="46">
        <v>45215</v>
      </c>
      <c r="C1395" s="45">
        <v>40000</v>
      </c>
      <c r="D1395" t="s">
        <v>791</v>
      </c>
      <c r="E1395" s="46">
        <v>45246</v>
      </c>
      <c r="F1395" s="45" t="s">
        <v>721</v>
      </c>
      <c r="I1395" t="s">
        <v>726</v>
      </c>
    </row>
    <row r="1396" spans="1:9" hidden="1" x14ac:dyDescent="0.3">
      <c r="A1396" t="s">
        <v>724</v>
      </c>
      <c r="B1396" s="46">
        <v>45182</v>
      </c>
      <c r="C1396" s="45">
        <v>40000</v>
      </c>
      <c r="D1396" t="s">
        <v>949</v>
      </c>
      <c r="E1396" s="46">
        <v>45225</v>
      </c>
      <c r="F1396" s="45" t="s">
        <v>721</v>
      </c>
      <c r="I1396" t="s">
        <v>726</v>
      </c>
    </row>
    <row r="1397" spans="1:9" hidden="1" x14ac:dyDescent="0.3">
      <c r="A1397" t="s">
        <v>724</v>
      </c>
      <c r="B1397" s="46">
        <v>45142</v>
      </c>
      <c r="C1397" s="45">
        <v>40000</v>
      </c>
      <c r="D1397" t="s">
        <v>949</v>
      </c>
      <c r="E1397" s="46">
        <v>45195</v>
      </c>
      <c r="F1397" s="45" t="s">
        <v>721</v>
      </c>
      <c r="I1397" t="s">
        <v>726</v>
      </c>
    </row>
    <row r="1398" spans="1:9" hidden="1" x14ac:dyDescent="0.3">
      <c r="A1398" t="s">
        <v>734</v>
      </c>
      <c r="B1398" s="46">
        <v>45121</v>
      </c>
      <c r="C1398" s="45">
        <v>40000</v>
      </c>
      <c r="D1398" t="s">
        <v>1016</v>
      </c>
      <c r="E1398" s="46">
        <v>45154</v>
      </c>
      <c r="F1398" s="45" t="s">
        <v>721</v>
      </c>
      <c r="I1398" t="s">
        <v>726</v>
      </c>
    </row>
    <row r="1399" spans="1:9" hidden="1" x14ac:dyDescent="0.3">
      <c r="A1399" t="s">
        <v>775</v>
      </c>
      <c r="B1399" s="46">
        <v>45142</v>
      </c>
      <c r="C1399" s="45">
        <v>40000</v>
      </c>
      <c r="D1399" t="s">
        <v>1090</v>
      </c>
      <c r="E1399" s="46">
        <v>45184</v>
      </c>
      <c r="F1399" s="45" t="s">
        <v>721</v>
      </c>
      <c r="I1399" t="s">
        <v>726</v>
      </c>
    </row>
    <row r="1400" spans="1:9" hidden="1" x14ac:dyDescent="0.3">
      <c r="A1400" t="s">
        <v>734</v>
      </c>
      <c r="B1400" s="46">
        <v>45152</v>
      </c>
      <c r="C1400" s="45">
        <v>40000</v>
      </c>
      <c r="D1400" t="s">
        <v>1016</v>
      </c>
      <c r="E1400" s="46">
        <v>45184</v>
      </c>
      <c r="F1400" s="45" t="s">
        <v>721</v>
      </c>
      <c r="I1400" t="s">
        <v>726</v>
      </c>
    </row>
    <row r="1401" spans="1:9" hidden="1" x14ac:dyDescent="0.3">
      <c r="A1401" t="s">
        <v>722</v>
      </c>
      <c r="B1401" s="46">
        <v>45132</v>
      </c>
      <c r="C1401" s="45">
        <v>39800</v>
      </c>
      <c r="D1401" t="s">
        <v>776</v>
      </c>
      <c r="E1401" s="46">
        <v>45154</v>
      </c>
      <c r="F1401" s="45" t="s">
        <v>721</v>
      </c>
      <c r="I1401" t="s">
        <v>726</v>
      </c>
    </row>
    <row r="1402" spans="1:9" hidden="1" x14ac:dyDescent="0.3">
      <c r="A1402" t="s">
        <v>729</v>
      </c>
      <c r="B1402" s="46">
        <v>45189</v>
      </c>
      <c r="C1402" s="45">
        <v>39800</v>
      </c>
      <c r="D1402" t="s">
        <v>790</v>
      </c>
      <c r="E1402" s="46">
        <v>45215</v>
      </c>
      <c r="F1402" s="45" t="s">
        <v>721</v>
      </c>
      <c r="I1402" t="s">
        <v>756</v>
      </c>
    </row>
    <row r="1403" spans="1:9" hidden="1" x14ac:dyDescent="0.3">
      <c r="A1403" t="s">
        <v>729</v>
      </c>
      <c r="B1403" s="46">
        <v>45195</v>
      </c>
      <c r="C1403" s="45">
        <v>39800</v>
      </c>
      <c r="D1403" t="s">
        <v>790</v>
      </c>
      <c r="E1403" s="46">
        <v>45215</v>
      </c>
      <c r="F1403" s="45" t="s">
        <v>721</v>
      </c>
      <c r="I1403" t="s">
        <v>756</v>
      </c>
    </row>
    <row r="1404" spans="1:9" hidden="1" x14ac:dyDescent="0.3">
      <c r="A1404" t="s">
        <v>743</v>
      </c>
      <c r="B1404" s="46">
        <v>45336</v>
      </c>
      <c r="C1404" s="45">
        <v>39605</v>
      </c>
      <c r="D1404" t="s">
        <v>753</v>
      </c>
      <c r="E1404" s="46">
        <v>45377</v>
      </c>
      <c r="F1404" s="45" t="s">
        <v>731</v>
      </c>
      <c r="G1404" t="s">
        <v>732</v>
      </c>
      <c r="H1404">
        <v>29</v>
      </c>
      <c r="I1404" t="s">
        <v>733</v>
      </c>
    </row>
    <row r="1405" spans="1:9" hidden="1" x14ac:dyDescent="0.3">
      <c r="A1405" t="s">
        <v>734</v>
      </c>
      <c r="B1405" s="46">
        <v>45433</v>
      </c>
      <c r="C1405" s="45">
        <v>39500</v>
      </c>
      <c r="D1405" t="s">
        <v>2096</v>
      </c>
      <c r="E1405" s="46">
        <v>45458</v>
      </c>
      <c r="F1405" s="45" t="s">
        <v>721</v>
      </c>
      <c r="I1405" t="s">
        <v>726</v>
      </c>
    </row>
    <row r="1406" spans="1:9" hidden="1" x14ac:dyDescent="0.3">
      <c r="A1406" t="s">
        <v>775</v>
      </c>
      <c r="B1406" s="46">
        <v>45121</v>
      </c>
      <c r="C1406" s="45">
        <v>39500</v>
      </c>
      <c r="D1406" t="s">
        <v>1091</v>
      </c>
      <c r="E1406" s="46">
        <v>45154</v>
      </c>
      <c r="F1406" s="45" t="s">
        <v>721</v>
      </c>
    </row>
    <row r="1407" spans="1:9" hidden="1" x14ac:dyDescent="0.3">
      <c r="A1407" t="s">
        <v>734</v>
      </c>
      <c r="B1407" s="46">
        <v>45127</v>
      </c>
      <c r="C1407" s="45">
        <v>39200</v>
      </c>
      <c r="D1407" t="s">
        <v>980</v>
      </c>
      <c r="E1407" s="46">
        <v>45154</v>
      </c>
      <c r="F1407" s="45" t="s">
        <v>721</v>
      </c>
      <c r="I1407" t="s">
        <v>760</v>
      </c>
    </row>
    <row r="1408" spans="1:9" hidden="1" x14ac:dyDescent="0.3">
      <c r="A1408" t="s">
        <v>748</v>
      </c>
      <c r="B1408" s="46">
        <v>45440</v>
      </c>
      <c r="C1408" s="45">
        <v>39060</v>
      </c>
      <c r="D1408" t="s">
        <v>1031</v>
      </c>
      <c r="E1408" s="46">
        <v>45458</v>
      </c>
      <c r="F1408" s="45" t="s">
        <v>721</v>
      </c>
      <c r="I1408" t="s">
        <v>726</v>
      </c>
    </row>
    <row r="1409" spans="1:9" hidden="1" x14ac:dyDescent="0.3">
      <c r="A1409" t="s">
        <v>767</v>
      </c>
      <c r="B1409" s="46">
        <v>45358</v>
      </c>
      <c r="C1409" s="45">
        <v>39060</v>
      </c>
      <c r="D1409" t="s">
        <v>1031</v>
      </c>
      <c r="E1409" s="46">
        <v>45397</v>
      </c>
      <c r="F1409" s="45" t="s">
        <v>721</v>
      </c>
      <c r="I1409" t="s">
        <v>726</v>
      </c>
    </row>
    <row r="1410" spans="1:9" hidden="1" x14ac:dyDescent="0.3">
      <c r="A1410" t="s">
        <v>767</v>
      </c>
      <c r="B1410" s="46">
        <v>45373</v>
      </c>
      <c r="C1410" s="45">
        <v>39000</v>
      </c>
      <c r="D1410" t="s">
        <v>997</v>
      </c>
      <c r="E1410" s="46">
        <v>45397</v>
      </c>
      <c r="F1410" s="45" t="s">
        <v>721</v>
      </c>
      <c r="I1410" t="s">
        <v>726</v>
      </c>
    </row>
    <row r="1411" spans="1:9" hidden="1" x14ac:dyDescent="0.3">
      <c r="A1411" t="s">
        <v>767</v>
      </c>
      <c r="B1411" s="46">
        <v>45343</v>
      </c>
      <c r="C1411" s="45">
        <v>39000</v>
      </c>
      <c r="D1411" t="s">
        <v>988</v>
      </c>
      <c r="E1411" s="46">
        <v>45366</v>
      </c>
      <c r="F1411" s="45" t="s">
        <v>721</v>
      </c>
      <c r="I1411" t="s">
        <v>726</v>
      </c>
    </row>
    <row r="1412" spans="1:9" hidden="1" x14ac:dyDescent="0.3">
      <c r="A1412" t="s">
        <v>724</v>
      </c>
      <c r="B1412" s="46">
        <v>45379</v>
      </c>
      <c r="C1412" s="45">
        <v>39000</v>
      </c>
      <c r="D1412" t="s">
        <v>1866</v>
      </c>
      <c r="E1412" s="46">
        <v>45408</v>
      </c>
      <c r="F1412" s="45" t="s">
        <v>721</v>
      </c>
      <c r="I1412" t="s">
        <v>726</v>
      </c>
    </row>
    <row r="1413" spans="1:9" hidden="1" x14ac:dyDescent="0.3">
      <c r="A1413" t="s">
        <v>734</v>
      </c>
      <c r="B1413" s="46">
        <v>45302</v>
      </c>
      <c r="C1413" s="45">
        <v>39000</v>
      </c>
      <c r="D1413" t="s">
        <v>850</v>
      </c>
      <c r="E1413" s="46">
        <v>45337</v>
      </c>
      <c r="F1413" s="45" t="s">
        <v>721</v>
      </c>
      <c r="I1413" t="s">
        <v>726</v>
      </c>
    </row>
    <row r="1414" spans="1:9" hidden="1" x14ac:dyDescent="0.3">
      <c r="A1414" t="s">
        <v>767</v>
      </c>
      <c r="B1414" s="46">
        <v>45335</v>
      </c>
      <c r="C1414" s="45">
        <v>39000</v>
      </c>
      <c r="D1414" t="s">
        <v>1095</v>
      </c>
      <c r="E1414" s="46">
        <v>45366</v>
      </c>
      <c r="F1414" s="45" t="s">
        <v>721</v>
      </c>
      <c r="I1414" t="s">
        <v>726</v>
      </c>
    </row>
    <row r="1415" spans="1:9" hidden="1" x14ac:dyDescent="0.3">
      <c r="A1415" t="s">
        <v>767</v>
      </c>
      <c r="B1415" s="46">
        <v>45349</v>
      </c>
      <c r="C1415" s="45">
        <v>39000</v>
      </c>
      <c r="D1415" t="s">
        <v>1095</v>
      </c>
      <c r="E1415" s="46">
        <v>45366</v>
      </c>
      <c r="F1415" s="45" t="s">
        <v>721</v>
      </c>
      <c r="I1415" t="s">
        <v>726</v>
      </c>
    </row>
    <row r="1416" spans="1:9" hidden="1" x14ac:dyDescent="0.3">
      <c r="A1416" t="s">
        <v>772</v>
      </c>
      <c r="B1416" s="46">
        <v>45441</v>
      </c>
      <c r="C1416" s="45">
        <v>39000</v>
      </c>
      <c r="D1416" t="s">
        <v>1098</v>
      </c>
      <c r="E1416" s="46">
        <v>45469</v>
      </c>
      <c r="F1416" s="45" t="s">
        <v>721</v>
      </c>
      <c r="I1416" t="s">
        <v>760</v>
      </c>
    </row>
    <row r="1417" spans="1:9" hidden="1" x14ac:dyDescent="0.3">
      <c r="A1417" t="s">
        <v>767</v>
      </c>
      <c r="B1417" s="46">
        <v>45394</v>
      </c>
      <c r="C1417" s="45">
        <v>39000</v>
      </c>
      <c r="D1417" t="s">
        <v>1095</v>
      </c>
      <c r="E1417" s="46">
        <v>45428</v>
      </c>
      <c r="F1417" s="45" t="s">
        <v>721</v>
      </c>
      <c r="I1417" t="s">
        <v>726</v>
      </c>
    </row>
    <row r="1418" spans="1:9" hidden="1" x14ac:dyDescent="0.3">
      <c r="A1418" t="s">
        <v>767</v>
      </c>
      <c r="B1418" s="46">
        <v>45384</v>
      </c>
      <c r="C1418" s="45">
        <v>39000</v>
      </c>
      <c r="D1418" t="s">
        <v>988</v>
      </c>
      <c r="E1418" s="46">
        <v>45428</v>
      </c>
      <c r="F1418" s="45" t="s">
        <v>721</v>
      </c>
      <c r="I1418" t="s">
        <v>726</v>
      </c>
    </row>
    <row r="1419" spans="1:9" hidden="1" x14ac:dyDescent="0.3">
      <c r="A1419" t="s">
        <v>794</v>
      </c>
      <c r="B1419" s="46">
        <v>45125</v>
      </c>
      <c r="C1419" s="45">
        <v>39000</v>
      </c>
      <c r="D1419" t="s">
        <v>1093</v>
      </c>
      <c r="E1419" s="46">
        <v>45154</v>
      </c>
      <c r="F1419" s="45" t="s">
        <v>721</v>
      </c>
    </row>
    <row r="1420" spans="1:9" hidden="1" x14ac:dyDescent="0.3">
      <c r="A1420" t="s">
        <v>777</v>
      </c>
      <c r="B1420" s="46">
        <v>45149</v>
      </c>
      <c r="C1420" s="45">
        <v>39000</v>
      </c>
      <c r="D1420" t="s">
        <v>875</v>
      </c>
      <c r="E1420" s="46">
        <v>45184</v>
      </c>
      <c r="F1420" s="45" t="s">
        <v>721</v>
      </c>
      <c r="I1420" t="s">
        <v>818</v>
      </c>
    </row>
    <row r="1421" spans="1:9" hidden="1" x14ac:dyDescent="0.3">
      <c r="A1421" t="s">
        <v>794</v>
      </c>
      <c r="B1421" s="46">
        <v>45168</v>
      </c>
      <c r="C1421" s="45">
        <v>39000</v>
      </c>
      <c r="D1421" t="s">
        <v>1035</v>
      </c>
      <c r="E1421" s="46">
        <v>45184</v>
      </c>
      <c r="F1421" s="45" t="s">
        <v>721</v>
      </c>
    </row>
    <row r="1422" spans="1:9" hidden="1" x14ac:dyDescent="0.3">
      <c r="A1422" t="s">
        <v>779</v>
      </c>
      <c r="B1422" s="46">
        <v>45167</v>
      </c>
      <c r="C1422" s="45">
        <v>39000</v>
      </c>
      <c r="D1422" t="s">
        <v>1094</v>
      </c>
      <c r="E1422" s="46">
        <v>45184</v>
      </c>
      <c r="F1422" s="45" t="s">
        <v>721</v>
      </c>
      <c r="I1422" t="s">
        <v>726</v>
      </c>
    </row>
    <row r="1423" spans="1:9" hidden="1" x14ac:dyDescent="0.3">
      <c r="A1423" t="s">
        <v>734</v>
      </c>
      <c r="B1423" s="46">
        <v>45166</v>
      </c>
      <c r="C1423" s="45">
        <v>39000</v>
      </c>
      <c r="D1423" t="s">
        <v>1016</v>
      </c>
      <c r="E1423" s="46">
        <v>45184</v>
      </c>
      <c r="F1423" s="45" t="s">
        <v>721</v>
      </c>
      <c r="I1423" t="s">
        <v>726</v>
      </c>
    </row>
    <row r="1424" spans="1:9" hidden="1" x14ac:dyDescent="0.3">
      <c r="A1424" t="s">
        <v>724</v>
      </c>
      <c r="B1424" s="46">
        <v>45231</v>
      </c>
      <c r="C1424" s="45">
        <v>39000</v>
      </c>
      <c r="D1424" t="s">
        <v>989</v>
      </c>
      <c r="E1424" s="46">
        <v>45256</v>
      </c>
      <c r="F1424" s="45" t="s">
        <v>721</v>
      </c>
      <c r="I1424" t="s">
        <v>726</v>
      </c>
    </row>
    <row r="1425" spans="1:9" hidden="1" x14ac:dyDescent="0.3">
      <c r="A1425" t="s">
        <v>724</v>
      </c>
      <c r="B1425" s="46">
        <v>45261</v>
      </c>
      <c r="C1425" s="45">
        <v>39000</v>
      </c>
      <c r="D1425" t="s">
        <v>1030</v>
      </c>
      <c r="E1425" s="46">
        <v>45286</v>
      </c>
      <c r="F1425" s="45" t="s">
        <v>721</v>
      </c>
      <c r="I1425" t="s">
        <v>726</v>
      </c>
    </row>
    <row r="1426" spans="1:9" hidden="1" x14ac:dyDescent="0.3">
      <c r="A1426" t="s">
        <v>724</v>
      </c>
      <c r="B1426" s="46">
        <v>45254</v>
      </c>
      <c r="C1426" s="45">
        <v>39000</v>
      </c>
      <c r="D1426" t="s">
        <v>1030</v>
      </c>
      <c r="E1426" s="46">
        <v>45286</v>
      </c>
      <c r="F1426" s="45" t="s">
        <v>721</v>
      </c>
      <c r="I1426" t="s">
        <v>726</v>
      </c>
    </row>
    <row r="1427" spans="1:9" hidden="1" x14ac:dyDescent="0.3">
      <c r="A1427" t="s">
        <v>724</v>
      </c>
      <c r="B1427" s="46">
        <v>45203</v>
      </c>
      <c r="C1427" s="45">
        <v>39000</v>
      </c>
      <c r="D1427" t="s">
        <v>949</v>
      </c>
      <c r="E1427" s="46">
        <v>45256</v>
      </c>
      <c r="F1427" s="45" t="s">
        <v>721</v>
      </c>
      <c r="I1427" t="s">
        <v>726</v>
      </c>
    </row>
    <row r="1428" spans="1:9" hidden="1" x14ac:dyDescent="0.3">
      <c r="A1428" t="s">
        <v>724</v>
      </c>
      <c r="B1428" s="46">
        <v>45287</v>
      </c>
      <c r="C1428" s="45">
        <v>39000</v>
      </c>
      <c r="D1428" t="s">
        <v>1030</v>
      </c>
      <c r="E1428" s="46">
        <v>45317</v>
      </c>
      <c r="F1428" s="45" t="s">
        <v>721</v>
      </c>
      <c r="I1428" t="s">
        <v>726</v>
      </c>
    </row>
    <row r="1429" spans="1:9" hidden="1" x14ac:dyDescent="0.3">
      <c r="A1429" t="s">
        <v>794</v>
      </c>
      <c r="B1429" s="46">
        <v>45162</v>
      </c>
      <c r="C1429" s="45">
        <v>38900</v>
      </c>
      <c r="D1429" t="s">
        <v>1085</v>
      </c>
      <c r="E1429" s="46">
        <v>45184</v>
      </c>
      <c r="F1429" s="45" t="s">
        <v>721</v>
      </c>
      <c r="I1429" t="s">
        <v>726</v>
      </c>
    </row>
    <row r="1430" spans="1:9" hidden="1" x14ac:dyDescent="0.3">
      <c r="A1430" t="s">
        <v>724</v>
      </c>
      <c r="B1430" s="46">
        <v>45442</v>
      </c>
      <c r="C1430" s="45">
        <v>38700</v>
      </c>
      <c r="D1430" t="s">
        <v>952</v>
      </c>
      <c r="E1430" s="46">
        <v>45469</v>
      </c>
      <c r="F1430" s="45" t="s">
        <v>721</v>
      </c>
      <c r="I1430" t="s">
        <v>726</v>
      </c>
    </row>
    <row r="1431" spans="1:9" hidden="1" x14ac:dyDescent="0.3">
      <c r="A1431" t="s">
        <v>748</v>
      </c>
      <c r="B1431" s="46">
        <v>45170</v>
      </c>
      <c r="C1431" s="45">
        <v>38500</v>
      </c>
      <c r="D1431" t="s">
        <v>851</v>
      </c>
      <c r="E1431" s="46">
        <v>45215</v>
      </c>
      <c r="F1431" s="45" t="s">
        <v>721</v>
      </c>
      <c r="I1431" t="s">
        <v>841</v>
      </c>
    </row>
    <row r="1432" spans="1:9" hidden="1" x14ac:dyDescent="0.3">
      <c r="A1432" t="s">
        <v>724</v>
      </c>
      <c r="B1432" s="46">
        <v>45275</v>
      </c>
      <c r="C1432" s="45">
        <v>38500</v>
      </c>
      <c r="D1432" t="s">
        <v>1096</v>
      </c>
      <c r="E1432" s="46">
        <v>45317</v>
      </c>
      <c r="F1432" s="45" t="s">
        <v>721</v>
      </c>
      <c r="I1432" t="s">
        <v>841</v>
      </c>
    </row>
    <row r="1433" spans="1:9" hidden="1" x14ac:dyDescent="0.3">
      <c r="A1433" t="s">
        <v>772</v>
      </c>
      <c r="B1433" s="46">
        <v>45225</v>
      </c>
      <c r="C1433" s="45">
        <v>38500</v>
      </c>
      <c r="D1433" t="s">
        <v>1097</v>
      </c>
      <c r="E1433" s="46">
        <v>45256</v>
      </c>
      <c r="F1433" s="45" t="s">
        <v>721</v>
      </c>
      <c r="I1433" t="s">
        <v>726</v>
      </c>
    </row>
    <row r="1434" spans="1:9" hidden="1" x14ac:dyDescent="0.3">
      <c r="A1434" t="s">
        <v>748</v>
      </c>
      <c r="B1434" s="46">
        <v>45422</v>
      </c>
      <c r="C1434" s="45">
        <v>38400</v>
      </c>
      <c r="D1434" t="s">
        <v>735</v>
      </c>
      <c r="E1434" s="46">
        <v>45458</v>
      </c>
      <c r="F1434" s="45" t="s">
        <v>721</v>
      </c>
      <c r="I1434" t="s">
        <v>762</v>
      </c>
    </row>
    <row r="1435" spans="1:9" hidden="1" x14ac:dyDescent="0.3">
      <c r="A1435" t="s">
        <v>729</v>
      </c>
      <c r="B1435" s="46">
        <v>45169</v>
      </c>
      <c r="C1435" s="45">
        <v>38300</v>
      </c>
      <c r="D1435" t="s">
        <v>991</v>
      </c>
      <c r="E1435" s="46">
        <v>45184</v>
      </c>
      <c r="F1435" s="45" t="s">
        <v>721</v>
      </c>
      <c r="I1435" t="s">
        <v>726</v>
      </c>
    </row>
    <row r="1436" spans="1:9" hidden="1" x14ac:dyDescent="0.3">
      <c r="A1436" t="s">
        <v>748</v>
      </c>
      <c r="B1436" s="46">
        <v>45195</v>
      </c>
      <c r="C1436" s="45">
        <v>38200</v>
      </c>
      <c r="D1436" t="s">
        <v>1048</v>
      </c>
      <c r="E1436" s="46">
        <v>45215</v>
      </c>
      <c r="F1436" s="45" t="s">
        <v>721</v>
      </c>
      <c r="I1436" t="s">
        <v>726</v>
      </c>
    </row>
    <row r="1437" spans="1:9" hidden="1" x14ac:dyDescent="0.3">
      <c r="A1437" t="s">
        <v>748</v>
      </c>
      <c r="B1437" s="46">
        <v>45187</v>
      </c>
      <c r="C1437" s="45">
        <v>38000</v>
      </c>
      <c r="D1437" t="s">
        <v>928</v>
      </c>
      <c r="E1437" s="46">
        <v>45215</v>
      </c>
      <c r="F1437" s="45" t="s">
        <v>721</v>
      </c>
      <c r="I1437" t="s">
        <v>726</v>
      </c>
    </row>
    <row r="1438" spans="1:9" hidden="1" x14ac:dyDescent="0.3">
      <c r="A1438" t="s">
        <v>734</v>
      </c>
      <c r="B1438" s="46">
        <v>45225</v>
      </c>
      <c r="C1438" s="45">
        <v>38000</v>
      </c>
      <c r="D1438" t="s">
        <v>949</v>
      </c>
      <c r="E1438" s="46">
        <v>45245</v>
      </c>
      <c r="F1438" s="45" t="s">
        <v>721</v>
      </c>
      <c r="I1438" t="s">
        <v>726</v>
      </c>
    </row>
    <row r="1439" spans="1:9" hidden="1" x14ac:dyDescent="0.3">
      <c r="A1439" t="s">
        <v>772</v>
      </c>
      <c r="B1439" s="46">
        <v>45436</v>
      </c>
      <c r="C1439" s="45">
        <v>38000</v>
      </c>
      <c r="D1439" t="s">
        <v>2097</v>
      </c>
      <c r="E1439" s="46">
        <v>45469</v>
      </c>
      <c r="F1439" s="45" t="s">
        <v>721</v>
      </c>
      <c r="I1439" t="s">
        <v>726</v>
      </c>
    </row>
    <row r="1440" spans="1:9" hidden="1" x14ac:dyDescent="0.3">
      <c r="A1440" t="s">
        <v>727</v>
      </c>
      <c r="B1440" s="46">
        <v>45324</v>
      </c>
      <c r="C1440" s="45">
        <v>38000</v>
      </c>
      <c r="D1440" t="s">
        <v>988</v>
      </c>
      <c r="E1440" s="46">
        <v>45366</v>
      </c>
      <c r="F1440" s="45" t="s">
        <v>721</v>
      </c>
      <c r="I1440" t="s">
        <v>726</v>
      </c>
    </row>
    <row r="1441" spans="1:9" hidden="1" x14ac:dyDescent="0.3">
      <c r="A1441" t="s">
        <v>724</v>
      </c>
      <c r="B1441" s="46">
        <v>45306</v>
      </c>
      <c r="C1441" s="45">
        <v>38000</v>
      </c>
      <c r="D1441" t="s">
        <v>989</v>
      </c>
      <c r="E1441" s="46">
        <v>45348</v>
      </c>
      <c r="F1441" s="45" t="s">
        <v>721</v>
      </c>
      <c r="I1441" t="s">
        <v>726</v>
      </c>
    </row>
    <row r="1442" spans="1:9" hidden="1" x14ac:dyDescent="0.3">
      <c r="A1442" t="s">
        <v>727</v>
      </c>
      <c r="B1442" s="46">
        <v>45313</v>
      </c>
      <c r="C1442" s="45">
        <v>38000</v>
      </c>
      <c r="D1442" t="s">
        <v>1083</v>
      </c>
      <c r="E1442" s="46">
        <v>45337</v>
      </c>
      <c r="F1442" s="45" t="s">
        <v>721</v>
      </c>
      <c r="I1442" t="s">
        <v>726</v>
      </c>
    </row>
    <row r="1443" spans="1:9" hidden="1" x14ac:dyDescent="0.3">
      <c r="A1443" t="s">
        <v>748</v>
      </c>
      <c r="B1443" s="46">
        <v>45296</v>
      </c>
      <c r="C1443" s="45">
        <v>38000</v>
      </c>
      <c r="D1443" t="s">
        <v>1083</v>
      </c>
      <c r="E1443" s="46">
        <v>45337</v>
      </c>
      <c r="F1443" s="45" t="s">
        <v>721</v>
      </c>
      <c r="I1443" t="s">
        <v>726</v>
      </c>
    </row>
    <row r="1444" spans="1:9" hidden="1" x14ac:dyDescent="0.3">
      <c r="A1444" t="s">
        <v>724</v>
      </c>
      <c r="B1444" s="46">
        <v>45372</v>
      </c>
      <c r="C1444" s="45">
        <v>38000</v>
      </c>
      <c r="D1444" t="s">
        <v>1835</v>
      </c>
      <c r="E1444" s="46">
        <v>45408</v>
      </c>
      <c r="F1444" s="45" t="s">
        <v>721</v>
      </c>
      <c r="I1444" t="s">
        <v>726</v>
      </c>
    </row>
    <row r="1445" spans="1:9" hidden="1" x14ac:dyDescent="0.3">
      <c r="A1445" t="s">
        <v>724</v>
      </c>
      <c r="B1445" s="46">
        <v>45335</v>
      </c>
      <c r="C1445" s="45">
        <v>38000</v>
      </c>
      <c r="D1445" t="s">
        <v>1099</v>
      </c>
      <c r="E1445" s="46">
        <v>45377</v>
      </c>
      <c r="F1445" s="45" t="s">
        <v>721</v>
      </c>
      <c r="I1445" t="s">
        <v>726</v>
      </c>
    </row>
    <row r="1446" spans="1:9" hidden="1" x14ac:dyDescent="0.3">
      <c r="A1446" t="s">
        <v>724</v>
      </c>
      <c r="B1446" s="46">
        <v>45362</v>
      </c>
      <c r="C1446" s="45">
        <v>37800</v>
      </c>
      <c r="D1446" t="s">
        <v>755</v>
      </c>
      <c r="E1446" s="46">
        <v>45408</v>
      </c>
      <c r="F1446" s="45" t="s">
        <v>721</v>
      </c>
      <c r="I1446" t="s">
        <v>726</v>
      </c>
    </row>
    <row r="1447" spans="1:9" hidden="1" x14ac:dyDescent="0.3">
      <c r="A1447" t="s">
        <v>748</v>
      </c>
      <c r="B1447" s="46">
        <v>45250</v>
      </c>
      <c r="C1447" s="45">
        <v>37800</v>
      </c>
      <c r="D1447" t="s">
        <v>735</v>
      </c>
      <c r="E1447" s="46">
        <v>45275</v>
      </c>
      <c r="F1447" s="45" t="s">
        <v>721</v>
      </c>
      <c r="I1447" t="s">
        <v>762</v>
      </c>
    </row>
    <row r="1448" spans="1:9" hidden="1" x14ac:dyDescent="0.3">
      <c r="A1448" t="s">
        <v>724</v>
      </c>
      <c r="B1448" s="46">
        <v>45149</v>
      </c>
      <c r="C1448" s="45">
        <v>37500</v>
      </c>
      <c r="D1448" t="s">
        <v>939</v>
      </c>
      <c r="E1448" s="46">
        <v>45195</v>
      </c>
      <c r="F1448" s="45" t="s">
        <v>721</v>
      </c>
      <c r="I1448" t="s">
        <v>726</v>
      </c>
    </row>
    <row r="1449" spans="1:9" hidden="1" x14ac:dyDescent="0.3">
      <c r="A1449" t="s">
        <v>724</v>
      </c>
      <c r="B1449" s="46">
        <v>45300</v>
      </c>
      <c r="C1449" s="45">
        <v>37500</v>
      </c>
      <c r="D1449" t="s">
        <v>939</v>
      </c>
      <c r="E1449" s="46">
        <v>45348</v>
      </c>
      <c r="F1449" s="45" t="s">
        <v>721</v>
      </c>
      <c r="I1449" t="s">
        <v>726</v>
      </c>
    </row>
    <row r="1450" spans="1:9" hidden="1" x14ac:dyDescent="0.3">
      <c r="A1450" t="s">
        <v>748</v>
      </c>
      <c r="B1450" s="46">
        <v>45422</v>
      </c>
      <c r="C1450" s="45">
        <v>37500</v>
      </c>
      <c r="D1450" t="s">
        <v>735</v>
      </c>
      <c r="E1450" s="46">
        <v>45458</v>
      </c>
      <c r="F1450" s="45" t="s">
        <v>721</v>
      </c>
      <c r="I1450" t="s">
        <v>762</v>
      </c>
    </row>
    <row r="1451" spans="1:9" hidden="1" x14ac:dyDescent="0.3">
      <c r="A1451" t="s">
        <v>772</v>
      </c>
      <c r="B1451" s="46">
        <v>45386</v>
      </c>
      <c r="C1451" s="45">
        <v>37500</v>
      </c>
      <c r="D1451" t="s">
        <v>2098</v>
      </c>
      <c r="E1451" s="46">
        <v>45438</v>
      </c>
      <c r="F1451" s="45" t="s">
        <v>721</v>
      </c>
      <c r="I1451" t="s">
        <v>726</v>
      </c>
    </row>
    <row r="1452" spans="1:9" hidden="1" x14ac:dyDescent="0.3">
      <c r="A1452" t="s">
        <v>775</v>
      </c>
      <c r="B1452" s="46">
        <v>45357</v>
      </c>
      <c r="C1452" s="45">
        <v>37300</v>
      </c>
      <c r="D1452" t="s">
        <v>2099</v>
      </c>
      <c r="E1452" s="46">
        <v>45398</v>
      </c>
      <c r="F1452" s="45" t="s">
        <v>721</v>
      </c>
      <c r="G1452">
        <v>0</v>
      </c>
      <c r="I1452" t="s">
        <v>726</v>
      </c>
    </row>
    <row r="1453" spans="1:9" hidden="1" x14ac:dyDescent="0.3">
      <c r="A1453" t="s">
        <v>775</v>
      </c>
      <c r="B1453" s="46">
        <v>45333</v>
      </c>
      <c r="C1453" s="45">
        <v>37100</v>
      </c>
      <c r="D1453" t="s">
        <v>1102</v>
      </c>
      <c r="E1453" s="46">
        <v>45369</v>
      </c>
      <c r="F1453" s="45" t="s">
        <v>721</v>
      </c>
      <c r="G1453">
        <v>0</v>
      </c>
      <c r="I1453" t="s">
        <v>726</v>
      </c>
    </row>
    <row r="1454" spans="1:9" hidden="1" x14ac:dyDescent="0.3">
      <c r="A1454" t="s">
        <v>772</v>
      </c>
      <c r="B1454" s="46">
        <v>45260</v>
      </c>
      <c r="C1454" s="45">
        <v>37100</v>
      </c>
      <c r="D1454" t="s">
        <v>1103</v>
      </c>
      <c r="E1454" s="46">
        <v>45286</v>
      </c>
      <c r="F1454" s="45" t="s">
        <v>721</v>
      </c>
      <c r="I1454" t="s">
        <v>726</v>
      </c>
    </row>
    <row r="1455" spans="1:9" hidden="1" x14ac:dyDescent="0.3">
      <c r="A1455" t="s">
        <v>720</v>
      </c>
      <c r="B1455" s="46">
        <v>45259</v>
      </c>
      <c r="C1455" s="45">
        <v>37000</v>
      </c>
      <c r="D1455" t="s">
        <v>1104</v>
      </c>
      <c r="E1455" s="46">
        <v>45286</v>
      </c>
      <c r="F1455" s="45" t="s">
        <v>721</v>
      </c>
      <c r="I1455" t="s">
        <v>738</v>
      </c>
    </row>
    <row r="1456" spans="1:9" hidden="1" x14ac:dyDescent="0.3">
      <c r="A1456" t="s">
        <v>761</v>
      </c>
      <c r="B1456" s="46">
        <v>45260</v>
      </c>
      <c r="C1456" s="45">
        <v>37000</v>
      </c>
      <c r="D1456" t="s">
        <v>1104</v>
      </c>
      <c r="E1456" s="46">
        <v>45286</v>
      </c>
      <c r="F1456" s="45" t="s">
        <v>721</v>
      </c>
      <c r="I1456" t="s">
        <v>738</v>
      </c>
    </row>
    <row r="1457" spans="1:9" hidden="1" x14ac:dyDescent="0.3">
      <c r="A1457" t="s">
        <v>772</v>
      </c>
      <c r="B1457" s="46">
        <v>45254</v>
      </c>
      <c r="C1457" s="45">
        <v>37000</v>
      </c>
      <c r="D1457" t="s">
        <v>1092</v>
      </c>
      <c r="E1457" s="46">
        <v>45286</v>
      </c>
      <c r="F1457" s="45" t="s">
        <v>721</v>
      </c>
      <c r="I1457" t="s">
        <v>726</v>
      </c>
    </row>
    <row r="1458" spans="1:9" hidden="1" x14ac:dyDescent="0.3">
      <c r="A1458" t="s">
        <v>724</v>
      </c>
      <c r="B1458" s="46">
        <v>45218</v>
      </c>
      <c r="C1458" s="45">
        <v>37000</v>
      </c>
      <c r="D1458" t="s">
        <v>1105</v>
      </c>
      <c r="E1458" s="46">
        <v>45256</v>
      </c>
      <c r="F1458" s="45" t="s">
        <v>721</v>
      </c>
      <c r="I1458" t="s">
        <v>726</v>
      </c>
    </row>
    <row r="1459" spans="1:9" hidden="1" x14ac:dyDescent="0.3">
      <c r="A1459" t="s">
        <v>779</v>
      </c>
      <c r="B1459" s="46">
        <v>45188</v>
      </c>
      <c r="C1459" s="45">
        <v>37000</v>
      </c>
      <c r="D1459" t="s">
        <v>947</v>
      </c>
      <c r="E1459" s="46">
        <v>45215</v>
      </c>
      <c r="F1459" s="45" t="s">
        <v>721</v>
      </c>
    </row>
    <row r="1460" spans="1:9" hidden="1" x14ac:dyDescent="0.3">
      <c r="A1460" t="s">
        <v>777</v>
      </c>
      <c r="B1460" s="46">
        <v>45188</v>
      </c>
      <c r="C1460" s="45">
        <v>37000</v>
      </c>
      <c r="D1460" t="s">
        <v>883</v>
      </c>
      <c r="E1460" s="46">
        <v>45215</v>
      </c>
      <c r="F1460" s="45" t="s">
        <v>721</v>
      </c>
      <c r="I1460" t="s">
        <v>818</v>
      </c>
    </row>
    <row r="1461" spans="1:9" hidden="1" x14ac:dyDescent="0.3">
      <c r="A1461" t="s">
        <v>748</v>
      </c>
      <c r="B1461" s="46">
        <v>45166</v>
      </c>
      <c r="C1461" s="45">
        <v>37000</v>
      </c>
      <c r="D1461" t="s">
        <v>735</v>
      </c>
      <c r="E1461" s="46">
        <v>45184</v>
      </c>
      <c r="F1461" s="45" t="s">
        <v>721</v>
      </c>
      <c r="I1461" t="s">
        <v>795</v>
      </c>
    </row>
    <row r="1462" spans="1:9" hidden="1" x14ac:dyDescent="0.3">
      <c r="A1462" t="s">
        <v>777</v>
      </c>
      <c r="B1462" s="46">
        <v>45387</v>
      </c>
      <c r="C1462" s="45">
        <v>37000</v>
      </c>
      <c r="D1462" t="s">
        <v>875</v>
      </c>
      <c r="E1462" s="46">
        <v>45428</v>
      </c>
      <c r="F1462" s="45" t="s">
        <v>721</v>
      </c>
      <c r="I1462" t="s">
        <v>818</v>
      </c>
    </row>
    <row r="1463" spans="1:9" hidden="1" x14ac:dyDescent="0.3">
      <c r="A1463" t="s">
        <v>767</v>
      </c>
      <c r="B1463" s="46">
        <v>45362</v>
      </c>
      <c r="C1463" s="45">
        <v>37000</v>
      </c>
      <c r="D1463" t="s">
        <v>1095</v>
      </c>
      <c r="E1463" s="46">
        <v>45397</v>
      </c>
      <c r="F1463" s="45" t="s">
        <v>721</v>
      </c>
      <c r="I1463" t="s">
        <v>726</v>
      </c>
    </row>
    <row r="1464" spans="1:9" hidden="1" x14ac:dyDescent="0.3">
      <c r="A1464" t="s">
        <v>767</v>
      </c>
      <c r="B1464" s="46">
        <v>45369</v>
      </c>
      <c r="C1464" s="45">
        <v>37000</v>
      </c>
      <c r="D1464" t="s">
        <v>1095</v>
      </c>
      <c r="E1464" s="46">
        <v>45397</v>
      </c>
      <c r="F1464" s="45" t="s">
        <v>721</v>
      </c>
      <c r="I1464" t="s">
        <v>726</v>
      </c>
    </row>
    <row r="1465" spans="1:9" hidden="1" x14ac:dyDescent="0.3">
      <c r="A1465" t="s">
        <v>724</v>
      </c>
      <c r="B1465" s="46">
        <v>45307</v>
      </c>
      <c r="C1465" s="45">
        <v>37000</v>
      </c>
      <c r="D1465" t="s">
        <v>1106</v>
      </c>
      <c r="E1465" s="46">
        <v>45348</v>
      </c>
      <c r="F1465" s="45" t="s">
        <v>721</v>
      </c>
      <c r="I1465" t="s">
        <v>726</v>
      </c>
    </row>
    <row r="1466" spans="1:9" hidden="1" x14ac:dyDescent="0.3">
      <c r="A1466" t="s">
        <v>767</v>
      </c>
      <c r="B1466" s="46">
        <v>45317</v>
      </c>
      <c r="C1466" s="45">
        <v>37000</v>
      </c>
      <c r="D1466" t="s">
        <v>1095</v>
      </c>
      <c r="E1466" s="46">
        <v>45337</v>
      </c>
      <c r="F1466" s="45" t="s">
        <v>721</v>
      </c>
      <c r="I1466" t="s">
        <v>726</v>
      </c>
    </row>
    <row r="1467" spans="1:9" hidden="1" x14ac:dyDescent="0.3">
      <c r="A1467" t="s">
        <v>767</v>
      </c>
      <c r="B1467" s="46">
        <v>45383</v>
      </c>
      <c r="C1467" s="45">
        <v>37000</v>
      </c>
      <c r="D1467" t="s">
        <v>1095</v>
      </c>
      <c r="E1467" s="46">
        <v>45428</v>
      </c>
      <c r="F1467" s="45" t="s">
        <v>721</v>
      </c>
      <c r="I1467" t="s">
        <v>726</v>
      </c>
    </row>
    <row r="1468" spans="1:9" hidden="1" x14ac:dyDescent="0.3">
      <c r="A1468" t="s">
        <v>720</v>
      </c>
      <c r="B1468" s="46">
        <v>45441</v>
      </c>
      <c r="C1468" s="45">
        <v>37000</v>
      </c>
      <c r="D1468" t="s">
        <v>1104</v>
      </c>
      <c r="E1468" s="46">
        <v>45469</v>
      </c>
      <c r="F1468" s="45" t="s">
        <v>721</v>
      </c>
      <c r="I1468" t="s">
        <v>738</v>
      </c>
    </row>
    <row r="1469" spans="1:9" hidden="1" x14ac:dyDescent="0.3">
      <c r="A1469" t="s">
        <v>779</v>
      </c>
      <c r="B1469" s="46">
        <v>45435</v>
      </c>
      <c r="C1469" s="45">
        <v>37000</v>
      </c>
      <c r="D1469" t="s">
        <v>1644</v>
      </c>
      <c r="E1469" s="46">
        <v>45459</v>
      </c>
      <c r="F1469" s="45" t="s">
        <v>721</v>
      </c>
      <c r="I1469" t="s">
        <v>726</v>
      </c>
    </row>
    <row r="1470" spans="1:9" hidden="1" x14ac:dyDescent="0.3">
      <c r="A1470" t="s">
        <v>777</v>
      </c>
      <c r="B1470" s="46">
        <v>45429</v>
      </c>
      <c r="C1470" s="45">
        <v>37000</v>
      </c>
      <c r="D1470" t="s">
        <v>875</v>
      </c>
      <c r="E1470" s="46">
        <v>45458</v>
      </c>
      <c r="F1470" s="45" t="s">
        <v>721</v>
      </c>
      <c r="I1470" t="s">
        <v>818</v>
      </c>
    </row>
    <row r="1471" spans="1:9" hidden="1" x14ac:dyDescent="0.3">
      <c r="A1471" t="s">
        <v>767</v>
      </c>
      <c r="B1471" s="46">
        <v>45152</v>
      </c>
      <c r="C1471" s="45">
        <v>36900</v>
      </c>
      <c r="D1471" t="s">
        <v>980</v>
      </c>
      <c r="E1471" s="46">
        <v>45184</v>
      </c>
      <c r="F1471" s="45" t="s">
        <v>721</v>
      </c>
      <c r="I1471" t="s">
        <v>726</v>
      </c>
    </row>
    <row r="1472" spans="1:9" hidden="1" x14ac:dyDescent="0.3">
      <c r="A1472" t="s">
        <v>734</v>
      </c>
      <c r="B1472" s="46">
        <v>45180</v>
      </c>
      <c r="C1472" s="45">
        <v>36700</v>
      </c>
      <c r="D1472" t="s">
        <v>735</v>
      </c>
      <c r="E1472" s="46">
        <v>45215</v>
      </c>
      <c r="F1472" s="45" t="s">
        <v>721</v>
      </c>
      <c r="I1472" t="s">
        <v>762</v>
      </c>
    </row>
    <row r="1473" spans="1:9" hidden="1" x14ac:dyDescent="0.3">
      <c r="A1473" t="s">
        <v>724</v>
      </c>
      <c r="B1473" s="46">
        <v>45429</v>
      </c>
      <c r="C1473" s="45">
        <v>36700</v>
      </c>
      <c r="D1473" t="s">
        <v>2083</v>
      </c>
      <c r="E1473" s="46">
        <v>45469</v>
      </c>
      <c r="F1473" s="45" t="s">
        <v>721</v>
      </c>
      <c r="I1473" t="s">
        <v>726</v>
      </c>
    </row>
    <row r="1474" spans="1:9" hidden="1" x14ac:dyDescent="0.3">
      <c r="A1474" t="s">
        <v>727</v>
      </c>
      <c r="B1474" s="46">
        <v>45435</v>
      </c>
      <c r="C1474" s="45">
        <v>36600</v>
      </c>
      <c r="D1474" t="s">
        <v>2100</v>
      </c>
      <c r="E1474" s="46">
        <v>45458</v>
      </c>
      <c r="F1474" s="45" t="s">
        <v>721</v>
      </c>
      <c r="I1474" t="s">
        <v>726</v>
      </c>
    </row>
    <row r="1475" spans="1:9" hidden="1" x14ac:dyDescent="0.3">
      <c r="A1475" t="s">
        <v>794</v>
      </c>
      <c r="B1475" s="46">
        <v>45159</v>
      </c>
      <c r="C1475" s="45">
        <v>36300</v>
      </c>
      <c r="D1475" t="s">
        <v>1107</v>
      </c>
      <c r="E1475" s="46">
        <v>45184</v>
      </c>
      <c r="F1475" s="45" t="s">
        <v>721</v>
      </c>
      <c r="I1475" t="s">
        <v>750</v>
      </c>
    </row>
    <row r="1476" spans="1:9" hidden="1" x14ac:dyDescent="0.3">
      <c r="A1476" t="s">
        <v>772</v>
      </c>
      <c r="B1476" s="46">
        <v>45146</v>
      </c>
      <c r="C1476" s="45">
        <v>36200</v>
      </c>
      <c r="D1476" t="s">
        <v>1010</v>
      </c>
      <c r="E1476" s="46">
        <v>45195</v>
      </c>
      <c r="F1476" s="45" t="s">
        <v>721</v>
      </c>
      <c r="I1476" t="s">
        <v>726</v>
      </c>
    </row>
    <row r="1477" spans="1:9" hidden="1" x14ac:dyDescent="0.3">
      <c r="A1477" t="s">
        <v>727</v>
      </c>
      <c r="B1477" s="46">
        <v>45288</v>
      </c>
      <c r="C1477" s="45">
        <v>36200</v>
      </c>
      <c r="D1477" t="s">
        <v>1057</v>
      </c>
      <c r="E1477" s="46">
        <v>45306</v>
      </c>
      <c r="F1477" s="45" t="s">
        <v>721</v>
      </c>
      <c r="I1477" t="s">
        <v>726</v>
      </c>
    </row>
    <row r="1478" spans="1:9" hidden="1" x14ac:dyDescent="0.3">
      <c r="A1478" t="s">
        <v>734</v>
      </c>
      <c r="B1478" s="46">
        <v>45282</v>
      </c>
      <c r="C1478" s="45">
        <v>36100</v>
      </c>
      <c r="D1478" t="s">
        <v>735</v>
      </c>
      <c r="E1478" s="46">
        <v>45306</v>
      </c>
      <c r="F1478" s="45" t="s">
        <v>721</v>
      </c>
      <c r="I1478" t="s">
        <v>762</v>
      </c>
    </row>
    <row r="1479" spans="1:9" hidden="1" x14ac:dyDescent="0.3">
      <c r="A1479" t="s">
        <v>767</v>
      </c>
      <c r="B1479" s="46">
        <v>45373</v>
      </c>
      <c r="C1479" s="45">
        <v>36100</v>
      </c>
      <c r="D1479" t="s">
        <v>1081</v>
      </c>
      <c r="E1479" s="46">
        <v>45397</v>
      </c>
      <c r="F1479" s="45" t="s">
        <v>721</v>
      </c>
      <c r="I1479" t="s">
        <v>726</v>
      </c>
    </row>
    <row r="1480" spans="1:9" hidden="1" x14ac:dyDescent="0.3">
      <c r="A1480" t="s">
        <v>727</v>
      </c>
      <c r="B1480" s="46">
        <v>45378</v>
      </c>
      <c r="C1480" s="45">
        <v>36000</v>
      </c>
      <c r="D1480" t="s">
        <v>2060</v>
      </c>
      <c r="E1480" s="46">
        <v>45397</v>
      </c>
      <c r="F1480" s="45" t="s">
        <v>721</v>
      </c>
      <c r="I1480" t="s">
        <v>726</v>
      </c>
    </row>
    <row r="1481" spans="1:9" hidden="1" x14ac:dyDescent="0.3">
      <c r="A1481" t="s">
        <v>803</v>
      </c>
      <c r="B1481" s="46">
        <v>45356</v>
      </c>
      <c r="C1481" s="45">
        <v>36000</v>
      </c>
      <c r="D1481" t="s">
        <v>1244</v>
      </c>
      <c r="E1481" s="46">
        <v>45398</v>
      </c>
      <c r="F1481" s="45" t="s">
        <v>721</v>
      </c>
      <c r="G1481">
        <v>0</v>
      </c>
      <c r="I1481" t="s">
        <v>726</v>
      </c>
    </row>
    <row r="1482" spans="1:9" hidden="1" x14ac:dyDescent="0.3">
      <c r="A1482" t="s">
        <v>772</v>
      </c>
      <c r="B1482" s="46">
        <v>45355</v>
      </c>
      <c r="C1482" s="45">
        <v>36000</v>
      </c>
      <c r="D1482" t="s">
        <v>1012</v>
      </c>
      <c r="E1482" s="46">
        <v>45408</v>
      </c>
      <c r="F1482" s="45" t="s">
        <v>721</v>
      </c>
      <c r="I1482" t="s">
        <v>726</v>
      </c>
    </row>
    <row r="1483" spans="1:9" hidden="1" x14ac:dyDescent="0.3">
      <c r="A1483" t="s">
        <v>734</v>
      </c>
      <c r="B1483" s="46">
        <v>45371</v>
      </c>
      <c r="C1483" s="45">
        <v>36000</v>
      </c>
      <c r="D1483" t="s">
        <v>994</v>
      </c>
      <c r="E1483" s="46">
        <v>45397</v>
      </c>
      <c r="F1483" s="45" t="s">
        <v>721</v>
      </c>
      <c r="I1483" t="s">
        <v>726</v>
      </c>
    </row>
    <row r="1484" spans="1:9" hidden="1" x14ac:dyDescent="0.3">
      <c r="A1484" t="s">
        <v>734</v>
      </c>
      <c r="B1484" s="46">
        <v>45376</v>
      </c>
      <c r="C1484" s="45">
        <v>36000</v>
      </c>
      <c r="D1484" t="s">
        <v>998</v>
      </c>
      <c r="E1484" s="46">
        <v>45397</v>
      </c>
      <c r="F1484" s="45" t="s">
        <v>721</v>
      </c>
      <c r="I1484" t="s">
        <v>726</v>
      </c>
    </row>
    <row r="1485" spans="1:9" hidden="1" x14ac:dyDescent="0.3">
      <c r="A1485" t="s">
        <v>772</v>
      </c>
      <c r="B1485" s="46">
        <v>45343</v>
      </c>
      <c r="C1485" s="45">
        <v>36000</v>
      </c>
      <c r="D1485" t="s">
        <v>1108</v>
      </c>
      <c r="E1485" s="46">
        <v>45377</v>
      </c>
      <c r="F1485" s="45" t="s">
        <v>721</v>
      </c>
      <c r="I1485" t="s">
        <v>726</v>
      </c>
    </row>
    <row r="1486" spans="1:9" hidden="1" x14ac:dyDescent="0.3">
      <c r="A1486" t="s">
        <v>772</v>
      </c>
      <c r="B1486" s="46">
        <v>45335</v>
      </c>
      <c r="C1486" s="45">
        <v>36000</v>
      </c>
      <c r="D1486" t="s">
        <v>989</v>
      </c>
      <c r="E1486" s="46">
        <v>45377</v>
      </c>
      <c r="F1486" s="45" t="s">
        <v>721</v>
      </c>
      <c r="I1486" t="s">
        <v>726</v>
      </c>
    </row>
    <row r="1487" spans="1:9" hidden="1" x14ac:dyDescent="0.3">
      <c r="A1487" t="s">
        <v>772</v>
      </c>
      <c r="B1487" s="46">
        <v>45341</v>
      </c>
      <c r="C1487" s="45">
        <v>36000</v>
      </c>
      <c r="D1487" t="s">
        <v>1082</v>
      </c>
      <c r="E1487" s="46">
        <v>45377</v>
      </c>
      <c r="F1487" s="45" t="s">
        <v>721</v>
      </c>
      <c r="I1487" t="s">
        <v>726</v>
      </c>
    </row>
    <row r="1488" spans="1:9" hidden="1" x14ac:dyDescent="0.3">
      <c r="A1488" t="s">
        <v>772</v>
      </c>
      <c r="B1488" s="46">
        <v>45338</v>
      </c>
      <c r="C1488" s="45">
        <v>36000</v>
      </c>
      <c r="D1488" t="s">
        <v>1121</v>
      </c>
      <c r="E1488" s="46">
        <v>45377</v>
      </c>
      <c r="F1488" s="45" t="s">
        <v>721</v>
      </c>
      <c r="I1488" t="s">
        <v>726</v>
      </c>
    </row>
    <row r="1489" spans="1:9" hidden="1" x14ac:dyDescent="0.3">
      <c r="A1489" t="s">
        <v>724</v>
      </c>
      <c r="B1489" s="46">
        <v>45327</v>
      </c>
      <c r="C1489" s="45">
        <v>36000</v>
      </c>
      <c r="D1489" t="s">
        <v>850</v>
      </c>
      <c r="E1489" s="46">
        <v>45377</v>
      </c>
      <c r="F1489" s="45" t="s">
        <v>721</v>
      </c>
      <c r="I1489" t="s">
        <v>726</v>
      </c>
    </row>
    <row r="1490" spans="1:9" hidden="1" x14ac:dyDescent="0.3">
      <c r="A1490" t="s">
        <v>772</v>
      </c>
      <c r="B1490" s="46">
        <v>45362</v>
      </c>
      <c r="C1490" s="45">
        <v>36000</v>
      </c>
      <c r="D1490" t="s">
        <v>928</v>
      </c>
      <c r="E1490" s="46">
        <v>45408</v>
      </c>
      <c r="F1490" s="45" t="s">
        <v>721</v>
      </c>
      <c r="I1490" t="s">
        <v>726</v>
      </c>
    </row>
    <row r="1491" spans="1:9" hidden="1" x14ac:dyDescent="0.3">
      <c r="A1491" t="s">
        <v>772</v>
      </c>
      <c r="B1491" s="46">
        <v>45370</v>
      </c>
      <c r="C1491" s="45">
        <v>36000</v>
      </c>
      <c r="D1491" t="s">
        <v>878</v>
      </c>
      <c r="E1491" s="46">
        <v>45408</v>
      </c>
      <c r="F1491" s="45" t="s">
        <v>721</v>
      </c>
      <c r="I1491" t="s">
        <v>726</v>
      </c>
    </row>
    <row r="1492" spans="1:9" hidden="1" x14ac:dyDescent="0.3">
      <c r="A1492" t="s">
        <v>772</v>
      </c>
      <c r="B1492" s="46">
        <v>45373</v>
      </c>
      <c r="C1492" s="45">
        <v>36000</v>
      </c>
      <c r="D1492" t="s">
        <v>1082</v>
      </c>
      <c r="E1492" s="46">
        <v>45408</v>
      </c>
      <c r="F1492" s="45" t="s">
        <v>721</v>
      </c>
      <c r="I1492" t="s">
        <v>726</v>
      </c>
    </row>
    <row r="1493" spans="1:9" hidden="1" x14ac:dyDescent="0.3">
      <c r="A1493" t="s">
        <v>772</v>
      </c>
      <c r="B1493" s="46">
        <v>45376</v>
      </c>
      <c r="C1493" s="45">
        <v>36000</v>
      </c>
      <c r="D1493" t="s">
        <v>850</v>
      </c>
      <c r="E1493" s="46">
        <v>45408</v>
      </c>
      <c r="F1493" s="45" t="s">
        <v>721</v>
      </c>
      <c r="I1493" t="s">
        <v>726</v>
      </c>
    </row>
    <row r="1494" spans="1:9" hidden="1" x14ac:dyDescent="0.3">
      <c r="A1494" t="s">
        <v>772</v>
      </c>
      <c r="B1494" s="46">
        <v>45385</v>
      </c>
      <c r="C1494" s="45">
        <v>36000</v>
      </c>
      <c r="D1494" t="s">
        <v>1138</v>
      </c>
      <c r="E1494" s="46">
        <v>45408</v>
      </c>
      <c r="F1494" s="45" t="s">
        <v>721</v>
      </c>
      <c r="I1494" t="s">
        <v>726</v>
      </c>
    </row>
    <row r="1495" spans="1:9" hidden="1" x14ac:dyDescent="0.3">
      <c r="A1495" t="s">
        <v>724</v>
      </c>
      <c r="B1495" s="46">
        <v>45384</v>
      </c>
      <c r="C1495" s="45">
        <v>36000</v>
      </c>
      <c r="D1495" t="s">
        <v>1812</v>
      </c>
      <c r="E1495" s="46">
        <v>45408</v>
      </c>
      <c r="F1495" s="45" t="s">
        <v>721</v>
      </c>
      <c r="I1495" t="s">
        <v>726</v>
      </c>
    </row>
    <row r="1496" spans="1:9" hidden="1" x14ac:dyDescent="0.3">
      <c r="A1496" t="s">
        <v>772</v>
      </c>
      <c r="B1496" s="46">
        <v>45384</v>
      </c>
      <c r="C1496" s="45">
        <v>36000</v>
      </c>
      <c r="D1496" t="s">
        <v>2102</v>
      </c>
      <c r="E1496" s="46">
        <v>45408</v>
      </c>
      <c r="F1496" s="45" t="s">
        <v>721</v>
      </c>
      <c r="I1496" t="s">
        <v>726</v>
      </c>
    </row>
    <row r="1497" spans="1:9" hidden="1" x14ac:dyDescent="0.3">
      <c r="A1497" t="s">
        <v>772</v>
      </c>
      <c r="B1497" s="46">
        <v>45322</v>
      </c>
      <c r="C1497" s="45">
        <v>36000</v>
      </c>
      <c r="D1497" t="s">
        <v>1041</v>
      </c>
      <c r="E1497" s="46">
        <v>45348</v>
      </c>
      <c r="F1497" s="45" t="s">
        <v>721</v>
      </c>
      <c r="I1497" t="s">
        <v>726</v>
      </c>
    </row>
    <row r="1498" spans="1:9" hidden="1" x14ac:dyDescent="0.3">
      <c r="A1498" t="s">
        <v>767</v>
      </c>
      <c r="B1498" s="46">
        <v>45307</v>
      </c>
      <c r="C1498" s="45">
        <v>36000</v>
      </c>
      <c r="D1498" t="s">
        <v>850</v>
      </c>
      <c r="E1498" s="46">
        <v>45337</v>
      </c>
      <c r="F1498" s="45" t="s">
        <v>721</v>
      </c>
      <c r="I1498" t="s">
        <v>726</v>
      </c>
    </row>
    <row r="1499" spans="1:9" hidden="1" x14ac:dyDescent="0.3">
      <c r="A1499" t="s">
        <v>821</v>
      </c>
      <c r="B1499" s="46">
        <v>45303</v>
      </c>
      <c r="C1499" s="45">
        <v>36000</v>
      </c>
      <c r="D1499" t="s">
        <v>791</v>
      </c>
      <c r="E1499" s="46">
        <v>45337</v>
      </c>
      <c r="F1499" s="45" t="s">
        <v>721</v>
      </c>
      <c r="I1499" t="s">
        <v>726</v>
      </c>
    </row>
    <row r="1500" spans="1:9" hidden="1" x14ac:dyDescent="0.3">
      <c r="A1500" t="s">
        <v>772</v>
      </c>
      <c r="B1500" s="46">
        <v>45320</v>
      </c>
      <c r="C1500" s="45">
        <v>36000</v>
      </c>
      <c r="D1500" t="s">
        <v>850</v>
      </c>
      <c r="E1500" s="46">
        <v>45348</v>
      </c>
      <c r="F1500" s="45" t="s">
        <v>721</v>
      </c>
      <c r="I1500" t="s">
        <v>726</v>
      </c>
    </row>
    <row r="1501" spans="1:9" hidden="1" x14ac:dyDescent="0.3">
      <c r="A1501" t="s">
        <v>772</v>
      </c>
      <c r="B1501" s="46">
        <v>45317</v>
      </c>
      <c r="C1501" s="45">
        <v>36000</v>
      </c>
      <c r="D1501" t="s">
        <v>989</v>
      </c>
      <c r="E1501" s="46">
        <v>45348</v>
      </c>
      <c r="F1501" s="45" t="s">
        <v>721</v>
      </c>
      <c r="I1501" t="s">
        <v>726</v>
      </c>
    </row>
    <row r="1502" spans="1:9" hidden="1" x14ac:dyDescent="0.3">
      <c r="A1502" t="s">
        <v>772</v>
      </c>
      <c r="B1502" s="46">
        <v>45296</v>
      </c>
      <c r="C1502" s="45">
        <v>36000</v>
      </c>
      <c r="D1502" t="s">
        <v>934</v>
      </c>
      <c r="E1502" s="46">
        <v>45348</v>
      </c>
      <c r="F1502" s="45" t="s">
        <v>721</v>
      </c>
      <c r="I1502" t="s">
        <v>726</v>
      </c>
    </row>
    <row r="1503" spans="1:9" hidden="1" x14ac:dyDescent="0.3">
      <c r="A1503" t="s">
        <v>772</v>
      </c>
      <c r="B1503" s="46">
        <v>45306</v>
      </c>
      <c r="C1503" s="45">
        <v>36000</v>
      </c>
      <c r="D1503" t="s">
        <v>1082</v>
      </c>
      <c r="E1503" s="46">
        <v>45348</v>
      </c>
      <c r="F1503" s="45" t="s">
        <v>721</v>
      </c>
      <c r="I1503" t="s">
        <v>726</v>
      </c>
    </row>
    <row r="1504" spans="1:9" hidden="1" x14ac:dyDescent="0.3">
      <c r="A1504" t="s">
        <v>772</v>
      </c>
      <c r="B1504" s="46">
        <v>45303</v>
      </c>
      <c r="C1504" s="45">
        <v>36000</v>
      </c>
      <c r="D1504" t="s">
        <v>989</v>
      </c>
      <c r="E1504" s="46">
        <v>45348</v>
      </c>
      <c r="F1504" s="45" t="s">
        <v>721</v>
      </c>
      <c r="I1504" t="s">
        <v>726</v>
      </c>
    </row>
    <row r="1505" spans="1:9" hidden="1" x14ac:dyDescent="0.3">
      <c r="A1505" t="s">
        <v>772</v>
      </c>
      <c r="B1505" s="46">
        <v>45301</v>
      </c>
      <c r="C1505" s="45">
        <v>36000</v>
      </c>
      <c r="D1505" t="s">
        <v>1112</v>
      </c>
      <c r="E1505" s="46">
        <v>45348</v>
      </c>
      <c r="F1505" s="45" t="s">
        <v>721</v>
      </c>
      <c r="I1505" t="s">
        <v>726</v>
      </c>
    </row>
    <row r="1506" spans="1:9" hidden="1" x14ac:dyDescent="0.3">
      <c r="A1506" t="s">
        <v>727</v>
      </c>
      <c r="B1506" s="46">
        <v>45338</v>
      </c>
      <c r="C1506" s="45">
        <v>36000</v>
      </c>
      <c r="D1506" t="s">
        <v>791</v>
      </c>
      <c r="E1506" s="46">
        <v>45366</v>
      </c>
      <c r="F1506" s="45" t="s">
        <v>721</v>
      </c>
      <c r="I1506" t="s">
        <v>726</v>
      </c>
    </row>
    <row r="1507" spans="1:9" hidden="1" x14ac:dyDescent="0.3">
      <c r="A1507" t="s">
        <v>727</v>
      </c>
      <c r="B1507" s="46">
        <v>45336</v>
      </c>
      <c r="C1507" s="45">
        <v>36000</v>
      </c>
      <c r="D1507" t="s">
        <v>1008</v>
      </c>
      <c r="E1507" s="46">
        <v>45366</v>
      </c>
      <c r="F1507" s="45" t="s">
        <v>721</v>
      </c>
      <c r="I1507" t="s">
        <v>726</v>
      </c>
    </row>
    <row r="1508" spans="1:9" hidden="1" x14ac:dyDescent="0.3">
      <c r="A1508" t="s">
        <v>767</v>
      </c>
      <c r="B1508" s="46">
        <v>45348</v>
      </c>
      <c r="C1508" s="45">
        <v>36000</v>
      </c>
      <c r="D1508" t="s">
        <v>850</v>
      </c>
      <c r="E1508" s="46">
        <v>45366</v>
      </c>
      <c r="F1508" s="45" t="s">
        <v>721</v>
      </c>
      <c r="I1508" t="s">
        <v>726</v>
      </c>
    </row>
    <row r="1509" spans="1:9" hidden="1" x14ac:dyDescent="0.3">
      <c r="A1509" t="s">
        <v>767</v>
      </c>
      <c r="B1509" s="46">
        <v>45342</v>
      </c>
      <c r="C1509" s="45">
        <v>36000</v>
      </c>
      <c r="D1509" t="s">
        <v>850</v>
      </c>
      <c r="E1509" s="46">
        <v>45366</v>
      </c>
      <c r="F1509" s="45" t="s">
        <v>721</v>
      </c>
      <c r="I1509" t="s">
        <v>726</v>
      </c>
    </row>
    <row r="1510" spans="1:9" hidden="1" x14ac:dyDescent="0.3">
      <c r="A1510" t="s">
        <v>734</v>
      </c>
      <c r="B1510" s="46">
        <v>45323</v>
      </c>
      <c r="C1510" s="45">
        <v>36000</v>
      </c>
      <c r="D1510" t="s">
        <v>1113</v>
      </c>
      <c r="E1510" s="46">
        <v>45366</v>
      </c>
      <c r="F1510" s="45" t="s">
        <v>721</v>
      </c>
      <c r="I1510" t="s">
        <v>726</v>
      </c>
    </row>
    <row r="1511" spans="1:9" hidden="1" x14ac:dyDescent="0.3">
      <c r="A1511" t="s">
        <v>734</v>
      </c>
      <c r="B1511" s="46">
        <v>45350</v>
      </c>
      <c r="C1511" s="45">
        <v>36000</v>
      </c>
      <c r="D1511" t="s">
        <v>886</v>
      </c>
      <c r="E1511" s="46">
        <v>45366</v>
      </c>
      <c r="F1511" s="45" t="s">
        <v>721</v>
      </c>
      <c r="I1511" t="s">
        <v>726</v>
      </c>
    </row>
    <row r="1512" spans="1:9" hidden="1" x14ac:dyDescent="0.3">
      <c r="A1512" t="s">
        <v>772</v>
      </c>
      <c r="B1512" s="46">
        <v>45434</v>
      </c>
      <c r="C1512" s="45">
        <v>36000</v>
      </c>
      <c r="D1512" t="s">
        <v>1724</v>
      </c>
      <c r="E1512" s="46">
        <v>45469</v>
      </c>
      <c r="F1512" s="45" t="s">
        <v>721</v>
      </c>
      <c r="I1512" t="s">
        <v>726</v>
      </c>
    </row>
    <row r="1513" spans="1:9" hidden="1" x14ac:dyDescent="0.3">
      <c r="A1513" t="s">
        <v>772</v>
      </c>
      <c r="B1513" s="46">
        <v>45436</v>
      </c>
      <c r="C1513" s="45">
        <v>36000</v>
      </c>
      <c r="D1513" t="s">
        <v>2097</v>
      </c>
      <c r="E1513" s="46">
        <v>45469</v>
      </c>
      <c r="F1513" s="45" t="s">
        <v>721</v>
      </c>
      <c r="I1513" t="s">
        <v>726</v>
      </c>
    </row>
    <row r="1514" spans="1:9" hidden="1" x14ac:dyDescent="0.3">
      <c r="A1514" t="s">
        <v>724</v>
      </c>
      <c r="B1514" s="46">
        <v>45426</v>
      </c>
      <c r="C1514" s="45">
        <v>36000</v>
      </c>
      <c r="D1514" t="s">
        <v>850</v>
      </c>
      <c r="E1514" s="46">
        <v>45469</v>
      </c>
      <c r="F1514" s="45" t="s">
        <v>721</v>
      </c>
      <c r="I1514" t="s">
        <v>726</v>
      </c>
    </row>
    <row r="1515" spans="1:9" hidden="1" x14ac:dyDescent="0.3">
      <c r="A1515" t="s">
        <v>772</v>
      </c>
      <c r="B1515" s="46">
        <v>45426</v>
      </c>
      <c r="C1515" s="45">
        <v>36000</v>
      </c>
      <c r="D1515" t="s">
        <v>2101</v>
      </c>
      <c r="E1515" s="46">
        <v>45469</v>
      </c>
      <c r="F1515" s="45" t="s">
        <v>721</v>
      </c>
      <c r="I1515" t="s">
        <v>726</v>
      </c>
    </row>
    <row r="1516" spans="1:9" hidden="1" x14ac:dyDescent="0.3">
      <c r="A1516" t="s">
        <v>727</v>
      </c>
      <c r="B1516" s="46">
        <v>45394</v>
      </c>
      <c r="C1516" s="45">
        <v>36000</v>
      </c>
      <c r="D1516" t="s">
        <v>2060</v>
      </c>
      <c r="E1516" s="46">
        <v>45428</v>
      </c>
      <c r="F1516" s="45" t="s">
        <v>721</v>
      </c>
      <c r="I1516" t="s">
        <v>726</v>
      </c>
    </row>
    <row r="1517" spans="1:9" hidden="1" x14ac:dyDescent="0.3">
      <c r="A1517" t="s">
        <v>734</v>
      </c>
      <c r="B1517" s="46">
        <v>45383</v>
      </c>
      <c r="C1517" s="45">
        <v>36000</v>
      </c>
      <c r="D1517" t="s">
        <v>994</v>
      </c>
      <c r="E1517" s="46">
        <v>45428</v>
      </c>
      <c r="F1517" s="45" t="s">
        <v>721</v>
      </c>
      <c r="I1517" t="s">
        <v>726</v>
      </c>
    </row>
    <row r="1518" spans="1:9" hidden="1" x14ac:dyDescent="0.3">
      <c r="A1518" t="s">
        <v>772</v>
      </c>
      <c r="B1518" s="46">
        <v>45387</v>
      </c>
      <c r="C1518" s="45">
        <v>36000</v>
      </c>
      <c r="D1518" t="s">
        <v>1041</v>
      </c>
      <c r="E1518" s="46">
        <v>45438</v>
      </c>
      <c r="F1518" s="45" t="s">
        <v>721</v>
      </c>
      <c r="I1518" t="s">
        <v>726</v>
      </c>
    </row>
    <row r="1519" spans="1:9" hidden="1" x14ac:dyDescent="0.3">
      <c r="A1519" t="s">
        <v>772</v>
      </c>
      <c r="B1519" s="46">
        <v>45390</v>
      </c>
      <c r="C1519" s="45">
        <v>36000</v>
      </c>
      <c r="D1519" t="s">
        <v>1215</v>
      </c>
      <c r="E1519" s="46">
        <v>45438</v>
      </c>
      <c r="F1519" s="45" t="s">
        <v>721</v>
      </c>
      <c r="I1519" t="s">
        <v>726</v>
      </c>
    </row>
    <row r="1520" spans="1:9" hidden="1" x14ac:dyDescent="0.3">
      <c r="A1520" t="s">
        <v>772</v>
      </c>
      <c r="B1520" s="46">
        <v>45412</v>
      </c>
      <c r="C1520" s="45">
        <v>36000</v>
      </c>
      <c r="D1520" t="s">
        <v>1011</v>
      </c>
      <c r="E1520" s="46">
        <v>45438</v>
      </c>
      <c r="F1520" s="45" t="s">
        <v>721</v>
      </c>
      <c r="I1520" t="s">
        <v>726</v>
      </c>
    </row>
    <row r="1521" spans="1:9" hidden="1" x14ac:dyDescent="0.3">
      <c r="A1521" t="s">
        <v>772</v>
      </c>
      <c r="B1521" s="46">
        <v>45401</v>
      </c>
      <c r="C1521" s="45">
        <v>36000</v>
      </c>
      <c r="D1521" t="s">
        <v>1082</v>
      </c>
      <c r="E1521" s="46">
        <v>45438</v>
      </c>
      <c r="F1521" s="45" t="s">
        <v>721</v>
      </c>
      <c r="I1521" t="s">
        <v>726</v>
      </c>
    </row>
    <row r="1522" spans="1:9" hidden="1" x14ac:dyDescent="0.3">
      <c r="A1522" t="s">
        <v>821</v>
      </c>
      <c r="B1522" s="46">
        <v>45289</v>
      </c>
      <c r="C1522" s="45">
        <v>36000</v>
      </c>
      <c r="D1522" t="s">
        <v>918</v>
      </c>
      <c r="E1522" s="46">
        <v>45306</v>
      </c>
      <c r="F1522" s="45" t="s">
        <v>721</v>
      </c>
      <c r="I1522" t="s">
        <v>726</v>
      </c>
    </row>
    <row r="1523" spans="1:9" hidden="1" x14ac:dyDescent="0.3">
      <c r="A1523" t="s">
        <v>772</v>
      </c>
      <c r="B1523" s="46">
        <v>45287</v>
      </c>
      <c r="C1523" s="45">
        <v>36000</v>
      </c>
      <c r="D1523" t="s">
        <v>1108</v>
      </c>
      <c r="E1523" s="46">
        <v>45317</v>
      </c>
      <c r="F1523" s="45" t="s">
        <v>721</v>
      </c>
      <c r="I1523" t="s">
        <v>726</v>
      </c>
    </row>
    <row r="1524" spans="1:9" hidden="1" x14ac:dyDescent="0.3">
      <c r="A1524" t="s">
        <v>724</v>
      </c>
      <c r="B1524" s="46">
        <v>45286</v>
      </c>
      <c r="C1524" s="45">
        <v>36000</v>
      </c>
      <c r="D1524" t="s">
        <v>886</v>
      </c>
      <c r="E1524" s="46">
        <v>45317</v>
      </c>
      <c r="F1524" s="45" t="s">
        <v>721</v>
      </c>
      <c r="I1524" t="s">
        <v>726</v>
      </c>
    </row>
    <row r="1525" spans="1:9" hidden="1" x14ac:dyDescent="0.3">
      <c r="A1525" t="s">
        <v>772</v>
      </c>
      <c r="B1525" s="46">
        <v>45286</v>
      </c>
      <c r="C1525" s="45">
        <v>36000</v>
      </c>
      <c r="D1525" t="s">
        <v>989</v>
      </c>
      <c r="E1525" s="46">
        <v>45317</v>
      </c>
      <c r="F1525" s="45" t="s">
        <v>721</v>
      </c>
      <c r="I1525" t="s">
        <v>726</v>
      </c>
    </row>
    <row r="1526" spans="1:9" hidden="1" x14ac:dyDescent="0.3">
      <c r="A1526" t="s">
        <v>772</v>
      </c>
      <c r="B1526" s="46">
        <v>45289</v>
      </c>
      <c r="C1526" s="45">
        <v>36000</v>
      </c>
      <c r="D1526" t="s">
        <v>850</v>
      </c>
      <c r="E1526" s="46">
        <v>45317</v>
      </c>
      <c r="F1526" s="45" t="s">
        <v>721</v>
      </c>
      <c r="I1526" t="s">
        <v>726</v>
      </c>
    </row>
    <row r="1527" spans="1:9" hidden="1" x14ac:dyDescent="0.3">
      <c r="A1527" t="s">
        <v>772</v>
      </c>
      <c r="B1527" s="46">
        <v>45278</v>
      </c>
      <c r="C1527" s="45">
        <v>36000</v>
      </c>
      <c r="D1527" t="s">
        <v>1082</v>
      </c>
      <c r="E1527" s="46">
        <v>45317</v>
      </c>
      <c r="F1527" s="45" t="s">
        <v>721</v>
      </c>
      <c r="I1527" t="s">
        <v>726</v>
      </c>
    </row>
    <row r="1528" spans="1:9" hidden="1" x14ac:dyDescent="0.3">
      <c r="A1528" t="s">
        <v>772</v>
      </c>
      <c r="B1528" s="46">
        <v>45275</v>
      </c>
      <c r="C1528" s="45">
        <v>36000</v>
      </c>
      <c r="D1528" t="s">
        <v>850</v>
      </c>
      <c r="E1528" s="46">
        <v>45317</v>
      </c>
      <c r="F1528" s="45" t="s">
        <v>721</v>
      </c>
      <c r="I1528" t="s">
        <v>726</v>
      </c>
    </row>
    <row r="1529" spans="1:9" hidden="1" x14ac:dyDescent="0.3">
      <c r="A1529" t="s">
        <v>772</v>
      </c>
      <c r="B1529" s="46">
        <v>45273</v>
      </c>
      <c r="C1529" s="45">
        <v>36000</v>
      </c>
      <c r="D1529" t="s">
        <v>1030</v>
      </c>
      <c r="E1529" s="46">
        <v>45317</v>
      </c>
      <c r="F1529" s="45" t="s">
        <v>721</v>
      </c>
      <c r="I1529" t="s">
        <v>726</v>
      </c>
    </row>
    <row r="1530" spans="1:9" hidden="1" x14ac:dyDescent="0.3">
      <c r="A1530" t="s">
        <v>772</v>
      </c>
      <c r="B1530" s="46">
        <v>45264</v>
      </c>
      <c r="C1530" s="45">
        <v>36000</v>
      </c>
      <c r="D1530" t="s">
        <v>1110</v>
      </c>
      <c r="E1530" s="46">
        <v>45317</v>
      </c>
      <c r="F1530" s="45" t="s">
        <v>721</v>
      </c>
      <c r="I1530" t="s">
        <v>726</v>
      </c>
    </row>
    <row r="1531" spans="1:9" hidden="1" x14ac:dyDescent="0.3">
      <c r="A1531" t="s">
        <v>772</v>
      </c>
      <c r="B1531" s="46">
        <v>45266</v>
      </c>
      <c r="C1531" s="45">
        <v>36000</v>
      </c>
      <c r="D1531" t="s">
        <v>1109</v>
      </c>
      <c r="E1531" s="46">
        <v>45317</v>
      </c>
      <c r="F1531" s="45" t="s">
        <v>721</v>
      </c>
      <c r="I1531" t="s">
        <v>726</v>
      </c>
    </row>
    <row r="1532" spans="1:9" hidden="1" x14ac:dyDescent="0.3">
      <c r="A1532" t="s">
        <v>775</v>
      </c>
      <c r="B1532" s="46">
        <v>45287</v>
      </c>
      <c r="C1532" s="45">
        <v>36000</v>
      </c>
      <c r="D1532" t="s">
        <v>1111</v>
      </c>
      <c r="E1532" s="46">
        <v>45307</v>
      </c>
      <c r="F1532" s="45" t="s">
        <v>721</v>
      </c>
      <c r="I1532" t="s">
        <v>726</v>
      </c>
    </row>
    <row r="1533" spans="1:9" hidden="1" x14ac:dyDescent="0.3">
      <c r="A1533" t="s">
        <v>748</v>
      </c>
      <c r="B1533" s="46">
        <v>45289</v>
      </c>
      <c r="C1533" s="45">
        <v>36000</v>
      </c>
      <c r="D1533" t="s">
        <v>850</v>
      </c>
      <c r="E1533" s="46">
        <v>45306</v>
      </c>
      <c r="F1533" s="45" t="s">
        <v>721</v>
      </c>
      <c r="I1533" t="s">
        <v>726</v>
      </c>
    </row>
    <row r="1534" spans="1:9" hidden="1" x14ac:dyDescent="0.3">
      <c r="A1534" t="s">
        <v>772</v>
      </c>
      <c r="B1534" s="46">
        <v>45240</v>
      </c>
      <c r="C1534" s="45">
        <v>36000</v>
      </c>
      <c r="D1534" t="s">
        <v>1015</v>
      </c>
      <c r="E1534" s="46">
        <v>45286</v>
      </c>
      <c r="F1534" s="45" t="s">
        <v>721</v>
      </c>
      <c r="I1534" t="s">
        <v>726</v>
      </c>
    </row>
    <row r="1535" spans="1:9" hidden="1" x14ac:dyDescent="0.3">
      <c r="A1535" t="s">
        <v>772</v>
      </c>
      <c r="B1535" s="46">
        <v>45244</v>
      </c>
      <c r="C1535" s="45">
        <v>36000</v>
      </c>
      <c r="D1535" t="s">
        <v>1108</v>
      </c>
      <c r="E1535" s="46">
        <v>45286</v>
      </c>
      <c r="F1535" s="45" t="s">
        <v>721</v>
      </c>
      <c r="I1535" t="s">
        <v>726</v>
      </c>
    </row>
    <row r="1536" spans="1:9" hidden="1" x14ac:dyDescent="0.3">
      <c r="A1536" t="s">
        <v>772</v>
      </c>
      <c r="B1536" s="46">
        <v>45243</v>
      </c>
      <c r="C1536" s="45">
        <v>36000</v>
      </c>
      <c r="D1536" t="s">
        <v>850</v>
      </c>
      <c r="E1536" s="46">
        <v>45286</v>
      </c>
      <c r="F1536" s="45" t="s">
        <v>721</v>
      </c>
      <c r="I1536" t="s">
        <v>726</v>
      </c>
    </row>
    <row r="1537" spans="1:9" hidden="1" x14ac:dyDescent="0.3">
      <c r="A1537" t="s">
        <v>772</v>
      </c>
      <c r="B1537" s="46">
        <v>45252</v>
      </c>
      <c r="C1537" s="45">
        <v>36000</v>
      </c>
      <c r="D1537" t="s">
        <v>969</v>
      </c>
      <c r="E1537" s="46">
        <v>45286</v>
      </c>
      <c r="F1537" s="45" t="s">
        <v>721</v>
      </c>
      <c r="I1537" t="s">
        <v>726</v>
      </c>
    </row>
    <row r="1538" spans="1:9" hidden="1" x14ac:dyDescent="0.3">
      <c r="A1538" t="s">
        <v>772</v>
      </c>
      <c r="B1538" s="46">
        <v>45247</v>
      </c>
      <c r="C1538" s="45">
        <v>36000</v>
      </c>
      <c r="D1538" t="s">
        <v>755</v>
      </c>
      <c r="E1538" s="46">
        <v>45286</v>
      </c>
      <c r="F1538" s="45" t="s">
        <v>721</v>
      </c>
      <c r="I1538" t="s">
        <v>726</v>
      </c>
    </row>
    <row r="1539" spans="1:9" hidden="1" x14ac:dyDescent="0.3">
      <c r="A1539" t="s">
        <v>772</v>
      </c>
      <c r="B1539" s="46">
        <v>45251</v>
      </c>
      <c r="C1539" s="45">
        <v>36000</v>
      </c>
      <c r="D1539" t="s">
        <v>989</v>
      </c>
      <c r="E1539" s="46">
        <v>45286</v>
      </c>
      <c r="F1539" s="45" t="s">
        <v>721</v>
      </c>
      <c r="I1539" t="s">
        <v>726</v>
      </c>
    </row>
    <row r="1540" spans="1:9" hidden="1" x14ac:dyDescent="0.3">
      <c r="A1540" t="s">
        <v>772</v>
      </c>
      <c r="B1540" s="46">
        <v>45237</v>
      </c>
      <c r="C1540" s="45">
        <v>36000</v>
      </c>
      <c r="D1540" t="s">
        <v>791</v>
      </c>
      <c r="E1540" s="46">
        <v>45286</v>
      </c>
      <c r="F1540" s="45" t="s">
        <v>721</v>
      </c>
      <c r="I1540" t="s">
        <v>726</v>
      </c>
    </row>
    <row r="1541" spans="1:9" hidden="1" x14ac:dyDescent="0.3">
      <c r="A1541" t="s">
        <v>724</v>
      </c>
      <c r="B1541" s="46">
        <v>45236</v>
      </c>
      <c r="C1541" s="45">
        <v>36000</v>
      </c>
      <c r="D1541" t="s">
        <v>1012</v>
      </c>
      <c r="E1541" s="46">
        <v>45286</v>
      </c>
      <c r="F1541" s="45" t="s">
        <v>721</v>
      </c>
      <c r="I1541" t="s">
        <v>726</v>
      </c>
    </row>
    <row r="1542" spans="1:9" hidden="1" x14ac:dyDescent="0.3">
      <c r="A1542" t="s">
        <v>772</v>
      </c>
      <c r="B1542" s="46">
        <v>45217</v>
      </c>
      <c r="C1542" s="45">
        <v>36000</v>
      </c>
      <c r="D1542" t="s">
        <v>1108</v>
      </c>
      <c r="E1542" s="46">
        <v>45256</v>
      </c>
      <c r="F1542" s="45" t="s">
        <v>721</v>
      </c>
      <c r="I1542" t="s">
        <v>726</v>
      </c>
    </row>
    <row r="1543" spans="1:9" hidden="1" x14ac:dyDescent="0.3">
      <c r="A1543" t="s">
        <v>772</v>
      </c>
      <c r="B1543" s="46">
        <v>45215</v>
      </c>
      <c r="C1543" s="45">
        <v>36000</v>
      </c>
      <c r="D1543" t="s">
        <v>850</v>
      </c>
      <c r="E1543" s="46">
        <v>45256</v>
      </c>
      <c r="F1543" s="45" t="s">
        <v>721</v>
      </c>
      <c r="I1543" t="s">
        <v>726</v>
      </c>
    </row>
    <row r="1544" spans="1:9" hidden="1" x14ac:dyDescent="0.3">
      <c r="A1544" t="s">
        <v>772</v>
      </c>
      <c r="B1544" s="46">
        <v>45222</v>
      </c>
      <c r="C1544" s="45">
        <v>36000</v>
      </c>
      <c r="D1544" t="s">
        <v>1041</v>
      </c>
      <c r="E1544" s="46">
        <v>45256</v>
      </c>
      <c r="F1544" s="45" t="s">
        <v>721</v>
      </c>
      <c r="I1544" t="s">
        <v>726</v>
      </c>
    </row>
    <row r="1545" spans="1:9" hidden="1" x14ac:dyDescent="0.3">
      <c r="A1545" t="s">
        <v>724</v>
      </c>
      <c r="B1545" s="46">
        <v>45229</v>
      </c>
      <c r="C1545" s="45">
        <v>36000</v>
      </c>
      <c r="D1545" t="s">
        <v>1003</v>
      </c>
      <c r="E1545" s="46">
        <v>45256</v>
      </c>
      <c r="F1545" s="45" t="s">
        <v>721</v>
      </c>
      <c r="I1545" t="s">
        <v>726</v>
      </c>
    </row>
    <row r="1546" spans="1:9" hidden="1" x14ac:dyDescent="0.3">
      <c r="A1546" t="s">
        <v>772</v>
      </c>
      <c r="B1546" s="46">
        <v>45229</v>
      </c>
      <c r="C1546" s="45">
        <v>36000</v>
      </c>
      <c r="D1546" t="s">
        <v>1082</v>
      </c>
      <c r="E1546" s="46">
        <v>45256</v>
      </c>
      <c r="F1546" s="45" t="s">
        <v>721</v>
      </c>
      <c r="I1546" t="s">
        <v>726</v>
      </c>
    </row>
    <row r="1547" spans="1:9" hidden="1" x14ac:dyDescent="0.3">
      <c r="A1547" t="s">
        <v>772</v>
      </c>
      <c r="B1547" s="46">
        <v>45233</v>
      </c>
      <c r="C1547" s="45">
        <v>36000</v>
      </c>
      <c r="D1547" t="s">
        <v>928</v>
      </c>
      <c r="E1547" s="46">
        <v>45256</v>
      </c>
      <c r="F1547" s="45" t="s">
        <v>721</v>
      </c>
      <c r="I1547" t="s">
        <v>726</v>
      </c>
    </row>
    <row r="1548" spans="1:9" hidden="1" x14ac:dyDescent="0.3">
      <c r="A1548" t="s">
        <v>821</v>
      </c>
      <c r="B1548" s="46">
        <v>45222</v>
      </c>
      <c r="C1548" s="45">
        <v>36000</v>
      </c>
      <c r="D1548" t="s">
        <v>918</v>
      </c>
      <c r="E1548" s="46">
        <v>45245</v>
      </c>
      <c r="F1548" s="45" t="s">
        <v>721</v>
      </c>
      <c r="I1548" t="s">
        <v>726</v>
      </c>
    </row>
    <row r="1549" spans="1:9" hidden="1" x14ac:dyDescent="0.3">
      <c r="A1549" t="s">
        <v>772</v>
      </c>
      <c r="B1549" s="46">
        <v>45254</v>
      </c>
      <c r="C1549" s="45">
        <v>36000</v>
      </c>
      <c r="D1549" t="s">
        <v>1082</v>
      </c>
      <c r="E1549" s="46">
        <v>45286</v>
      </c>
      <c r="F1549" s="45" t="s">
        <v>721</v>
      </c>
      <c r="I1549" t="s">
        <v>726</v>
      </c>
    </row>
    <row r="1550" spans="1:9" hidden="1" x14ac:dyDescent="0.3">
      <c r="A1550" t="s">
        <v>767</v>
      </c>
      <c r="B1550" s="46">
        <v>45233</v>
      </c>
      <c r="C1550" s="45">
        <v>36000</v>
      </c>
      <c r="D1550" t="s">
        <v>850</v>
      </c>
      <c r="E1550" s="46">
        <v>45275</v>
      </c>
      <c r="F1550" s="45" t="s">
        <v>721</v>
      </c>
      <c r="I1550" t="s">
        <v>726</v>
      </c>
    </row>
    <row r="1551" spans="1:9" hidden="1" x14ac:dyDescent="0.3">
      <c r="A1551" t="s">
        <v>767</v>
      </c>
      <c r="B1551" s="46">
        <v>45240</v>
      </c>
      <c r="C1551" s="45">
        <v>36000</v>
      </c>
      <c r="D1551" t="s">
        <v>850</v>
      </c>
      <c r="E1551" s="46">
        <v>45275</v>
      </c>
      <c r="F1551" s="45" t="s">
        <v>721</v>
      </c>
      <c r="I1551" t="s">
        <v>726</v>
      </c>
    </row>
    <row r="1552" spans="1:9" hidden="1" x14ac:dyDescent="0.3">
      <c r="A1552" t="s">
        <v>821</v>
      </c>
      <c r="B1552" s="46">
        <v>45240</v>
      </c>
      <c r="C1552" s="45">
        <v>36000</v>
      </c>
      <c r="D1552" t="s">
        <v>1116</v>
      </c>
      <c r="E1552" s="46">
        <v>45275</v>
      </c>
      <c r="F1552" s="45" t="s">
        <v>721</v>
      </c>
      <c r="I1552" t="s">
        <v>726</v>
      </c>
    </row>
    <row r="1553" spans="1:9" hidden="1" x14ac:dyDescent="0.3">
      <c r="A1553" t="s">
        <v>772</v>
      </c>
      <c r="B1553" s="46">
        <v>45209</v>
      </c>
      <c r="C1553" s="45">
        <v>36000</v>
      </c>
      <c r="D1553" t="s">
        <v>989</v>
      </c>
      <c r="E1553" s="46">
        <v>45256</v>
      </c>
      <c r="F1553" s="45" t="s">
        <v>721</v>
      </c>
      <c r="I1553" t="s">
        <v>726</v>
      </c>
    </row>
    <row r="1554" spans="1:9" hidden="1" x14ac:dyDescent="0.3">
      <c r="A1554" t="s">
        <v>724</v>
      </c>
      <c r="B1554" s="46">
        <v>45146</v>
      </c>
      <c r="C1554" s="45">
        <v>36000</v>
      </c>
      <c r="D1554" t="s">
        <v>1003</v>
      </c>
      <c r="E1554" s="46">
        <v>45195</v>
      </c>
      <c r="F1554" s="45" t="s">
        <v>721</v>
      </c>
      <c r="I1554" t="s">
        <v>726</v>
      </c>
    </row>
    <row r="1555" spans="1:9" hidden="1" x14ac:dyDescent="0.3">
      <c r="A1555" t="s">
        <v>772</v>
      </c>
      <c r="B1555" s="46">
        <v>45147</v>
      </c>
      <c r="C1555" s="45">
        <v>36000</v>
      </c>
      <c r="D1555" t="s">
        <v>1109</v>
      </c>
      <c r="E1555" s="46">
        <v>45195</v>
      </c>
      <c r="F1555" s="45" t="s">
        <v>721</v>
      </c>
      <c r="I1555" t="s">
        <v>726</v>
      </c>
    </row>
    <row r="1556" spans="1:9" hidden="1" x14ac:dyDescent="0.3">
      <c r="A1556" t="s">
        <v>724</v>
      </c>
      <c r="B1556" s="46">
        <v>45147</v>
      </c>
      <c r="C1556" s="45">
        <v>36000</v>
      </c>
      <c r="D1556" t="s">
        <v>1109</v>
      </c>
      <c r="E1556" s="46">
        <v>45195</v>
      </c>
      <c r="F1556" s="45" t="s">
        <v>721</v>
      </c>
      <c r="I1556" t="s">
        <v>726</v>
      </c>
    </row>
    <row r="1557" spans="1:9" hidden="1" x14ac:dyDescent="0.3">
      <c r="A1557" t="s">
        <v>772</v>
      </c>
      <c r="B1557" s="46">
        <v>45145</v>
      </c>
      <c r="C1557" s="45">
        <v>36000</v>
      </c>
      <c r="D1557" t="s">
        <v>1041</v>
      </c>
      <c r="E1557" s="46">
        <v>45195</v>
      </c>
      <c r="F1557" s="45" t="s">
        <v>721</v>
      </c>
      <c r="I1557" t="s">
        <v>726</v>
      </c>
    </row>
    <row r="1558" spans="1:9" hidden="1" x14ac:dyDescent="0.3">
      <c r="A1558" t="s">
        <v>772</v>
      </c>
      <c r="B1558" s="46">
        <v>45149</v>
      </c>
      <c r="C1558" s="45">
        <v>36000</v>
      </c>
      <c r="D1558" t="s">
        <v>878</v>
      </c>
      <c r="E1558" s="46">
        <v>45195</v>
      </c>
      <c r="F1558" s="45" t="s">
        <v>721</v>
      </c>
      <c r="I1558" t="s">
        <v>726</v>
      </c>
    </row>
    <row r="1559" spans="1:9" hidden="1" x14ac:dyDescent="0.3">
      <c r="A1559" t="s">
        <v>772</v>
      </c>
      <c r="B1559" s="46">
        <v>45152</v>
      </c>
      <c r="C1559" s="45">
        <v>36000</v>
      </c>
      <c r="D1559" t="s">
        <v>850</v>
      </c>
      <c r="E1559" s="46">
        <v>45195</v>
      </c>
      <c r="F1559" s="45" t="s">
        <v>721</v>
      </c>
      <c r="I1559" t="s">
        <v>726</v>
      </c>
    </row>
    <row r="1560" spans="1:9" hidden="1" x14ac:dyDescent="0.3">
      <c r="A1560" t="s">
        <v>772</v>
      </c>
      <c r="B1560" s="46">
        <v>45142</v>
      </c>
      <c r="C1560" s="45">
        <v>36000</v>
      </c>
      <c r="D1560" t="s">
        <v>977</v>
      </c>
      <c r="E1560" s="46">
        <v>45195</v>
      </c>
      <c r="F1560" s="45" t="s">
        <v>721</v>
      </c>
      <c r="I1560" t="s">
        <v>726</v>
      </c>
    </row>
    <row r="1561" spans="1:9" hidden="1" x14ac:dyDescent="0.3">
      <c r="A1561" t="s">
        <v>724</v>
      </c>
      <c r="B1561" s="46">
        <v>45156</v>
      </c>
      <c r="C1561" s="45">
        <v>36000</v>
      </c>
      <c r="D1561" t="s">
        <v>1003</v>
      </c>
      <c r="E1561" s="46">
        <v>45195</v>
      </c>
      <c r="F1561" s="45" t="s">
        <v>721</v>
      </c>
      <c r="I1561" t="s">
        <v>726</v>
      </c>
    </row>
    <row r="1562" spans="1:9" hidden="1" x14ac:dyDescent="0.3">
      <c r="A1562" t="s">
        <v>772</v>
      </c>
      <c r="B1562" s="46">
        <v>45154</v>
      </c>
      <c r="C1562" s="45">
        <v>36000</v>
      </c>
      <c r="D1562" t="s">
        <v>1108</v>
      </c>
      <c r="E1562" s="46">
        <v>45195</v>
      </c>
      <c r="F1562" s="45" t="s">
        <v>721</v>
      </c>
      <c r="I1562" t="s">
        <v>726</v>
      </c>
    </row>
    <row r="1563" spans="1:9" hidden="1" x14ac:dyDescent="0.3">
      <c r="A1563" t="s">
        <v>772</v>
      </c>
      <c r="B1563" s="46">
        <v>45159</v>
      </c>
      <c r="C1563" s="45">
        <v>36000</v>
      </c>
      <c r="D1563" t="s">
        <v>933</v>
      </c>
      <c r="E1563" s="46">
        <v>45195</v>
      </c>
      <c r="F1563" s="45" t="s">
        <v>721</v>
      </c>
      <c r="I1563" t="s">
        <v>726</v>
      </c>
    </row>
    <row r="1564" spans="1:9" hidden="1" x14ac:dyDescent="0.3">
      <c r="A1564" t="s">
        <v>724</v>
      </c>
      <c r="B1564" s="46">
        <v>45163</v>
      </c>
      <c r="C1564" s="45">
        <v>36000</v>
      </c>
      <c r="D1564" t="s">
        <v>1003</v>
      </c>
      <c r="E1564" s="46">
        <v>45195</v>
      </c>
      <c r="F1564" s="45" t="s">
        <v>721</v>
      </c>
      <c r="I1564" t="s">
        <v>726</v>
      </c>
    </row>
    <row r="1565" spans="1:9" hidden="1" x14ac:dyDescent="0.3">
      <c r="A1565" t="s">
        <v>772</v>
      </c>
      <c r="B1565" s="46">
        <v>45163</v>
      </c>
      <c r="C1565" s="45">
        <v>36000</v>
      </c>
      <c r="D1565" t="s">
        <v>755</v>
      </c>
      <c r="E1565" s="46">
        <v>45195</v>
      </c>
      <c r="F1565" s="45" t="s">
        <v>721</v>
      </c>
      <c r="I1565" t="s">
        <v>726</v>
      </c>
    </row>
    <row r="1566" spans="1:9" hidden="1" x14ac:dyDescent="0.3">
      <c r="A1566" t="s">
        <v>772</v>
      </c>
      <c r="B1566" s="46">
        <v>45166</v>
      </c>
      <c r="C1566" s="45">
        <v>36000</v>
      </c>
      <c r="D1566" t="s">
        <v>1012</v>
      </c>
      <c r="E1566" s="46">
        <v>45195</v>
      </c>
      <c r="F1566" s="45" t="s">
        <v>721</v>
      </c>
      <c r="I1566" t="s">
        <v>726</v>
      </c>
    </row>
    <row r="1567" spans="1:9" hidden="1" x14ac:dyDescent="0.3">
      <c r="A1567" t="s">
        <v>727</v>
      </c>
      <c r="B1567" s="46">
        <v>45184</v>
      </c>
      <c r="C1567" s="45">
        <v>36000</v>
      </c>
      <c r="D1567" t="s">
        <v>1095</v>
      </c>
      <c r="E1567" s="46">
        <v>45215</v>
      </c>
      <c r="F1567" s="45" t="s">
        <v>721</v>
      </c>
      <c r="I1567" t="s">
        <v>726</v>
      </c>
    </row>
    <row r="1568" spans="1:9" hidden="1" x14ac:dyDescent="0.3">
      <c r="A1568" t="s">
        <v>748</v>
      </c>
      <c r="B1568" s="46">
        <v>45188</v>
      </c>
      <c r="C1568" s="45">
        <v>36000</v>
      </c>
      <c r="D1568" t="s">
        <v>946</v>
      </c>
      <c r="E1568" s="46">
        <v>45215</v>
      </c>
      <c r="F1568" s="45" t="s">
        <v>721</v>
      </c>
      <c r="I1568" t="s">
        <v>726</v>
      </c>
    </row>
    <row r="1569" spans="1:9" hidden="1" x14ac:dyDescent="0.3">
      <c r="A1569" t="s">
        <v>772</v>
      </c>
      <c r="B1569" s="46">
        <v>45173</v>
      </c>
      <c r="C1569" s="45">
        <v>36000</v>
      </c>
      <c r="D1569" t="s">
        <v>1115</v>
      </c>
      <c r="E1569" s="46">
        <v>45225</v>
      </c>
      <c r="F1569" s="45" t="s">
        <v>721</v>
      </c>
      <c r="I1569" t="s">
        <v>726</v>
      </c>
    </row>
    <row r="1570" spans="1:9" hidden="1" x14ac:dyDescent="0.3">
      <c r="A1570" t="s">
        <v>779</v>
      </c>
      <c r="B1570" s="46">
        <v>45182</v>
      </c>
      <c r="C1570" s="45">
        <v>36000</v>
      </c>
      <c r="D1570" t="s">
        <v>1094</v>
      </c>
      <c r="E1570" s="46">
        <v>45215</v>
      </c>
      <c r="F1570" s="45" t="s">
        <v>721</v>
      </c>
      <c r="I1570" t="s">
        <v>726</v>
      </c>
    </row>
    <row r="1571" spans="1:9" hidden="1" x14ac:dyDescent="0.3">
      <c r="A1571" t="s">
        <v>748</v>
      </c>
      <c r="B1571" s="46">
        <v>45210</v>
      </c>
      <c r="C1571" s="45">
        <v>36000</v>
      </c>
      <c r="D1571" t="s">
        <v>850</v>
      </c>
      <c r="E1571" s="46">
        <v>45245</v>
      </c>
      <c r="F1571" s="45" t="s">
        <v>721</v>
      </c>
      <c r="I1571" t="s">
        <v>726</v>
      </c>
    </row>
    <row r="1572" spans="1:9" hidden="1" x14ac:dyDescent="0.3">
      <c r="A1572" t="s">
        <v>772</v>
      </c>
      <c r="B1572" s="46">
        <v>45184</v>
      </c>
      <c r="C1572" s="45">
        <v>36000</v>
      </c>
      <c r="D1572" t="s">
        <v>1082</v>
      </c>
      <c r="E1572" s="46">
        <v>45225</v>
      </c>
      <c r="F1572" s="45" t="s">
        <v>721</v>
      </c>
      <c r="I1572" t="s">
        <v>726</v>
      </c>
    </row>
    <row r="1573" spans="1:9" hidden="1" x14ac:dyDescent="0.3">
      <c r="A1573" t="s">
        <v>772</v>
      </c>
      <c r="B1573" s="46">
        <v>45180</v>
      </c>
      <c r="C1573" s="45">
        <v>36000</v>
      </c>
      <c r="D1573" t="s">
        <v>1108</v>
      </c>
      <c r="E1573" s="46">
        <v>45225</v>
      </c>
      <c r="F1573" s="45" t="s">
        <v>721</v>
      </c>
      <c r="I1573" t="s">
        <v>726</v>
      </c>
    </row>
    <row r="1574" spans="1:9" hidden="1" x14ac:dyDescent="0.3">
      <c r="A1574" t="s">
        <v>772</v>
      </c>
      <c r="B1574" s="46">
        <v>45174</v>
      </c>
      <c r="C1574" s="45">
        <v>36000</v>
      </c>
      <c r="D1574" t="s">
        <v>1098</v>
      </c>
      <c r="E1574" s="46">
        <v>45225</v>
      </c>
      <c r="F1574" s="45" t="s">
        <v>721</v>
      </c>
      <c r="I1574" t="s">
        <v>726</v>
      </c>
    </row>
    <row r="1575" spans="1:9" hidden="1" x14ac:dyDescent="0.3">
      <c r="A1575" t="s">
        <v>767</v>
      </c>
      <c r="B1575" s="46">
        <v>45182</v>
      </c>
      <c r="C1575" s="45">
        <v>36000</v>
      </c>
      <c r="D1575" t="s">
        <v>850</v>
      </c>
      <c r="E1575" s="46">
        <v>45215</v>
      </c>
      <c r="F1575" s="45" t="s">
        <v>721</v>
      </c>
      <c r="I1575" t="s">
        <v>726</v>
      </c>
    </row>
    <row r="1576" spans="1:9" hidden="1" x14ac:dyDescent="0.3">
      <c r="A1576" t="s">
        <v>772</v>
      </c>
      <c r="B1576" s="46">
        <v>45187</v>
      </c>
      <c r="C1576" s="45">
        <v>36000</v>
      </c>
      <c r="D1576" t="s">
        <v>1114</v>
      </c>
      <c r="E1576" s="46">
        <v>45225</v>
      </c>
      <c r="F1576" s="45" t="s">
        <v>721</v>
      </c>
      <c r="I1576" t="s">
        <v>726</v>
      </c>
    </row>
    <row r="1577" spans="1:9" hidden="1" x14ac:dyDescent="0.3">
      <c r="A1577" t="s">
        <v>724</v>
      </c>
      <c r="B1577" s="46">
        <v>45188</v>
      </c>
      <c r="C1577" s="45">
        <v>36000</v>
      </c>
      <c r="D1577" t="s">
        <v>1003</v>
      </c>
      <c r="E1577" s="46">
        <v>45225</v>
      </c>
      <c r="F1577" s="45" t="s">
        <v>721</v>
      </c>
      <c r="I1577" t="s">
        <v>726</v>
      </c>
    </row>
    <row r="1578" spans="1:9" hidden="1" x14ac:dyDescent="0.3">
      <c r="A1578" t="s">
        <v>767</v>
      </c>
      <c r="B1578" s="46">
        <v>45160</v>
      </c>
      <c r="C1578" s="45">
        <v>36000</v>
      </c>
      <c r="D1578" t="s">
        <v>850</v>
      </c>
      <c r="E1578" s="46">
        <v>45184</v>
      </c>
      <c r="F1578" s="45" t="s">
        <v>721</v>
      </c>
      <c r="I1578" t="s">
        <v>726</v>
      </c>
    </row>
    <row r="1579" spans="1:9" hidden="1" x14ac:dyDescent="0.3">
      <c r="A1579" t="s">
        <v>767</v>
      </c>
      <c r="B1579" s="46">
        <v>45149</v>
      </c>
      <c r="C1579" s="45">
        <v>36000</v>
      </c>
      <c r="D1579" t="s">
        <v>850</v>
      </c>
      <c r="E1579" s="46">
        <v>45184</v>
      </c>
      <c r="F1579" s="45" t="s">
        <v>721</v>
      </c>
      <c r="I1579" t="s">
        <v>726</v>
      </c>
    </row>
    <row r="1580" spans="1:9" hidden="1" x14ac:dyDescent="0.3">
      <c r="A1580" t="s">
        <v>821</v>
      </c>
      <c r="B1580" s="46">
        <v>45161</v>
      </c>
      <c r="C1580" s="45">
        <v>36000</v>
      </c>
      <c r="D1580" t="s">
        <v>850</v>
      </c>
      <c r="E1580" s="46">
        <v>45184</v>
      </c>
      <c r="F1580" s="45" t="s">
        <v>721</v>
      </c>
      <c r="I1580" t="s">
        <v>726</v>
      </c>
    </row>
    <row r="1581" spans="1:9" hidden="1" x14ac:dyDescent="0.3">
      <c r="A1581" t="s">
        <v>821</v>
      </c>
      <c r="B1581" s="46">
        <v>45163</v>
      </c>
      <c r="C1581" s="45">
        <v>36000</v>
      </c>
      <c r="D1581" t="s">
        <v>1118</v>
      </c>
      <c r="E1581" s="46">
        <v>45184</v>
      </c>
      <c r="F1581" s="45" t="s">
        <v>721</v>
      </c>
      <c r="I1581" t="s">
        <v>726</v>
      </c>
    </row>
    <row r="1582" spans="1:9" hidden="1" x14ac:dyDescent="0.3">
      <c r="A1582" t="s">
        <v>727</v>
      </c>
      <c r="B1582" s="46">
        <v>45142</v>
      </c>
      <c r="C1582" s="45">
        <v>36000</v>
      </c>
      <c r="D1582" t="s">
        <v>985</v>
      </c>
      <c r="E1582" s="46">
        <v>45184</v>
      </c>
      <c r="F1582" s="45" t="s">
        <v>721</v>
      </c>
      <c r="I1582" t="s">
        <v>726</v>
      </c>
    </row>
    <row r="1583" spans="1:9" hidden="1" x14ac:dyDescent="0.3">
      <c r="A1583" t="s">
        <v>729</v>
      </c>
      <c r="B1583" s="46">
        <v>45139</v>
      </c>
      <c r="C1583" s="45">
        <v>36000</v>
      </c>
      <c r="D1583" t="s">
        <v>850</v>
      </c>
      <c r="E1583" s="46">
        <v>45184</v>
      </c>
      <c r="F1583" s="45" t="s">
        <v>721</v>
      </c>
      <c r="I1583" t="s">
        <v>726</v>
      </c>
    </row>
    <row r="1584" spans="1:9" hidden="1" x14ac:dyDescent="0.3">
      <c r="A1584" t="s">
        <v>734</v>
      </c>
      <c r="B1584" s="46">
        <v>45154</v>
      </c>
      <c r="C1584" s="45">
        <v>36000</v>
      </c>
      <c r="D1584" t="s">
        <v>998</v>
      </c>
      <c r="E1584" s="46">
        <v>45184</v>
      </c>
      <c r="F1584" s="45" t="s">
        <v>721</v>
      </c>
      <c r="I1584" t="s">
        <v>726</v>
      </c>
    </row>
    <row r="1585" spans="1:9" hidden="1" x14ac:dyDescent="0.3">
      <c r="A1585" t="s">
        <v>772</v>
      </c>
      <c r="B1585" s="46">
        <v>45118</v>
      </c>
      <c r="C1585" s="45">
        <v>36000</v>
      </c>
      <c r="D1585" t="s">
        <v>1095</v>
      </c>
      <c r="E1585" s="46">
        <v>45164</v>
      </c>
      <c r="F1585" s="45" t="s">
        <v>721</v>
      </c>
      <c r="I1585" t="s">
        <v>726</v>
      </c>
    </row>
    <row r="1586" spans="1:9" hidden="1" x14ac:dyDescent="0.3">
      <c r="A1586" t="s">
        <v>772</v>
      </c>
      <c r="B1586" s="46">
        <v>45125</v>
      </c>
      <c r="C1586" s="45">
        <v>36000</v>
      </c>
      <c r="D1586" t="s">
        <v>878</v>
      </c>
      <c r="E1586" s="46">
        <v>45164</v>
      </c>
      <c r="F1586" s="45" t="s">
        <v>721</v>
      </c>
      <c r="I1586" t="s">
        <v>726</v>
      </c>
    </row>
    <row r="1587" spans="1:9" hidden="1" x14ac:dyDescent="0.3">
      <c r="A1587" t="s">
        <v>772</v>
      </c>
      <c r="B1587" s="46">
        <v>45124</v>
      </c>
      <c r="C1587" s="45">
        <v>36000</v>
      </c>
      <c r="D1587" t="s">
        <v>850</v>
      </c>
      <c r="E1587" s="46">
        <v>45164</v>
      </c>
      <c r="F1587" s="45" t="s">
        <v>721</v>
      </c>
      <c r="I1587" t="s">
        <v>726</v>
      </c>
    </row>
    <row r="1588" spans="1:9" hidden="1" x14ac:dyDescent="0.3">
      <c r="A1588" t="s">
        <v>772</v>
      </c>
      <c r="B1588" s="46">
        <v>45121</v>
      </c>
      <c r="C1588" s="45">
        <v>36000</v>
      </c>
      <c r="D1588" t="s">
        <v>939</v>
      </c>
      <c r="E1588" s="46">
        <v>45164</v>
      </c>
      <c r="F1588" s="45" t="s">
        <v>721</v>
      </c>
      <c r="I1588" t="s">
        <v>726</v>
      </c>
    </row>
    <row r="1589" spans="1:9" hidden="1" x14ac:dyDescent="0.3">
      <c r="A1589" t="s">
        <v>767</v>
      </c>
      <c r="B1589" s="46">
        <v>45133</v>
      </c>
      <c r="C1589" s="45">
        <v>36000</v>
      </c>
      <c r="D1589" t="s">
        <v>850</v>
      </c>
      <c r="E1589" s="46">
        <v>45154</v>
      </c>
      <c r="F1589" s="45" t="s">
        <v>721</v>
      </c>
      <c r="I1589" t="s">
        <v>726</v>
      </c>
    </row>
    <row r="1590" spans="1:9" hidden="1" x14ac:dyDescent="0.3">
      <c r="A1590" t="s">
        <v>772</v>
      </c>
      <c r="B1590" s="46">
        <v>45126</v>
      </c>
      <c r="C1590" s="45">
        <v>36000</v>
      </c>
      <c r="D1590" t="s">
        <v>1120</v>
      </c>
      <c r="E1590" s="46">
        <v>45164</v>
      </c>
      <c r="F1590" s="45" t="s">
        <v>721</v>
      </c>
      <c r="I1590" t="s">
        <v>726</v>
      </c>
    </row>
    <row r="1591" spans="1:9" hidden="1" x14ac:dyDescent="0.3">
      <c r="A1591" t="s">
        <v>772</v>
      </c>
      <c r="B1591" s="46">
        <v>45138</v>
      </c>
      <c r="C1591" s="45">
        <v>36000</v>
      </c>
      <c r="D1591" t="s">
        <v>850</v>
      </c>
      <c r="E1591" s="46">
        <v>45164</v>
      </c>
      <c r="F1591" s="45" t="s">
        <v>721</v>
      </c>
      <c r="I1591" t="s">
        <v>726</v>
      </c>
    </row>
    <row r="1592" spans="1:9" hidden="1" x14ac:dyDescent="0.3">
      <c r="A1592" t="s">
        <v>734</v>
      </c>
      <c r="B1592" s="46">
        <v>45118</v>
      </c>
      <c r="C1592" s="45">
        <v>36000</v>
      </c>
      <c r="D1592" t="s">
        <v>1054</v>
      </c>
      <c r="E1592" s="46">
        <v>45154</v>
      </c>
      <c r="F1592" s="45" t="s">
        <v>721</v>
      </c>
      <c r="I1592" t="s">
        <v>726</v>
      </c>
    </row>
    <row r="1593" spans="1:9" hidden="1" x14ac:dyDescent="0.3">
      <c r="A1593" t="s">
        <v>727</v>
      </c>
      <c r="B1593" s="46">
        <v>45135</v>
      </c>
      <c r="C1593" s="45">
        <v>36000</v>
      </c>
      <c r="D1593" t="s">
        <v>1095</v>
      </c>
      <c r="E1593" s="46">
        <v>45154</v>
      </c>
      <c r="F1593" s="45" t="s">
        <v>721</v>
      </c>
      <c r="I1593" t="s">
        <v>726</v>
      </c>
    </row>
    <row r="1594" spans="1:9" hidden="1" x14ac:dyDescent="0.3">
      <c r="A1594" t="s">
        <v>821</v>
      </c>
      <c r="B1594" s="46">
        <v>45119</v>
      </c>
      <c r="C1594" s="45">
        <v>36000</v>
      </c>
      <c r="D1594" t="s">
        <v>1116</v>
      </c>
      <c r="E1594" s="46">
        <v>45154</v>
      </c>
      <c r="F1594" s="45" t="s">
        <v>721</v>
      </c>
      <c r="I1594" t="s">
        <v>726</v>
      </c>
    </row>
    <row r="1595" spans="1:9" hidden="1" x14ac:dyDescent="0.3">
      <c r="A1595" t="s">
        <v>821</v>
      </c>
      <c r="B1595" s="46">
        <v>45160</v>
      </c>
      <c r="C1595" s="45">
        <v>35900</v>
      </c>
      <c r="D1595" t="s">
        <v>1122</v>
      </c>
      <c r="E1595" s="46">
        <v>45184</v>
      </c>
      <c r="F1595" s="45" t="s">
        <v>721</v>
      </c>
      <c r="I1595" t="s">
        <v>726</v>
      </c>
    </row>
    <row r="1596" spans="1:9" hidden="1" x14ac:dyDescent="0.3">
      <c r="A1596" t="s">
        <v>748</v>
      </c>
      <c r="B1596" s="46">
        <v>45189</v>
      </c>
      <c r="C1596" s="45">
        <v>35900</v>
      </c>
      <c r="D1596" t="s">
        <v>1124</v>
      </c>
      <c r="E1596" s="46">
        <v>45215</v>
      </c>
      <c r="F1596" s="45" t="s">
        <v>721</v>
      </c>
      <c r="I1596" t="s">
        <v>726</v>
      </c>
    </row>
    <row r="1597" spans="1:9" hidden="1" x14ac:dyDescent="0.3">
      <c r="A1597" t="s">
        <v>821</v>
      </c>
      <c r="B1597" s="46">
        <v>45251</v>
      </c>
      <c r="C1597" s="45">
        <v>35900</v>
      </c>
      <c r="D1597" t="s">
        <v>987</v>
      </c>
      <c r="E1597" s="46">
        <v>45275</v>
      </c>
      <c r="F1597" s="45" t="s">
        <v>721</v>
      </c>
      <c r="I1597" t="s">
        <v>726</v>
      </c>
    </row>
    <row r="1598" spans="1:9" hidden="1" x14ac:dyDescent="0.3">
      <c r="A1598" t="s">
        <v>772</v>
      </c>
      <c r="B1598" s="46">
        <v>45258</v>
      </c>
      <c r="C1598" s="45">
        <v>35900</v>
      </c>
      <c r="D1598" t="s">
        <v>1123</v>
      </c>
      <c r="E1598" s="46">
        <v>45286</v>
      </c>
      <c r="F1598" s="45" t="s">
        <v>721</v>
      </c>
      <c r="I1598" t="s">
        <v>756</v>
      </c>
    </row>
    <row r="1599" spans="1:9" hidden="1" x14ac:dyDescent="0.3">
      <c r="A1599" t="s">
        <v>729</v>
      </c>
      <c r="B1599" s="46">
        <v>45216</v>
      </c>
      <c r="C1599" s="45">
        <v>35900</v>
      </c>
      <c r="D1599" t="s">
        <v>987</v>
      </c>
      <c r="E1599" s="46">
        <v>45245</v>
      </c>
      <c r="F1599" s="45" t="s">
        <v>721</v>
      </c>
      <c r="I1599" t="s">
        <v>726</v>
      </c>
    </row>
    <row r="1600" spans="1:9" hidden="1" x14ac:dyDescent="0.3">
      <c r="A1600" t="s">
        <v>772</v>
      </c>
      <c r="B1600" s="46">
        <v>45265</v>
      </c>
      <c r="C1600" s="45">
        <v>35800</v>
      </c>
      <c r="D1600" t="s">
        <v>1010</v>
      </c>
      <c r="E1600" s="46">
        <v>45317</v>
      </c>
      <c r="F1600" s="45" t="s">
        <v>721</v>
      </c>
      <c r="I1600" t="s">
        <v>726</v>
      </c>
    </row>
    <row r="1601" spans="1:9" hidden="1" x14ac:dyDescent="0.3">
      <c r="A1601" t="s">
        <v>772</v>
      </c>
      <c r="B1601" s="46">
        <v>45279</v>
      </c>
      <c r="C1601" s="45">
        <v>35800</v>
      </c>
      <c r="D1601" t="s">
        <v>1010</v>
      </c>
      <c r="E1601" s="46">
        <v>45317</v>
      </c>
      <c r="F1601" s="45" t="s">
        <v>721</v>
      </c>
      <c r="I1601" t="s">
        <v>726</v>
      </c>
    </row>
    <row r="1602" spans="1:9" hidden="1" x14ac:dyDescent="0.3">
      <c r="A1602" t="s">
        <v>821</v>
      </c>
      <c r="B1602" s="46">
        <v>45282</v>
      </c>
      <c r="C1602" s="45">
        <v>35800</v>
      </c>
      <c r="D1602" t="s">
        <v>1125</v>
      </c>
      <c r="E1602" s="46">
        <v>45306</v>
      </c>
      <c r="F1602" s="45" t="s">
        <v>721</v>
      </c>
      <c r="I1602" t="s">
        <v>726</v>
      </c>
    </row>
    <row r="1603" spans="1:9" hidden="1" x14ac:dyDescent="0.3">
      <c r="A1603" t="s">
        <v>772</v>
      </c>
      <c r="B1603" s="46">
        <v>45394</v>
      </c>
      <c r="C1603" s="45">
        <v>35800</v>
      </c>
      <c r="D1603" t="s">
        <v>1010</v>
      </c>
      <c r="E1603" s="46">
        <v>45438</v>
      </c>
      <c r="F1603" s="45" t="s">
        <v>721</v>
      </c>
      <c r="I1603" t="s">
        <v>726</v>
      </c>
    </row>
    <row r="1604" spans="1:9" hidden="1" x14ac:dyDescent="0.3">
      <c r="A1604" t="s">
        <v>772</v>
      </c>
      <c r="B1604" s="46">
        <v>45314</v>
      </c>
      <c r="C1604" s="45">
        <v>35800</v>
      </c>
      <c r="D1604" t="s">
        <v>1010</v>
      </c>
      <c r="E1604" s="46">
        <v>45348</v>
      </c>
      <c r="F1604" s="45" t="s">
        <v>721</v>
      </c>
      <c r="I1604" t="s">
        <v>726</v>
      </c>
    </row>
    <row r="1605" spans="1:9" hidden="1" x14ac:dyDescent="0.3">
      <c r="A1605" t="s">
        <v>772</v>
      </c>
      <c r="B1605" s="46">
        <v>45377</v>
      </c>
      <c r="C1605" s="45">
        <v>35800</v>
      </c>
      <c r="D1605" t="s">
        <v>1010</v>
      </c>
      <c r="E1605" s="46">
        <v>45408</v>
      </c>
      <c r="F1605" s="45" t="s">
        <v>721</v>
      </c>
      <c r="I1605" t="s">
        <v>726</v>
      </c>
    </row>
    <row r="1606" spans="1:9" hidden="1" x14ac:dyDescent="0.3">
      <c r="A1606" t="s">
        <v>772</v>
      </c>
      <c r="B1606" s="46">
        <v>45369</v>
      </c>
      <c r="C1606" s="45">
        <v>35800</v>
      </c>
      <c r="D1606" t="s">
        <v>1010</v>
      </c>
      <c r="E1606" s="46">
        <v>45408</v>
      </c>
      <c r="F1606" s="45" t="s">
        <v>721</v>
      </c>
      <c r="I1606" t="s">
        <v>726</v>
      </c>
    </row>
    <row r="1607" spans="1:9" hidden="1" x14ac:dyDescent="0.3">
      <c r="A1607" t="s">
        <v>772</v>
      </c>
      <c r="B1607" s="46">
        <v>45349</v>
      </c>
      <c r="C1607" s="45">
        <v>35800</v>
      </c>
      <c r="D1607" t="s">
        <v>1010</v>
      </c>
      <c r="E1607" s="46">
        <v>45377</v>
      </c>
      <c r="F1607" s="45" t="s">
        <v>721</v>
      </c>
      <c r="I1607" t="s">
        <v>726</v>
      </c>
    </row>
    <row r="1608" spans="1:9" hidden="1" x14ac:dyDescent="0.3">
      <c r="A1608" t="s">
        <v>775</v>
      </c>
      <c r="B1608" s="46">
        <v>45396</v>
      </c>
      <c r="C1608" s="45">
        <v>35700</v>
      </c>
      <c r="D1608" t="s">
        <v>1276</v>
      </c>
      <c r="E1608" s="46">
        <v>45428</v>
      </c>
      <c r="F1608" s="45" t="s">
        <v>721</v>
      </c>
      <c r="G1608">
        <v>0</v>
      </c>
      <c r="I1608" t="s">
        <v>762</v>
      </c>
    </row>
    <row r="1609" spans="1:9" hidden="1" x14ac:dyDescent="0.3">
      <c r="A1609" t="s">
        <v>772</v>
      </c>
      <c r="B1609" s="46">
        <v>45433</v>
      </c>
      <c r="C1609" s="45">
        <v>35700</v>
      </c>
      <c r="D1609" t="s">
        <v>2085</v>
      </c>
      <c r="E1609" s="46">
        <v>45469</v>
      </c>
      <c r="F1609" s="45" t="s">
        <v>721</v>
      </c>
      <c r="I1609" t="s">
        <v>726</v>
      </c>
    </row>
    <row r="1610" spans="1:9" hidden="1" x14ac:dyDescent="0.3">
      <c r="A1610" t="s">
        <v>772</v>
      </c>
      <c r="B1610" s="46">
        <v>45268</v>
      </c>
      <c r="C1610" s="45">
        <v>35700</v>
      </c>
      <c r="D1610" t="s">
        <v>1072</v>
      </c>
      <c r="E1610" s="46">
        <v>45317</v>
      </c>
      <c r="F1610" s="45" t="s">
        <v>721</v>
      </c>
      <c r="I1610" t="s">
        <v>726</v>
      </c>
    </row>
    <row r="1611" spans="1:9" hidden="1" x14ac:dyDescent="0.3">
      <c r="A1611" t="s">
        <v>772</v>
      </c>
      <c r="B1611" s="46">
        <v>45250</v>
      </c>
      <c r="C1611" s="45">
        <v>35700</v>
      </c>
      <c r="D1611" t="s">
        <v>1098</v>
      </c>
      <c r="E1611" s="46">
        <v>45286</v>
      </c>
      <c r="F1611" s="45" t="s">
        <v>721</v>
      </c>
      <c r="I1611" t="s">
        <v>726</v>
      </c>
    </row>
    <row r="1612" spans="1:9" hidden="1" x14ac:dyDescent="0.3">
      <c r="A1612" t="s">
        <v>767</v>
      </c>
      <c r="B1612" s="46">
        <v>45210</v>
      </c>
      <c r="C1612" s="45">
        <v>35700</v>
      </c>
      <c r="D1612" t="s">
        <v>1018</v>
      </c>
      <c r="E1612" s="46">
        <v>45245</v>
      </c>
      <c r="F1612" s="45" t="s">
        <v>721</v>
      </c>
      <c r="I1612" t="s">
        <v>726</v>
      </c>
    </row>
    <row r="1613" spans="1:9" hidden="1" x14ac:dyDescent="0.3">
      <c r="A1613" t="s">
        <v>767</v>
      </c>
      <c r="B1613" s="46">
        <v>45237</v>
      </c>
      <c r="C1613" s="45">
        <v>35700</v>
      </c>
      <c r="D1613" t="s">
        <v>1081</v>
      </c>
      <c r="E1613" s="46">
        <v>45275</v>
      </c>
      <c r="F1613" s="45" t="s">
        <v>721</v>
      </c>
      <c r="I1613" t="s">
        <v>726</v>
      </c>
    </row>
    <row r="1614" spans="1:9" hidden="1" x14ac:dyDescent="0.3">
      <c r="A1614" t="s">
        <v>821</v>
      </c>
      <c r="B1614" s="46">
        <v>45258</v>
      </c>
      <c r="C1614" s="45">
        <v>35700</v>
      </c>
      <c r="D1614" t="s">
        <v>1125</v>
      </c>
      <c r="E1614" s="46">
        <v>45275</v>
      </c>
      <c r="F1614" s="45" t="s">
        <v>721</v>
      </c>
      <c r="I1614" t="s">
        <v>726</v>
      </c>
    </row>
    <row r="1615" spans="1:9" hidden="1" x14ac:dyDescent="0.3">
      <c r="A1615" t="s">
        <v>724</v>
      </c>
      <c r="B1615" s="46">
        <v>45168</v>
      </c>
      <c r="C1615" s="45">
        <v>35700</v>
      </c>
      <c r="D1615" t="s">
        <v>1128</v>
      </c>
      <c r="E1615" s="46">
        <v>45195</v>
      </c>
      <c r="F1615" s="45" t="s">
        <v>721</v>
      </c>
      <c r="I1615" t="s">
        <v>726</v>
      </c>
    </row>
    <row r="1616" spans="1:9" hidden="1" x14ac:dyDescent="0.3">
      <c r="A1616" t="s">
        <v>772</v>
      </c>
      <c r="B1616" s="46">
        <v>45182</v>
      </c>
      <c r="C1616" s="45">
        <v>35700</v>
      </c>
      <c r="D1616" t="s">
        <v>1128</v>
      </c>
      <c r="E1616" s="46">
        <v>45225</v>
      </c>
      <c r="F1616" s="45" t="s">
        <v>721</v>
      </c>
      <c r="I1616" t="s">
        <v>726</v>
      </c>
    </row>
    <row r="1617" spans="1:9" hidden="1" x14ac:dyDescent="0.3">
      <c r="A1617" t="s">
        <v>772</v>
      </c>
      <c r="B1617" s="46">
        <v>45119</v>
      </c>
      <c r="C1617" s="45">
        <v>35700</v>
      </c>
      <c r="D1617" t="s">
        <v>1098</v>
      </c>
      <c r="E1617" s="46">
        <v>45164</v>
      </c>
      <c r="F1617" s="45" t="s">
        <v>721</v>
      </c>
      <c r="I1617" t="s">
        <v>726</v>
      </c>
    </row>
    <row r="1618" spans="1:9" hidden="1" x14ac:dyDescent="0.3">
      <c r="A1618" t="s">
        <v>734</v>
      </c>
      <c r="B1618" s="46">
        <v>45163</v>
      </c>
      <c r="C1618" s="45">
        <v>35700</v>
      </c>
      <c r="D1618" t="s">
        <v>1048</v>
      </c>
      <c r="E1618" s="46">
        <v>45184</v>
      </c>
      <c r="F1618" s="45" t="s">
        <v>721</v>
      </c>
      <c r="I1618" t="s">
        <v>726</v>
      </c>
    </row>
    <row r="1619" spans="1:9" hidden="1" x14ac:dyDescent="0.3">
      <c r="A1619" t="s">
        <v>821</v>
      </c>
      <c r="B1619" s="46">
        <v>45212</v>
      </c>
      <c r="C1619" s="45">
        <v>35600</v>
      </c>
      <c r="D1619" t="s">
        <v>1129</v>
      </c>
      <c r="E1619" s="46">
        <v>45245</v>
      </c>
      <c r="F1619" s="45" t="s">
        <v>721</v>
      </c>
      <c r="I1619" t="s">
        <v>726</v>
      </c>
    </row>
    <row r="1620" spans="1:9" hidden="1" x14ac:dyDescent="0.3">
      <c r="A1620" t="s">
        <v>772</v>
      </c>
      <c r="B1620" s="46">
        <v>45231</v>
      </c>
      <c r="C1620" s="45">
        <v>35500</v>
      </c>
      <c r="D1620" t="s">
        <v>999</v>
      </c>
      <c r="E1620" s="46">
        <v>45256</v>
      </c>
      <c r="F1620" s="45" t="s">
        <v>721</v>
      </c>
      <c r="I1620" t="s">
        <v>726</v>
      </c>
    </row>
    <row r="1621" spans="1:9" hidden="1" x14ac:dyDescent="0.3">
      <c r="A1621" t="s">
        <v>734</v>
      </c>
      <c r="B1621" s="46">
        <v>45231</v>
      </c>
      <c r="C1621" s="45">
        <v>35500</v>
      </c>
      <c r="D1621" t="s">
        <v>974</v>
      </c>
      <c r="E1621" s="46">
        <v>45275</v>
      </c>
      <c r="F1621" s="45" t="s">
        <v>721</v>
      </c>
      <c r="I1621" t="s">
        <v>726</v>
      </c>
    </row>
    <row r="1622" spans="1:9" hidden="1" x14ac:dyDescent="0.3">
      <c r="A1622" t="s">
        <v>734</v>
      </c>
      <c r="B1622" s="46">
        <v>45274</v>
      </c>
      <c r="C1622" s="45">
        <v>35500</v>
      </c>
      <c r="D1622" t="s">
        <v>788</v>
      </c>
      <c r="E1622" s="46">
        <v>45306</v>
      </c>
      <c r="F1622" s="45" t="s">
        <v>721</v>
      </c>
      <c r="I1622" t="s">
        <v>726</v>
      </c>
    </row>
    <row r="1623" spans="1:9" hidden="1" x14ac:dyDescent="0.3">
      <c r="A1623" t="s">
        <v>821</v>
      </c>
      <c r="B1623" s="46">
        <v>45166</v>
      </c>
      <c r="C1623" s="45">
        <v>35500</v>
      </c>
      <c r="D1623" t="s">
        <v>1124</v>
      </c>
      <c r="E1623" s="46">
        <v>45184</v>
      </c>
      <c r="F1623" s="45" t="s">
        <v>721</v>
      </c>
      <c r="I1623" t="s">
        <v>726</v>
      </c>
    </row>
    <row r="1624" spans="1:9" hidden="1" x14ac:dyDescent="0.3">
      <c r="A1624" t="s">
        <v>772</v>
      </c>
      <c r="B1624" s="46">
        <v>45181</v>
      </c>
      <c r="C1624" s="45">
        <v>35500</v>
      </c>
      <c r="D1624" t="s">
        <v>1010</v>
      </c>
      <c r="E1624" s="46">
        <v>45225</v>
      </c>
      <c r="F1624" s="45" t="s">
        <v>721</v>
      </c>
      <c r="I1624" t="s">
        <v>726</v>
      </c>
    </row>
    <row r="1625" spans="1:9" hidden="1" x14ac:dyDescent="0.3">
      <c r="A1625" t="s">
        <v>734</v>
      </c>
      <c r="B1625" s="46">
        <v>45371</v>
      </c>
      <c r="C1625" s="45">
        <v>35500</v>
      </c>
      <c r="D1625" t="s">
        <v>994</v>
      </c>
      <c r="E1625" s="46">
        <v>45397</v>
      </c>
      <c r="F1625" s="45" t="s">
        <v>721</v>
      </c>
      <c r="I1625" t="s">
        <v>726</v>
      </c>
    </row>
    <row r="1626" spans="1:9" hidden="1" x14ac:dyDescent="0.3">
      <c r="A1626" t="s">
        <v>772</v>
      </c>
      <c r="B1626" s="46">
        <v>45336</v>
      </c>
      <c r="C1626" s="45">
        <v>35500</v>
      </c>
      <c r="D1626" t="s">
        <v>1130</v>
      </c>
      <c r="E1626" s="46">
        <v>45377</v>
      </c>
      <c r="F1626" s="45" t="s">
        <v>721</v>
      </c>
      <c r="I1626" t="s">
        <v>726</v>
      </c>
    </row>
    <row r="1627" spans="1:9" hidden="1" x14ac:dyDescent="0.3">
      <c r="A1627" t="s">
        <v>772</v>
      </c>
      <c r="B1627" s="46">
        <v>45307</v>
      </c>
      <c r="C1627" s="45">
        <v>35400</v>
      </c>
      <c r="D1627" t="s">
        <v>1131</v>
      </c>
      <c r="E1627" s="46">
        <v>45348</v>
      </c>
      <c r="F1627" s="45" t="s">
        <v>721</v>
      </c>
      <c r="I1627" t="s">
        <v>726</v>
      </c>
    </row>
    <row r="1628" spans="1:9" hidden="1" x14ac:dyDescent="0.3">
      <c r="A1628" t="s">
        <v>772</v>
      </c>
      <c r="B1628" s="46">
        <v>45295</v>
      </c>
      <c r="C1628" s="45">
        <v>35300</v>
      </c>
      <c r="D1628" t="s">
        <v>1132</v>
      </c>
      <c r="E1628" s="46">
        <v>45348</v>
      </c>
      <c r="F1628" s="45" t="s">
        <v>721</v>
      </c>
      <c r="I1628" t="s">
        <v>726</v>
      </c>
    </row>
    <row r="1629" spans="1:9" hidden="1" x14ac:dyDescent="0.3">
      <c r="A1629" t="s">
        <v>775</v>
      </c>
      <c r="B1629" s="46">
        <v>45294</v>
      </c>
      <c r="C1629" s="45">
        <v>35300</v>
      </c>
      <c r="D1629" t="s">
        <v>1133</v>
      </c>
      <c r="E1629" s="46">
        <v>45338</v>
      </c>
      <c r="F1629" s="45" t="s">
        <v>721</v>
      </c>
      <c r="I1629" t="s">
        <v>2025</v>
      </c>
    </row>
    <row r="1630" spans="1:9" hidden="1" x14ac:dyDescent="0.3">
      <c r="A1630" t="s">
        <v>722</v>
      </c>
      <c r="B1630" s="46">
        <v>45216</v>
      </c>
      <c r="C1630" s="45">
        <v>35280</v>
      </c>
      <c r="D1630" t="s">
        <v>1084</v>
      </c>
      <c r="E1630" s="46">
        <v>45245</v>
      </c>
      <c r="F1630" s="45" t="s">
        <v>721</v>
      </c>
      <c r="I1630" t="s">
        <v>834</v>
      </c>
    </row>
    <row r="1631" spans="1:9" hidden="1" x14ac:dyDescent="0.3">
      <c r="A1631" t="s">
        <v>775</v>
      </c>
      <c r="B1631" s="46">
        <v>45157</v>
      </c>
      <c r="C1631" s="45">
        <v>35200</v>
      </c>
      <c r="D1631" t="s">
        <v>1134</v>
      </c>
      <c r="E1631" s="46">
        <v>45184</v>
      </c>
      <c r="F1631" s="45" t="s">
        <v>721</v>
      </c>
      <c r="I1631" t="s">
        <v>726</v>
      </c>
    </row>
    <row r="1632" spans="1:9" hidden="1" x14ac:dyDescent="0.3">
      <c r="A1632" t="s">
        <v>767</v>
      </c>
      <c r="B1632" s="46">
        <v>45373</v>
      </c>
      <c r="C1632" s="45">
        <v>35190</v>
      </c>
      <c r="D1632" t="s">
        <v>1031</v>
      </c>
      <c r="E1632" s="46">
        <v>45397</v>
      </c>
      <c r="F1632" s="45" t="s">
        <v>721</v>
      </c>
      <c r="I1632" t="s">
        <v>726</v>
      </c>
    </row>
    <row r="1633" spans="1:9" hidden="1" x14ac:dyDescent="0.3">
      <c r="A1633" t="s">
        <v>772</v>
      </c>
      <c r="B1633" s="46">
        <v>45342</v>
      </c>
      <c r="C1633" s="45">
        <v>35000</v>
      </c>
      <c r="D1633" t="s">
        <v>1138</v>
      </c>
      <c r="E1633" s="46">
        <v>45377</v>
      </c>
      <c r="F1633" s="45" t="s">
        <v>721</v>
      </c>
      <c r="I1633" t="s">
        <v>726</v>
      </c>
    </row>
    <row r="1634" spans="1:9" hidden="1" x14ac:dyDescent="0.3">
      <c r="A1634" t="s">
        <v>777</v>
      </c>
      <c r="B1634" s="46">
        <v>45350</v>
      </c>
      <c r="C1634" s="45">
        <v>35000</v>
      </c>
      <c r="D1634" t="s">
        <v>875</v>
      </c>
      <c r="E1634" s="46">
        <v>45397</v>
      </c>
      <c r="F1634" s="45" t="s">
        <v>721</v>
      </c>
      <c r="I1634" t="s">
        <v>818</v>
      </c>
    </row>
    <row r="1635" spans="1:9" hidden="1" x14ac:dyDescent="0.3">
      <c r="A1635" t="s">
        <v>772</v>
      </c>
      <c r="B1635" s="46">
        <v>45329</v>
      </c>
      <c r="C1635" s="45">
        <v>35000</v>
      </c>
      <c r="D1635" t="s">
        <v>932</v>
      </c>
      <c r="E1635" s="46">
        <v>45377</v>
      </c>
      <c r="F1635" s="45" t="s">
        <v>721</v>
      </c>
      <c r="I1635" t="s">
        <v>726</v>
      </c>
    </row>
    <row r="1636" spans="1:9" hidden="1" x14ac:dyDescent="0.3">
      <c r="A1636" t="s">
        <v>724</v>
      </c>
      <c r="B1636" s="46">
        <v>45349</v>
      </c>
      <c r="C1636" s="45">
        <v>35000</v>
      </c>
      <c r="D1636" t="s">
        <v>949</v>
      </c>
      <c r="E1636" s="46">
        <v>45377</v>
      </c>
      <c r="F1636" s="45" t="s">
        <v>721</v>
      </c>
      <c r="I1636" t="s">
        <v>726</v>
      </c>
    </row>
    <row r="1637" spans="1:9" hidden="1" x14ac:dyDescent="0.3">
      <c r="A1637" t="s">
        <v>772</v>
      </c>
      <c r="B1637" s="46">
        <v>45344</v>
      </c>
      <c r="C1637" s="45">
        <v>35000</v>
      </c>
      <c r="D1637" t="s">
        <v>1098</v>
      </c>
      <c r="E1637" s="46">
        <v>45377</v>
      </c>
      <c r="F1637" s="45" t="s">
        <v>721</v>
      </c>
      <c r="I1637" t="s">
        <v>760</v>
      </c>
    </row>
    <row r="1638" spans="1:9" hidden="1" x14ac:dyDescent="0.3">
      <c r="A1638" t="s">
        <v>772</v>
      </c>
      <c r="B1638" s="46">
        <v>45356</v>
      </c>
      <c r="C1638" s="45">
        <v>35000</v>
      </c>
      <c r="D1638" t="s">
        <v>1112</v>
      </c>
      <c r="E1638" s="46">
        <v>45408</v>
      </c>
      <c r="F1638" s="45" t="s">
        <v>721</v>
      </c>
      <c r="I1638" t="s">
        <v>726</v>
      </c>
    </row>
    <row r="1639" spans="1:9" hidden="1" x14ac:dyDescent="0.3">
      <c r="A1639" t="s">
        <v>772</v>
      </c>
      <c r="B1639" s="46">
        <v>45383</v>
      </c>
      <c r="C1639" s="45">
        <v>35000</v>
      </c>
      <c r="D1639" t="s">
        <v>1108</v>
      </c>
      <c r="E1639" s="46">
        <v>45408</v>
      </c>
      <c r="F1639" s="45" t="s">
        <v>721</v>
      </c>
      <c r="I1639" t="s">
        <v>726</v>
      </c>
    </row>
    <row r="1640" spans="1:9" hidden="1" x14ac:dyDescent="0.3">
      <c r="A1640" t="s">
        <v>821</v>
      </c>
      <c r="B1640" s="46">
        <v>45294</v>
      </c>
      <c r="C1640" s="45">
        <v>35000</v>
      </c>
      <c r="D1640" t="s">
        <v>946</v>
      </c>
      <c r="E1640" s="46">
        <v>45337</v>
      </c>
      <c r="F1640" s="45" t="s">
        <v>721</v>
      </c>
      <c r="I1640" t="s">
        <v>726</v>
      </c>
    </row>
    <row r="1641" spans="1:9" hidden="1" x14ac:dyDescent="0.3">
      <c r="A1641" t="s">
        <v>772</v>
      </c>
      <c r="B1641" s="46">
        <v>45299</v>
      </c>
      <c r="C1641" s="45">
        <v>35000</v>
      </c>
      <c r="D1641" t="s">
        <v>878</v>
      </c>
      <c r="E1641" s="46">
        <v>45348</v>
      </c>
      <c r="F1641" s="45" t="s">
        <v>721</v>
      </c>
      <c r="I1641" t="s">
        <v>726</v>
      </c>
    </row>
    <row r="1642" spans="1:9" hidden="1" x14ac:dyDescent="0.3">
      <c r="A1642" t="s">
        <v>772</v>
      </c>
      <c r="B1642" s="46">
        <v>45308</v>
      </c>
      <c r="C1642" s="45">
        <v>35000</v>
      </c>
      <c r="D1642" t="s">
        <v>989</v>
      </c>
      <c r="E1642" s="46">
        <v>45348</v>
      </c>
      <c r="F1642" s="45" t="s">
        <v>721</v>
      </c>
      <c r="I1642" t="s">
        <v>726</v>
      </c>
    </row>
    <row r="1643" spans="1:9" hidden="1" x14ac:dyDescent="0.3">
      <c r="A1643" t="s">
        <v>772</v>
      </c>
      <c r="B1643" s="46">
        <v>45313</v>
      </c>
      <c r="C1643" s="45">
        <v>35000</v>
      </c>
      <c r="D1643" t="s">
        <v>1138</v>
      </c>
      <c r="E1643" s="46">
        <v>45348</v>
      </c>
      <c r="F1643" s="45" t="s">
        <v>721</v>
      </c>
      <c r="I1643" t="s">
        <v>726</v>
      </c>
    </row>
    <row r="1644" spans="1:9" hidden="1" x14ac:dyDescent="0.3">
      <c r="A1644" t="s">
        <v>772</v>
      </c>
      <c r="B1644" s="46">
        <v>45315</v>
      </c>
      <c r="C1644" s="45">
        <v>35000</v>
      </c>
      <c r="D1644" t="s">
        <v>1139</v>
      </c>
      <c r="E1644" s="46">
        <v>45348</v>
      </c>
      <c r="F1644" s="45" t="s">
        <v>721</v>
      </c>
      <c r="I1644" t="s">
        <v>726</v>
      </c>
    </row>
    <row r="1645" spans="1:9" hidden="1" x14ac:dyDescent="0.3">
      <c r="A1645" t="s">
        <v>772</v>
      </c>
      <c r="B1645" s="46">
        <v>45321</v>
      </c>
      <c r="C1645" s="45">
        <v>35000</v>
      </c>
      <c r="D1645" t="s">
        <v>1012</v>
      </c>
      <c r="E1645" s="46">
        <v>45348</v>
      </c>
      <c r="F1645" s="45" t="s">
        <v>721</v>
      </c>
      <c r="I1645" t="s">
        <v>726</v>
      </c>
    </row>
    <row r="1646" spans="1:9" hidden="1" x14ac:dyDescent="0.3">
      <c r="A1646" t="s">
        <v>734</v>
      </c>
      <c r="B1646" s="46">
        <v>45342</v>
      </c>
      <c r="C1646" s="45">
        <v>35000</v>
      </c>
      <c r="D1646" t="s">
        <v>918</v>
      </c>
      <c r="E1646" s="46">
        <v>45366</v>
      </c>
      <c r="F1646" s="45" t="s">
        <v>721</v>
      </c>
      <c r="I1646" t="s">
        <v>726</v>
      </c>
    </row>
    <row r="1647" spans="1:9" hidden="1" x14ac:dyDescent="0.3">
      <c r="A1647" t="s">
        <v>727</v>
      </c>
      <c r="B1647" s="46">
        <v>45345</v>
      </c>
      <c r="C1647" s="45">
        <v>35000</v>
      </c>
      <c r="D1647" t="s">
        <v>1008</v>
      </c>
      <c r="E1647" s="46">
        <v>45366</v>
      </c>
      <c r="F1647" s="45" t="s">
        <v>721</v>
      </c>
      <c r="I1647" t="s">
        <v>726</v>
      </c>
    </row>
    <row r="1648" spans="1:9" hidden="1" x14ac:dyDescent="0.3">
      <c r="A1648" t="s">
        <v>772</v>
      </c>
      <c r="B1648" s="46">
        <v>45429</v>
      </c>
      <c r="C1648" s="45">
        <v>35000</v>
      </c>
      <c r="D1648" t="s">
        <v>2097</v>
      </c>
      <c r="E1648" s="46">
        <v>45469</v>
      </c>
      <c r="F1648" s="45" t="s">
        <v>721</v>
      </c>
      <c r="I1648" t="s">
        <v>726</v>
      </c>
    </row>
    <row r="1649" spans="1:9" hidden="1" x14ac:dyDescent="0.3">
      <c r="A1649" t="s">
        <v>734</v>
      </c>
      <c r="B1649" s="46">
        <v>45426</v>
      </c>
      <c r="C1649" s="45">
        <v>35000</v>
      </c>
      <c r="D1649" t="s">
        <v>938</v>
      </c>
      <c r="E1649" s="46">
        <v>45458</v>
      </c>
      <c r="F1649" s="45" t="s">
        <v>721</v>
      </c>
      <c r="I1649" t="s">
        <v>726</v>
      </c>
    </row>
    <row r="1650" spans="1:9" hidden="1" x14ac:dyDescent="0.3">
      <c r="A1650" t="s">
        <v>772</v>
      </c>
      <c r="B1650" s="46">
        <v>45397</v>
      </c>
      <c r="C1650" s="45">
        <v>35000</v>
      </c>
      <c r="D1650" t="s">
        <v>1138</v>
      </c>
      <c r="E1650" s="46">
        <v>45438</v>
      </c>
      <c r="F1650" s="45" t="s">
        <v>721</v>
      </c>
      <c r="I1650" t="s">
        <v>726</v>
      </c>
    </row>
    <row r="1651" spans="1:9" hidden="1" x14ac:dyDescent="0.3">
      <c r="A1651" t="s">
        <v>772</v>
      </c>
      <c r="B1651" s="46">
        <v>45419</v>
      </c>
      <c r="C1651" s="45">
        <v>35000</v>
      </c>
      <c r="D1651" t="s">
        <v>1012</v>
      </c>
      <c r="E1651" s="46">
        <v>45469</v>
      </c>
      <c r="F1651" s="45" t="s">
        <v>721</v>
      </c>
      <c r="I1651" t="s">
        <v>726</v>
      </c>
    </row>
    <row r="1652" spans="1:9" hidden="1" x14ac:dyDescent="0.3">
      <c r="A1652" t="s">
        <v>794</v>
      </c>
      <c r="B1652" s="46">
        <v>45167</v>
      </c>
      <c r="C1652" s="45">
        <v>35000</v>
      </c>
      <c r="D1652" t="s">
        <v>1135</v>
      </c>
      <c r="E1652" s="46">
        <v>45184</v>
      </c>
      <c r="F1652" s="45" t="s">
        <v>721</v>
      </c>
      <c r="I1652" t="s">
        <v>726</v>
      </c>
    </row>
    <row r="1653" spans="1:9" hidden="1" x14ac:dyDescent="0.3">
      <c r="A1653" t="s">
        <v>772</v>
      </c>
      <c r="B1653" s="46">
        <v>45170</v>
      </c>
      <c r="C1653" s="45">
        <v>35000</v>
      </c>
      <c r="D1653" t="s">
        <v>932</v>
      </c>
      <c r="E1653" s="46">
        <v>45195</v>
      </c>
      <c r="F1653" s="45" t="s">
        <v>721</v>
      </c>
      <c r="I1653" t="s">
        <v>726</v>
      </c>
    </row>
    <row r="1654" spans="1:9" hidden="1" x14ac:dyDescent="0.3">
      <c r="A1654" t="s">
        <v>767</v>
      </c>
      <c r="B1654" s="46">
        <v>45161</v>
      </c>
      <c r="C1654" s="45">
        <v>35000</v>
      </c>
      <c r="D1654" t="s">
        <v>1095</v>
      </c>
      <c r="E1654" s="46">
        <v>45184</v>
      </c>
      <c r="F1654" s="45" t="s">
        <v>721</v>
      </c>
      <c r="I1654" t="s">
        <v>726</v>
      </c>
    </row>
    <row r="1655" spans="1:9" hidden="1" x14ac:dyDescent="0.3">
      <c r="A1655" t="s">
        <v>748</v>
      </c>
      <c r="B1655" s="46">
        <v>45125</v>
      </c>
      <c r="C1655" s="45">
        <v>35000</v>
      </c>
      <c r="D1655" t="s">
        <v>1078</v>
      </c>
      <c r="E1655" s="46">
        <v>45154</v>
      </c>
      <c r="F1655" s="45" t="s">
        <v>721</v>
      </c>
      <c r="I1655" t="s">
        <v>762</v>
      </c>
    </row>
    <row r="1656" spans="1:9" hidden="1" x14ac:dyDescent="0.3">
      <c r="A1656" t="s">
        <v>772</v>
      </c>
      <c r="B1656" s="46">
        <v>45134</v>
      </c>
      <c r="C1656" s="45">
        <v>35000</v>
      </c>
      <c r="D1656" t="s">
        <v>1136</v>
      </c>
      <c r="E1656" s="46">
        <v>45164</v>
      </c>
      <c r="F1656" s="45" t="s">
        <v>721</v>
      </c>
      <c r="I1656" t="s">
        <v>726</v>
      </c>
    </row>
    <row r="1657" spans="1:9" hidden="1" x14ac:dyDescent="0.3">
      <c r="A1657" t="s">
        <v>772</v>
      </c>
      <c r="B1657" s="46">
        <v>45177</v>
      </c>
      <c r="C1657" s="45">
        <v>35000</v>
      </c>
      <c r="D1657" t="s">
        <v>1012</v>
      </c>
      <c r="E1657" s="46">
        <v>45225</v>
      </c>
      <c r="F1657" s="45" t="s">
        <v>721</v>
      </c>
      <c r="I1657" t="s">
        <v>726</v>
      </c>
    </row>
    <row r="1658" spans="1:9" hidden="1" x14ac:dyDescent="0.3">
      <c r="A1658" t="s">
        <v>794</v>
      </c>
      <c r="B1658" s="46">
        <v>45188</v>
      </c>
      <c r="C1658" s="45">
        <v>35000</v>
      </c>
      <c r="D1658" t="s">
        <v>897</v>
      </c>
      <c r="E1658" s="46">
        <v>45215</v>
      </c>
      <c r="F1658" s="45" t="s">
        <v>721</v>
      </c>
      <c r="I1658" t="s">
        <v>818</v>
      </c>
    </row>
    <row r="1659" spans="1:9" hidden="1" x14ac:dyDescent="0.3">
      <c r="A1659" t="s">
        <v>821</v>
      </c>
      <c r="B1659" s="46">
        <v>45194</v>
      </c>
      <c r="C1659" s="45">
        <v>35000</v>
      </c>
      <c r="D1659" t="s">
        <v>1039</v>
      </c>
      <c r="E1659" s="46">
        <v>45215</v>
      </c>
      <c r="F1659" s="45" t="s">
        <v>721</v>
      </c>
      <c r="I1659" t="s">
        <v>726</v>
      </c>
    </row>
    <row r="1660" spans="1:9" hidden="1" x14ac:dyDescent="0.3">
      <c r="A1660" t="s">
        <v>767</v>
      </c>
      <c r="B1660" s="46">
        <v>45243</v>
      </c>
      <c r="C1660" s="45">
        <v>35000</v>
      </c>
      <c r="D1660" t="s">
        <v>1116</v>
      </c>
      <c r="E1660" s="46">
        <v>45275</v>
      </c>
      <c r="F1660" s="45" t="s">
        <v>721</v>
      </c>
      <c r="I1660" t="s">
        <v>726</v>
      </c>
    </row>
    <row r="1661" spans="1:9" hidden="1" x14ac:dyDescent="0.3">
      <c r="A1661" t="s">
        <v>772</v>
      </c>
      <c r="B1661" s="46">
        <v>45257</v>
      </c>
      <c r="C1661" s="45">
        <v>35000</v>
      </c>
      <c r="D1661" t="s">
        <v>878</v>
      </c>
      <c r="E1661" s="46">
        <v>45286</v>
      </c>
      <c r="F1661" s="45" t="s">
        <v>721</v>
      </c>
      <c r="I1661" t="s">
        <v>726</v>
      </c>
    </row>
    <row r="1662" spans="1:9" hidden="1" x14ac:dyDescent="0.3">
      <c r="A1662" t="s">
        <v>772</v>
      </c>
      <c r="B1662" s="46">
        <v>45261</v>
      </c>
      <c r="C1662" s="45">
        <v>35000</v>
      </c>
      <c r="D1662" t="s">
        <v>1138</v>
      </c>
      <c r="E1662" s="46">
        <v>45286</v>
      </c>
      <c r="F1662" s="45" t="s">
        <v>721</v>
      </c>
      <c r="I1662" t="s">
        <v>726</v>
      </c>
    </row>
    <row r="1663" spans="1:9" hidden="1" x14ac:dyDescent="0.3">
      <c r="A1663" t="s">
        <v>734</v>
      </c>
      <c r="B1663" s="46">
        <v>45272</v>
      </c>
      <c r="C1663" s="45">
        <v>35000</v>
      </c>
      <c r="D1663" t="s">
        <v>938</v>
      </c>
      <c r="E1663" s="46">
        <v>45306</v>
      </c>
      <c r="F1663" s="45" t="s">
        <v>721</v>
      </c>
      <c r="I1663" t="s">
        <v>726</v>
      </c>
    </row>
    <row r="1664" spans="1:9" hidden="1" x14ac:dyDescent="0.3">
      <c r="A1664" t="s">
        <v>722</v>
      </c>
      <c r="B1664" s="46">
        <v>45289</v>
      </c>
      <c r="C1664" s="45">
        <v>35000</v>
      </c>
      <c r="D1664" t="s">
        <v>735</v>
      </c>
      <c r="E1664" s="46">
        <v>45306</v>
      </c>
      <c r="F1664" s="45" t="s">
        <v>721</v>
      </c>
      <c r="I1664" t="s">
        <v>762</v>
      </c>
    </row>
    <row r="1665" spans="1:9" hidden="1" x14ac:dyDescent="0.3">
      <c r="A1665" t="s">
        <v>772</v>
      </c>
      <c r="B1665" s="46">
        <v>45280</v>
      </c>
      <c r="C1665" s="45">
        <v>35000</v>
      </c>
      <c r="D1665" t="s">
        <v>1138</v>
      </c>
      <c r="E1665" s="46">
        <v>45317</v>
      </c>
      <c r="F1665" s="45" t="s">
        <v>721</v>
      </c>
      <c r="I1665" t="s">
        <v>726</v>
      </c>
    </row>
    <row r="1666" spans="1:9" hidden="1" x14ac:dyDescent="0.3">
      <c r="A1666" t="s">
        <v>772</v>
      </c>
      <c r="B1666" s="46">
        <v>45271</v>
      </c>
      <c r="C1666" s="45">
        <v>35000</v>
      </c>
      <c r="D1666" t="s">
        <v>878</v>
      </c>
      <c r="E1666" s="46">
        <v>45317</v>
      </c>
      <c r="F1666" s="45" t="s">
        <v>721</v>
      </c>
      <c r="I1666" t="s">
        <v>726</v>
      </c>
    </row>
    <row r="1667" spans="1:9" hidden="1" x14ac:dyDescent="0.3">
      <c r="A1667" t="s">
        <v>772</v>
      </c>
      <c r="B1667" s="46">
        <v>45245</v>
      </c>
      <c r="C1667" s="45">
        <v>35000</v>
      </c>
      <c r="D1667" t="s">
        <v>1082</v>
      </c>
      <c r="E1667" s="46">
        <v>45286</v>
      </c>
      <c r="F1667" s="45" t="s">
        <v>721</v>
      </c>
      <c r="I1667" t="s">
        <v>726</v>
      </c>
    </row>
    <row r="1668" spans="1:9" hidden="1" x14ac:dyDescent="0.3">
      <c r="A1668" t="s">
        <v>734</v>
      </c>
      <c r="B1668" s="46">
        <v>45265</v>
      </c>
      <c r="C1668" s="45">
        <v>35000</v>
      </c>
      <c r="D1668" t="s">
        <v>938</v>
      </c>
      <c r="E1668" s="46">
        <v>45306</v>
      </c>
      <c r="F1668" s="45" t="s">
        <v>721</v>
      </c>
      <c r="I1668" t="s">
        <v>726</v>
      </c>
    </row>
    <row r="1669" spans="1:9" hidden="1" x14ac:dyDescent="0.3">
      <c r="A1669" t="s">
        <v>729</v>
      </c>
      <c r="B1669" s="46">
        <v>45142</v>
      </c>
      <c r="C1669" s="45">
        <v>34900</v>
      </c>
      <c r="D1669" t="s">
        <v>1141</v>
      </c>
      <c r="E1669" s="46">
        <v>45184</v>
      </c>
      <c r="F1669" s="45" t="s">
        <v>721</v>
      </c>
      <c r="I1669" t="s">
        <v>726</v>
      </c>
    </row>
    <row r="1670" spans="1:9" hidden="1" x14ac:dyDescent="0.3">
      <c r="A1670" t="s">
        <v>748</v>
      </c>
      <c r="B1670" s="46">
        <v>45393</v>
      </c>
      <c r="C1670" s="45">
        <v>34900</v>
      </c>
      <c r="D1670" t="s">
        <v>735</v>
      </c>
      <c r="E1670" s="46">
        <v>45428</v>
      </c>
      <c r="F1670" s="45" t="s">
        <v>721</v>
      </c>
      <c r="I1670" t="s">
        <v>782</v>
      </c>
    </row>
    <row r="1671" spans="1:9" hidden="1" x14ac:dyDescent="0.3">
      <c r="A1671" t="s">
        <v>748</v>
      </c>
      <c r="B1671" s="46">
        <v>45397</v>
      </c>
      <c r="C1671" s="45">
        <v>34900</v>
      </c>
      <c r="D1671" t="s">
        <v>987</v>
      </c>
      <c r="E1671" s="46">
        <v>45428</v>
      </c>
      <c r="F1671" s="45" t="s">
        <v>721</v>
      </c>
      <c r="I1671" t="s">
        <v>726</v>
      </c>
    </row>
    <row r="1672" spans="1:9" hidden="1" x14ac:dyDescent="0.3">
      <c r="A1672" t="s">
        <v>722</v>
      </c>
      <c r="B1672" s="46">
        <v>45343</v>
      </c>
      <c r="C1672" s="45">
        <v>34800</v>
      </c>
      <c r="D1672" t="s">
        <v>1046</v>
      </c>
      <c r="E1672" s="46">
        <v>45366</v>
      </c>
      <c r="F1672" s="45" t="s">
        <v>721</v>
      </c>
      <c r="I1672" t="s">
        <v>726</v>
      </c>
    </row>
    <row r="1673" spans="1:9" hidden="1" x14ac:dyDescent="0.3">
      <c r="A1673" t="s">
        <v>729</v>
      </c>
      <c r="B1673" s="46">
        <v>45125</v>
      </c>
      <c r="C1673" s="45">
        <v>34800</v>
      </c>
      <c r="D1673" t="s">
        <v>1142</v>
      </c>
      <c r="E1673" s="46">
        <v>45154</v>
      </c>
      <c r="F1673" s="45" t="s">
        <v>721</v>
      </c>
      <c r="I1673" t="s">
        <v>726</v>
      </c>
    </row>
    <row r="1674" spans="1:9" hidden="1" x14ac:dyDescent="0.3">
      <c r="A1674" t="s">
        <v>729</v>
      </c>
      <c r="B1674" s="46">
        <v>45271</v>
      </c>
      <c r="C1674" s="45">
        <v>34700</v>
      </c>
      <c r="D1674" t="s">
        <v>1081</v>
      </c>
      <c r="E1674" s="46">
        <v>45306</v>
      </c>
      <c r="F1674" s="45" t="s">
        <v>721</v>
      </c>
      <c r="I1674" t="s">
        <v>726</v>
      </c>
    </row>
    <row r="1675" spans="1:9" hidden="1" x14ac:dyDescent="0.3">
      <c r="A1675" t="s">
        <v>772</v>
      </c>
      <c r="B1675" s="46">
        <v>45300</v>
      </c>
      <c r="C1675" s="45">
        <v>34670</v>
      </c>
      <c r="D1675" t="s">
        <v>755</v>
      </c>
      <c r="E1675" s="46">
        <v>45348</v>
      </c>
      <c r="F1675" s="45" t="s">
        <v>721</v>
      </c>
      <c r="I1675" t="s">
        <v>726</v>
      </c>
    </row>
    <row r="1676" spans="1:9" hidden="1" x14ac:dyDescent="0.3">
      <c r="A1676" t="s">
        <v>727</v>
      </c>
      <c r="B1676" s="46">
        <v>45335</v>
      </c>
      <c r="C1676" s="45">
        <v>34500</v>
      </c>
      <c r="D1676" t="s">
        <v>1143</v>
      </c>
      <c r="E1676" s="46">
        <v>45366</v>
      </c>
      <c r="F1676" s="45" t="s">
        <v>721</v>
      </c>
      <c r="I1676" t="s">
        <v>726</v>
      </c>
    </row>
    <row r="1677" spans="1:9" hidden="1" x14ac:dyDescent="0.3">
      <c r="A1677" t="s">
        <v>727</v>
      </c>
      <c r="B1677" s="46">
        <v>45299</v>
      </c>
      <c r="C1677" s="45">
        <v>34500</v>
      </c>
      <c r="D1677" t="s">
        <v>1144</v>
      </c>
      <c r="E1677" s="46">
        <v>45337</v>
      </c>
      <c r="F1677" s="45" t="s">
        <v>721</v>
      </c>
      <c r="I1677" t="s">
        <v>726</v>
      </c>
    </row>
    <row r="1678" spans="1:9" hidden="1" x14ac:dyDescent="0.3">
      <c r="A1678" t="s">
        <v>724</v>
      </c>
      <c r="B1678" s="46">
        <v>45411</v>
      </c>
      <c r="C1678" s="45">
        <v>34500</v>
      </c>
      <c r="D1678" t="s">
        <v>939</v>
      </c>
      <c r="E1678" s="46">
        <v>45438</v>
      </c>
      <c r="F1678" s="45" t="s">
        <v>721</v>
      </c>
      <c r="I1678" t="s">
        <v>726</v>
      </c>
    </row>
    <row r="1679" spans="1:9" hidden="1" x14ac:dyDescent="0.3">
      <c r="A1679" t="s">
        <v>772</v>
      </c>
      <c r="B1679" s="46">
        <v>45293</v>
      </c>
      <c r="C1679" s="45">
        <v>34500</v>
      </c>
      <c r="D1679" t="s">
        <v>1139</v>
      </c>
      <c r="E1679" s="46">
        <v>45317</v>
      </c>
      <c r="F1679" s="45" t="s">
        <v>721</v>
      </c>
      <c r="I1679" t="s">
        <v>726</v>
      </c>
    </row>
    <row r="1680" spans="1:9" hidden="1" x14ac:dyDescent="0.3">
      <c r="A1680" t="s">
        <v>734</v>
      </c>
      <c r="B1680" s="46">
        <v>45268</v>
      </c>
      <c r="C1680" s="45">
        <v>34500</v>
      </c>
      <c r="D1680" t="s">
        <v>1005</v>
      </c>
      <c r="E1680" s="46">
        <v>45306</v>
      </c>
      <c r="F1680" s="45" t="s">
        <v>721</v>
      </c>
      <c r="I1680" t="s">
        <v>726</v>
      </c>
    </row>
    <row r="1681" spans="1:9" hidden="1" x14ac:dyDescent="0.3">
      <c r="A1681" t="s">
        <v>748</v>
      </c>
      <c r="B1681" s="46">
        <v>45132</v>
      </c>
      <c r="C1681" s="45">
        <v>34500</v>
      </c>
      <c r="D1681" t="s">
        <v>1062</v>
      </c>
      <c r="E1681" s="46">
        <v>45154</v>
      </c>
      <c r="F1681" s="45" t="s">
        <v>721</v>
      </c>
    </row>
    <row r="1682" spans="1:9" hidden="1" x14ac:dyDescent="0.3">
      <c r="A1682" t="s">
        <v>724</v>
      </c>
      <c r="B1682" s="46">
        <v>45121</v>
      </c>
      <c r="C1682" s="45">
        <v>34500</v>
      </c>
      <c r="D1682" t="s">
        <v>999</v>
      </c>
      <c r="E1682" s="46">
        <v>45164</v>
      </c>
      <c r="F1682" s="45" t="s">
        <v>721</v>
      </c>
      <c r="I1682" t="s">
        <v>726</v>
      </c>
    </row>
    <row r="1683" spans="1:9" hidden="1" x14ac:dyDescent="0.3">
      <c r="A1683" t="s">
        <v>821</v>
      </c>
      <c r="B1683" s="46">
        <v>45233</v>
      </c>
      <c r="C1683" s="45">
        <v>34400</v>
      </c>
      <c r="D1683" t="s">
        <v>1005</v>
      </c>
      <c r="E1683" s="46">
        <v>45275</v>
      </c>
      <c r="F1683" s="45" t="s">
        <v>721</v>
      </c>
      <c r="I1683" t="s">
        <v>726</v>
      </c>
    </row>
    <row r="1684" spans="1:9" hidden="1" x14ac:dyDescent="0.3">
      <c r="A1684" t="s">
        <v>724</v>
      </c>
      <c r="B1684" s="46">
        <v>45218</v>
      </c>
      <c r="C1684" s="45">
        <v>34300</v>
      </c>
      <c r="D1684" t="s">
        <v>1069</v>
      </c>
      <c r="E1684" s="46">
        <v>45256</v>
      </c>
      <c r="F1684" s="45" t="s">
        <v>721</v>
      </c>
      <c r="I1684" t="s">
        <v>726</v>
      </c>
    </row>
    <row r="1685" spans="1:9" hidden="1" x14ac:dyDescent="0.3">
      <c r="A1685" t="s">
        <v>767</v>
      </c>
      <c r="B1685" s="46">
        <v>45407</v>
      </c>
      <c r="C1685" s="45">
        <v>34300</v>
      </c>
      <c r="D1685" t="s">
        <v>2103</v>
      </c>
      <c r="E1685" s="46">
        <v>45428</v>
      </c>
      <c r="F1685" s="45" t="s">
        <v>721</v>
      </c>
      <c r="I1685" t="s">
        <v>726</v>
      </c>
    </row>
    <row r="1686" spans="1:9" hidden="1" x14ac:dyDescent="0.3">
      <c r="A1686" t="s">
        <v>767</v>
      </c>
      <c r="B1686" s="46">
        <v>45428</v>
      </c>
      <c r="C1686" s="45">
        <v>34300</v>
      </c>
      <c r="D1686" t="s">
        <v>1152</v>
      </c>
      <c r="E1686" s="46">
        <v>45458</v>
      </c>
      <c r="F1686" s="45" t="s">
        <v>721</v>
      </c>
      <c r="I1686" t="s">
        <v>726</v>
      </c>
    </row>
    <row r="1687" spans="1:9" hidden="1" x14ac:dyDescent="0.3">
      <c r="A1687" t="s">
        <v>729</v>
      </c>
      <c r="B1687" s="46">
        <v>45302</v>
      </c>
      <c r="C1687" s="45">
        <v>34300</v>
      </c>
      <c r="D1687" t="s">
        <v>1057</v>
      </c>
      <c r="E1687" s="46">
        <v>45337</v>
      </c>
      <c r="F1687" s="45" t="s">
        <v>721</v>
      </c>
      <c r="I1687" t="s">
        <v>726</v>
      </c>
    </row>
    <row r="1688" spans="1:9" hidden="1" x14ac:dyDescent="0.3">
      <c r="A1688" t="s">
        <v>727</v>
      </c>
      <c r="B1688" s="46">
        <v>45351</v>
      </c>
      <c r="C1688" s="45">
        <v>34300</v>
      </c>
      <c r="D1688" t="s">
        <v>1057</v>
      </c>
      <c r="E1688" s="46">
        <v>45397</v>
      </c>
      <c r="F1688" s="45" t="s">
        <v>721</v>
      </c>
      <c r="I1688" t="s">
        <v>726</v>
      </c>
    </row>
    <row r="1689" spans="1:9" hidden="1" x14ac:dyDescent="0.3">
      <c r="A1689" t="s">
        <v>772</v>
      </c>
      <c r="B1689" s="46">
        <v>45236</v>
      </c>
      <c r="C1689" s="45">
        <v>34200</v>
      </c>
      <c r="D1689" t="s">
        <v>1145</v>
      </c>
      <c r="E1689" s="46">
        <v>45286</v>
      </c>
      <c r="F1689" s="45" t="s">
        <v>721</v>
      </c>
      <c r="I1689" t="s">
        <v>726</v>
      </c>
    </row>
    <row r="1690" spans="1:9" hidden="1" x14ac:dyDescent="0.3">
      <c r="A1690" t="s">
        <v>727</v>
      </c>
      <c r="B1690" s="46">
        <v>45146</v>
      </c>
      <c r="C1690" s="45">
        <v>34200</v>
      </c>
      <c r="D1690" t="s">
        <v>1048</v>
      </c>
      <c r="E1690" s="46">
        <v>45184</v>
      </c>
      <c r="F1690" s="45" t="s">
        <v>721</v>
      </c>
      <c r="I1690" t="s">
        <v>726</v>
      </c>
    </row>
    <row r="1691" spans="1:9" hidden="1" x14ac:dyDescent="0.3">
      <c r="A1691" t="s">
        <v>748</v>
      </c>
      <c r="B1691" s="46">
        <v>45174</v>
      </c>
      <c r="C1691" s="45">
        <v>34200</v>
      </c>
      <c r="D1691" t="s">
        <v>735</v>
      </c>
      <c r="E1691" s="46">
        <v>45215</v>
      </c>
      <c r="F1691" s="45" t="s">
        <v>721</v>
      </c>
      <c r="I1691" t="s">
        <v>762</v>
      </c>
    </row>
    <row r="1692" spans="1:9" hidden="1" x14ac:dyDescent="0.3">
      <c r="A1692" t="s">
        <v>767</v>
      </c>
      <c r="B1692" s="46">
        <v>45421</v>
      </c>
      <c r="C1692" s="45">
        <v>34100</v>
      </c>
      <c r="D1692" t="s">
        <v>2100</v>
      </c>
      <c r="E1692" s="46">
        <v>45458</v>
      </c>
      <c r="F1692" s="45" t="s">
        <v>721</v>
      </c>
      <c r="I1692" t="s">
        <v>726</v>
      </c>
    </row>
    <row r="1693" spans="1:9" hidden="1" x14ac:dyDescent="0.3">
      <c r="A1693" t="s">
        <v>748</v>
      </c>
      <c r="B1693" s="46">
        <v>45421</v>
      </c>
      <c r="C1693" s="45">
        <v>34000</v>
      </c>
      <c r="D1693" t="s">
        <v>735</v>
      </c>
      <c r="E1693" s="46">
        <v>45458</v>
      </c>
      <c r="F1693" s="45" t="s">
        <v>721</v>
      </c>
      <c r="I1693" t="s">
        <v>762</v>
      </c>
    </row>
    <row r="1694" spans="1:9" hidden="1" x14ac:dyDescent="0.3">
      <c r="A1694" t="s">
        <v>767</v>
      </c>
      <c r="B1694" s="46">
        <v>45411</v>
      </c>
      <c r="C1694" s="45">
        <v>34000</v>
      </c>
      <c r="D1694" t="s">
        <v>2080</v>
      </c>
      <c r="E1694" s="46">
        <v>45428</v>
      </c>
      <c r="F1694" s="45" t="s">
        <v>721</v>
      </c>
      <c r="I1694" t="s">
        <v>726</v>
      </c>
    </row>
    <row r="1695" spans="1:9" hidden="1" x14ac:dyDescent="0.3">
      <c r="A1695" t="s">
        <v>767</v>
      </c>
      <c r="B1695" s="46">
        <v>45387</v>
      </c>
      <c r="C1695" s="45">
        <v>34000</v>
      </c>
      <c r="D1695" t="s">
        <v>2080</v>
      </c>
      <c r="E1695" s="46">
        <v>45428</v>
      </c>
      <c r="F1695" s="45" t="s">
        <v>721</v>
      </c>
      <c r="I1695" t="s">
        <v>726</v>
      </c>
    </row>
    <row r="1696" spans="1:9" hidden="1" x14ac:dyDescent="0.3">
      <c r="A1696" t="s">
        <v>724</v>
      </c>
      <c r="B1696" s="46">
        <v>45425</v>
      </c>
      <c r="C1696" s="45">
        <v>34000</v>
      </c>
      <c r="D1696" t="s">
        <v>949</v>
      </c>
      <c r="E1696" s="46">
        <v>45469</v>
      </c>
      <c r="F1696" s="45" t="s">
        <v>721</v>
      </c>
      <c r="I1696" t="s">
        <v>726</v>
      </c>
    </row>
    <row r="1697" spans="1:9" hidden="1" x14ac:dyDescent="0.3">
      <c r="A1697" t="s">
        <v>767</v>
      </c>
      <c r="B1697" s="46">
        <v>45405</v>
      </c>
      <c r="C1697" s="45">
        <v>34000</v>
      </c>
      <c r="D1697" t="s">
        <v>2080</v>
      </c>
      <c r="E1697" s="46">
        <v>45428</v>
      </c>
      <c r="F1697" s="45" t="s">
        <v>721</v>
      </c>
      <c r="I1697" t="s">
        <v>726</v>
      </c>
    </row>
    <row r="1698" spans="1:9" hidden="1" x14ac:dyDescent="0.3">
      <c r="A1698" t="s">
        <v>767</v>
      </c>
      <c r="B1698" s="46">
        <v>45406</v>
      </c>
      <c r="C1698" s="45">
        <v>34000</v>
      </c>
      <c r="D1698" t="s">
        <v>2080</v>
      </c>
      <c r="E1698" s="46">
        <v>45428</v>
      </c>
      <c r="F1698" s="45" t="s">
        <v>721</v>
      </c>
      <c r="I1698" t="s">
        <v>726</v>
      </c>
    </row>
    <row r="1699" spans="1:9" hidden="1" x14ac:dyDescent="0.3">
      <c r="A1699" t="s">
        <v>767</v>
      </c>
      <c r="B1699" s="46">
        <v>45390</v>
      </c>
      <c r="C1699" s="45">
        <v>34000</v>
      </c>
      <c r="D1699" t="s">
        <v>2080</v>
      </c>
      <c r="E1699" s="46">
        <v>45428</v>
      </c>
      <c r="F1699" s="45" t="s">
        <v>721</v>
      </c>
      <c r="I1699" t="s">
        <v>726</v>
      </c>
    </row>
    <row r="1700" spans="1:9" hidden="1" x14ac:dyDescent="0.3">
      <c r="A1700" t="s">
        <v>734</v>
      </c>
      <c r="B1700" s="46">
        <v>45384</v>
      </c>
      <c r="C1700" s="45">
        <v>34000</v>
      </c>
      <c r="D1700" t="s">
        <v>2080</v>
      </c>
      <c r="E1700" s="46">
        <v>45428</v>
      </c>
      <c r="F1700" s="45" t="s">
        <v>721</v>
      </c>
      <c r="I1700" t="s">
        <v>726</v>
      </c>
    </row>
    <row r="1701" spans="1:9" hidden="1" x14ac:dyDescent="0.3">
      <c r="A1701" t="s">
        <v>734</v>
      </c>
      <c r="B1701" s="46">
        <v>45385</v>
      </c>
      <c r="C1701" s="45">
        <v>34000</v>
      </c>
      <c r="D1701" t="s">
        <v>2080</v>
      </c>
      <c r="E1701" s="46">
        <v>45428</v>
      </c>
      <c r="F1701" s="45" t="s">
        <v>721</v>
      </c>
      <c r="I1701" t="s">
        <v>726</v>
      </c>
    </row>
    <row r="1702" spans="1:9" hidden="1" x14ac:dyDescent="0.3">
      <c r="A1702" t="s">
        <v>734</v>
      </c>
      <c r="B1702" s="46">
        <v>45394</v>
      </c>
      <c r="C1702" s="45">
        <v>34000</v>
      </c>
      <c r="D1702" t="s">
        <v>2080</v>
      </c>
      <c r="E1702" s="46">
        <v>45428</v>
      </c>
      <c r="F1702" s="45" t="s">
        <v>721</v>
      </c>
      <c r="I1702" t="s">
        <v>726</v>
      </c>
    </row>
    <row r="1703" spans="1:9" hidden="1" x14ac:dyDescent="0.3">
      <c r="A1703" t="s">
        <v>772</v>
      </c>
      <c r="B1703" s="46">
        <v>45348</v>
      </c>
      <c r="C1703" s="45">
        <v>34000</v>
      </c>
      <c r="D1703" t="s">
        <v>1082</v>
      </c>
      <c r="E1703" s="46">
        <v>45377</v>
      </c>
      <c r="F1703" s="45" t="s">
        <v>721</v>
      </c>
      <c r="I1703" t="s">
        <v>726</v>
      </c>
    </row>
    <row r="1704" spans="1:9" hidden="1" x14ac:dyDescent="0.3">
      <c r="A1704" t="s">
        <v>727</v>
      </c>
      <c r="B1704" s="46">
        <v>45349</v>
      </c>
      <c r="C1704" s="45">
        <v>34000</v>
      </c>
      <c r="D1704" t="s">
        <v>1147</v>
      </c>
      <c r="E1704" s="46">
        <v>45366</v>
      </c>
      <c r="F1704" s="45" t="s">
        <v>721</v>
      </c>
      <c r="I1704" t="s">
        <v>726</v>
      </c>
    </row>
    <row r="1705" spans="1:9" hidden="1" x14ac:dyDescent="0.3">
      <c r="A1705" t="s">
        <v>734</v>
      </c>
      <c r="B1705" s="46">
        <v>45328</v>
      </c>
      <c r="C1705" s="45">
        <v>34000</v>
      </c>
      <c r="D1705" t="s">
        <v>974</v>
      </c>
      <c r="E1705" s="46">
        <v>45366</v>
      </c>
      <c r="F1705" s="45" t="s">
        <v>721</v>
      </c>
      <c r="I1705" t="s">
        <v>726</v>
      </c>
    </row>
    <row r="1706" spans="1:9" hidden="1" x14ac:dyDescent="0.3">
      <c r="A1706" t="s">
        <v>775</v>
      </c>
      <c r="B1706" s="46">
        <v>45174</v>
      </c>
      <c r="C1706" s="45">
        <v>34000</v>
      </c>
      <c r="D1706" t="s">
        <v>1146</v>
      </c>
      <c r="E1706" s="46">
        <v>45215</v>
      </c>
      <c r="F1706" s="45" t="s">
        <v>721</v>
      </c>
    </row>
    <row r="1707" spans="1:9" hidden="1" x14ac:dyDescent="0.3">
      <c r="A1707" t="s">
        <v>775</v>
      </c>
      <c r="B1707" s="46">
        <v>45187</v>
      </c>
      <c r="C1707" s="45">
        <v>34000</v>
      </c>
      <c r="D1707" t="s">
        <v>884</v>
      </c>
      <c r="E1707" s="46">
        <v>45215</v>
      </c>
      <c r="F1707" s="45" t="s">
        <v>721</v>
      </c>
    </row>
    <row r="1708" spans="1:9" hidden="1" x14ac:dyDescent="0.3">
      <c r="A1708" t="s">
        <v>748</v>
      </c>
      <c r="B1708" s="46">
        <v>45230</v>
      </c>
      <c r="C1708" s="45">
        <v>34000</v>
      </c>
      <c r="D1708" t="s">
        <v>1083</v>
      </c>
      <c r="E1708" s="46">
        <v>45245</v>
      </c>
      <c r="F1708" s="45" t="s">
        <v>721</v>
      </c>
      <c r="I1708" t="s">
        <v>726</v>
      </c>
    </row>
    <row r="1709" spans="1:9" hidden="1" x14ac:dyDescent="0.3">
      <c r="A1709" t="s">
        <v>777</v>
      </c>
      <c r="B1709" s="46">
        <v>45192</v>
      </c>
      <c r="C1709" s="45">
        <v>34000</v>
      </c>
      <c r="D1709" t="s">
        <v>1065</v>
      </c>
      <c r="E1709" s="46">
        <v>45245</v>
      </c>
      <c r="F1709" s="45" t="s">
        <v>721</v>
      </c>
      <c r="I1709" t="s">
        <v>838</v>
      </c>
    </row>
    <row r="1710" spans="1:9" hidden="1" x14ac:dyDescent="0.3">
      <c r="A1710" t="s">
        <v>821</v>
      </c>
      <c r="B1710" s="46">
        <v>45215</v>
      </c>
      <c r="C1710" s="45">
        <v>34000</v>
      </c>
      <c r="D1710" t="s">
        <v>1066</v>
      </c>
      <c r="E1710" s="46">
        <v>45245</v>
      </c>
      <c r="F1710" s="45" t="s">
        <v>721</v>
      </c>
      <c r="I1710" t="s">
        <v>726</v>
      </c>
    </row>
    <row r="1711" spans="1:9" hidden="1" x14ac:dyDescent="0.3">
      <c r="A1711" t="s">
        <v>727</v>
      </c>
      <c r="B1711" s="46">
        <v>45243</v>
      </c>
      <c r="C1711" s="45">
        <v>34000</v>
      </c>
      <c r="D1711" t="s">
        <v>1083</v>
      </c>
      <c r="E1711" s="46">
        <v>45275</v>
      </c>
      <c r="F1711" s="45" t="s">
        <v>721</v>
      </c>
      <c r="I1711" t="s">
        <v>726</v>
      </c>
    </row>
    <row r="1712" spans="1:9" hidden="1" x14ac:dyDescent="0.3">
      <c r="A1712" t="s">
        <v>772</v>
      </c>
      <c r="B1712" s="46">
        <v>45420</v>
      </c>
      <c r="C1712" s="45">
        <v>33950</v>
      </c>
      <c r="D1712" t="s">
        <v>1101</v>
      </c>
      <c r="E1712" s="46">
        <v>45469</v>
      </c>
      <c r="F1712" s="45" t="s">
        <v>721</v>
      </c>
      <c r="I1712" t="s">
        <v>762</v>
      </c>
    </row>
    <row r="1713" spans="1:9" hidden="1" x14ac:dyDescent="0.3">
      <c r="A1713" t="s">
        <v>722</v>
      </c>
      <c r="B1713" s="46">
        <v>45338</v>
      </c>
      <c r="C1713" s="45">
        <v>33900</v>
      </c>
      <c r="D1713" t="s">
        <v>735</v>
      </c>
      <c r="E1713" s="46">
        <v>45366</v>
      </c>
      <c r="F1713" s="45" t="s">
        <v>721</v>
      </c>
      <c r="I1713" t="s">
        <v>762</v>
      </c>
    </row>
    <row r="1714" spans="1:9" hidden="1" x14ac:dyDescent="0.3">
      <c r="A1714" t="s">
        <v>794</v>
      </c>
      <c r="B1714" s="46">
        <v>45170</v>
      </c>
      <c r="C1714" s="45">
        <v>33900</v>
      </c>
      <c r="D1714" t="s">
        <v>1151</v>
      </c>
      <c r="E1714" s="46">
        <v>45215</v>
      </c>
      <c r="F1714" s="45" t="s">
        <v>721</v>
      </c>
    </row>
    <row r="1715" spans="1:9" hidden="1" x14ac:dyDescent="0.3">
      <c r="A1715" t="s">
        <v>767</v>
      </c>
      <c r="B1715" s="46">
        <v>45121</v>
      </c>
      <c r="C1715" s="45">
        <v>33600</v>
      </c>
      <c r="D1715" t="s">
        <v>1031</v>
      </c>
      <c r="E1715" s="46">
        <v>45154</v>
      </c>
      <c r="F1715" s="45" t="s">
        <v>721</v>
      </c>
      <c r="I1715" t="s">
        <v>726</v>
      </c>
    </row>
    <row r="1716" spans="1:9" hidden="1" x14ac:dyDescent="0.3">
      <c r="A1716" t="s">
        <v>767</v>
      </c>
      <c r="B1716" s="46">
        <v>45330</v>
      </c>
      <c r="C1716" s="45">
        <v>33600</v>
      </c>
      <c r="D1716" t="s">
        <v>1152</v>
      </c>
      <c r="E1716" s="46">
        <v>45366</v>
      </c>
      <c r="F1716" s="45" t="s">
        <v>721</v>
      </c>
      <c r="I1716" t="s">
        <v>726</v>
      </c>
    </row>
    <row r="1717" spans="1:9" hidden="1" x14ac:dyDescent="0.3">
      <c r="A1717" t="s">
        <v>727</v>
      </c>
      <c r="B1717" s="46">
        <v>45293</v>
      </c>
      <c r="C1717" s="45">
        <v>33500</v>
      </c>
      <c r="D1717" t="s">
        <v>1116</v>
      </c>
      <c r="E1717" s="46">
        <v>45337</v>
      </c>
      <c r="F1717" s="45" t="s">
        <v>721</v>
      </c>
      <c r="I1717" t="s">
        <v>726</v>
      </c>
    </row>
    <row r="1718" spans="1:9" hidden="1" x14ac:dyDescent="0.3">
      <c r="A1718" t="s">
        <v>724</v>
      </c>
      <c r="B1718" s="46">
        <v>45366</v>
      </c>
      <c r="C1718" s="45">
        <v>33500</v>
      </c>
      <c r="D1718" t="s">
        <v>882</v>
      </c>
      <c r="E1718" s="46">
        <v>45408</v>
      </c>
      <c r="F1718" s="45" t="s">
        <v>721</v>
      </c>
      <c r="I1718" t="s">
        <v>726</v>
      </c>
    </row>
    <row r="1719" spans="1:9" hidden="1" x14ac:dyDescent="0.3">
      <c r="A1719" t="s">
        <v>821</v>
      </c>
      <c r="B1719" s="46">
        <v>45131</v>
      </c>
      <c r="C1719" s="45">
        <v>33500</v>
      </c>
      <c r="D1719" t="s">
        <v>1153</v>
      </c>
      <c r="E1719" s="46">
        <v>45154</v>
      </c>
      <c r="F1719" s="45" t="s">
        <v>721</v>
      </c>
      <c r="I1719" t="s">
        <v>726</v>
      </c>
    </row>
    <row r="1720" spans="1:9" hidden="1" x14ac:dyDescent="0.3">
      <c r="A1720" t="s">
        <v>779</v>
      </c>
      <c r="B1720" s="46">
        <v>45187</v>
      </c>
      <c r="C1720" s="45">
        <v>33500</v>
      </c>
      <c r="D1720" t="s">
        <v>1155</v>
      </c>
      <c r="E1720" s="46">
        <v>45215</v>
      </c>
      <c r="F1720" s="45" t="s">
        <v>721</v>
      </c>
    </row>
    <row r="1721" spans="1:9" hidden="1" x14ac:dyDescent="0.3">
      <c r="A1721" t="s">
        <v>727</v>
      </c>
      <c r="B1721" s="46">
        <v>45267</v>
      </c>
      <c r="C1721" s="45">
        <v>33200</v>
      </c>
      <c r="D1721" t="s">
        <v>1156</v>
      </c>
      <c r="E1721" s="46">
        <v>45306</v>
      </c>
      <c r="F1721" s="45" t="s">
        <v>721</v>
      </c>
      <c r="I1721" t="s">
        <v>726</v>
      </c>
    </row>
    <row r="1722" spans="1:9" hidden="1" x14ac:dyDescent="0.3">
      <c r="A1722" t="s">
        <v>734</v>
      </c>
      <c r="B1722" s="46">
        <v>45226</v>
      </c>
      <c r="C1722" s="45">
        <v>33040</v>
      </c>
      <c r="D1722" t="s">
        <v>815</v>
      </c>
      <c r="E1722" s="46">
        <v>45245</v>
      </c>
      <c r="F1722" s="45" t="s">
        <v>721</v>
      </c>
      <c r="I1722" t="s">
        <v>762</v>
      </c>
    </row>
    <row r="1723" spans="1:9" hidden="1" x14ac:dyDescent="0.3">
      <c r="A1723" t="s">
        <v>779</v>
      </c>
      <c r="B1723" s="46">
        <v>45224</v>
      </c>
      <c r="C1723" s="45">
        <v>33000</v>
      </c>
      <c r="D1723" t="s">
        <v>1157</v>
      </c>
      <c r="E1723" s="46">
        <v>45246</v>
      </c>
      <c r="F1723" s="45" t="s">
        <v>721</v>
      </c>
    </row>
    <row r="1724" spans="1:9" hidden="1" x14ac:dyDescent="0.3">
      <c r="A1724" t="s">
        <v>722</v>
      </c>
      <c r="B1724" s="46">
        <v>45212</v>
      </c>
      <c r="C1724" s="45">
        <v>33000</v>
      </c>
      <c r="D1724" t="s">
        <v>853</v>
      </c>
      <c r="E1724" s="46">
        <v>45245</v>
      </c>
      <c r="F1724" s="45" t="s">
        <v>721</v>
      </c>
      <c r="I1724" t="s">
        <v>738</v>
      </c>
    </row>
    <row r="1725" spans="1:9" hidden="1" x14ac:dyDescent="0.3">
      <c r="A1725" t="s">
        <v>772</v>
      </c>
      <c r="B1725" s="46">
        <v>45219</v>
      </c>
      <c r="C1725" s="45">
        <v>33000</v>
      </c>
      <c r="D1725" t="s">
        <v>1030</v>
      </c>
      <c r="E1725" s="46">
        <v>45256</v>
      </c>
      <c r="F1725" s="45" t="s">
        <v>721</v>
      </c>
      <c r="I1725" t="s">
        <v>726</v>
      </c>
    </row>
    <row r="1726" spans="1:9" hidden="1" x14ac:dyDescent="0.3">
      <c r="A1726" t="s">
        <v>734</v>
      </c>
      <c r="B1726" s="46">
        <v>45252</v>
      </c>
      <c r="C1726" s="45">
        <v>33000</v>
      </c>
      <c r="D1726" t="s">
        <v>928</v>
      </c>
      <c r="E1726" s="46">
        <v>45275</v>
      </c>
      <c r="F1726" s="45" t="s">
        <v>721</v>
      </c>
      <c r="I1726" t="s">
        <v>726</v>
      </c>
    </row>
    <row r="1727" spans="1:9" hidden="1" x14ac:dyDescent="0.3">
      <c r="A1727" t="s">
        <v>724</v>
      </c>
      <c r="B1727" s="46">
        <v>45286</v>
      </c>
      <c r="C1727" s="45">
        <v>33000</v>
      </c>
      <c r="D1727" t="s">
        <v>1096</v>
      </c>
      <c r="E1727" s="46">
        <v>45317</v>
      </c>
      <c r="F1727" s="45" t="s">
        <v>721</v>
      </c>
      <c r="I1727" t="s">
        <v>841</v>
      </c>
    </row>
    <row r="1728" spans="1:9" hidden="1" x14ac:dyDescent="0.3">
      <c r="A1728" t="s">
        <v>724</v>
      </c>
      <c r="B1728" s="46">
        <v>45278</v>
      </c>
      <c r="C1728" s="45">
        <v>33000</v>
      </c>
      <c r="D1728" t="s">
        <v>1138</v>
      </c>
      <c r="E1728" s="46">
        <v>45317</v>
      </c>
      <c r="F1728" s="45" t="s">
        <v>721</v>
      </c>
      <c r="I1728" t="s">
        <v>726</v>
      </c>
    </row>
    <row r="1729" spans="1:9" hidden="1" x14ac:dyDescent="0.3">
      <c r="A1729" t="s">
        <v>724</v>
      </c>
      <c r="B1729" s="46">
        <v>45266</v>
      </c>
      <c r="C1729" s="45">
        <v>33000</v>
      </c>
      <c r="D1729" t="s">
        <v>1030</v>
      </c>
      <c r="E1729" s="46">
        <v>45317</v>
      </c>
      <c r="F1729" s="45" t="s">
        <v>721</v>
      </c>
      <c r="I1729" t="s">
        <v>726</v>
      </c>
    </row>
    <row r="1730" spans="1:9" hidden="1" x14ac:dyDescent="0.3">
      <c r="A1730" t="s">
        <v>777</v>
      </c>
      <c r="B1730" s="46">
        <v>45268</v>
      </c>
      <c r="C1730" s="45">
        <v>33000</v>
      </c>
      <c r="D1730" t="s">
        <v>875</v>
      </c>
      <c r="E1730" s="46">
        <v>45306</v>
      </c>
      <c r="F1730" s="45" t="s">
        <v>721</v>
      </c>
      <c r="I1730" t="s">
        <v>818</v>
      </c>
    </row>
    <row r="1731" spans="1:9" hidden="1" x14ac:dyDescent="0.3">
      <c r="A1731" t="s">
        <v>729</v>
      </c>
      <c r="B1731" s="46">
        <v>45279</v>
      </c>
      <c r="C1731" s="45">
        <v>33000</v>
      </c>
      <c r="D1731" t="s">
        <v>974</v>
      </c>
      <c r="E1731" s="46">
        <v>45306</v>
      </c>
      <c r="F1731" s="45" t="s">
        <v>721</v>
      </c>
      <c r="I1731" t="s">
        <v>726</v>
      </c>
    </row>
    <row r="1732" spans="1:9" hidden="1" x14ac:dyDescent="0.3">
      <c r="A1732" t="s">
        <v>748</v>
      </c>
      <c r="B1732" s="46">
        <v>45203</v>
      </c>
      <c r="C1732" s="45">
        <v>33000</v>
      </c>
      <c r="D1732" t="s">
        <v>851</v>
      </c>
      <c r="E1732" s="46">
        <v>45245</v>
      </c>
      <c r="F1732" s="45" t="s">
        <v>721</v>
      </c>
      <c r="I1732" t="s">
        <v>841</v>
      </c>
    </row>
    <row r="1733" spans="1:9" hidden="1" x14ac:dyDescent="0.3">
      <c r="A1733" t="s">
        <v>748</v>
      </c>
      <c r="B1733" s="46">
        <v>45127</v>
      </c>
      <c r="C1733" s="45">
        <v>33000</v>
      </c>
      <c r="D1733" t="s">
        <v>840</v>
      </c>
      <c r="E1733" s="46">
        <v>45154</v>
      </c>
      <c r="F1733" s="45" t="s">
        <v>721</v>
      </c>
      <c r="I1733" t="s">
        <v>841</v>
      </c>
    </row>
    <row r="1734" spans="1:9" hidden="1" x14ac:dyDescent="0.3">
      <c r="A1734" t="s">
        <v>748</v>
      </c>
      <c r="B1734" s="46">
        <v>45152</v>
      </c>
      <c r="C1734" s="45">
        <v>33000</v>
      </c>
      <c r="D1734" t="s">
        <v>851</v>
      </c>
      <c r="E1734" s="46">
        <v>45184</v>
      </c>
      <c r="F1734" s="45" t="s">
        <v>721</v>
      </c>
      <c r="I1734" t="s">
        <v>841</v>
      </c>
    </row>
    <row r="1735" spans="1:9" hidden="1" x14ac:dyDescent="0.3">
      <c r="A1735" t="s">
        <v>748</v>
      </c>
      <c r="B1735" s="46">
        <v>45146</v>
      </c>
      <c r="C1735" s="45">
        <v>33000</v>
      </c>
      <c r="D1735" t="s">
        <v>851</v>
      </c>
      <c r="E1735" s="46">
        <v>45184</v>
      </c>
      <c r="F1735" s="45" t="s">
        <v>721</v>
      </c>
      <c r="I1735" t="s">
        <v>841</v>
      </c>
    </row>
    <row r="1736" spans="1:9" hidden="1" x14ac:dyDescent="0.3">
      <c r="A1736" t="s">
        <v>724</v>
      </c>
      <c r="B1736" s="46">
        <v>45371</v>
      </c>
      <c r="C1736" s="45">
        <v>33000</v>
      </c>
      <c r="D1736" t="s">
        <v>1030</v>
      </c>
      <c r="E1736" s="46">
        <v>45408</v>
      </c>
      <c r="F1736" s="45" t="s">
        <v>721</v>
      </c>
      <c r="I1736" t="s">
        <v>726</v>
      </c>
    </row>
    <row r="1737" spans="1:9" hidden="1" x14ac:dyDescent="0.3">
      <c r="A1737" t="s">
        <v>772</v>
      </c>
      <c r="B1737" s="46">
        <v>45327</v>
      </c>
      <c r="C1737" s="45">
        <v>33000</v>
      </c>
      <c r="D1737" t="s">
        <v>1138</v>
      </c>
      <c r="E1737" s="46">
        <v>45377</v>
      </c>
      <c r="F1737" s="45" t="s">
        <v>721</v>
      </c>
      <c r="I1737" t="s">
        <v>726</v>
      </c>
    </row>
    <row r="1738" spans="1:9" hidden="1" x14ac:dyDescent="0.3">
      <c r="A1738" t="s">
        <v>724</v>
      </c>
      <c r="B1738" s="46">
        <v>45338</v>
      </c>
      <c r="C1738" s="45">
        <v>33000</v>
      </c>
      <c r="D1738" t="s">
        <v>1030</v>
      </c>
      <c r="E1738" s="46">
        <v>45377</v>
      </c>
      <c r="F1738" s="45" t="s">
        <v>721</v>
      </c>
      <c r="I1738" t="s">
        <v>726</v>
      </c>
    </row>
    <row r="1739" spans="1:9" hidden="1" x14ac:dyDescent="0.3">
      <c r="A1739" t="s">
        <v>727</v>
      </c>
      <c r="B1739" s="46">
        <v>45377</v>
      </c>
      <c r="C1739" s="45">
        <v>33000</v>
      </c>
      <c r="D1739" t="s">
        <v>1158</v>
      </c>
      <c r="E1739" s="46">
        <v>45397</v>
      </c>
      <c r="F1739" s="45" t="s">
        <v>721</v>
      </c>
      <c r="I1739" t="s">
        <v>726</v>
      </c>
    </row>
    <row r="1740" spans="1:9" hidden="1" x14ac:dyDescent="0.3">
      <c r="A1740" t="s">
        <v>727</v>
      </c>
      <c r="B1740" s="46">
        <v>45370</v>
      </c>
      <c r="C1740" s="45">
        <v>33000</v>
      </c>
      <c r="D1740" t="s">
        <v>1030</v>
      </c>
      <c r="E1740" s="46">
        <v>45397</v>
      </c>
      <c r="F1740" s="45" t="s">
        <v>721</v>
      </c>
      <c r="I1740" t="s">
        <v>726</v>
      </c>
    </row>
    <row r="1741" spans="1:9" hidden="1" x14ac:dyDescent="0.3">
      <c r="A1741" t="s">
        <v>727</v>
      </c>
      <c r="B1741" s="46">
        <v>45363</v>
      </c>
      <c r="C1741" s="45">
        <v>33000</v>
      </c>
      <c r="D1741" t="s">
        <v>1724</v>
      </c>
      <c r="E1741" s="46">
        <v>45397</v>
      </c>
      <c r="F1741" s="45" t="s">
        <v>721</v>
      </c>
      <c r="I1741" t="s">
        <v>726</v>
      </c>
    </row>
    <row r="1742" spans="1:9" hidden="1" x14ac:dyDescent="0.3">
      <c r="A1742" t="s">
        <v>767</v>
      </c>
      <c r="B1742" s="46">
        <v>45363</v>
      </c>
      <c r="C1742" s="45">
        <v>33000</v>
      </c>
      <c r="D1742" t="s">
        <v>1030</v>
      </c>
      <c r="E1742" s="46">
        <v>45397</v>
      </c>
      <c r="F1742" s="45" t="s">
        <v>721</v>
      </c>
      <c r="I1742" t="s">
        <v>726</v>
      </c>
    </row>
    <row r="1743" spans="1:9" hidden="1" x14ac:dyDescent="0.3">
      <c r="A1743" t="s">
        <v>734</v>
      </c>
      <c r="B1743" s="46">
        <v>45376</v>
      </c>
      <c r="C1743" s="45">
        <v>33000</v>
      </c>
      <c r="D1743" t="s">
        <v>998</v>
      </c>
      <c r="E1743" s="46">
        <v>45397</v>
      </c>
      <c r="F1743" s="45" t="s">
        <v>721</v>
      </c>
      <c r="I1743" t="s">
        <v>726</v>
      </c>
    </row>
    <row r="1744" spans="1:9" hidden="1" x14ac:dyDescent="0.3">
      <c r="A1744" t="s">
        <v>777</v>
      </c>
      <c r="B1744" s="46">
        <v>45310</v>
      </c>
      <c r="C1744" s="45">
        <v>33000</v>
      </c>
      <c r="D1744" t="s">
        <v>875</v>
      </c>
      <c r="E1744" s="46">
        <v>45337</v>
      </c>
      <c r="F1744" s="45" t="s">
        <v>721</v>
      </c>
      <c r="I1744" t="s">
        <v>818</v>
      </c>
    </row>
    <row r="1745" spans="1:9" hidden="1" x14ac:dyDescent="0.3">
      <c r="A1745" t="s">
        <v>722</v>
      </c>
      <c r="B1745" s="46">
        <v>45348</v>
      </c>
      <c r="C1745" s="45">
        <v>33000</v>
      </c>
      <c r="D1745" t="s">
        <v>1158</v>
      </c>
      <c r="E1745" s="46">
        <v>45366</v>
      </c>
      <c r="F1745" s="45" t="s">
        <v>721</v>
      </c>
      <c r="I1745" t="s">
        <v>726</v>
      </c>
    </row>
    <row r="1746" spans="1:9" hidden="1" x14ac:dyDescent="0.3">
      <c r="A1746" t="s">
        <v>767</v>
      </c>
      <c r="B1746" s="46">
        <v>45328</v>
      </c>
      <c r="C1746" s="45">
        <v>33000</v>
      </c>
      <c r="D1746" t="s">
        <v>1030</v>
      </c>
      <c r="E1746" s="46">
        <v>45366</v>
      </c>
      <c r="F1746" s="45" t="s">
        <v>721</v>
      </c>
      <c r="I1746" t="s">
        <v>726</v>
      </c>
    </row>
    <row r="1747" spans="1:9" hidden="1" x14ac:dyDescent="0.3">
      <c r="A1747" t="s">
        <v>727</v>
      </c>
      <c r="B1747" s="46">
        <v>45342</v>
      </c>
      <c r="C1747" s="45">
        <v>33000</v>
      </c>
      <c r="D1747" t="s">
        <v>1030</v>
      </c>
      <c r="E1747" s="46">
        <v>45366</v>
      </c>
      <c r="F1747" s="45" t="s">
        <v>721</v>
      </c>
      <c r="I1747" t="s">
        <v>726</v>
      </c>
    </row>
    <row r="1748" spans="1:9" hidden="1" x14ac:dyDescent="0.3">
      <c r="A1748" t="s">
        <v>734</v>
      </c>
      <c r="B1748" s="46">
        <v>45324</v>
      </c>
      <c r="C1748" s="45">
        <v>33000</v>
      </c>
      <c r="D1748" t="s">
        <v>998</v>
      </c>
      <c r="E1748" s="46">
        <v>45366</v>
      </c>
      <c r="F1748" s="45" t="s">
        <v>721</v>
      </c>
      <c r="I1748" t="s">
        <v>726</v>
      </c>
    </row>
    <row r="1749" spans="1:9" hidden="1" x14ac:dyDescent="0.3">
      <c r="A1749" t="s">
        <v>734</v>
      </c>
      <c r="B1749" s="46">
        <v>45335</v>
      </c>
      <c r="C1749" s="45">
        <v>33000</v>
      </c>
      <c r="D1749" t="s">
        <v>998</v>
      </c>
      <c r="E1749" s="46">
        <v>45366</v>
      </c>
      <c r="F1749" s="45" t="s">
        <v>721</v>
      </c>
      <c r="I1749" t="s">
        <v>726</v>
      </c>
    </row>
    <row r="1750" spans="1:9" hidden="1" x14ac:dyDescent="0.3">
      <c r="A1750" t="s">
        <v>724</v>
      </c>
      <c r="B1750" s="46">
        <v>45315</v>
      </c>
      <c r="C1750" s="45">
        <v>33000</v>
      </c>
      <c r="D1750" t="s">
        <v>1096</v>
      </c>
      <c r="E1750" s="46">
        <v>45348</v>
      </c>
      <c r="F1750" s="45" t="s">
        <v>721</v>
      </c>
      <c r="I1750" t="s">
        <v>841</v>
      </c>
    </row>
    <row r="1751" spans="1:9" hidden="1" x14ac:dyDescent="0.3">
      <c r="A1751" t="s">
        <v>724</v>
      </c>
      <c r="B1751" s="46">
        <v>45433</v>
      </c>
      <c r="C1751" s="45">
        <v>33000</v>
      </c>
      <c r="D1751" t="s">
        <v>1030</v>
      </c>
      <c r="E1751" s="46">
        <v>45469</v>
      </c>
      <c r="F1751" s="45" t="s">
        <v>721</v>
      </c>
      <c r="I1751" t="s">
        <v>726</v>
      </c>
    </row>
    <row r="1752" spans="1:9" hidden="1" x14ac:dyDescent="0.3">
      <c r="A1752" t="s">
        <v>767</v>
      </c>
      <c r="B1752" s="46">
        <v>45419</v>
      </c>
      <c r="C1752" s="45">
        <v>33000</v>
      </c>
      <c r="D1752" t="s">
        <v>1030</v>
      </c>
      <c r="E1752" s="46">
        <v>45458</v>
      </c>
      <c r="F1752" s="45" t="s">
        <v>721</v>
      </c>
      <c r="I1752" t="s">
        <v>726</v>
      </c>
    </row>
    <row r="1753" spans="1:9" hidden="1" x14ac:dyDescent="0.3">
      <c r="A1753" t="s">
        <v>767</v>
      </c>
      <c r="B1753" s="46">
        <v>45439</v>
      </c>
      <c r="C1753" s="45">
        <v>33000</v>
      </c>
      <c r="D1753" t="s">
        <v>2091</v>
      </c>
      <c r="E1753" s="46">
        <v>45458</v>
      </c>
      <c r="F1753" s="45" t="s">
        <v>721</v>
      </c>
      <c r="I1753" t="s">
        <v>726</v>
      </c>
    </row>
    <row r="1754" spans="1:9" hidden="1" x14ac:dyDescent="0.3">
      <c r="A1754" t="s">
        <v>734</v>
      </c>
      <c r="B1754" s="46">
        <v>45384</v>
      </c>
      <c r="C1754" s="45">
        <v>33000</v>
      </c>
      <c r="D1754" t="s">
        <v>994</v>
      </c>
      <c r="E1754" s="46">
        <v>45428</v>
      </c>
      <c r="F1754" s="45" t="s">
        <v>721</v>
      </c>
      <c r="I1754" t="s">
        <v>726</v>
      </c>
    </row>
    <row r="1755" spans="1:9" hidden="1" x14ac:dyDescent="0.3">
      <c r="A1755" t="s">
        <v>727</v>
      </c>
      <c r="B1755" s="46">
        <v>45385</v>
      </c>
      <c r="C1755" s="45">
        <v>33000</v>
      </c>
      <c r="D1755" t="s">
        <v>1158</v>
      </c>
      <c r="E1755" s="46">
        <v>45428</v>
      </c>
      <c r="F1755" s="45" t="s">
        <v>721</v>
      </c>
      <c r="I1755" t="s">
        <v>726</v>
      </c>
    </row>
    <row r="1756" spans="1:9" hidden="1" x14ac:dyDescent="0.3">
      <c r="A1756" t="s">
        <v>722</v>
      </c>
      <c r="B1756" s="46">
        <v>45412</v>
      </c>
      <c r="C1756" s="45">
        <v>33000</v>
      </c>
      <c r="D1756" t="s">
        <v>1030</v>
      </c>
      <c r="E1756" s="46">
        <v>45428</v>
      </c>
      <c r="F1756" s="45" t="s">
        <v>721</v>
      </c>
      <c r="I1756" t="s">
        <v>726</v>
      </c>
    </row>
    <row r="1757" spans="1:9" hidden="1" x14ac:dyDescent="0.3">
      <c r="A1757" t="s">
        <v>722</v>
      </c>
      <c r="B1757" s="46">
        <v>45394</v>
      </c>
      <c r="C1757" s="45">
        <v>33000</v>
      </c>
      <c r="D1757" t="s">
        <v>853</v>
      </c>
      <c r="E1757" s="46">
        <v>45428</v>
      </c>
      <c r="F1757" s="45" t="s">
        <v>721</v>
      </c>
      <c r="I1757" t="s">
        <v>738</v>
      </c>
    </row>
    <row r="1758" spans="1:9" hidden="1" x14ac:dyDescent="0.3">
      <c r="A1758" t="s">
        <v>724</v>
      </c>
      <c r="B1758" s="46">
        <v>45394</v>
      </c>
      <c r="C1758" s="45">
        <v>33000</v>
      </c>
      <c r="D1758" t="s">
        <v>949</v>
      </c>
      <c r="E1758" s="46">
        <v>45438</v>
      </c>
      <c r="F1758" s="45" t="s">
        <v>721</v>
      </c>
      <c r="I1758" t="s">
        <v>726</v>
      </c>
    </row>
    <row r="1759" spans="1:9" hidden="1" x14ac:dyDescent="0.3">
      <c r="A1759" t="s">
        <v>729</v>
      </c>
      <c r="B1759" s="46">
        <v>45323</v>
      </c>
      <c r="C1759" s="45">
        <v>32800</v>
      </c>
      <c r="D1759" t="s">
        <v>1159</v>
      </c>
      <c r="E1759" s="46">
        <v>45366</v>
      </c>
      <c r="F1759" s="45" t="s">
        <v>721</v>
      </c>
      <c r="I1759" t="s">
        <v>726</v>
      </c>
    </row>
    <row r="1760" spans="1:9" hidden="1" x14ac:dyDescent="0.3">
      <c r="A1760" t="s">
        <v>1160</v>
      </c>
      <c r="B1760" s="46">
        <v>45222</v>
      </c>
      <c r="C1760" s="45">
        <v>32800</v>
      </c>
      <c r="D1760" t="s">
        <v>1161</v>
      </c>
      <c r="E1760" s="46">
        <v>45256</v>
      </c>
      <c r="F1760" s="45" t="s">
        <v>721</v>
      </c>
      <c r="I1760" t="s">
        <v>1162</v>
      </c>
    </row>
    <row r="1761" spans="1:9" hidden="1" x14ac:dyDescent="0.3">
      <c r="A1761" t="s">
        <v>767</v>
      </c>
      <c r="B1761" s="46">
        <v>45147</v>
      </c>
      <c r="C1761" s="45">
        <v>32700</v>
      </c>
      <c r="D1761" t="s">
        <v>999</v>
      </c>
      <c r="E1761" s="46">
        <v>45184</v>
      </c>
      <c r="F1761" s="45" t="s">
        <v>721</v>
      </c>
      <c r="I1761" t="s">
        <v>726</v>
      </c>
    </row>
    <row r="1762" spans="1:9" hidden="1" x14ac:dyDescent="0.3">
      <c r="A1762" t="s">
        <v>727</v>
      </c>
      <c r="B1762" s="46">
        <v>45316</v>
      </c>
      <c r="C1762" s="45">
        <v>32700</v>
      </c>
      <c r="D1762" t="s">
        <v>1163</v>
      </c>
      <c r="E1762" s="46">
        <v>45337</v>
      </c>
      <c r="F1762" s="45" t="s">
        <v>721</v>
      </c>
      <c r="I1762" t="s">
        <v>726</v>
      </c>
    </row>
    <row r="1763" spans="1:9" hidden="1" x14ac:dyDescent="0.3">
      <c r="A1763" t="s">
        <v>722</v>
      </c>
      <c r="B1763" s="46">
        <v>45432</v>
      </c>
      <c r="C1763" s="45">
        <v>32700</v>
      </c>
      <c r="D1763" t="s">
        <v>2084</v>
      </c>
      <c r="E1763" s="46">
        <v>45458</v>
      </c>
      <c r="F1763" s="45" t="s">
        <v>721</v>
      </c>
      <c r="I1763" t="s">
        <v>726</v>
      </c>
    </row>
    <row r="1764" spans="1:9" hidden="1" x14ac:dyDescent="0.3">
      <c r="A1764" t="s">
        <v>724</v>
      </c>
      <c r="B1764" s="46">
        <v>45439</v>
      </c>
      <c r="C1764" s="45">
        <v>32700</v>
      </c>
      <c r="D1764" t="s">
        <v>2083</v>
      </c>
      <c r="E1764" s="46">
        <v>45469</v>
      </c>
      <c r="F1764" s="45" t="s">
        <v>721</v>
      </c>
      <c r="I1764" t="s">
        <v>726</v>
      </c>
    </row>
    <row r="1765" spans="1:9" hidden="1" x14ac:dyDescent="0.3">
      <c r="A1765" t="s">
        <v>821</v>
      </c>
      <c r="B1765" s="46">
        <v>45322</v>
      </c>
      <c r="C1765" s="45">
        <v>32500</v>
      </c>
      <c r="D1765" t="s">
        <v>1164</v>
      </c>
      <c r="E1765" s="46">
        <v>45337</v>
      </c>
      <c r="F1765" s="45" t="s">
        <v>721</v>
      </c>
      <c r="I1765" t="s">
        <v>760</v>
      </c>
    </row>
    <row r="1766" spans="1:9" hidden="1" x14ac:dyDescent="0.3">
      <c r="A1766" t="s">
        <v>748</v>
      </c>
      <c r="B1766" s="46">
        <v>45351</v>
      </c>
      <c r="C1766" s="45">
        <v>32500</v>
      </c>
      <c r="D1766" t="s">
        <v>735</v>
      </c>
      <c r="E1766" s="46">
        <v>45397</v>
      </c>
      <c r="F1766" s="45" t="s">
        <v>721</v>
      </c>
      <c r="I1766" t="s">
        <v>762</v>
      </c>
    </row>
    <row r="1767" spans="1:9" hidden="1" x14ac:dyDescent="0.3">
      <c r="A1767" t="s">
        <v>729</v>
      </c>
      <c r="B1767" s="46">
        <v>45189</v>
      </c>
      <c r="C1767" s="45">
        <v>32440</v>
      </c>
      <c r="D1767" t="s">
        <v>765</v>
      </c>
      <c r="E1767" s="46">
        <v>45215</v>
      </c>
      <c r="F1767" s="45" t="s">
        <v>721</v>
      </c>
      <c r="I1767" t="s">
        <v>726</v>
      </c>
    </row>
    <row r="1768" spans="1:9" hidden="1" x14ac:dyDescent="0.3">
      <c r="A1768" t="s">
        <v>748</v>
      </c>
      <c r="B1768" s="46">
        <v>45321</v>
      </c>
      <c r="C1768" s="45">
        <v>32400</v>
      </c>
      <c r="D1768" t="s">
        <v>735</v>
      </c>
      <c r="E1768" s="46">
        <v>45337</v>
      </c>
      <c r="F1768" s="45" t="s">
        <v>721</v>
      </c>
      <c r="I1768" t="s">
        <v>726</v>
      </c>
    </row>
    <row r="1769" spans="1:9" hidden="1" x14ac:dyDescent="0.3">
      <c r="A1769" t="s">
        <v>734</v>
      </c>
      <c r="B1769" s="46">
        <v>45324</v>
      </c>
      <c r="C1769" s="45">
        <v>32400</v>
      </c>
      <c r="D1769" t="s">
        <v>998</v>
      </c>
      <c r="E1769" s="46">
        <v>45366</v>
      </c>
      <c r="F1769" s="45" t="s">
        <v>721</v>
      </c>
      <c r="I1769" t="s">
        <v>726</v>
      </c>
    </row>
    <row r="1770" spans="1:9" hidden="1" x14ac:dyDescent="0.3">
      <c r="A1770" t="s">
        <v>734</v>
      </c>
      <c r="B1770" s="46">
        <v>45335</v>
      </c>
      <c r="C1770" s="45">
        <v>32400</v>
      </c>
      <c r="D1770" t="s">
        <v>998</v>
      </c>
      <c r="E1770" s="46">
        <v>45366</v>
      </c>
      <c r="F1770" s="45" t="s">
        <v>721</v>
      </c>
      <c r="I1770" t="s">
        <v>726</v>
      </c>
    </row>
    <row r="1771" spans="1:9" hidden="1" x14ac:dyDescent="0.3">
      <c r="A1771" t="s">
        <v>722</v>
      </c>
      <c r="B1771" s="46">
        <v>45404</v>
      </c>
      <c r="C1771" s="45">
        <v>32340</v>
      </c>
      <c r="D1771" t="s">
        <v>776</v>
      </c>
      <c r="E1771" s="46">
        <v>45428</v>
      </c>
      <c r="F1771" s="45" t="s">
        <v>721</v>
      </c>
      <c r="I1771" t="s">
        <v>726</v>
      </c>
    </row>
    <row r="1772" spans="1:9" hidden="1" x14ac:dyDescent="0.3">
      <c r="A1772" t="s">
        <v>727</v>
      </c>
      <c r="B1772" s="46">
        <v>45232</v>
      </c>
      <c r="C1772" s="45">
        <v>32300</v>
      </c>
      <c r="D1772" t="s">
        <v>1165</v>
      </c>
      <c r="E1772" s="46">
        <v>45275</v>
      </c>
      <c r="F1772" s="45" t="s">
        <v>721</v>
      </c>
      <c r="I1772" t="s">
        <v>726</v>
      </c>
    </row>
    <row r="1773" spans="1:9" hidden="1" x14ac:dyDescent="0.3">
      <c r="A1773" t="s">
        <v>748</v>
      </c>
      <c r="B1773" s="46">
        <v>45188</v>
      </c>
      <c r="C1773" s="45">
        <v>32200</v>
      </c>
      <c r="D1773" t="s">
        <v>1048</v>
      </c>
      <c r="E1773" s="46">
        <v>45215</v>
      </c>
      <c r="F1773" s="45" t="s">
        <v>721</v>
      </c>
      <c r="I1773" t="s">
        <v>726</v>
      </c>
    </row>
    <row r="1774" spans="1:9" hidden="1" x14ac:dyDescent="0.3">
      <c r="A1774" t="s">
        <v>734</v>
      </c>
      <c r="B1774" s="46">
        <v>45429</v>
      </c>
      <c r="C1774" s="45">
        <v>32200</v>
      </c>
      <c r="D1774" t="s">
        <v>2104</v>
      </c>
      <c r="E1774" s="46">
        <v>45458</v>
      </c>
      <c r="F1774" s="45" t="s">
        <v>721</v>
      </c>
      <c r="I1774" t="s">
        <v>726</v>
      </c>
    </row>
    <row r="1775" spans="1:9" hidden="1" x14ac:dyDescent="0.3">
      <c r="A1775" t="s">
        <v>734</v>
      </c>
      <c r="B1775" s="46">
        <v>45183</v>
      </c>
      <c r="C1775" s="45">
        <v>32060</v>
      </c>
      <c r="D1775" t="s">
        <v>991</v>
      </c>
      <c r="E1775" s="46">
        <v>45215</v>
      </c>
      <c r="F1775" s="45" t="s">
        <v>721</v>
      </c>
      <c r="I1775" t="s">
        <v>726</v>
      </c>
    </row>
    <row r="1776" spans="1:9" hidden="1" x14ac:dyDescent="0.3">
      <c r="A1776" t="s">
        <v>722</v>
      </c>
      <c r="B1776" s="46">
        <v>45306</v>
      </c>
      <c r="C1776" s="45">
        <v>32040</v>
      </c>
      <c r="D1776" t="s">
        <v>1166</v>
      </c>
      <c r="E1776" s="46">
        <v>45337</v>
      </c>
      <c r="F1776" s="45" t="s">
        <v>721</v>
      </c>
      <c r="I1776" t="s">
        <v>801</v>
      </c>
    </row>
    <row r="1777" spans="1:9" hidden="1" x14ac:dyDescent="0.3">
      <c r="A1777" t="s">
        <v>748</v>
      </c>
      <c r="B1777" s="46">
        <v>45132</v>
      </c>
      <c r="C1777" s="45">
        <v>32020</v>
      </c>
      <c r="D1777" t="s">
        <v>735</v>
      </c>
      <c r="E1777" s="46">
        <v>45154</v>
      </c>
      <c r="F1777" s="45" t="s">
        <v>721</v>
      </c>
      <c r="I1777" t="s">
        <v>762</v>
      </c>
    </row>
    <row r="1778" spans="1:9" hidden="1" x14ac:dyDescent="0.3">
      <c r="A1778" t="s">
        <v>729</v>
      </c>
      <c r="B1778" s="46">
        <v>45133</v>
      </c>
      <c r="C1778" s="45">
        <v>32000</v>
      </c>
      <c r="D1778" t="s">
        <v>975</v>
      </c>
      <c r="E1778" s="46">
        <v>45154</v>
      </c>
      <c r="F1778" s="45" t="s">
        <v>721</v>
      </c>
      <c r="I1778" t="s">
        <v>760</v>
      </c>
    </row>
    <row r="1779" spans="1:9" hidden="1" x14ac:dyDescent="0.3">
      <c r="A1779" t="s">
        <v>821</v>
      </c>
      <c r="B1779" s="46">
        <v>45156</v>
      </c>
      <c r="C1779" s="45">
        <v>32000</v>
      </c>
      <c r="D1779" t="s">
        <v>1066</v>
      </c>
      <c r="E1779" s="46">
        <v>45184</v>
      </c>
      <c r="F1779" s="45" t="s">
        <v>721</v>
      </c>
      <c r="I1779" t="s">
        <v>726</v>
      </c>
    </row>
    <row r="1780" spans="1:9" hidden="1" x14ac:dyDescent="0.3">
      <c r="A1780" t="s">
        <v>775</v>
      </c>
      <c r="B1780" s="46">
        <v>45251</v>
      </c>
      <c r="C1780" s="45">
        <v>32000</v>
      </c>
      <c r="D1780" t="s">
        <v>1094</v>
      </c>
      <c r="E1780" s="46">
        <v>45278</v>
      </c>
      <c r="F1780" s="45" t="s">
        <v>721</v>
      </c>
      <c r="I1780" t="s">
        <v>726</v>
      </c>
    </row>
    <row r="1781" spans="1:9" hidden="1" x14ac:dyDescent="0.3">
      <c r="A1781" t="s">
        <v>724</v>
      </c>
      <c r="B1781" s="46">
        <v>45280</v>
      </c>
      <c r="C1781" s="45">
        <v>32000</v>
      </c>
      <c r="D1781" t="s">
        <v>1082</v>
      </c>
      <c r="E1781" s="46">
        <v>45317</v>
      </c>
      <c r="F1781" s="45" t="s">
        <v>721</v>
      </c>
      <c r="I1781" t="s">
        <v>726</v>
      </c>
    </row>
    <row r="1782" spans="1:9" hidden="1" x14ac:dyDescent="0.3">
      <c r="A1782" t="s">
        <v>724</v>
      </c>
      <c r="B1782" s="46">
        <v>45273</v>
      </c>
      <c r="C1782" s="45">
        <v>32000</v>
      </c>
      <c r="D1782" t="s">
        <v>1030</v>
      </c>
      <c r="E1782" s="46">
        <v>45317</v>
      </c>
      <c r="F1782" s="45" t="s">
        <v>721</v>
      </c>
      <c r="I1782" t="s">
        <v>726</v>
      </c>
    </row>
    <row r="1783" spans="1:9" hidden="1" x14ac:dyDescent="0.3">
      <c r="A1783" t="s">
        <v>734</v>
      </c>
      <c r="B1783" s="46">
        <v>45271</v>
      </c>
      <c r="C1783" s="45">
        <v>32000</v>
      </c>
      <c r="D1783" t="s">
        <v>869</v>
      </c>
      <c r="E1783" s="46">
        <v>45306</v>
      </c>
      <c r="F1783" s="45" t="s">
        <v>721</v>
      </c>
      <c r="I1783" t="s">
        <v>726</v>
      </c>
    </row>
    <row r="1784" spans="1:9" hidden="1" x14ac:dyDescent="0.3">
      <c r="A1784" t="s">
        <v>727</v>
      </c>
      <c r="B1784" s="46">
        <v>45280</v>
      </c>
      <c r="C1784" s="45">
        <v>32000</v>
      </c>
      <c r="D1784" t="s">
        <v>988</v>
      </c>
      <c r="E1784" s="46">
        <v>45306</v>
      </c>
      <c r="F1784" s="45" t="s">
        <v>721</v>
      </c>
      <c r="I1784" t="s">
        <v>726</v>
      </c>
    </row>
    <row r="1785" spans="1:9" hidden="1" x14ac:dyDescent="0.3">
      <c r="A1785" t="s">
        <v>767</v>
      </c>
      <c r="B1785" s="46">
        <v>45308</v>
      </c>
      <c r="C1785" s="45">
        <v>32000</v>
      </c>
      <c r="D1785" t="s">
        <v>988</v>
      </c>
      <c r="E1785" s="46">
        <v>45337</v>
      </c>
      <c r="F1785" s="45" t="s">
        <v>721</v>
      </c>
      <c r="I1785" t="s">
        <v>726</v>
      </c>
    </row>
    <row r="1786" spans="1:9" hidden="1" x14ac:dyDescent="0.3">
      <c r="A1786" t="s">
        <v>748</v>
      </c>
      <c r="B1786" s="46">
        <v>45303</v>
      </c>
      <c r="C1786" s="45">
        <v>32000</v>
      </c>
      <c r="D1786" t="s">
        <v>735</v>
      </c>
      <c r="E1786" s="46">
        <v>45337</v>
      </c>
      <c r="F1786" s="45" t="s">
        <v>721</v>
      </c>
      <c r="I1786" t="s">
        <v>762</v>
      </c>
    </row>
    <row r="1787" spans="1:9" hidden="1" x14ac:dyDescent="0.3">
      <c r="A1787" t="s">
        <v>734</v>
      </c>
      <c r="B1787" s="46">
        <v>45338</v>
      </c>
      <c r="C1787" s="45">
        <v>32000</v>
      </c>
      <c r="D1787" t="s">
        <v>994</v>
      </c>
      <c r="E1787" s="46">
        <v>45366</v>
      </c>
      <c r="F1787" s="45" t="s">
        <v>721</v>
      </c>
      <c r="I1787" t="s">
        <v>726</v>
      </c>
    </row>
    <row r="1788" spans="1:9" hidden="1" x14ac:dyDescent="0.3">
      <c r="A1788" t="s">
        <v>748</v>
      </c>
      <c r="B1788" s="46">
        <v>45349</v>
      </c>
      <c r="C1788" s="45">
        <v>32000</v>
      </c>
      <c r="D1788" t="s">
        <v>735</v>
      </c>
      <c r="E1788" s="46">
        <v>45366</v>
      </c>
      <c r="F1788" s="45" t="s">
        <v>721</v>
      </c>
      <c r="I1788" t="s">
        <v>762</v>
      </c>
    </row>
    <row r="1789" spans="1:9" hidden="1" x14ac:dyDescent="0.3">
      <c r="A1789" t="s">
        <v>727</v>
      </c>
      <c r="B1789" s="46">
        <v>45344</v>
      </c>
      <c r="C1789" s="45">
        <v>32000</v>
      </c>
      <c r="D1789" t="s">
        <v>1140</v>
      </c>
      <c r="E1789" s="46">
        <v>45366</v>
      </c>
      <c r="F1789" s="45" t="s">
        <v>721</v>
      </c>
      <c r="I1789" t="s">
        <v>726</v>
      </c>
    </row>
    <row r="1790" spans="1:9" hidden="1" x14ac:dyDescent="0.3">
      <c r="A1790" t="s">
        <v>724</v>
      </c>
      <c r="B1790" s="46">
        <v>45299</v>
      </c>
      <c r="C1790" s="45">
        <v>32000</v>
      </c>
      <c r="D1790" t="s">
        <v>1082</v>
      </c>
      <c r="E1790" s="46">
        <v>45348</v>
      </c>
      <c r="F1790" s="45" t="s">
        <v>721</v>
      </c>
      <c r="I1790" t="s">
        <v>726</v>
      </c>
    </row>
    <row r="1791" spans="1:9" hidden="1" x14ac:dyDescent="0.3">
      <c r="A1791" t="s">
        <v>745</v>
      </c>
      <c r="B1791" s="46">
        <v>45362</v>
      </c>
      <c r="C1791" s="45">
        <v>32000</v>
      </c>
      <c r="D1791" t="s">
        <v>2105</v>
      </c>
      <c r="E1791" s="46">
        <v>45398</v>
      </c>
      <c r="F1791" s="45" t="s">
        <v>721</v>
      </c>
      <c r="G1791">
        <v>0</v>
      </c>
      <c r="I1791" t="s">
        <v>726</v>
      </c>
    </row>
    <row r="1792" spans="1:9" hidden="1" x14ac:dyDescent="0.3">
      <c r="A1792" t="s">
        <v>777</v>
      </c>
      <c r="B1792" s="46">
        <v>45345</v>
      </c>
      <c r="C1792" s="45">
        <v>32000</v>
      </c>
      <c r="D1792" t="s">
        <v>875</v>
      </c>
      <c r="E1792" s="46">
        <v>45397</v>
      </c>
      <c r="F1792" s="45" t="s">
        <v>721</v>
      </c>
      <c r="I1792" t="s">
        <v>818</v>
      </c>
    </row>
    <row r="1793" spans="1:9" hidden="1" x14ac:dyDescent="0.3">
      <c r="A1793" t="s">
        <v>724</v>
      </c>
      <c r="B1793" s="46">
        <v>45345</v>
      </c>
      <c r="C1793" s="45">
        <v>32000</v>
      </c>
      <c r="D1793" t="s">
        <v>1082</v>
      </c>
      <c r="E1793" s="46">
        <v>45377</v>
      </c>
      <c r="F1793" s="45" t="s">
        <v>721</v>
      </c>
      <c r="I1793" t="s">
        <v>726</v>
      </c>
    </row>
    <row r="1794" spans="1:9" hidden="1" x14ac:dyDescent="0.3">
      <c r="A1794" t="s">
        <v>724</v>
      </c>
      <c r="B1794" s="46">
        <v>45370</v>
      </c>
      <c r="C1794" s="45">
        <v>32000</v>
      </c>
      <c r="D1794" t="s">
        <v>1137</v>
      </c>
      <c r="E1794" s="46">
        <v>45408</v>
      </c>
      <c r="F1794" s="45" t="s">
        <v>721</v>
      </c>
      <c r="I1794" t="s">
        <v>726</v>
      </c>
    </row>
    <row r="1795" spans="1:9" hidden="1" x14ac:dyDescent="0.3">
      <c r="A1795" t="s">
        <v>767</v>
      </c>
      <c r="B1795" s="46">
        <v>45415</v>
      </c>
      <c r="C1795" s="45">
        <v>32000</v>
      </c>
      <c r="D1795" t="s">
        <v>939</v>
      </c>
      <c r="E1795" s="46">
        <v>45458</v>
      </c>
      <c r="F1795" s="45" t="s">
        <v>721</v>
      </c>
      <c r="I1795" t="s">
        <v>726</v>
      </c>
    </row>
    <row r="1796" spans="1:9" hidden="1" x14ac:dyDescent="0.3">
      <c r="A1796" t="s">
        <v>724</v>
      </c>
      <c r="B1796" s="46">
        <v>45436</v>
      </c>
      <c r="C1796" s="45">
        <v>32000</v>
      </c>
      <c r="D1796" t="s">
        <v>802</v>
      </c>
      <c r="E1796" s="46">
        <v>45469</v>
      </c>
      <c r="F1796" s="45" t="s">
        <v>721</v>
      </c>
      <c r="I1796" t="s">
        <v>726</v>
      </c>
    </row>
    <row r="1797" spans="1:9" hidden="1" x14ac:dyDescent="0.3">
      <c r="A1797" t="s">
        <v>748</v>
      </c>
      <c r="B1797" s="46">
        <v>45386</v>
      </c>
      <c r="C1797" s="45">
        <v>32000</v>
      </c>
      <c r="D1797" t="s">
        <v>735</v>
      </c>
      <c r="E1797" s="46">
        <v>45428</v>
      </c>
      <c r="F1797" s="45" t="s">
        <v>721</v>
      </c>
      <c r="I1797" t="s">
        <v>762</v>
      </c>
    </row>
    <row r="1798" spans="1:9" hidden="1" x14ac:dyDescent="0.3">
      <c r="A1798" t="s">
        <v>821</v>
      </c>
      <c r="B1798" s="46">
        <v>45267</v>
      </c>
      <c r="C1798" s="45">
        <v>31950</v>
      </c>
      <c r="D1798" t="s">
        <v>1167</v>
      </c>
      <c r="E1798" s="46">
        <v>45306</v>
      </c>
      <c r="F1798" s="45" t="s">
        <v>721</v>
      </c>
      <c r="I1798" t="s">
        <v>726</v>
      </c>
    </row>
    <row r="1799" spans="1:9" hidden="1" x14ac:dyDescent="0.3">
      <c r="A1799" t="s">
        <v>734</v>
      </c>
      <c r="B1799" s="46">
        <v>45399</v>
      </c>
      <c r="C1799" s="45">
        <v>31900</v>
      </c>
      <c r="D1799" t="s">
        <v>893</v>
      </c>
      <c r="E1799" s="46">
        <v>45428</v>
      </c>
      <c r="F1799" s="45" t="s">
        <v>721</v>
      </c>
      <c r="I1799" t="s">
        <v>726</v>
      </c>
    </row>
    <row r="1800" spans="1:9" hidden="1" x14ac:dyDescent="0.3">
      <c r="A1800" t="s">
        <v>722</v>
      </c>
      <c r="B1800" s="46">
        <v>45390</v>
      </c>
      <c r="C1800" s="45">
        <v>31780</v>
      </c>
      <c r="D1800" t="s">
        <v>776</v>
      </c>
      <c r="E1800" s="46">
        <v>45428</v>
      </c>
      <c r="F1800" s="45" t="s">
        <v>721</v>
      </c>
      <c r="I1800" t="s">
        <v>726</v>
      </c>
    </row>
    <row r="1801" spans="1:9" hidden="1" x14ac:dyDescent="0.3">
      <c r="A1801" t="s">
        <v>772</v>
      </c>
      <c r="B1801" s="46">
        <v>45407</v>
      </c>
      <c r="C1801" s="45">
        <v>31700</v>
      </c>
      <c r="D1801" t="s">
        <v>820</v>
      </c>
      <c r="E1801" s="46">
        <v>45438</v>
      </c>
      <c r="F1801" s="45" t="s">
        <v>721</v>
      </c>
      <c r="I1801" t="s">
        <v>726</v>
      </c>
    </row>
    <row r="1802" spans="1:9" hidden="1" x14ac:dyDescent="0.3">
      <c r="A1802" t="s">
        <v>1169</v>
      </c>
      <c r="B1802" s="46">
        <v>45345</v>
      </c>
      <c r="C1802" s="45">
        <v>31700</v>
      </c>
      <c r="D1802" t="s">
        <v>1170</v>
      </c>
      <c r="E1802" s="46">
        <v>45377</v>
      </c>
      <c r="F1802" s="45" t="s">
        <v>721</v>
      </c>
      <c r="I1802" t="s">
        <v>1162</v>
      </c>
    </row>
    <row r="1803" spans="1:9" hidden="1" x14ac:dyDescent="0.3">
      <c r="A1803" t="s">
        <v>727</v>
      </c>
      <c r="B1803" s="46">
        <v>45281</v>
      </c>
      <c r="C1803" s="45">
        <v>31700</v>
      </c>
      <c r="D1803" t="s">
        <v>991</v>
      </c>
      <c r="E1803" s="46">
        <v>45306</v>
      </c>
      <c r="F1803" s="45" t="s">
        <v>721</v>
      </c>
      <c r="I1803" t="s">
        <v>726</v>
      </c>
    </row>
    <row r="1804" spans="1:9" hidden="1" x14ac:dyDescent="0.3">
      <c r="A1804" t="s">
        <v>767</v>
      </c>
      <c r="B1804" s="46">
        <v>45139</v>
      </c>
      <c r="C1804" s="45">
        <v>31700</v>
      </c>
      <c r="D1804" t="s">
        <v>1048</v>
      </c>
      <c r="E1804" s="46">
        <v>45184</v>
      </c>
      <c r="F1804" s="45" t="s">
        <v>721</v>
      </c>
      <c r="I1804" t="s">
        <v>726</v>
      </c>
    </row>
    <row r="1805" spans="1:9" hidden="1" x14ac:dyDescent="0.3">
      <c r="A1805" t="s">
        <v>767</v>
      </c>
      <c r="B1805" s="46">
        <v>45163</v>
      </c>
      <c r="C1805" s="45">
        <v>31700</v>
      </c>
      <c r="D1805" t="s">
        <v>1048</v>
      </c>
      <c r="E1805" s="46">
        <v>45184</v>
      </c>
      <c r="F1805" s="45" t="s">
        <v>721</v>
      </c>
      <c r="I1805" t="s">
        <v>726</v>
      </c>
    </row>
    <row r="1806" spans="1:9" hidden="1" x14ac:dyDescent="0.3">
      <c r="A1806" t="s">
        <v>748</v>
      </c>
      <c r="B1806" s="46">
        <v>45174</v>
      </c>
      <c r="C1806" s="45">
        <v>31700</v>
      </c>
      <c r="D1806" t="s">
        <v>1048</v>
      </c>
      <c r="E1806" s="46">
        <v>45215</v>
      </c>
      <c r="F1806" s="45" t="s">
        <v>721</v>
      </c>
      <c r="I1806" t="s">
        <v>726</v>
      </c>
    </row>
    <row r="1807" spans="1:9" hidden="1" x14ac:dyDescent="0.3">
      <c r="A1807" t="s">
        <v>748</v>
      </c>
      <c r="B1807" s="46">
        <v>45230</v>
      </c>
      <c r="C1807" s="45">
        <v>31700</v>
      </c>
      <c r="D1807" t="s">
        <v>1048</v>
      </c>
      <c r="E1807" s="46">
        <v>45245</v>
      </c>
      <c r="F1807" s="45" t="s">
        <v>721</v>
      </c>
      <c r="I1807" t="s">
        <v>726</v>
      </c>
    </row>
    <row r="1808" spans="1:9" hidden="1" x14ac:dyDescent="0.3">
      <c r="A1808" t="s">
        <v>743</v>
      </c>
      <c r="B1808" s="46">
        <v>45288</v>
      </c>
      <c r="C1808" s="45">
        <v>31614</v>
      </c>
      <c r="D1808" t="s">
        <v>753</v>
      </c>
      <c r="E1808" s="46">
        <v>45317</v>
      </c>
      <c r="F1808" s="45" t="s">
        <v>731</v>
      </c>
      <c r="G1808" t="s">
        <v>732</v>
      </c>
      <c r="H1808">
        <v>24</v>
      </c>
      <c r="I1808" t="s">
        <v>733</v>
      </c>
    </row>
    <row r="1809" spans="1:9" hidden="1" x14ac:dyDescent="0.3">
      <c r="A1809" t="s">
        <v>767</v>
      </c>
      <c r="B1809" s="46">
        <v>45268</v>
      </c>
      <c r="C1809" s="45">
        <v>31600</v>
      </c>
      <c r="D1809" t="s">
        <v>1127</v>
      </c>
      <c r="E1809" s="46">
        <v>45306</v>
      </c>
      <c r="F1809" s="45" t="s">
        <v>721</v>
      </c>
      <c r="I1809" t="s">
        <v>726</v>
      </c>
    </row>
    <row r="1810" spans="1:9" hidden="1" x14ac:dyDescent="0.3">
      <c r="A1810" t="s">
        <v>724</v>
      </c>
      <c r="B1810" s="46">
        <v>45294</v>
      </c>
      <c r="C1810" s="45">
        <v>31500</v>
      </c>
      <c r="D1810" t="s">
        <v>939</v>
      </c>
      <c r="E1810" s="46">
        <v>45317</v>
      </c>
      <c r="F1810" s="45" t="s">
        <v>721</v>
      </c>
      <c r="I1810" t="s">
        <v>726</v>
      </c>
    </row>
    <row r="1811" spans="1:9" hidden="1" x14ac:dyDescent="0.3">
      <c r="A1811" t="s">
        <v>727</v>
      </c>
      <c r="B1811" s="46">
        <v>45266</v>
      </c>
      <c r="C1811" s="45">
        <v>31500</v>
      </c>
      <c r="D1811" t="s">
        <v>982</v>
      </c>
      <c r="E1811" s="46">
        <v>45306</v>
      </c>
      <c r="F1811" s="45" t="s">
        <v>721</v>
      </c>
      <c r="I1811" t="s">
        <v>726</v>
      </c>
    </row>
    <row r="1812" spans="1:9" hidden="1" x14ac:dyDescent="0.3">
      <c r="A1812" t="s">
        <v>724</v>
      </c>
      <c r="B1812" s="46">
        <v>45245</v>
      </c>
      <c r="C1812" s="45">
        <v>31500</v>
      </c>
      <c r="D1812" t="s">
        <v>939</v>
      </c>
      <c r="E1812" s="46">
        <v>45286</v>
      </c>
      <c r="F1812" s="45" t="s">
        <v>721</v>
      </c>
      <c r="I1812" t="s">
        <v>726</v>
      </c>
    </row>
    <row r="1813" spans="1:9" hidden="1" x14ac:dyDescent="0.3">
      <c r="A1813" t="s">
        <v>727</v>
      </c>
      <c r="B1813" s="46">
        <v>45244</v>
      </c>
      <c r="C1813" s="45">
        <v>31500</v>
      </c>
      <c r="D1813" t="s">
        <v>982</v>
      </c>
      <c r="E1813" s="46">
        <v>45275</v>
      </c>
      <c r="F1813" s="45" t="s">
        <v>721</v>
      </c>
      <c r="I1813" t="s">
        <v>726</v>
      </c>
    </row>
    <row r="1814" spans="1:9" hidden="1" x14ac:dyDescent="0.3">
      <c r="A1814" t="s">
        <v>767</v>
      </c>
      <c r="B1814" s="46">
        <v>45254</v>
      </c>
      <c r="C1814" s="45">
        <v>31500</v>
      </c>
      <c r="D1814" t="s">
        <v>982</v>
      </c>
      <c r="E1814" s="46">
        <v>45275</v>
      </c>
      <c r="F1814" s="45" t="s">
        <v>721</v>
      </c>
      <c r="I1814" t="s">
        <v>726</v>
      </c>
    </row>
    <row r="1815" spans="1:9" hidden="1" x14ac:dyDescent="0.3">
      <c r="A1815" t="s">
        <v>724</v>
      </c>
      <c r="B1815" s="46">
        <v>45223</v>
      </c>
      <c r="C1815" s="45">
        <v>31500</v>
      </c>
      <c r="D1815" t="s">
        <v>939</v>
      </c>
      <c r="E1815" s="46">
        <v>45256</v>
      </c>
      <c r="F1815" s="45" t="s">
        <v>721</v>
      </c>
      <c r="I1815" t="s">
        <v>726</v>
      </c>
    </row>
    <row r="1816" spans="1:9" hidden="1" x14ac:dyDescent="0.3">
      <c r="A1816" t="s">
        <v>724</v>
      </c>
      <c r="B1816" s="46">
        <v>45212</v>
      </c>
      <c r="C1816" s="45">
        <v>31500</v>
      </c>
      <c r="D1816" t="s">
        <v>1132</v>
      </c>
      <c r="E1816" s="46">
        <v>45256</v>
      </c>
      <c r="F1816" s="45" t="s">
        <v>721</v>
      </c>
      <c r="I1816" t="s">
        <v>726</v>
      </c>
    </row>
    <row r="1817" spans="1:9" hidden="1" x14ac:dyDescent="0.3">
      <c r="A1817" t="s">
        <v>724</v>
      </c>
      <c r="B1817" s="46">
        <v>45233</v>
      </c>
      <c r="C1817" s="45">
        <v>31500</v>
      </c>
      <c r="D1817" t="s">
        <v>1172</v>
      </c>
      <c r="E1817" s="46">
        <v>45256</v>
      </c>
      <c r="F1817" s="45" t="s">
        <v>721</v>
      </c>
      <c r="I1817" t="s">
        <v>726</v>
      </c>
    </row>
    <row r="1818" spans="1:9" hidden="1" x14ac:dyDescent="0.3">
      <c r="A1818" t="s">
        <v>724</v>
      </c>
      <c r="B1818" s="46">
        <v>45177</v>
      </c>
      <c r="C1818" s="45">
        <v>31500</v>
      </c>
      <c r="D1818" t="s">
        <v>939</v>
      </c>
      <c r="E1818" s="46">
        <v>45225</v>
      </c>
      <c r="F1818" s="45" t="s">
        <v>721</v>
      </c>
      <c r="I1818" t="s">
        <v>726</v>
      </c>
    </row>
    <row r="1819" spans="1:9" hidden="1" x14ac:dyDescent="0.3">
      <c r="A1819" t="s">
        <v>724</v>
      </c>
      <c r="B1819" s="46">
        <v>45119</v>
      </c>
      <c r="C1819" s="45">
        <v>31500</v>
      </c>
      <c r="D1819" t="s">
        <v>939</v>
      </c>
      <c r="E1819" s="46">
        <v>45164</v>
      </c>
      <c r="F1819" s="45" t="s">
        <v>721</v>
      </c>
      <c r="I1819" t="s">
        <v>726</v>
      </c>
    </row>
    <row r="1820" spans="1:9" hidden="1" x14ac:dyDescent="0.3">
      <c r="A1820" t="s">
        <v>724</v>
      </c>
      <c r="B1820" s="46">
        <v>45356</v>
      </c>
      <c r="C1820" s="45">
        <v>31500</v>
      </c>
      <c r="D1820" t="s">
        <v>1171</v>
      </c>
      <c r="E1820" s="46">
        <v>45408</v>
      </c>
      <c r="F1820" s="45" t="s">
        <v>721</v>
      </c>
      <c r="I1820" t="s">
        <v>726</v>
      </c>
    </row>
    <row r="1821" spans="1:9" hidden="1" x14ac:dyDescent="0.3">
      <c r="A1821" t="s">
        <v>724</v>
      </c>
      <c r="B1821" s="46">
        <v>45355</v>
      </c>
      <c r="C1821" s="45">
        <v>31500</v>
      </c>
      <c r="D1821" t="s">
        <v>939</v>
      </c>
      <c r="E1821" s="46">
        <v>45408</v>
      </c>
      <c r="F1821" s="45" t="s">
        <v>721</v>
      </c>
      <c r="I1821" t="s">
        <v>726</v>
      </c>
    </row>
    <row r="1822" spans="1:9" hidden="1" x14ac:dyDescent="0.3">
      <c r="A1822" t="s">
        <v>722</v>
      </c>
      <c r="B1822" s="46">
        <v>45376</v>
      </c>
      <c r="C1822" s="45">
        <v>31500</v>
      </c>
      <c r="D1822" t="s">
        <v>939</v>
      </c>
      <c r="E1822" s="46">
        <v>45397</v>
      </c>
      <c r="F1822" s="45" t="s">
        <v>721</v>
      </c>
      <c r="I1822" t="s">
        <v>726</v>
      </c>
    </row>
    <row r="1823" spans="1:9" hidden="1" x14ac:dyDescent="0.3">
      <c r="A1823" t="s">
        <v>724</v>
      </c>
      <c r="B1823" s="46">
        <v>45314</v>
      </c>
      <c r="C1823" s="45">
        <v>31500</v>
      </c>
      <c r="D1823" t="s">
        <v>939</v>
      </c>
      <c r="E1823" s="46">
        <v>45348</v>
      </c>
      <c r="F1823" s="45" t="s">
        <v>721</v>
      </c>
      <c r="I1823" t="s">
        <v>726</v>
      </c>
    </row>
    <row r="1824" spans="1:9" hidden="1" x14ac:dyDescent="0.3">
      <c r="A1824" t="s">
        <v>724</v>
      </c>
      <c r="B1824" s="46">
        <v>45313</v>
      </c>
      <c r="C1824" s="45">
        <v>31500</v>
      </c>
      <c r="D1824" t="s">
        <v>1171</v>
      </c>
      <c r="E1824" s="46">
        <v>45348</v>
      </c>
      <c r="F1824" s="45" t="s">
        <v>721</v>
      </c>
      <c r="I1824" t="s">
        <v>726</v>
      </c>
    </row>
    <row r="1825" spans="1:9" hidden="1" x14ac:dyDescent="0.3">
      <c r="A1825" t="s">
        <v>734</v>
      </c>
      <c r="B1825" s="46">
        <v>45421</v>
      </c>
      <c r="C1825" s="45">
        <v>31400</v>
      </c>
      <c r="D1825" t="s">
        <v>2106</v>
      </c>
      <c r="E1825" s="46">
        <v>45458</v>
      </c>
      <c r="F1825" s="45" t="s">
        <v>721</v>
      </c>
      <c r="I1825" t="s">
        <v>726</v>
      </c>
    </row>
    <row r="1826" spans="1:9" hidden="1" x14ac:dyDescent="0.3">
      <c r="A1826" t="s">
        <v>767</v>
      </c>
      <c r="B1826" s="46">
        <v>45295</v>
      </c>
      <c r="C1826" s="45">
        <v>31200</v>
      </c>
      <c r="D1826" t="s">
        <v>1173</v>
      </c>
      <c r="E1826" s="46">
        <v>45337</v>
      </c>
      <c r="F1826" s="45" t="s">
        <v>721</v>
      </c>
      <c r="I1826" t="s">
        <v>726</v>
      </c>
    </row>
    <row r="1827" spans="1:9" hidden="1" x14ac:dyDescent="0.3">
      <c r="A1827" t="s">
        <v>734</v>
      </c>
      <c r="B1827" s="46">
        <v>45247</v>
      </c>
      <c r="C1827" s="45">
        <v>31050</v>
      </c>
      <c r="D1827" t="s">
        <v>1031</v>
      </c>
      <c r="E1827" s="46">
        <v>45275</v>
      </c>
      <c r="F1827" s="45" t="s">
        <v>721</v>
      </c>
      <c r="I1827" t="s">
        <v>726</v>
      </c>
    </row>
    <row r="1828" spans="1:9" hidden="1" x14ac:dyDescent="0.3">
      <c r="A1828" t="s">
        <v>767</v>
      </c>
      <c r="B1828" s="46">
        <v>45253</v>
      </c>
      <c r="C1828" s="45">
        <v>31000</v>
      </c>
      <c r="D1828" t="s">
        <v>1175</v>
      </c>
      <c r="E1828" s="46">
        <v>45275</v>
      </c>
      <c r="F1828" s="45" t="s">
        <v>721</v>
      </c>
      <c r="I1828" t="s">
        <v>726</v>
      </c>
    </row>
    <row r="1829" spans="1:9" hidden="1" x14ac:dyDescent="0.3">
      <c r="A1829" t="s">
        <v>772</v>
      </c>
      <c r="B1829" s="46">
        <v>45204</v>
      </c>
      <c r="C1829" s="45">
        <v>31000</v>
      </c>
      <c r="D1829" t="s">
        <v>1176</v>
      </c>
      <c r="E1829" s="46">
        <v>45256</v>
      </c>
      <c r="F1829" s="45" t="s">
        <v>721</v>
      </c>
      <c r="I1829" t="s">
        <v>726</v>
      </c>
    </row>
    <row r="1830" spans="1:9" hidden="1" x14ac:dyDescent="0.3">
      <c r="A1830" t="s">
        <v>779</v>
      </c>
      <c r="B1830" s="46">
        <v>45219</v>
      </c>
      <c r="C1830" s="45">
        <v>31000</v>
      </c>
      <c r="D1830" t="s">
        <v>986</v>
      </c>
      <c r="E1830" s="46">
        <v>45246</v>
      </c>
      <c r="F1830" s="45" t="s">
        <v>721</v>
      </c>
      <c r="I1830" t="s">
        <v>726</v>
      </c>
    </row>
    <row r="1831" spans="1:9" hidden="1" x14ac:dyDescent="0.3">
      <c r="A1831" t="s">
        <v>767</v>
      </c>
      <c r="B1831" s="46">
        <v>45279</v>
      </c>
      <c r="C1831" s="45">
        <v>31000</v>
      </c>
      <c r="D1831" t="s">
        <v>1116</v>
      </c>
      <c r="E1831" s="46">
        <v>45306</v>
      </c>
      <c r="F1831" s="45" t="s">
        <v>721</v>
      </c>
      <c r="I1831" t="s">
        <v>726</v>
      </c>
    </row>
    <row r="1832" spans="1:9" hidden="1" x14ac:dyDescent="0.3">
      <c r="A1832" t="s">
        <v>734</v>
      </c>
      <c r="B1832" s="46">
        <v>45120</v>
      </c>
      <c r="C1832" s="45">
        <v>31000</v>
      </c>
      <c r="D1832" t="s">
        <v>1177</v>
      </c>
      <c r="E1832" s="46">
        <v>45154</v>
      </c>
      <c r="F1832" s="45" t="s">
        <v>721</v>
      </c>
      <c r="I1832" t="s">
        <v>726</v>
      </c>
    </row>
    <row r="1833" spans="1:9" hidden="1" x14ac:dyDescent="0.3">
      <c r="A1833" t="s">
        <v>748</v>
      </c>
      <c r="B1833" s="46">
        <v>45217</v>
      </c>
      <c r="C1833" s="45">
        <v>31000</v>
      </c>
      <c r="D1833" t="s">
        <v>1030</v>
      </c>
      <c r="E1833" s="46">
        <v>45245</v>
      </c>
      <c r="F1833" s="45" t="s">
        <v>721</v>
      </c>
      <c r="I1833" t="s">
        <v>726</v>
      </c>
    </row>
    <row r="1834" spans="1:9" hidden="1" x14ac:dyDescent="0.3">
      <c r="A1834" t="s">
        <v>767</v>
      </c>
      <c r="B1834" s="46">
        <v>45299</v>
      </c>
      <c r="C1834" s="45">
        <v>31000</v>
      </c>
      <c r="D1834" t="s">
        <v>1116</v>
      </c>
      <c r="E1834" s="46">
        <v>45337</v>
      </c>
      <c r="F1834" s="45" t="s">
        <v>721</v>
      </c>
      <c r="I1834" t="s">
        <v>726</v>
      </c>
    </row>
    <row r="1835" spans="1:9" hidden="1" x14ac:dyDescent="0.3">
      <c r="A1835" t="s">
        <v>722</v>
      </c>
      <c r="B1835" s="46">
        <v>45315</v>
      </c>
      <c r="C1835" s="45">
        <v>31000</v>
      </c>
      <c r="D1835" t="s">
        <v>776</v>
      </c>
      <c r="E1835" s="46">
        <v>45337</v>
      </c>
      <c r="F1835" s="45" t="s">
        <v>721</v>
      </c>
      <c r="I1835" t="s">
        <v>740</v>
      </c>
    </row>
    <row r="1836" spans="1:9" hidden="1" x14ac:dyDescent="0.3">
      <c r="A1836" t="s">
        <v>727</v>
      </c>
      <c r="B1836" s="46">
        <v>45320</v>
      </c>
      <c r="C1836" s="45">
        <v>31000</v>
      </c>
      <c r="D1836" t="s">
        <v>1008</v>
      </c>
      <c r="E1836" s="46">
        <v>45337</v>
      </c>
      <c r="F1836" s="45" t="s">
        <v>721</v>
      </c>
      <c r="I1836" t="s">
        <v>726</v>
      </c>
    </row>
    <row r="1837" spans="1:9" hidden="1" x14ac:dyDescent="0.3">
      <c r="A1837" t="s">
        <v>722</v>
      </c>
      <c r="B1837" s="46">
        <v>45355</v>
      </c>
      <c r="C1837" s="45">
        <v>31000</v>
      </c>
      <c r="D1837" t="s">
        <v>1008</v>
      </c>
      <c r="E1837" s="46">
        <v>45397</v>
      </c>
      <c r="F1837" s="45" t="s">
        <v>721</v>
      </c>
      <c r="I1837" t="s">
        <v>726</v>
      </c>
    </row>
    <row r="1838" spans="1:9" hidden="1" x14ac:dyDescent="0.3">
      <c r="A1838" t="s">
        <v>734</v>
      </c>
      <c r="B1838" s="46">
        <v>45433</v>
      </c>
      <c r="C1838" s="45">
        <v>31000</v>
      </c>
      <c r="D1838" t="s">
        <v>735</v>
      </c>
      <c r="E1838" s="46">
        <v>45458</v>
      </c>
      <c r="F1838" s="45" t="s">
        <v>721</v>
      </c>
      <c r="I1838" t="s">
        <v>762</v>
      </c>
    </row>
    <row r="1839" spans="1:9" hidden="1" x14ac:dyDescent="0.3">
      <c r="A1839" t="s">
        <v>722</v>
      </c>
      <c r="B1839" s="46">
        <v>45223</v>
      </c>
      <c r="C1839" s="45">
        <v>30970</v>
      </c>
      <c r="D1839" t="s">
        <v>776</v>
      </c>
      <c r="E1839" s="46">
        <v>45245</v>
      </c>
      <c r="F1839" s="45" t="s">
        <v>721</v>
      </c>
      <c r="I1839" t="s">
        <v>726</v>
      </c>
    </row>
    <row r="1840" spans="1:9" hidden="1" x14ac:dyDescent="0.3">
      <c r="A1840" t="s">
        <v>724</v>
      </c>
      <c r="B1840" s="46">
        <v>45243</v>
      </c>
      <c r="C1840" s="45">
        <v>30900</v>
      </c>
      <c r="D1840" t="s">
        <v>1132</v>
      </c>
      <c r="E1840" s="46">
        <v>45286</v>
      </c>
      <c r="F1840" s="45" t="s">
        <v>721</v>
      </c>
      <c r="I1840" t="s">
        <v>726</v>
      </c>
    </row>
    <row r="1841" spans="1:9" hidden="1" x14ac:dyDescent="0.3">
      <c r="A1841" t="s">
        <v>727</v>
      </c>
      <c r="B1841" s="46">
        <v>45181</v>
      </c>
      <c r="C1841" s="45">
        <v>30900</v>
      </c>
      <c r="D1841" t="s">
        <v>982</v>
      </c>
      <c r="E1841" s="46">
        <v>45215</v>
      </c>
      <c r="F1841" s="45" t="s">
        <v>721</v>
      </c>
      <c r="I1841" t="s">
        <v>726</v>
      </c>
    </row>
    <row r="1842" spans="1:9" hidden="1" x14ac:dyDescent="0.3">
      <c r="A1842" t="s">
        <v>724</v>
      </c>
      <c r="B1842" s="46">
        <v>45322</v>
      </c>
      <c r="C1842" s="45">
        <v>30900</v>
      </c>
      <c r="D1842" t="s">
        <v>1132</v>
      </c>
      <c r="E1842" s="46">
        <v>45348</v>
      </c>
      <c r="F1842" s="45" t="s">
        <v>721</v>
      </c>
      <c r="I1842" t="s">
        <v>726</v>
      </c>
    </row>
    <row r="1843" spans="1:9" hidden="1" x14ac:dyDescent="0.3">
      <c r="A1843" t="s">
        <v>748</v>
      </c>
      <c r="B1843" s="46">
        <v>45380</v>
      </c>
      <c r="C1843" s="45">
        <v>30800</v>
      </c>
      <c r="D1843" t="s">
        <v>735</v>
      </c>
      <c r="E1843" s="46">
        <v>45397</v>
      </c>
      <c r="F1843" s="45" t="s">
        <v>721</v>
      </c>
      <c r="I1843" t="s">
        <v>726</v>
      </c>
    </row>
    <row r="1844" spans="1:9" hidden="1" x14ac:dyDescent="0.3">
      <c r="A1844" t="s">
        <v>779</v>
      </c>
      <c r="B1844" s="46">
        <v>45337</v>
      </c>
      <c r="C1844" s="45">
        <v>30800</v>
      </c>
      <c r="D1844" t="s">
        <v>1053</v>
      </c>
      <c r="E1844" s="46">
        <v>45369</v>
      </c>
      <c r="F1844" s="45" t="s">
        <v>721</v>
      </c>
      <c r="G1844">
        <v>0</v>
      </c>
      <c r="I1844" t="s">
        <v>726</v>
      </c>
    </row>
    <row r="1845" spans="1:9" hidden="1" x14ac:dyDescent="0.3">
      <c r="A1845" t="s">
        <v>748</v>
      </c>
      <c r="B1845" s="46">
        <v>45118</v>
      </c>
      <c r="C1845" s="45">
        <v>30800</v>
      </c>
      <c r="D1845" t="s">
        <v>980</v>
      </c>
      <c r="E1845" s="46">
        <v>45154</v>
      </c>
      <c r="F1845" s="45" t="s">
        <v>721</v>
      </c>
      <c r="I1845" t="s">
        <v>726</v>
      </c>
    </row>
    <row r="1846" spans="1:9" hidden="1" x14ac:dyDescent="0.3">
      <c r="A1846" t="s">
        <v>779</v>
      </c>
      <c r="B1846" s="46">
        <v>45231</v>
      </c>
      <c r="C1846" s="45">
        <v>30600</v>
      </c>
      <c r="D1846" t="s">
        <v>1178</v>
      </c>
      <c r="E1846" s="46">
        <v>45276</v>
      </c>
      <c r="F1846" s="45" t="s">
        <v>721</v>
      </c>
      <c r="G1846">
        <v>0</v>
      </c>
    </row>
    <row r="1847" spans="1:9" hidden="1" x14ac:dyDescent="0.3">
      <c r="A1847" t="s">
        <v>779</v>
      </c>
      <c r="B1847" s="46">
        <v>45231</v>
      </c>
      <c r="C1847" s="45">
        <v>30600</v>
      </c>
      <c r="D1847" t="s">
        <v>1178</v>
      </c>
      <c r="E1847" s="46">
        <v>45278</v>
      </c>
      <c r="F1847" s="45" t="s">
        <v>721</v>
      </c>
      <c r="I1847" t="s">
        <v>750</v>
      </c>
    </row>
    <row r="1848" spans="1:9" hidden="1" x14ac:dyDescent="0.3">
      <c r="A1848" t="s">
        <v>748</v>
      </c>
      <c r="B1848" s="46">
        <v>45174</v>
      </c>
      <c r="C1848" s="45">
        <v>30500</v>
      </c>
      <c r="D1848" t="s">
        <v>735</v>
      </c>
      <c r="E1848" s="46">
        <v>45215</v>
      </c>
      <c r="F1848" s="45" t="s">
        <v>721</v>
      </c>
      <c r="I1848" t="s">
        <v>762</v>
      </c>
    </row>
    <row r="1849" spans="1:9" hidden="1" x14ac:dyDescent="0.3">
      <c r="A1849" t="s">
        <v>722</v>
      </c>
      <c r="B1849" s="46">
        <v>45428</v>
      </c>
      <c r="C1849" s="45">
        <v>30390</v>
      </c>
      <c r="D1849" t="s">
        <v>771</v>
      </c>
      <c r="E1849" s="46">
        <v>45458</v>
      </c>
      <c r="F1849" s="45" t="s">
        <v>721</v>
      </c>
      <c r="I1849" t="s">
        <v>726</v>
      </c>
    </row>
    <row r="1850" spans="1:9" hidden="1" x14ac:dyDescent="0.3">
      <c r="A1850" t="s">
        <v>772</v>
      </c>
      <c r="B1850" s="46">
        <v>45359</v>
      </c>
      <c r="C1850" s="45">
        <v>30300</v>
      </c>
      <c r="D1850" t="s">
        <v>1730</v>
      </c>
      <c r="E1850" s="46">
        <v>45408</v>
      </c>
      <c r="F1850" s="45" t="s">
        <v>721</v>
      </c>
      <c r="I1850" t="s">
        <v>726</v>
      </c>
    </row>
    <row r="1851" spans="1:9" hidden="1" x14ac:dyDescent="0.3">
      <c r="A1851" t="s">
        <v>767</v>
      </c>
      <c r="B1851" s="46">
        <v>45356</v>
      </c>
      <c r="C1851" s="45">
        <v>30300</v>
      </c>
      <c r="D1851" t="s">
        <v>893</v>
      </c>
      <c r="E1851" s="46">
        <v>45397</v>
      </c>
      <c r="F1851" s="45" t="s">
        <v>721</v>
      </c>
      <c r="I1851" t="s">
        <v>726</v>
      </c>
    </row>
    <row r="1852" spans="1:9" hidden="1" x14ac:dyDescent="0.3">
      <c r="A1852" t="s">
        <v>724</v>
      </c>
      <c r="B1852" s="46">
        <v>45301</v>
      </c>
      <c r="C1852" s="45">
        <v>30300</v>
      </c>
      <c r="D1852" t="s">
        <v>1132</v>
      </c>
      <c r="E1852" s="46">
        <v>45348</v>
      </c>
      <c r="F1852" s="45" t="s">
        <v>721</v>
      </c>
      <c r="I1852" t="s">
        <v>726</v>
      </c>
    </row>
    <row r="1853" spans="1:9" hidden="1" x14ac:dyDescent="0.3">
      <c r="A1853" t="s">
        <v>724</v>
      </c>
      <c r="B1853" s="46">
        <v>45181</v>
      </c>
      <c r="C1853" s="45">
        <v>30300</v>
      </c>
      <c r="D1853" t="s">
        <v>1132</v>
      </c>
      <c r="E1853" s="46">
        <v>45225</v>
      </c>
      <c r="F1853" s="45" t="s">
        <v>721</v>
      </c>
      <c r="I1853" t="s">
        <v>726</v>
      </c>
    </row>
    <row r="1854" spans="1:9" hidden="1" x14ac:dyDescent="0.3">
      <c r="A1854" t="s">
        <v>724</v>
      </c>
      <c r="B1854" s="46">
        <v>45264</v>
      </c>
      <c r="C1854" s="45">
        <v>30300</v>
      </c>
      <c r="D1854" t="s">
        <v>1132</v>
      </c>
      <c r="E1854" s="46">
        <v>45317</v>
      </c>
      <c r="F1854" s="45" t="s">
        <v>721</v>
      </c>
      <c r="I1854" t="s">
        <v>726</v>
      </c>
    </row>
    <row r="1855" spans="1:9" hidden="1" x14ac:dyDescent="0.3">
      <c r="A1855" t="s">
        <v>767</v>
      </c>
      <c r="B1855" s="46">
        <v>45393</v>
      </c>
      <c r="C1855" s="45">
        <v>30200</v>
      </c>
      <c r="D1855" t="s">
        <v>1173</v>
      </c>
      <c r="E1855" s="46">
        <v>45428</v>
      </c>
      <c r="F1855" s="45" t="s">
        <v>721</v>
      </c>
      <c r="I1855" t="s">
        <v>726</v>
      </c>
    </row>
    <row r="1856" spans="1:9" hidden="1" x14ac:dyDescent="0.3">
      <c r="A1856" t="s">
        <v>767</v>
      </c>
      <c r="B1856" s="46">
        <v>45177</v>
      </c>
      <c r="C1856" s="45">
        <v>30100</v>
      </c>
      <c r="D1856" t="s">
        <v>980</v>
      </c>
      <c r="E1856" s="46">
        <v>45215</v>
      </c>
      <c r="F1856" s="45" t="s">
        <v>721</v>
      </c>
      <c r="I1856" t="s">
        <v>726</v>
      </c>
    </row>
    <row r="1857" spans="1:9" hidden="1" x14ac:dyDescent="0.3">
      <c r="A1857" t="s">
        <v>772</v>
      </c>
      <c r="B1857" s="46">
        <v>45156</v>
      </c>
      <c r="C1857" s="45">
        <v>30100</v>
      </c>
      <c r="D1857" t="s">
        <v>980</v>
      </c>
      <c r="E1857" s="46">
        <v>45195</v>
      </c>
      <c r="F1857" s="45" t="s">
        <v>721</v>
      </c>
      <c r="I1857" t="s">
        <v>760</v>
      </c>
    </row>
    <row r="1858" spans="1:9" hidden="1" x14ac:dyDescent="0.3">
      <c r="A1858" t="s">
        <v>729</v>
      </c>
      <c r="B1858" s="46">
        <v>45159</v>
      </c>
      <c r="C1858" s="45">
        <v>30100</v>
      </c>
      <c r="D1858" t="s">
        <v>771</v>
      </c>
      <c r="E1858" s="46">
        <v>45184</v>
      </c>
      <c r="F1858" s="45" t="s">
        <v>721</v>
      </c>
      <c r="I1858" t="s">
        <v>726</v>
      </c>
    </row>
    <row r="1859" spans="1:9" hidden="1" x14ac:dyDescent="0.3">
      <c r="A1859" t="s">
        <v>734</v>
      </c>
      <c r="B1859" s="46">
        <v>45372</v>
      </c>
      <c r="C1859" s="45">
        <v>30030</v>
      </c>
      <c r="D1859" t="s">
        <v>991</v>
      </c>
      <c r="E1859" s="46">
        <v>45397</v>
      </c>
      <c r="F1859" s="45" t="s">
        <v>721</v>
      </c>
      <c r="I1859" t="s">
        <v>726</v>
      </c>
    </row>
    <row r="1860" spans="1:9" hidden="1" x14ac:dyDescent="0.3">
      <c r="A1860" t="s">
        <v>748</v>
      </c>
      <c r="B1860" s="46">
        <v>45364</v>
      </c>
      <c r="C1860" s="45">
        <v>30000</v>
      </c>
      <c r="D1860" t="s">
        <v>783</v>
      </c>
      <c r="E1860" s="46">
        <v>45397</v>
      </c>
      <c r="F1860" s="45" t="s">
        <v>721</v>
      </c>
      <c r="I1860" t="s">
        <v>784</v>
      </c>
    </row>
    <row r="1861" spans="1:9" hidden="1" x14ac:dyDescent="0.3">
      <c r="A1861" t="s">
        <v>722</v>
      </c>
      <c r="B1861" s="46">
        <v>45371</v>
      </c>
      <c r="C1861" s="45">
        <v>30000</v>
      </c>
      <c r="D1861" t="s">
        <v>938</v>
      </c>
      <c r="E1861" s="46">
        <v>45397</v>
      </c>
      <c r="F1861" s="45" t="s">
        <v>721</v>
      </c>
      <c r="I1861" t="s">
        <v>726</v>
      </c>
    </row>
    <row r="1862" spans="1:9" hidden="1" x14ac:dyDescent="0.3">
      <c r="A1862" t="s">
        <v>727</v>
      </c>
      <c r="B1862" s="46">
        <v>45366</v>
      </c>
      <c r="C1862" s="45">
        <v>30000</v>
      </c>
      <c r="D1862" t="s">
        <v>1095</v>
      </c>
      <c r="E1862" s="46">
        <v>45397</v>
      </c>
      <c r="F1862" s="45" t="s">
        <v>721</v>
      </c>
      <c r="I1862" t="s">
        <v>726</v>
      </c>
    </row>
    <row r="1863" spans="1:9" hidden="1" x14ac:dyDescent="0.3">
      <c r="A1863" t="s">
        <v>727</v>
      </c>
      <c r="B1863" s="46">
        <v>45371</v>
      </c>
      <c r="C1863" s="45">
        <v>30000</v>
      </c>
      <c r="D1863" t="s">
        <v>1095</v>
      </c>
      <c r="E1863" s="46">
        <v>45397</v>
      </c>
      <c r="F1863" s="45" t="s">
        <v>721</v>
      </c>
      <c r="I1863" t="s">
        <v>726</v>
      </c>
    </row>
    <row r="1864" spans="1:9" hidden="1" x14ac:dyDescent="0.3">
      <c r="A1864" t="s">
        <v>779</v>
      </c>
      <c r="B1864" s="46">
        <v>45403</v>
      </c>
      <c r="C1864" s="45">
        <v>30000</v>
      </c>
      <c r="D1864" t="s">
        <v>2108</v>
      </c>
      <c r="E1864" s="46">
        <v>45428</v>
      </c>
      <c r="F1864" s="45" t="s">
        <v>721</v>
      </c>
      <c r="G1864">
        <v>0</v>
      </c>
      <c r="I1864" t="s">
        <v>726</v>
      </c>
    </row>
    <row r="1865" spans="1:9" hidden="1" x14ac:dyDescent="0.3">
      <c r="A1865" t="s">
        <v>724</v>
      </c>
      <c r="B1865" s="46">
        <v>45380</v>
      </c>
      <c r="C1865" s="45">
        <v>30000</v>
      </c>
      <c r="D1865" t="s">
        <v>989</v>
      </c>
      <c r="E1865" s="46">
        <v>45408</v>
      </c>
      <c r="F1865" s="45" t="s">
        <v>721</v>
      </c>
      <c r="I1865" t="s">
        <v>726</v>
      </c>
    </row>
    <row r="1866" spans="1:9" hidden="1" x14ac:dyDescent="0.3">
      <c r="A1866" t="s">
        <v>724</v>
      </c>
      <c r="B1866" s="46">
        <v>45378</v>
      </c>
      <c r="C1866" s="45">
        <v>30000</v>
      </c>
      <c r="D1866" t="s">
        <v>1082</v>
      </c>
      <c r="E1866" s="46">
        <v>45408</v>
      </c>
      <c r="F1866" s="45" t="s">
        <v>721</v>
      </c>
      <c r="I1866" t="s">
        <v>726</v>
      </c>
    </row>
    <row r="1867" spans="1:9" hidden="1" x14ac:dyDescent="0.3">
      <c r="A1867" t="s">
        <v>724</v>
      </c>
      <c r="B1867" s="46">
        <v>45329</v>
      </c>
      <c r="C1867" s="45">
        <v>30000</v>
      </c>
      <c r="D1867" t="s">
        <v>989</v>
      </c>
      <c r="E1867" s="46">
        <v>45377</v>
      </c>
      <c r="F1867" s="45" t="s">
        <v>721</v>
      </c>
      <c r="I1867" t="s">
        <v>726</v>
      </c>
    </row>
    <row r="1868" spans="1:9" hidden="1" x14ac:dyDescent="0.3">
      <c r="A1868" t="s">
        <v>748</v>
      </c>
      <c r="B1868" s="46">
        <v>45338</v>
      </c>
      <c r="C1868" s="45">
        <v>30000</v>
      </c>
      <c r="D1868" t="s">
        <v>1008</v>
      </c>
      <c r="E1868" s="46">
        <v>45366</v>
      </c>
      <c r="F1868" s="45" t="s">
        <v>721</v>
      </c>
      <c r="I1868" t="s">
        <v>726</v>
      </c>
    </row>
    <row r="1869" spans="1:9" hidden="1" x14ac:dyDescent="0.3">
      <c r="A1869" t="s">
        <v>724</v>
      </c>
      <c r="B1869" s="46">
        <v>45315</v>
      </c>
      <c r="C1869" s="45">
        <v>30000</v>
      </c>
      <c r="D1869" t="s">
        <v>989</v>
      </c>
      <c r="E1869" s="46">
        <v>45348</v>
      </c>
      <c r="F1869" s="45" t="s">
        <v>721</v>
      </c>
      <c r="I1869" t="s">
        <v>726</v>
      </c>
    </row>
    <row r="1870" spans="1:9" hidden="1" x14ac:dyDescent="0.3">
      <c r="A1870" t="s">
        <v>748</v>
      </c>
      <c r="B1870" s="46">
        <v>45317</v>
      </c>
      <c r="C1870" s="45">
        <v>30000</v>
      </c>
      <c r="D1870" t="s">
        <v>783</v>
      </c>
      <c r="E1870" s="46">
        <v>45337</v>
      </c>
      <c r="F1870" s="45" t="s">
        <v>721</v>
      </c>
      <c r="I1870" t="s">
        <v>784</v>
      </c>
    </row>
    <row r="1871" spans="1:9" hidden="1" x14ac:dyDescent="0.3">
      <c r="A1871" t="s">
        <v>727</v>
      </c>
      <c r="B1871" s="46">
        <v>45391</v>
      </c>
      <c r="C1871" s="45">
        <v>30000</v>
      </c>
      <c r="D1871" t="s">
        <v>1095</v>
      </c>
      <c r="E1871" s="46">
        <v>45428</v>
      </c>
      <c r="F1871" s="45" t="s">
        <v>721</v>
      </c>
      <c r="I1871" t="s">
        <v>726</v>
      </c>
    </row>
    <row r="1872" spans="1:9" hidden="1" x14ac:dyDescent="0.3">
      <c r="A1872" t="s">
        <v>727</v>
      </c>
      <c r="B1872" s="46">
        <v>45401</v>
      </c>
      <c r="C1872" s="45">
        <v>30000</v>
      </c>
      <c r="D1872" t="s">
        <v>991</v>
      </c>
      <c r="E1872" s="46">
        <v>45428</v>
      </c>
      <c r="F1872" s="45" t="s">
        <v>721</v>
      </c>
      <c r="I1872" t="s">
        <v>726</v>
      </c>
    </row>
    <row r="1873" spans="1:9" hidden="1" x14ac:dyDescent="0.3">
      <c r="A1873" t="s">
        <v>727</v>
      </c>
      <c r="B1873" s="46">
        <v>45384</v>
      </c>
      <c r="C1873" s="45">
        <v>30000</v>
      </c>
      <c r="D1873" t="s">
        <v>1095</v>
      </c>
      <c r="E1873" s="46">
        <v>45428</v>
      </c>
      <c r="F1873" s="45" t="s">
        <v>721</v>
      </c>
      <c r="I1873" t="s">
        <v>726</v>
      </c>
    </row>
    <row r="1874" spans="1:9" hidden="1" x14ac:dyDescent="0.3">
      <c r="A1874" t="s">
        <v>724</v>
      </c>
      <c r="B1874" s="46">
        <v>45397</v>
      </c>
      <c r="C1874" s="45">
        <v>30000</v>
      </c>
      <c r="D1874" t="s">
        <v>939</v>
      </c>
      <c r="E1874" s="46">
        <v>45438</v>
      </c>
      <c r="F1874" s="45" t="s">
        <v>721</v>
      </c>
      <c r="I1874" t="s">
        <v>726</v>
      </c>
    </row>
    <row r="1875" spans="1:9" hidden="1" x14ac:dyDescent="0.3">
      <c r="A1875" t="s">
        <v>748</v>
      </c>
      <c r="B1875" s="46">
        <v>45393</v>
      </c>
      <c r="C1875" s="45">
        <v>30000</v>
      </c>
      <c r="D1875" t="s">
        <v>783</v>
      </c>
      <c r="E1875" s="46">
        <v>45428</v>
      </c>
      <c r="F1875" s="45" t="s">
        <v>721</v>
      </c>
      <c r="I1875" t="s">
        <v>784</v>
      </c>
    </row>
    <row r="1876" spans="1:9" hidden="1" x14ac:dyDescent="0.3">
      <c r="A1876" t="s">
        <v>724</v>
      </c>
      <c r="B1876" s="46">
        <v>45391</v>
      </c>
      <c r="C1876" s="45">
        <v>30000</v>
      </c>
      <c r="D1876" t="s">
        <v>989</v>
      </c>
      <c r="E1876" s="46">
        <v>45438</v>
      </c>
      <c r="F1876" s="45" t="s">
        <v>721</v>
      </c>
      <c r="I1876" t="s">
        <v>726</v>
      </c>
    </row>
    <row r="1877" spans="1:9" hidden="1" x14ac:dyDescent="0.3">
      <c r="A1877" t="s">
        <v>748</v>
      </c>
      <c r="B1877" s="46">
        <v>45415</v>
      </c>
      <c r="C1877" s="45">
        <v>30000</v>
      </c>
      <c r="D1877" t="s">
        <v>783</v>
      </c>
      <c r="E1877" s="46">
        <v>45458</v>
      </c>
      <c r="F1877" s="45" t="s">
        <v>721</v>
      </c>
      <c r="I1877" t="s">
        <v>784</v>
      </c>
    </row>
    <row r="1878" spans="1:9" hidden="1" x14ac:dyDescent="0.3">
      <c r="A1878" t="s">
        <v>748</v>
      </c>
      <c r="B1878" s="46">
        <v>45426</v>
      </c>
      <c r="C1878" s="45">
        <v>30000</v>
      </c>
      <c r="D1878" t="s">
        <v>783</v>
      </c>
      <c r="E1878" s="46">
        <v>45458</v>
      </c>
      <c r="F1878" s="45" t="s">
        <v>721</v>
      </c>
      <c r="I1878" t="s">
        <v>784</v>
      </c>
    </row>
    <row r="1879" spans="1:9" hidden="1" x14ac:dyDescent="0.3">
      <c r="A1879" t="s">
        <v>724</v>
      </c>
      <c r="B1879" s="46">
        <v>45432</v>
      </c>
      <c r="C1879" s="45">
        <v>30000</v>
      </c>
      <c r="D1879" t="s">
        <v>1095</v>
      </c>
      <c r="E1879" s="46">
        <v>45469</v>
      </c>
      <c r="F1879" s="45" t="s">
        <v>721</v>
      </c>
      <c r="I1879" t="s">
        <v>726</v>
      </c>
    </row>
    <row r="1880" spans="1:9" hidden="1" x14ac:dyDescent="0.3">
      <c r="A1880" t="s">
        <v>775</v>
      </c>
      <c r="B1880" s="46">
        <v>45439</v>
      </c>
      <c r="C1880" s="45">
        <v>30000</v>
      </c>
      <c r="D1880" t="s">
        <v>2107</v>
      </c>
      <c r="E1880" s="46">
        <v>45459</v>
      </c>
      <c r="F1880" s="45" t="s">
        <v>721</v>
      </c>
      <c r="I1880" t="s">
        <v>756</v>
      </c>
    </row>
    <row r="1881" spans="1:9" hidden="1" x14ac:dyDescent="0.3">
      <c r="A1881" t="s">
        <v>772</v>
      </c>
      <c r="B1881" s="46">
        <v>45120</v>
      </c>
      <c r="C1881" s="45">
        <v>30000</v>
      </c>
      <c r="D1881" t="s">
        <v>1180</v>
      </c>
      <c r="E1881" s="46">
        <v>45164</v>
      </c>
      <c r="F1881" s="45" t="s">
        <v>721</v>
      </c>
      <c r="I1881" t="s">
        <v>726</v>
      </c>
    </row>
    <row r="1882" spans="1:9" hidden="1" x14ac:dyDescent="0.3">
      <c r="A1882" t="s">
        <v>727</v>
      </c>
      <c r="B1882" s="46">
        <v>45121</v>
      </c>
      <c r="C1882" s="45">
        <v>30000</v>
      </c>
      <c r="D1882" t="s">
        <v>997</v>
      </c>
      <c r="E1882" s="46">
        <v>45154</v>
      </c>
      <c r="F1882" s="45" t="s">
        <v>721</v>
      </c>
      <c r="I1882" t="s">
        <v>726</v>
      </c>
    </row>
    <row r="1883" spans="1:9" hidden="1" x14ac:dyDescent="0.3">
      <c r="A1883" t="s">
        <v>775</v>
      </c>
      <c r="B1883" s="46">
        <v>45138</v>
      </c>
      <c r="C1883" s="45">
        <v>30000</v>
      </c>
      <c r="D1883" t="s">
        <v>1068</v>
      </c>
      <c r="E1883" s="46">
        <v>45154</v>
      </c>
      <c r="F1883" s="45" t="s">
        <v>721</v>
      </c>
      <c r="I1883" t="s">
        <v>726</v>
      </c>
    </row>
    <row r="1884" spans="1:9" hidden="1" x14ac:dyDescent="0.3">
      <c r="A1884" t="s">
        <v>724</v>
      </c>
      <c r="B1884" s="46">
        <v>45167</v>
      </c>
      <c r="C1884" s="45">
        <v>30000</v>
      </c>
      <c r="D1884" t="s">
        <v>939</v>
      </c>
      <c r="E1884" s="46">
        <v>45195</v>
      </c>
      <c r="F1884" s="45" t="s">
        <v>721</v>
      </c>
      <c r="I1884" t="s">
        <v>726</v>
      </c>
    </row>
    <row r="1885" spans="1:9" hidden="1" x14ac:dyDescent="0.3">
      <c r="A1885" t="s">
        <v>724</v>
      </c>
      <c r="B1885" s="46">
        <v>45145</v>
      </c>
      <c r="C1885" s="45">
        <v>30000</v>
      </c>
      <c r="D1885" t="s">
        <v>977</v>
      </c>
      <c r="E1885" s="46">
        <v>45195</v>
      </c>
      <c r="F1885" s="45" t="s">
        <v>721</v>
      </c>
      <c r="I1885" t="s">
        <v>726</v>
      </c>
    </row>
    <row r="1886" spans="1:9" hidden="1" x14ac:dyDescent="0.3">
      <c r="A1886" t="s">
        <v>729</v>
      </c>
      <c r="B1886" s="46">
        <v>45183</v>
      </c>
      <c r="C1886" s="45">
        <v>30000</v>
      </c>
      <c r="D1886" t="s">
        <v>1179</v>
      </c>
      <c r="E1886" s="46">
        <v>45215</v>
      </c>
      <c r="F1886" s="45" t="s">
        <v>721</v>
      </c>
      <c r="I1886" t="s">
        <v>726</v>
      </c>
    </row>
    <row r="1887" spans="1:9" hidden="1" x14ac:dyDescent="0.3">
      <c r="A1887" t="s">
        <v>724</v>
      </c>
      <c r="B1887" s="46">
        <v>45173</v>
      </c>
      <c r="C1887" s="45">
        <v>30000</v>
      </c>
      <c r="D1887" t="s">
        <v>882</v>
      </c>
      <c r="E1887" s="46">
        <v>45225</v>
      </c>
      <c r="F1887" s="45" t="s">
        <v>721</v>
      </c>
      <c r="I1887" t="s">
        <v>726</v>
      </c>
    </row>
    <row r="1888" spans="1:9" hidden="1" x14ac:dyDescent="0.3">
      <c r="A1888" t="s">
        <v>794</v>
      </c>
      <c r="B1888" s="46">
        <v>45170</v>
      </c>
      <c r="C1888" s="45">
        <v>30000</v>
      </c>
      <c r="D1888" t="s">
        <v>845</v>
      </c>
      <c r="E1888" s="46">
        <v>45215</v>
      </c>
      <c r="F1888" s="45" t="s">
        <v>721</v>
      </c>
    </row>
    <row r="1889" spans="1:9" hidden="1" x14ac:dyDescent="0.3">
      <c r="A1889" t="s">
        <v>775</v>
      </c>
      <c r="B1889" s="46">
        <v>45279</v>
      </c>
      <c r="C1889" s="45">
        <v>30000</v>
      </c>
      <c r="D1889" t="s">
        <v>949</v>
      </c>
      <c r="E1889" s="46">
        <v>45307</v>
      </c>
      <c r="F1889" s="45" t="s">
        <v>721</v>
      </c>
      <c r="I1889" t="s">
        <v>726</v>
      </c>
    </row>
    <row r="1890" spans="1:9" hidden="1" x14ac:dyDescent="0.3">
      <c r="A1890" t="s">
        <v>724</v>
      </c>
      <c r="B1890" s="46">
        <v>45271</v>
      </c>
      <c r="C1890" s="45">
        <v>30000</v>
      </c>
      <c r="D1890" t="s">
        <v>939</v>
      </c>
      <c r="E1890" s="46">
        <v>45317</v>
      </c>
      <c r="F1890" s="45" t="s">
        <v>721</v>
      </c>
      <c r="I1890" t="s">
        <v>726</v>
      </c>
    </row>
    <row r="1891" spans="1:9" hidden="1" x14ac:dyDescent="0.3">
      <c r="A1891" t="s">
        <v>761</v>
      </c>
      <c r="B1891" s="46">
        <v>45269</v>
      </c>
      <c r="C1891" s="45">
        <v>30000</v>
      </c>
      <c r="D1891" t="s">
        <v>837</v>
      </c>
      <c r="E1891" s="46">
        <v>45317</v>
      </c>
      <c r="F1891" s="45" t="s">
        <v>721</v>
      </c>
      <c r="I1891" t="s">
        <v>838</v>
      </c>
    </row>
    <row r="1892" spans="1:9" hidden="1" x14ac:dyDescent="0.3">
      <c r="A1892" t="s">
        <v>722</v>
      </c>
      <c r="B1892" s="46">
        <v>45264</v>
      </c>
      <c r="C1892" s="45">
        <v>30000</v>
      </c>
      <c r="D1892" t="s">
        <v>771</v>
      </c>
      <c r="E1892" s="46">
        <v>45306</v>
      </c>
      <c r="F1892" s="45" t="s">
        <v>721</v>
      </c>
      <c r="I1892" t="s">
        <v>762</v>
      </c>
    </row>
    <row r="1893" spans="1:9" hidden="1" x14ac:dyDescent="0.3">
      <c r="A1893" t="s">
        <v>727</v>
      </c>
      <c r="B1893" s="46">
        <v>45265</v>
      </c>
      <c r="C1893" s="45">
        <v>30000</v>
      </c>
      <c r="D1893" t="s">
        <v>938</v>
      </c>
      <c r="E1893" s="46">
        <v>45306</v>
      </c>
      <c r="F1893" s="45" t="s">
        <v>721</v>
      </c>
      <c r="I1893" t="s">
        <v>726</v>
      </c>
    </row>
    <row r="1894" spans="1:9" hidden="1" x14ac:dyDescent="0.3">
      <c r="A1894" t="s">
        <v>775</v>
      </c>
      <c r="B1894" s="46">
        <v>45240</v>
      </c>
      <c r="C1894" s="45">
        <v>30000</v>
      </c>
      <c r="D1894" t="s">
        <v>884</v>
      </c>
      <c r="E1894" s="46">
        <v>45278</v>
      </c>
      <c r="F1894" s="45" t="s">
        <v>721</v>
      </c>
      <c r="I1894" t="s">
        <v>726</v>
      </c>
    </row>
    <row r="1895" spans="1:9" hidden="1" x14ac:dyDescent="0.3">
      <c r="A1895" t="s">
        <v>722</v>
      </c>
      <c r="B1895" s="46">
        <v>45216</v>
      </c>
      <c r="C1895" s="45">
        <v>30000</v>
      </c>
      <c r="D1895" t="s">
        <v>1084</v>
      </c>
      <c r="E1895" s="46">
        <v>45245</v>
      </c>
      <c r="F1895" s="45" t="s">
        <v>721</v>
      </c>
      <c r="I1895" t="s">
        <v>834</v>
      </c>
    </row>
    <row r="1896" spans="1:9" hidden="1" x14ac:dyDescent="0.3">
      <c r="A1896" t="s">
        <v>724</v>
      </c>
      <c r="B1896" s="46">
        <v>45258</v>
      </c>
      <c r="C1896" s="45">
        <v>30000</v>
      </c>
      <c r="D1896" t="s">
        <v>1139</v>
      </c>
      <c r="E1896" s="46">
        <v>45286</v>
      </c>
      <c r="F1896" s="45" t="s">
        <v>721</v>
      </c>
      <c r="I1896" t="s">
        <v>726</v>
      </c>
    </row>
    <row r="1897" spans="1:9" hidden="1" x14ac:dyDescent="0.3">
      <c r="A1897" t="s">
        <v>772</v>
      </c>
      <c r="B1897" s="46">
        <v>45254</v>
      </c>
      <c r="C1897" s="45">
        <v>30000</v>
      </c>
      <c r="D1897" t="s">
        <v>1014</v>
      </c>
      <c r="E1897" s="46">
        <v>45286</v>
      </c>
      <c r="F1897" s="45" t="s">
        <v>721</v>
      </c>
      <c r="I1897" t="s">
        <v>726</v>
      </c>
    </row>
    <row r="1898" spans="1:9" hidden="1" x14ac:dyDescent="0.3">
      <c r="A1898" t="s">
        <v>724</v>
      </c>
      <c r="B1898" s="46">
        <v>45257</v>
      </c>
      <c r="C1898" s="45">
        <v>30000</v>
      </c>
      <c r="D1898" t="s">
        <v>989</v>
      </c>
      <c r="E1898" s="46">
        <v>45286</v>
      </c>
      <c r="F1898" s="45" t="s">
        <v>721</v>
      </c>
      <c r="I1898" t="s">
        <v>726</v>
      </c>
    </row>
    <row r="1899" spans="1:9" hidden="1" x14ac:dyDescent="0.3">
      <c r="A1899" t="s">
        <v>734</v>
      </c>
      <c r="B1899" s="46">
        <v>45232</v>
      </c>
      <c r="C1899" s="45">
        <v>30000</v>
      </c>
      <c r="D1899" t="s">
        <v>788</v>
      </c>
      <c r="E1899" s="46">
        <v>45275</v>
      </c>
      <c r="F1899" s="45" t="s">
        <v>721</v>
      </c>
      <c r="I1899" t="s">
        <v>726</v>
      </c>
    </row>
    <row r="1900" spans="1:9" hidden="1" x14ac:dyDescent="0.3">
      <c r="A1900" t="s">
        <v>734</v>
      </c>
      <c r="B1900" s="46">
        <v>45253</v>
      </c>
      <c r="C1900" s="45">
        <v>30000</v>
      </c>
      <c r="D1900" t="s">
        <v>991</v>
      </c>
      <c r="E1900" s="46">
        <v>45275</v>
      </c>
      <c r="F1900" s="45" t="s">
        <v>721</v>
      </c>
      <c r="I1900" t="s">
        <v>726</v>
      </c>
    </row>
    <row r="1901" spans="1:9" hidden="1" x14ac:dyDescent="0.3">
      <c r="A1901" t="s">
        <v>748</v>
      </c>
      <c r="B1901" s="46">
        <v>45294</v>
      </c>
      <c r="C1901" s="45">
        <v>29900</v>
      </c>
      <c r="D1901" t="s">
        <v>735</v>
      </c>
      <c r="E1901" s="46">
        <v>45337</v>
      </c>
      <c r="F1901" s="45" t="s">
        <v>721</v>
      </c>
      <c r="I1901" t="s">
        <v>782</v>
      </c>
    </row>
    <row r="1902" spans="1:9" hidden="1" x14ac:dyDescent="0.3">
      <c r="A1902" t="s">
        <v>724</v>
      </c>
      <c r="B1902" s="46">
        <v>45337</v>
      </c>
      <c r="C1902" s="45">
        <v>29900</v>
      </c>
      <c r="D1902" t="s">
        <v>789</v>
      </c>
      <c r="E1902" s="46">
        <v>45377</v>
      </c>
      <c r="F1902" s="45" t="s">
        <v>721</v>
      </c>
      <c r="I1902" t="s">
        <v>726</v>
      </c>
    </row>
    <row r="1903" spans="1:9" hidden="1" x14ac:dyDescent="0.3">
      <c r="A1903" t="s">
        <v>729</v>
      </c>
      <c r="B1903" s="46">
        <v>45189</v>
      </c>
      <c r="C1903" s="45">
        <v>29850</v>
      </c>
      <c r="D1903" t="s">
        <v>790</v>
      </c>
      <c r="E1903" s="46">
        <v>45215</v>
      </c>
      <c r="F1903" s="45" t="s">
        <v>721</v>
      </c>
      <c r="I1903" t="s">
        <v>756</v>
      </c>
    </row>
    <row r="1904" spans="1:9" hidden="1" x14ac:dyDescent="0.3">
      <c r="A1904" t="s">
        <v>729</v>
      </c>
      <c r="B1904" s="46">
        <v>45189</v>
      </c>
      <c r="C1904" s="45">
        <v>29850</v>
      </c>
      <c r="D1904" t="s">
        <v>790</v>
      </c>
      <c r="E1904" s="46">
        <v>45215</v>
      </c>
      <c r="F1904" s="45" t="s">
        <v>721</v>
      </c>
      <c r="I1904" t="s">
        <v>756</v>
      </c>
    </row>
    <row r="1905" spans="1:9" hidden="1" x14ac:dyDescent="0.3">
      <c r="A1905" t="s">
        <v>729</v>
      </c>
      <c r="B1905" s="46">
        <v>45189</v>
      </c>
      <c r="C1905" s="45">
        <v>29850</v>
      </c>
      <c r="D1905" t="s">
        <v>790</v>
      </c>
      <c r="E1905" s="46">
        <v>45215</v>
      </c>
      <c r="F1905" s="45" t="s">
        <v>721</v>
      </c>
      <c r="I1905" t="s">
        <v>756</v>
      </c>
    </row>
    <row r="1906" spans="1:9" hidden="1" x14ac:dyDescent="0.3">
      <c r="A1906" t="s">
        <v>767</v>
      </c>
      <c r="B1906" s="46">
        <v>45385</v>
      </c>
      <c r="C1906" s="45">
        <v>29800</v>
      </c>
      <c r="D1906" t="s">
        <v>1081</v>
      </c>
      <c r="E1906" s="46">
        <v>45428</v>
      </c>
      <c r="F1906" s="45" t="s">
        <v>721</v>
      </c>
      <c r="I1906" t="s">
        <v>726</v>
      </c>
    </row>
    <row r="1907" spans="1:9" hidden="1" x14ac:dyDescent="0.3">
      <c r="A1907" t="s">
        <v>748</v>
      </c>
      <c r="B1907" s="46">
        <v>45205</v>
      </c>
      <c r="C1907" s="45">
        <v>29700</v>
      </c>
      <c r="D1907" t="s">
        <v>1048</v>
      </c>
      <c r="E1907" s="46">
        <v>45245</v>
      </c>
      <c r="F1907" s="45" t="s">
        <v>721</v>
      </c>
      <c r="I1907" t="s">
        <v>726</v>
      </c>
    </row>
    <row r="1908" spans="1:9" hidden="1" x14ac:dyDescent="0.3">
      <c r="A1908" t="s">
        <v>772</v>
      </c>
      <c r="B1908" s="46">
        <v>45288</v>
      </c>
      <c r="C1908" s="45">
        <v>29700</v>
      </c>
      <c r="D1908" t="s">
        <v>820</v>
      </c>
      <c r="E1908" s="46">
        <v>45317</v>
      </c>
      <c r="F1908" s="45" t="s">
        <v>721</v>
      </c>
      <c r="I1908" t="s">
        <v>726</v>
      </c>
    </row>
    <row r="1909" spans="1:9" hidden="1" x14ac:dyDescent="0.3">
      <c r="A1909" t="s">
        <v>821</v>
      </c>
      <c r="B1909" s="46">
        <v>45149</v>
      </c>
      <c r="C1909" s="45">
        <v>29600</v>
      </c>
      <c r="D1909" t="s">
        <v>1182</v>
      </c>
      <c r="E1909" s="46">
        <v>45184</v>
      </c>
      <c r="F1909" s="45" t="s">
        <v>721</v>
      </c>
      <c r="I1909" t="s">
        <v>760</v>
      </c>
    </row>
    <row r="1910" spans="1:9" hidden="1" x14ac:dyDescent="0.3">
      <c r="A1910" t="s">
        <v>1160</v>
      </c>
      <c r="B1910" s="46">
        <v>45300</v>
      </c>
      <c r="C1910" s="45">
        <v>29600</v>
      </c>
      <c r="D1910" t="s">
        <v>1161</v>
      </c>
      <c r="E1910" s="46">
        <v>45348</v>
      </c>
      <c r="F1910" s="45" t="s">
        <v>721</v>
      </c>
      <c r="I1910" t="s">
        <v>1162</v>
      </c>
    </row>
    <row r="1911" spans="1:9" hidden="1" x14ac:dyDescent="0.3">
      <c r="A1911" t="s">
        <v>734</v>
      </c>
      <c r="B1911" s="46">
        <v>45295</v>
      </c>
      <c r="C1911" s="45">
        <v>29500</v>
      </c>
      <c r="D1911" t="s">
        <v>1167</v>
      </c>
      <c r="E1911" s="46">
        <v>45337</v>
      </c>
      <c r="F1911" s="45" t="s">
        <v>721</v>
      </c>
      <c r="I1911" t="s">
        <v>726</v>
      </c>
    </row>
    <row r="1912" spans="1:9" hidden="1" x14ac:dyDescent="0.3">
      <c r="A1912" t="s">
        <v>727</v>
      </c>
      <c r="B1912" s="46">
        <v>45356</v>
      </c>
      <c r="C1912" s="45">
        <v>29500</v>
      </c>
      <c r="D1912" t="s">
        <v>2060</v>
      </c>
      <c r="E1912" s="46">
        <v>45397</v>
      </c>
      <c r="F1912" s="45" t="s">
        <v>721</v>
      </c>
      <c r="I1912" t="s">
        <v>726</v>
      </c>
    </row>
    <row r="1913" spans="1:9" hidden="1" x14ac:dyDescent="0.3">
      <c r="A1913" t="s">
        <v>748</v>
      </c>
      <c r="B1913" s="46">
        <v>45412</v>
      </c>
      <c r="C1913" s="45">
        <v>29400</v>
      </c>
      <c r="D1913" t="s">
        <v>735</v>
      </c>
      <c r="E1913" s="46">
        <v>45428</v>
      </c>
      <c r="F1913" s="45" t="s">
        <v>721</v>
      </c>
      <c r="I1913" t="s">
        <v>726</v>
      </c>
    </row>
    <row r="1914" spans="1:9" hidden="1" x14ac:dyDescent="0.3">
      <c r="A1914" t="s">
        <v>724</v>
      </c>
      <c r="B1914" s="46">
        <v>45422</v>
      </c>
      <c r="C1914" s="45">
        <v>29000</v>
      </c>
      <c r="D1914" t="s">
        <v>989</v>
      </c>
      <c r="E1914" s="46">
        <v>45469</v>
      </c>
      <c r="F1914" s="45" t="s">
        <v>721</v>
      </c>
      <c r="I1914" t="s">
        <v>726</v>
      </c>
    </row>
    <row r="1915" spans="1:9" hidden="1" x14ac:dyDescent="0.3">
      <c r="A1915" t="s">
        <v>724</v>
      </c>
      <c r="B1915" s="46">
        <v>45350</v>
      </c>
      <c r="C1915" s="45">
        <v>29000</v>
      </c>
      <c r="D1915" t="s">
        <v>989</v>
      </c>
      <c r="E1915" s="46">
        <v>45377</v>
      </c>
      <c r="F1915" s="45" t="s">
        <v>721</v>
      </c>
      <c r="I1915" t="s">
        <v>726</v>
      </c>
    </row>
    <row r="1916" spans="1:9" hidden="1" x14ac:dyDescent="0.3">
      <c r="A1916" t="s">
        <v>724</v>
      </c>
      <c r="B1916" s="46">
        <v>45376</v>
      </c>
      <c r="C1916" s="45">
        <v>29000</v>
      </c>
      <c r="D1916" t="s">
        <v>989</v>
      </c>
      <c r="E1916" s="46">
        <v>45408</v>
      </c>
      <c r="F1916" s="45" t="s">
        <v>721</v>
      </c>
      <c r="I1916" t="s">
        <v>726</v>
      </c>
    </row>
    <row r="1917" spans="1:9" hidden="1" x14ac:dyDescent="0.3">
      <c r="A1917" t="s">
        <v>777</v>
      </c>
      <c r="B1917" s="46">
        <v>45363</v>
      </c>
      <c r="C1917" s="45">
        <v>29000</v>
      </c>
      <c r="D1917" t="s">
        <v>875</v>
      </c>
      <c r="E1917" s="46">
        <v>45397</v>
      </c>
      <c r="F1917" s="45" t="s">
        <v>721</v>
      </c>
      <c r="I1917" t="s">
        <v>818</v>
      </c>
    </row>
    <row r="1918" spans="1:9" hidden="1" x14ac:dyDescent="0.3">
      <c r="A1918" t="s">
        <v>722</v>
      </c>
      <c r="B1918" s="46">
        <v>45350</v>
      </c>
      <c r="C1918" s="45">
        <v>29000</v>
      </c>
      <c r="D1918" t="s">
        <v>988</v>
      </c>
      <c r="E1918" s="46">
        <v>45366</v>
      </c>
      <c r="F1918" s="45" t="s">
        <v>721</v>
      </c>
      <c r="I1918" t="s">
        <v>726</v>
      </c>
    </row>
    <row r="1919" spans="1:9" hidden="1" x14ac:dyDescent="0.3">
      <c r="A1919" t="s">
        <v>748</v>
      </c>
      <c r="B1919" s="46">
        <v>45145</v>
      </c>
      <c r="C1919" s="45">
        <v>29000</v>
      </c>
      <c r="D1919" t="s">
        <v>980</v>
      </c>
      <c r="E1919" s="46">
        <v>45184</v>
      </c>
      <c r="F1919" s="45" t="s">
        <v>721</v>
      </c>
      <c r="I1919" t="s">
        <v>726</v>
      </c>
    </row>
    <row r="1920" spans="1:9" hidden="1" x14ac:dyDescent="0.3">
      <c r="A1920" t="s">
        <v>734</v>
      </c>
      <c r="B1920" s="46">
        <v>45145</v>
      </c>
      <c r="C1920" s="45">
        <v>29000</v>
      </c>
      <c r="D1920" t="s">
        <v>1016</v>
      </c>
      <c r="E1920" s="46">
        <v>45184</v>
      </c>
      <c r="F1920" s="45" t="s">
        <v>721</v>
      </c>
      <c r="I1920" t="s">
        <v>726</v>
      </c>
    </row>
    <row r="1921" spans="1:9" hidden="1" x14ac:dyDescent="0.3">
      <c r="A1921" t="s">
        <v>724</v>
      </c>
      <c r="B1921" s="46">
        <v>45265</v>
      </c>
      <c r="C1921" s="45">
        <v>29000</v>
      </c>
      <c r="D1921" t="s">
        <v>1119</v>
      </c>
      <c r="E1921" s="46">
        <v>45317</v>
      </c>
      <c r="F1921" s="45" t="s">
        <v>721</v>
      </c>
      <c r="I1921" t="s">
        <v>726</v>
      </c>
    </row>
    <row r="1922" spans="1:9" hidden="1" x14ac:dyDescent="0.3">
      <c r="A1922" t="s">
        <v>779</v>
      </c>
      <c r="B1922" s="46">
        <v>45243</v>
      </c>
      <c r="C1922" s="45">
        <v>28800</v>
      </c>
      <c r="D1922" t="s">
        <v>1184</v>
      </c>
      <c r="E1922" s="46">
        <v>45278</v>
      </c>
      <c r="F1922" s="45" t="s">
        <v>721</v>
      </c>
      <c r="I1922" t="s">
        <v>726</v>
      </c>
    </row>
    <row r="1923" spans="1:9" hidden="1" x14ac:dyDescent="0.3">
      <c r="A1923" t="s">
        <v>779</v>
      </c>
      <c r="B1923" s="46">
        <v>45243</v>
      </c>
      <c r="C1923" s="45">
        <v>28800</v>
      </c>
      <c r="D1923" t="s">
        <v>1184</v>
      </c>
      <c r="E1923" s="46">
        <v>45276</v>
      </c>
      <c r="F1923" s="45" t="s">
        <v>721</v>
      </c>
      <c r="G1923">
        <v>0</v>
      </c>
      <c r="I1923" t="s">
        <v>726</v>
      </c>
    </row>
    <row r="1924" spans="1:9" hidden="1" x14ac:dyDescent="0.3">
      <c r="A1924" t="s">
        <v>727</v>
      </c>
      <c r="B1924" s="46">
        <v>45218</v>
      </c>
      <c r="C1924" s="45">
        <v>28800</v>
      </c>
      <c r="D1924" t="s">
        <v>1185</v>
      </c>
      <c r="E1924" s="46">
        <v>45245</v>
      </c>
      <c r="F1924" s="45" t="s">
        <v>721</v>
      </c>
      <c r="I1924" t="s">
        <v>726</v>
      </c>
    </row>
    <row r="1925" spans="1:9" hidden="1" x14ac:dyDescent="0.3">
      <c r="A1925" t="s">
        <v>767</v>
      </c>
      <c r="B1925" s="46">
        <v>45156</v>
      </c>
      <c r="C1925" s="45">
        <v>28700</v>
      </c>
      <c r="D1925" t="s">
        <v>980</v>
      </c>
      <c r="E1925" s="46">
        <v>45184</v>
      </c>
      <c r="F1925" s="45" t="s">
        <v>721</v>
      </c>
      <c r="I1925" t="s">
        <v>726</v>
      </c>
    </row>
    <row r="1926" spans="1:9" hidden="1" x14ac:dyDescent="0.3">
      <c r="A1926" t="s">
        <v>748</v>
      </c>
      <c r="B1926" s="46">
        <v>45132</v>
      </c>
      <c r="C1926" s="45">
        <v>28680</v>
      </c>
      <c r="D1926" t="s">
        <v>828</v>
      </c>
      <c r="E1926" s="46">
        <v>45154</v>
      </c>
      <c r="F1926" s="45" t="s">
        <v>721</v>
      </c>
      <c r="I1926" t="s">
        <v>762</v>
      </c>
    </row>
    <row r="1927" spans="1:9" hidden="1" x14ac:dyDescent="0.3">
      <c r="A1927" t="s">
        <v>724</v>
      </c>
      <c r="B1927" s="46">
        <v>45175</v>
      </c>
      <c r="C1927" s="45">
        <v>28600</v>
      </c>
      <c r="D1927" t="s">
        <v>1186</v>
      </c>
      <c r="E1927" s="46">
        <v>45225</v>
      </c>
      <c r="F1927" s="45" t="s">
        <v>721</v>
      </c>
      <c r="I1927" t="s">
        <v>726</v>
      </c>
    </row>
    <row r="1928" spans="1:9" hidden="1" x14ac:dyDescent="0.3">
      <c r="A1928" t="s">
        <v>734</v>
      </c>
      <c r="B1928" s="46">
        <v>45316</v>
      </c>
      <c r="C1928" s="45">
        <v>28600</v>
      </c>
      <c r="D1928" t="s">
        <v>788</v>
      </c>
      <c r="E1928" s="46">
        <v>45337</v>
      </c>
      <c r="F1928" s="45" t="s">
        <v>721</v>
      </c>
      <c r="I1928" t="s">
        <v>726</v>
      </c>
    </row>
    <row r="1929" spans="1:9" hidden="1" x14ac:dyDescent="0.3">
      <c r="A1929" t="s">
        <v>734</v>
      </c>
      <c r="B1929" s="46">
        <v>45393</v>
      </c>
      <c r="C1929" s="45">
        <v>28600</v>
      </c>
      <c r="D1929" t="s">
        <v>2109</v>
      </c>
      <c r="E1929" s="46">
        <v>45428</v>
      </c>
      <c r="F1929" s="45" t="s">
        <v>721</v>
      </c>
      <c r="I1929" t="s">
        <v>726</v>
      </c>
    </row>
    <row r="1930" spans="1:9" hidden="1" x14ac:dyDescent="0.3">
      <c r="A1930" t="s">
        <v>724</v>
      </c>
      <c r="B1930" s="46">
        <v>45377</v>
      </c>
      <c r="C1930" s="45">
        <v>28500</v>
      </c>
      <c r="D1930" t="s">
        <v>1171</v>
      </c>
      <c r="E1930" s="46">
        <v>45408</v>
      </c>
      <c r="F1930" s="45" t="s">
        <v>721</v>
      </c>
      <c r="I1930" t="s">
        <v>726</v>
      </c>
    </row>
    <row r="1931" spans="1:9" hidden="1" x14ac:dyDescent="0.3">
      <c r="A1931" t="s">
        <v>722</v>
      </c>
      <c r="B1931" s="46">
        <v>45363</v>
      </c>
      <c r="C1931" s="45">
        <v>28500</v>
      </c>
      <c r="D1931" t="s">
        <v>2110</v>
      </c>
      <c r="E1931" s="46">
        <v>45397</v>
      </c>
      <c r="F1931" s="45" t="s">
        <v>721</v>
      </c>
      <c r="I1931" t="s">
        <v>726</v>
      </c>
    </row>
    <row r="1932" spans="1:9" hidden="1" x14ac:dyDescent="0.3">
      <c r="A1932" t="s">
        <v>748</v>
      </c>
      <c r="B1932" s="46">
        <v>45210</v>
      </c>
      <c r="C1932" s="45">
        <v>28500</v>
      </c>
      <c r="D1932" t="s">
        <v>735</v>
      </c>
      <c r="E1932" s="46">
        <v>45245</v>
      </c>
      <c r="F1932" s="45" t="s">
        <v>721</v>
      </c>
      <c r="I1932" t="s">
        <v>762</v>
      </c>
    </row>
    <row r="1933" spans="1:9" hidden="1" x14ac:dyDescent="0.3">
      <c r="A1933" t="s">
        <v>748</v>
      </c>
      <c r="B1933" s="46">
        <v>45223</v>
      </c>
      <c r="C1933" s="45">
        <v>28500</v>
      </c>
      <c r="D1933" t="s">
        <v>735</v>
      </c>
      <c r="E1933" s="46">
        <v>45245</v>
      </c>
      <c r="F1933" s="45" t="s">
        <v>721</v>
      </c>
      <c r="I1933" t="s">
        <v>762</v>
      </c>
    </row>
    <row r="1934" spans="1:9" hidden="1" x14ac:dyDescent="0.3">
      <c r="A1934" t="s">
        <v>748</v>
      </c>
      <c r="B1934" s="46">
        <v>45184</v>
      </c>
      <c r="C1934" s="45">
        <v>28500</v>
      </c>
      <c r="D1934" t="s">
        <v>735</v>
      </c>
      <c r="E1934" s="46">
        <v>45215</v>
      </c>
      <c r="F1934" s="45" t="s">
        <v>721</v>
      </c>
      <c r="I1934" t="s">
        <v>762</v>
      </c>
    </row>
    <row r="1935" spans="1:9" hidden="1" x14ac:dyDescent="0.3">
      <c r="A1935" t="s">
        <v>748</v>
      </c>
      <c r="B1935" s="46">
        <v>45189</v>
      </c>
      <c r="C1935" s="45">
        <v>28500</v>
      </c>
      <c r="D1935" t="s">
        <v>735</v>
      </c>
      <c r="E1935" s="46">
        <v>45215</v>
      </c>
      <c r="F1935" s="45" t="s">
        <v>721</v>
      </c>
      <c r="I1935" t="s">
        <v>762</v>
      </c>
    </row>
    <row r="1936" spans="1:9" hidden="1" x14ac:dyDescent="0.3">
      <c r="A1936" t="s">
        <v>748</v>
      </c>
      <c r="B1936" s="46">
        <v>45174</v>
      </c>
      <c r="C1936" s="45">
        <v>28500</v>
      </c>
      <c r="D1936" t="s">
        <v>735</v>
      </c>
      <c r="E1936" s="46">
        <v>45215</v>
      </c>
      <c r="F1936" s="45" t="s">
        <v>721</v>
      </c>
      <c r="I1936" t="s">
        <v>762</v>
      </c>
    </row>
    <row r="1937" spans="1:9" hidden="1" x14ac:dyDescent="0.3">
      <c r="A1937" t="s">
        <v>748</v>
      </c>
      <c r="B1937" s="46">
        <v>45118</v>
      </c>
      <c r="C1937" s="45">
        <v>28500</v>
      </c>
      <c r="D1937" t="s">
        <v>735</v>
      </c>
      <c r="E1937" s="46">
        <v>45154</v>
      </c>
      <c r="F1937" s="45" t="s">
        <v>721</v>
      </c>
      <c r="I1937" t="s">
        <v>762</v>
      </c>
    </row>
    <row r="1938" spans="1:9" hidden="1" x14ac:dyDescent="0.3">
      <c r="A1938" t="s">
        <v>779</v>
      </c>
      <c r="B1938" s="46">
        <v>45133</v>
      </c>
      <c r="C1938" s="45">
        <v>28500</v>
      </c>
      <c r="D1938" t="s">
        <v>1187</v>
      </c>
      <c r="E1938" s="46">
        <v>45154</v>
      </c>
      <c r="F1938" s="45" t="s">
        <v>721</v>
      </c>
    </row>
    <row r="1939" spans="1:9" hidden="1" x14ac:dyDescent="0.3">
      <c r="A1939" t="s">
        <v>748</v>
      </c>
      <c r="B1939" s="46">
        <v>45160</v>
      </c>
      <c r="C1939" s="45">
        <v>28500</v>
      </c>
      <c r="D1939" t="s">
        <v>735</v>
      </c>
      <c r="E1939" s="46">
        <v>45184</v>
      </c>
      <c r="F1939" s="45" t="s">
        <v>721</v>
      </c>
      <c r="I1939" t="s">
        <v>762</v>
      </c>
    </row>
    <row r="1940" spans="1:9" hidden="1" x14ac:dyDescent="0.3">
      <c r="A1940" t="s">
        <v>767</v>
      </c>
      <c r="B1940" s="46">
        <v>45223</v>
      </c>
      <c r="C1940" s="45">
        <v>28500</v>
      </c>
      <c r="D1940" t="s">
        <v>1005</v>
      </c>
      <c r="E1940" s="46">
        <v>45245</v>
      </c>
      <c r="F1940" s="45" t="s">
        <v>721</v>
      </c>
      <c r="I1940" t="s">
        <v>726</v>
      </c>
    </row>
    <row r="1941" spans="1:9" hidden="1" x14ac:dyDescent="0.3">
      <c r="A1941" t="s">
        <v>767</v>
      </c>
      <c r="B1941" s="46">
        <v>45209</v>
      </c>
      <c r="C1941" s="45">
        <v>28500</v>
      </c>
      <c r="D1941" t="s">
        <v>1005</v>
      </c>
      <c r="E1941" s="46">
        <v>45245</v>
      </c>
      <c r="F1941" s="45" t="s">
        <v>721</v>
      </c>
      <c r="I1941" t="s">
        <v>726</v>
      </c>
    </row>
    <row r="1942" spans="1:9" hidden="1" x14ac:dyDescent="0.3">
      <c r="A1942" t="s">
        <v>727</v>
      </c>
      <c r="B1942" s="46">
        <v>45196</v>
      </c>
      <c r="C1942" s="45">
        <v>28500</v>
      </c>
      <c r="D1942" t="s">
        <v>1005</v>
      </c>
      <c r="E1942" s="46">
        <v>45245</v>
      </c>
      <c r="F1942" s="45" t="s">
        <v>721</v>
      </c>
      <c r="I1942" t="s">
        <v>726</v>
      </c>
    </row>
    <row r="1943" spans="1:9" hidden="1" x14ac:dyDescent="0.3">
      <c r="A1943" t="s">
        <v>748</v>
      </c>
      <c r="B1943" s="46">
        <v>45281</v>
      </c>
      <c r="C1943" s="45">
        <v>28500</v>
      </c>
      <c r="D1943" t="s">
        <v>735</v>
      </c>
      <c r="E1943" s="46">
        <v>45306</v>
      </c>
      <c r="F1943" s="45" t="s">
        <v>721</v>
      </c>
      <c r="I1943" t="s">
        <v>762</v>
      </c>
    </row>
    <row r="1944" spans="1:9" hidden="1" x14ac:dyDescent="0.3">
      <c r="A1944" t="s">
        <v>724</v>
      </c>
      <c r="B1944" s="46">
        <v>45275</v>
      </c>
      <c r="C1944" s="45">
        <v>28500</v>
      </c>
      <c r="D1944" t="s">
        <v>1110</v>
      </c>
      <c r="E1944" s="46">
        <v>45317</v>
      </c>
      <c r="F1944" s="45" t="s">
        <v>721</v>
      </c>
      <c r="I1944" t="s">
        <v>726</v>
      </c>
    </row>
    <row r="1945" spans="1:9" hidden="1" x14ac:dyDescent="0.3">
      <c r="A1945" t="s">
        <v>729</v>
      </c>
      <c r="B1945" s="46">
        <v>45225</v>
      </c>
      <c r="C1945" s="45">
        <v>28400</v>
      </c>
      <c r="D1945" t="s">
        <v>991</v>
      </c>
      <c r="E1945" s="46">
        <v>45245</v>
      </c>
      <c r="F1945" s="45" t="s">
        <v>721</v>
      </c>
      <c r="I1945" t="s">
        <v>726</v>
      </c>
    </row>
    <row r="1946" spans="1:9" hidden="1" x14ac:dyDescent="0.3">
      <c r="A1946" t="s">
        <v>727</v>
      </c>
      <c r="B1946" s="46">
        <v>45313</v>
      </c>
      <c r="C1946" s="45">
        <v>28350</v>
      </c>
      <c r="D1946" t="s">
        <v>1031</v>
      </c>
      <c r="E1946" s="46">
        <v>45337</v>
      </c>
      <c r="F1946" s="45" t="s">
        <v>721</v>
      </c>
      <c r="I1946" t="s">
        <v>726</v>
      </c>
    </row>
    <row r="1947" spans="1:9" hidden="1" x14ac:dyDescent="0.3">
      <c r="A1947" t="s">
        <v>748</v>
      </c>
      <c r="B1947" s="46">
        <v>45349</v>
      </c>
      <c r="C1947" s="45">
        <v>28300</v>
      </c>
      <c r="D1947" t="s">
        <v>735</v>
      </c>
      <c r="E1947" s="46">
        <v>45366</v>
      </c>
      <c r="F1947" s="45" t="s">
        <v>721</v>
      </c>
      <c r="I1947" t="s">
        <v>762</v>
      </c>
    </row>
    <row r="1948" spans="1:9" hidden="1" x14ac:dyDescent="0.3">
      <c r="A1948" t="s">
        <v>748</v>
      </c>
      <c r="B1948" s="46">
        <v>45386</v>
      </c>
      <c r="C1948" s="45">
        <v>28300</v>
      </c>
      <c r="D1948" t="s">
        <v>735</v>
      </c>
      <c r="E1948" s="46">
        <v>45428</v>
      </c>
      <c r="F1948" s="45" t="s">
        <v>721</v>
      </c>
      <c r="I1948" t="s">
        <v>762</v>
      </c>
    </row>
    <row r="1949" spans="1:9" hidden="1" x14ac:dyDescent="0.3">
      <c r="A1949" t="s">
        <v>748</v>
      </c>
      <c r="B1949" s="46">
        <v>45244</v>
      </c>
      <c r="C1949" s="45">
        <v>28300</v>
      </c>
      <c r="D1949" t="s">
        <v>735</v>
      </c>
      <c r="E1949" s="46">
        <v>45275</v>
      </c>
      <c r="F1949" s="45" t="s">
        <v>721</v>
      </c>
      <c r="I1949" t="s">
        <v>762</v>
      </c>
    </row>
    <row r="1950" spans="1:9" hidden="1" x14ac:dyDescent="0.3">
      <c r="A1950" t="s">
        <v>748</v>
      </c>
      <c r="B1950" s="46">
        <v>45134</v>
      </c>
      <c r="C1950" s="45">
        <v>28300</v>
      </c>
      <c r="D1950" t="s">
        <v>735</v>
      </c>
      <c r="E1950" s="46">
        <v>45154</v>
      </c>
      <c r="F1950" s="45" t="s">
        <v>721</v>
      </c>
      <c r="I1950" t="s">
        <v>762</v>
      </c>
    </row>
    <row r="1951" spans="1:9" hidden="1" x14ac:dyDescent="0.3">
      <c r="A1951" t="s">
        <v>779</v>
      </c>
      <c r="B1951" s="46">
        <v>45140</v>
      </c>
      <c r="C1951" s="45">
        <v>28260</v>
      </c>
      <c r="D1951" t="s">
        <v>1031</v>
      </c>
      <c r="E1951" s="46">
        <v>45184</v>
      </c>
      <c r="F1951" s="45" t="s">
        <v>721</v>
      </c>
      <c r="I1951" t="s">
        <v>726</v>
      </c>
    </row>
    <row r="1952" spans="1:9" hidden="1" x14ac:dyDescent="0.3">
      <c r="A1952" t="s">
        <v>722</v>
      </c>
      <c r="B1952" s="46">
        <v>45176</v>
      </c>
      <c r="C1952" s="45">
        <v>28100</v>
      </c>
      <c r="D1952" t="s">
        <v>776</v>
      </c>
      <c r="E1952" s="46">
        <v>45215</v>
      </c>
      <c r="F1952" s="45" t="s">
        <v>721</v>
      </c>
      <c r="I1952" t="s">
        <v>726</v>
      </c>
    </row>
    <row r="1953" spans="1:9" hidden="1" x14ac:dyDescent="0.3">
      <c r="A1953" t="s">
        <v>772</v>
      </c>
      <c r="B1953" s="46">
        <v>45212</v>
      </c>
      <c r="C1953" s="45">
        <v>28080</v>
      </c>
      <c r="D1953" t="s">
        <v>755</v>
      </c>
      <c r="E1953" s="46">
        <v>45256</v>
      </c>
      <c r="F1953" s="45" t="s">
        <v>721</v>
      </c>
      <c r="I1953" t="s">
        <v>726</v>
      </c>
    </row>
    <row r="1954" spans="1:9" hidden="1" x14ac:dyDescent="0.3">
      <c r="A1954" t="s">
        <v>767</v>
      </c>
      <c r="B1954" s="46">
        <v>45264</v>
      </c>
      <c r="C1954" s="45">
        <v>28000</v>
      </c>
      <c r="D1954" t="s">
        <v>1095</v>
      </c>
      <c r="E1954" s="46">
        <v>45306</v>
      </c>
      <c r="F1954" s="45" t="s">
        <v>721</v>
      </c>
      <c r="I1954" t="s">
        <v>726</v>
      </c>
    </row>
    <row r="1955" spans="1:9" hidden="1" x14ac:dyDescent="0.3">
      <c r="A1955" t="s">
        <v>779</v>
      </c>
      <c r="B1955" s="46">
        <v>45259</v>
      </c>
      <c r="C1955" s="45">
        <v>28000</v>
      </c>
      <c r="D1955" t="s">
        <v>868</v>
      </c>
      <c r="E1955" s="46">
        <v>45278</v>
      </c>
      <c r="F1955" s="45" t="s">
        <v>721</v>
      </c>
      <c r="I1955" t="s">
        <v>726</v>
      </c>
    </row>
    <row r="1956" spans="1:9" hidden="1" x14ac:dyDescent="0.3">
      <c r="A1956" t="s">
        <v>779</v>
      </c>
      <c r="B1956" s="46">
        <v>45259</v>
      </c>
      <c r="C1956" s="45">
        <v>28000</v>
      </c>
      <c r="D1956" t="s">
        <v>868</v>
      </c>
      <c r="E1956" s="46">
        <v>45276</v>
      </c>
      <c r="F1956" s="45" t="s">
        <v>721</v>
      </c>
      <c r="G1956">
        <v>0</v>
      </c>
      <c r="I1956" t="s">
        <v>726</v>
      </c>
    </row>
    <row r="1957" spans="1:9" hidden="1" x14ac:dyDescent="0.3">
      <c r="A1957" t="s">
        <v>724</v>
      </c>
      <c r="B1957" s="46">
        <v>45244</v>
      </c>
      <c r="C1957" s="45">
        <v>28000</v>
      </c>
      <c r="D1957" t="s">
        <v>1137</v>
      </c>
      <c r="E1957" s="46">
        <v>45286</v>
      </c>
      <c r="F1957" s="45" t="s">
        <v>721</v>
      </c>
      <c r="I1957" t="s">
        <v>726</v>
      </c>
    </row>
    <row r="1958" spans="1:9" hidden="1" x14ac:dyDescent="0.3">
      <c r="A1958" t="s">
        <v>727</v>
      </c>
      <c r="B1958" s="46">
        <v>45180</v>
      </c>
      <c r="C1958" s="45">
        <v>28000</v>
      </c>
      <c r="D1958" t="s">
        <v>928</v>
      </c>
      <c r="E1958" s="46">
        <v>45215</v>
      </c>
      <c r="F1958" s="45" t="s">
        <v>721</v>
      </c>
      <c r="I1958" t="s">
        <v>726</v>
      </c>
    </row>
    <row r="1959" spans="1:9" hidden="1" x14ac:dyDescent="0.3">
      <c r="A1959" t="s">
        <v>761</v>
      </c>
      <c r="B1959" s="46">
        <v>45181</v>
      </c>
      <c r="C1959" s="45">
        <v>28000</v>
      </c>
      <c r="D1959" t="s">
        <v>837</v>
      </c>
      <c r="E1959" s="46">
        <v>45225</v>
      </c>
      <c r="F1959" s="45" t="s">
        <v>721</v>
      </c>
      <c r="I1959" t="s">
        <v>838</v>
      </c>
    </row>
    <row r="1960" spans="1:9" hidden="1" x14ac:dyDescent="0.3">
      <c r="A1960" t="s">
        <v>772</v>
      </c>
      <c r="B1960" s="46">
        <v>45162</v>
      </c>
      <c r="C1960" s="45">
        <v>28000</v>
      </c>
      <c r="D1960" t="s">
        <v>1098</v>
      </c>
      <c r="E1960" s="46">
        <v>45195</v>
      </c>
      <c r="F1960" s="45" t="s">
        <v>721</v>
      </c>
      <c r="I1960" t="s">
        <v>760</v>
      </c>
    </row>
    <row r="1961" spans="1:9" hidden="1" x14ac:dyDescent="0.3">
      <c r="A1961" t="s">
        <v>775</v>
      </c>
      <c r="B1961" s="46">
        <v>45160</v>
      </c>
      <c r="C1961" s="45">
        <v>28000</v>
      </c>
      <c r="D1961" t="s">
        <v>1188</v>
      </c>
      <c r="E1961" s="46">
        <v>45184</v>
      </c>
      <c r="F1961" s="45" t="s">
        <v>721</v>
      </c>
    </row>
    <row r="1962" spans="1:9" hidden="1" x14ac:dyDescent="0.3">
      <c r="A1962" t="s">
        <v>775</v>
      </c>
      <c r="B1962" s="46">
        <v>45134</v>
      </c>
      <c r="C1962" s="45">
        <v>28000</v>
      </c>
      <c r="D1962" t="s">
        <v>1190</v>
      </c>
      <c r="E1962" s="46">
        <v>45154</v>
      </c>
      <c r="F1962" s="45" t="s">
        <v>721</v>
      </c>
    </row>
    <row r="1963" spans="1:9" hidden="1" x14ac:dyDescent="0.3">
      <c r="A1963" t="s">
        <v>775</v>
      </c>
      <c r="B1963" s="46">
        <v>45132</v>
      </c>
      <c r="C1963" s="45">
        <v>28000</v>
      </c>
      <c r="D1963" t="s">
        <v>1189</v>
      </c>
      <c r="E1963" s="46">
        <v>45154</v>
      </c>
      <c r="F1963" s="45" t="s">
        <v>721</v>
      </c>
      <c r="I1963" t="s">
        <v>726</v>
      </c>
    </row>
    <row r="1964" spans="1:9" hidden="1" x14ac:dyDescent="0.3">
      <c r="A1964" t="s">
        <v>727</v>
      </c>
      <c r="B1964" s="46">
        <v>45313</v>
      </c>
      <c r="C1964" s="45">
        <v>28000</v>
      </c>
      <c r="D1964" t="s">
        <v>938</v>
      </c>
      <c r="E1964" s="46">
        <v>45337</v>
      </c>
      <c r="F1964" s="45" t="s">
        <v>721</v>
      </c>
      <c r="I1964" t="s">
        <v>726</v>
      </c>
    </row>
    <row r="1965" spans="1:9" hidden="1" x14ac:dyDescent="0.3">
      <c r="A1965" t="s">
        <v>767</v>
      </c>
      <c r="B1965" s="46">
        <v>45301</v>
      </c>
      <c r="C1965" s="45">
        <v>28000</v>
      </c>
      <c r="D1965" t="s">
        <v>928</v>
      </c>
      <c r="E1965" s="46">
        <v>45337</v>
      </c>
      <c r="F1965" s="45" t="s">
        <v>721</v>
      </c>
      <c r="I1965" t="s">
        <v>726</v>
      </c>
    </row>
    <row r="1966" spans="1:9" hidden="1" x14ac:dyDescent="0.3">
      <c r="A1966" t="s">
        <v>777</v>
      </c>
      <c r="B1966" s="46">
        <v>45304</v>
      </c>
      <c r="C1966" s="45">
        <v>28000</v>
      </c>
      <c r="D1966" t="s">
        <v>1065</v>
      </c>
      <c r="E1966" s="46">
        <v>45337</v>
      </c>
      <c r="F1966" s="45" t="s">
        <v>721</v>
      </c>
      <c r="I1966" t="s">
        <v>838</v>
      </c>
    </row>
    <row r="1967" spans="1:9" hidden="1" x14ac:dyDescent="0.3">
      <c r="A1967" t="s">
        <v>734</v>
      </c>
      <c r="B1967" s="46">
        <v>45148</v>
      </c>
      <c r="C1967" s="45">
        <v>27810</v>
      </c>
      <c r="D1967" t="s">
        <v>1031</v>
      </c>
      <c r="E1967" s="46">
        <v>45184</v>
      </c>
      <c r="F1967" s="45" t="s">
        <v>721</v>
      </c>
      <c r="I1967" t="s">
        <v>726</v>
      </c>
    </row>
    <row r="1968" spans="1:9" hidden="1" x14ac:dyDescent="0.3">
      <c r="A1968" t="s">
        <v>748</v>
      </c>
      <c r="B1968" s="46">
        <v>45295</v>
      </c>
      <c r="C1968" s="45">
        <v>27800</v>
      </c>
      <c r="D1968" t="s">
        <v>1191</v>
      </c>
      <c r="E1968" s="46">
        <v>45337</v>
      </c>
      <c r="F1968" s="45" t="s">
        <v>721</v>
      </c>
      <c r="I1968" t="s">
        <v>762</v>
      </c>
    </row>
    <row r="1969" spans="1:9" hidden="1" x14ac:dyDescent="0.3">
      <c r="A1969" t="s">
        <v>724</v>
      </c>
      <c r="B1969" s="46">
        <v>45308</v>
      </c>
      <c r="C1969" s="45">
        <v>27800</v>
      </c>
      <c r="D1969" t="s">
        <v>1069</v>
      </c>
      <c r="E1969" s="46">
        <v>45348</v>
      </c>
      <c r="F1969" s="45" t="s">
        <v>721</v>
      </c>
      <c r="I1969" t="s">
        <v>726</v>
      </c>
    </row>
    <row r="1970" spans="1:9" hidden="1" x14ac:dyDescent="0.3">
      <c r="A1970" t="s">
        <v>727</v>
      </c>
      <c r="B1970" s="46">
        <v>45296</v>
      </c>
      <c r="C1970" s="45">
        <v>27700</v>
      </c>
      <c r="D1970" t="s">
        <v>1081</v>
      </c>
      <c r="E1970" s="46">
        <v>45337</v>
      </c>
      <c r="F1970" s="45" t="s">
        <v>721</v>
      </c>
      <c r="I1970" t="s">
        <v>726</v>
      </c>
    </row>
    <row r="1971" spans="1:9" hidden="1" x14ac:dyDescent="0.3">
      <c r="A1971" t="s">
        <v>775</v>
      </c>
      <c r="B1971" s="46">
        <v>45211</v>
      </c>
      <c r="C1971" s="45">
        <v>27600</v>
      </c>
      <c r="D1971" t="s">
        <v>1023</v>
      </c>
      <c r="E1971" s="46">
        <v>45246</v>
      </c>
      <c r="F1971" s="45" t="s">
        <v>721</v>
      </c>
    </row>
    <row r="1972" spans="1:9" hidden="1" x14ac:dyDescent="0.3">
      <c r="A1972" t="s">
        <v>729</v>
      </c>
      <c r="B1972" s="46">
        <v>45246</v>
      </c>
      <c r="C1972" s="45">
        <v>27500</v>
      </c>
      <c r="D1972" t="s">
        <v>1165</v>
      </c>
      <c r="E1972" s="46">
        <v>45275</v>
      </c>
      <c r="F1972" s="45" t="s">
        <v>721</v>
      </c>
      <c r="I1972" t="s">
        <v>726</v>
      </c>
    </row>
    <row r="1973" spans="1:9" hidden="1" x14ac:dyDescent="0.3">
      <c r="A1973" t="s">
        <v>724</v>
      </c>
      <c r="B1973" s="46">
        <v>45294</v>
      </c>
      <c r="C1973" s="45">
        <v>27500</v>
      </c>
      <c r="D1973" t="s">
        <v>1192</v>
      </c>
      <c r="E1973" s="46">
        <v>45317</v>
      </c>
      <c r="F1973" s="45" t="s">
        <v>721</v>
      </c>
      <c r="I1973" t="s">
        <v>814</v>
      </c>
    </row>
    <row r="1974" spans="1:9" hidden="1" x14ac:dyDescent="0.3">
      <c r="A1974" t="s">
        <v>748</v>
      </c>
      <c r="B1974" s="46">
        <v>45162</v>
      </c>
      <c r="C1974" s="45">
        <v>27500</v>
      </c>
      <c r="D1974" t="s">
        <v>851</v>
      </c>
      <c r="E1974" s="46">
        <v>45184</v>
      </c>
      <c r="F1974" s="45" t="s">
        <v>721</v>
      </c>
      <c r="I1974" t="s">
        <v>841</v>
      </c>
    </row>
    <row r="1975" spans="1:9" hidden="1" x14ac:dyDescent="0.3">
      <c r="A1975" t="s">
        <v>727</v>
      </c>
      <c r="B1975" s="46">
        <v>45302</v>
      </c>
      <c r="C1975" s="45">
        <v>27500</v>
      </c>
      <c r="D1975" t="s">
        <v>1100</v>
      </c>
      <c r="E1975" s="46">
        <v>45337</v>
      </c>
      <c r="F1975" s="45" t="s">
        <v>721</v>
      </c>
      <c r="I1975" t="s">
        <v>726</v>
      </c>
    </row>
    <row r="1976" spans="1:9" hidden="1" x14ac:dyDescent="0.3">
      <c r="A1976" t="s">
        <v>767</v>
      </c>
      <c r="B1976" s="46">
        <v>45141</v>
      </c>
      <c r="C1976" s="45">
        <v>27400</v>
      </c>
      <c r="D1976" t="s">
        <v>1049</v>
      </c>
      <c r="E1976" s="46">
        <v>45184</v>
      </c>
      <c r="F1976" s="45" t="s">
        <v>721</v>
      </c>
      <c r="I1976" t="s">
        <v>726</v>
      </c>
    </row>
    <row r="1977" spans="1:9" hidden="1" x14ac:dyDescent="0.3">
      <c r="A1977" t="s">
        <v>734</v>
      </c>
      <c r="B1977" s="46">
        <v>45127</v>
      </c>
      <c r="C1977" s="45">
        <v>27300</v>
      </c>
      <c r="D1977" t="s">
        <v>1150</v>
      </c>
      <c r="E1977" s="46">
        <v>45154</v>
      </c>
      <c r="F1977" s="45" t="s">
        <v>721</v>
      </c>
      <c r="I1977" t="s">
        <v>726</v>
      </c>
    </row>
    <row r="1978" spans="1:9" hidden="1" x14ac:dyDescent="0.3">
      <c r="A1978" t="s">
        <v>722</v>
      </c>
      <c r="B1978" s="46">
        <v>45371</v>
      </c>
      <c r="C1978" s="45">
        <v>27300</v>
      </c>
      <c r="D1978" t="s">
        <v>776</v>
      </c>
      <c r="E1978" s="46">
        <v>45397</v>
      </c>
      <c r="F1978" s="45" t="s">
        <v>721</v>
      </c>
      <c r="I1978" t="s">
        <v>726</v>
      </c>
    </row>
    <row r="1979" spans="1:9" hidden="1" x14ac:dyDescent="0.3">
      <c r="A1979" t="s">
        <v>727</v>
      </c>
      <c r="B1979" s="46">
        <v>45372</v>
      </c>
      <c r="C1979" s="45">
        <v>27300</v>
      </c>
      <c r="D1979" t="s">
        <v>1167</v>
      </c>
      <c r="E1979" s="46">
        <v>45397</v>
      </c>
      <c r="F1979" s="45" t="s">
        <v>721</v>
      </c>
      <c r="I1979" t="s">
        <v>726</v>
      </c>
    </row>
    <row r="1980" spans="1:9" hidden="1" x14ac:dyDescent="0.3">
      <c r="A1980" t="s">
        <v>745</v>
      </c>
      <c r="B1980" s="46">
        <v>45192</v>
      </c>
      <c r="C1980" s="45">
        <v>27250</v>
      </c>
      <c r="D1980" t="s">
        <v>1193</v>
      </c>
      <c r="E1980" s="46">
        <v>45215</v>
      </c>
      <c r="F1980" s="45" t="s">
        <v>721</v>
      </c>
    </row>
    <row r="1981" spans="1:9" hidden="1" x14ac:dyDescent="0.3">
      <c r="A1981" t="s">
        <v>748</v>
      </c>
      <c r="B1981" s="46">
        <v>45229</v>
      </c>
      <c r="C1981" s="45">
        <v>27200</v>
      </c>
      <c r="D1981" t="s">
        <v>1081</v>
      </c>
      <c r="E1981" s="46">
        <v>45245</v>
      </c>
      <c r="F1981" s="45" t="s">
        <v>721</v>
      </c>
      <c r="I1981" t="s">
        <v>726</v>
      </c>
    </row>
    <row r="1982" spans="1:9" hidden="1" x14ac:dyDescent="0.3">
      <c r="A1982" t="s">
        <v>748</v>
      </c>
      <c r="B1982" s="46">
        <v>45257</v>
      </c>
      <c r="C1982" s="45">
        <v>27200</v>
      </c>
      <c r="D1982" t="s">
        <v>980</v>
      </c>
      <c r="E1982" s="46">
        <v>45275</v>
      </c>
      <c r="F1982" s="45" t="s">
        <v>721</v>
      </c>
      <c r="I1982" t="s">
        <v>726</v>
      </c>
    </row>
    <row r="1983" spans="1:9" hidden="1" x14ac:dyDescent="0.3">
      <c r="A1983" t="s">
        <v>772</v>
      </c>
      <c r="B1983" s="46">
        <v>45218</v>
      </c>
      <c r="C1983" s="45">
        <v>27100</v>
      </c>
      <c r="D1983" t="s">
        <v>1194</v>
      </c>
      <c r="E1983" s="46">
        <v>45256</v>
      </c>
      <c r="F1983" s="45" t="s">
        <v>721</v>
      </c>
      <c r="I1983" t="s">
        <v>726</v>
      </c>
    </row>
    <row r="1984" spans="1:9" hidden="1" x14ac:dyDescent="0.3">
      <c r="A1984" t="s">
        <v>729</v>
      </c>
      <c r="B1984" s="46">
        <v>45309</v>
      </c>
      <c r="C1984" s="45">
        <v>27100</v>
      </c>
      <c r="D1984" t="s">
        <v>1195</v>
      </c>
      <c r="E1984" s="46">
        <v>45337</v>
      </c>
      <c r="F1984" s="45" t="s">
        <v>721</v>
      </c>
      <c r="I1984" t="s">
        <v>726</v>
      </c>
    </row>
    <row r="1985" spans="1:9" hidden="1" x14ac:dyDescent="0.3">
      <c r="A1985" t="s">
        <v>724</v>
      </c>
      <c r="B1985" s="46">
        <v>45421</v>
      </c>
      <c r="C1985" s="45">
        <v>27100</v>
      </c>
      <c r="D1985" t="s">
        <v>1057</v>
      </c>
      <c r="E1985" s="46">
        <v>45469</v>
      </c>
      <c r="F1985" s="45" t="s">
        <v>721</v>
      </c>
      <c r="I1985" t="s">
        <v>726</v>
      </c>
    </row>
    <row r="1986" spans="1:9" hidden="1" x14ac:dyDescent="0.3">
      <c r="A1986" t="s">
        <v>722</v>
      </c>
      <c r="B1986" s="46">
        <v>45426</v>
      </c>
      <c r="C1986" s="45">
        <v>27000</v>
      </c>
      <c r="D1986" t="s">
        <v>2095</v>
      </c>
      <c r="E1986" s="46">
        <v>45458</v>
      </c>
      <c r="F1986" s="45" t="s">
        <v>721</v>
      </c>
      <c r="I1986" t="s">
        <v>726</v>
      </c>
    </row>
    <row r="1987" spans="1:9" hidden="1" x14ac:dyDescent="0.3">
      <c r="A1987" t="s">
        <v>722</v>
      </c>
      <c r="B1987" s="46">
        <v>45433</v>
      </c>
      <c r="C1987" s="45">
        <v>27000</v>
      </c>
      <c r="D1987" t="s">
        <v>2096</v>
      </c>
      <c r="E1987" s="46">
        <v>45458</v>
      </c>
      <c r="F1987" s="45" t="s">
        <v>721</v>
      </c>
      <c r="I1987" t="s">
        <v>726</v>
      </c>
    </row>
    <row r="1988" spans="1:9" hidden="1" x14ac:dyDescent="0.3">
      <c r="A1988" t="s">
        <v>724</v>
      </c>
      <c r="B1988" s="46">
        <v>45320</v>
      </c>
      <c r="C1988" s="45">
        <v>27000</v>
      </c>
      <c r="D1988" t="s">
        <v>1119</v>
      </c>
      <c r="E1988" s="46">
        <v>45348</v>
      </c>
      <c r="F1988" s="45" t="s">
        <v>721</v>
      </c>
      <c r="I1988" t="s">
        <v>726</v>
      </c>
    </row>
    <row r="1989" spans="1:9" hidden="1" x14ac:dyDescent="0.3">
      <c r="A1989" t="s">
        <v>748</v>
      </c>
      <c r="B1989" s="46">
        <v>45329</v>
      </c>
      <c r="C1989" s="45">
        <v>27000</v>
      </c>
      <c r="D1989" t="s">
        <v>1196</v>
      </c>
      <c r="E1989" s="46">
        <v>45366</v>
      </c>
      <c r="F1989" s="45" t="s">
        <v>721</v>
      </c>
      <c r="I1989" t="s">
        <v>726</v>
      </c>
    </row>
    <row r="1990" spans="1:9" hidden="1" x14ac:dyDescent="0.3">
      <c r="A1990" t="s">
        <v>748</v>
      </c>
      <c r="B1990" s="46">
        <v>45341</v>
      </c>
      <c r="C1990" s="45">
        <v>27000</v>
      </c>
      <c r="D1990" t="s">
        <v>938</v>
      </c>
      <c r="E1990" s="46">
        <v>45366</v>
      </c>
      <c r="F1990" s="45" t="s">
        <v>721</v>
      </c>
      <c r="I1990" t="s">
        <v>726</v>
      </c>
    </row>
    <row r="1991" spans="1:9" hidden="1" x14ac:dyDescent="0.3">
      <c r="A1991" t="s">
        <v>767</v>
      </c>
      <c r="B1991" s="46">
        <v>45252</v>
      </c>
      <c r="C1991" s="45">
        <v>27000</v>
      </c>
      <c r="D1991" t="s">
        <v>1095</v>
      </c>
      <c r="E1991" s="46">
        <v>45275</v>
      </c>
      <c r="F1991" s="45" t="s">
        <v>721</v>
      </c>
      <c r="I1991" t="s">
        <v>726</v>
      </c>
    </row>
    <row r="1992" spans="1:9" hidden="1" x14ac:dyDescent="0.3">
      <c r="A1992" t="s">
        <v>727</v>
      </c>
      <c r="B1992" s="46">
        <v>45258</v>
      </c>
      <c r="C1992" s="45">
        <v>27000</v>
      </c>
      <c r="D1992" t="s">
        <v>1095</v>
      </c>
      <c r="E1992" s="46">
        <v>45275</v>
      </c>
      <c r="F1992" s="45" t="s">
        <v>721</v>
      </c>
      <c r="I1992" t="s">
        <v>726</v>
      </c>
    </row>
    <row r="1993" spans="1:9" hidden="1" x14ac:dyDescent="0.3">
      <c r="A1993" t="s">
        <v>748</v>
      </c>
      <c r="B1993" s="46">
        <v>45216</v>
      </c>
      <c r="C1993" s="45">
        <v>27000</v>
      </c>
      <c r="D1993" t="s">
        <v>1095</v>
      </c>
      <c r="E1993" s="46">
        <v>45245</v>
      </c>
      <c r="F1993" s="45" t="s">
        <v>721</v>
      </c>
      <c r="I1993" t="s">
        <v>726</v>
      </c>
    </row>
    <row r="1994" spans="1:9" hidden="1" x14ac:dyDescent="0.3">
      <c r="A1994" t="s">
        <v>748</v>
      </c>
      <c r="B1994" s="46">
        <v>45173</v>
      </c>
      <c r="C1994" s="45">
        <v>27000</v>
      </c>
      <c r="D1994" t="s">
        <v>1095</v>
      </c>
      <c r="E1994" s="46">
        <v>45215</v>
      </c>
      <c r="F1994" s="45" t="s">
        <v>721</v>
      </c>
      <c r="I1994" t="s">
        <v>726</v>
      </c>
    </row>
    <row r="1995" spans="1:9" hidden="1" x14ac:dyDescent="0.3">
      <c r="A1995" t="s">
        <v>727</v>
      </c>
      <c r="B1995" s="46">
        <v>45120</v>
      </c>
      <c r="C1995" s="45">
        <v>27000</v>
      </c>
      <c r="D1995" t="s">
        <v>1197</v>
      </c>
      <c r="E1995" s="46">
        <v>45154</v>
      </c>
      <c r="F1995" s="45" t="s">
        <v>721</v>
      </c>
      <c r="I1995" t="s">
        <v>726</v>
      </c>
    </row>
    <row r="1996" spans="1:9" hidden="1" x14ac:dyDescent="0.3">
      <c r="A1996" t="s">
        <v>761</v>
      </c>
      <c r="B1996" s="46">
        <v>45134</v>
      </c>
      <c r="C1996" s="45">
        <v>27000</v>
      </c>
      <c r="D1996" t="s">
        <v>837</v>
      </c>
      <c r="E1996" s="46">
        <v>45164</v>
      </c>
      <c r="F1996" s="45" t="s">
        <v>721</v>
      </c>
      <c r="I1996" t="s">
        <v>838</v>
      </c>
    </row>
    <row r="1997" spans="1:9" hidden="1" x14ac:dyDescent="0.3">
      <c r="A1997" t="s">
        <v>779</v>
      </c>
      <c r="B1997" s="46">
        <v>45230</v>
      </c>
      <c r="C1997" s="45">
        <v>26910</v>
      </c>
      <c r="D1997" t="s">
        <v>1031</v>
      </c>
      <c r="E1997" s="46">
        <v>45246</v>
      </c>
      <c r="F1997" s="45" t="s">
        <v>721</v>
      </c>
      <c r="I1997" t="s">
        <v>726</v>
      </c>
    </row>
    <row r="1998" spans="1:9" hidden="1" x14ac:dyDescent="0.3">
      <c r="A1998" t="s">
        <v>748</v>
      </c>
      <c r="B1998" s="46">
        <v>45296</v>
      </c>
      <c r="C1998" s="45">
        <v>26730</v>
      </c>
      <c r="D1998" t="s">
        <v>1031</v>
      </c>
      <c r="E1998" s="46">
        <v>45337</v>
      </c>
      <c r="F1998" s="45" t="s">
        <v>721</v>
      </c>
      <c r="I1998" t="s">
        <v>726</v>
      </c>
    </row>
    <row r="1999" spans="1:9" hidden="1" x14ac:dyDescent="0.3">
      <c r="A1999" t="s">
        <v>729</v>
      </c>
      <c r="B1999" s="46">
        <v>45181</v>
      </c>
      <c r="C1999" s="45">
        <v>26700</v>
      </c>
      <c r="D1999" t="s">
        <v>771</v>
      </c>
      <c r="E1999" s="46">
        <v>45215</v>
      </c>
      <c r="F1999" s="45" t="s">
        <v>721</v>
      </c>
      <c r="I1999" t="s">
        <v>762</v>
      </c>
    </row>
    <row r="2000" spans="1:9" hidden="1" x14ac:dyDescent="0.3">
      <c r="A2000" t="s">
        <v>722</v>
      </c>
      <c r="B2000" s="46">
        <v>45154</v>
      </c>
      <c r="C2000" s="45">
        <v>26550</v>
      </c>
      <c r="D2000" t="s">
        <v>771</v>
      </c>
      <c r="E2000" s="46">
        <v>45184</v>
      </c>
      <c r="F2000" s="45" t="s">
        <v>721</v>
      </c>
      <c r="I2000" t="s">
        <v>726</v>
      </c>
    </row>
    <row r="2001" spans="1:9" hidden="1" x14ac:dyDescent="0.3">
      <c r="A2001" t="s">
        <v>722</v>
      </c>
      <c r="B2001" s="46">
        <v>45167</v>
      </c>
      <c r="C2001" s="45">
        <v>26540</v>
      </c>
      <c r="D2001" t="s">
        <v>776</v>
      </c>
      <c r="E2001" s="46">
        <v>45184</v>
      </c>
      <c r="F2001" s="45" t="s">
        <v>721</v>
      </c>
      <c r="I2001" t="s">
        <v>726</v>
      </c>
    </row>
    <row r="2002" spans="1:9" hidden="1" x14ac:dyDescent="0.3">
      <c r="A2002" t="s">
        <v>724</v>
      </c>
      <c r="B2002" s="46">
        <v>45190</v>
      </c>
      <c r="C2002" s="45">
        <v>26500</v>
      </c>
      <c r="D2002" t="s">
        <v>1198</v>
      </c>
      <c r="E2002" s="46">
        <v>45225</v>
      </c>
      <c r="F2002" s="45" t="s">
        <v>721</v>
      </c>
      <c r="I2002" t="s">
        <v>726</v>
      </c>
    </row>
    <row r="2003" spans="1:9" hidden="1" x14ac:dyDescent="0.3">
      <c r="A2003" t="s">
        <v>724</v>
      </c>
      <c r="B2003" s="46">
        <v>45434</v>
      </c>
      <c r="C2003" s="45">
        <v>26500</v>
      </c>
      <c r="D2003" t="s">
        <v>2097</v>
      </c>
      <c r="E2003" s="46">
        <v>45469</v>
      </c>
      <c r="F2003" s="45" t="s">
        <v>721</v>
      </c>
      <c r="I2003" t="s">
        <v>726</v>
      </c>
    </row>
    <row r="2004" spans="1:9" hidden="1" x14ac:dyDescent="0.3">
      <c r="A2004" t="s">
        <v>767</v>
      </c>
      <c r="B2004" s="46">
        <v>45400</v>
      </c>
      <c r="C2004" s="45">
        <v>26500</v>
      </c>
      <c r="D2004" t="s">
        <v>1163</v>
      </c>
      <c r="E2004" s="46">
        <v>45428</v>
      </c>
      <c r="F2004" s="45" t="s">
        <v>721</v>
      </c>
      <c r="I2004" t="s">
        <v>726</v>
      </c>
    </row>
    <row r="2005" spans="1:9" hidden="1" x14ac:dyDescent="0.3">
      <c r="A2005" t="s">
        <v>734</v>
      </c>
      <c r="B2005" s="46">
        <v>45404</v>
      </c>
      <c r="C2005" s="45">
        <v>26400</v>
      </c>
      <c r="D2005" t="s">
        <v>1199</v>
      </c>
      <c r="E2005" s="46">
        <v>45428</v>
      </c>
      <c r="F2005" s="45" t="s">
        <v>721</v>
      </c>
      <c r="I2005" t="s">
        <v>1200</v>
      </c>
    </row>
    <row r="2006" spans="1:9" hidden="1" x14ac:dyDescent="0.3">
      <c r="A2006" t="s">
        <v>748</v>
      </c>
      <c r="B2006" s="46">
        <v>45407</v>
      </c>
      <c r="C2006" s="45">
        <v>26400</v>
      </c>
      <c r="D2006" t="s">
        <v>1077</v>
      </c>
      <c r="E2006" s="46">
        <v>45428</v>
      </c>
      <c r="F2006" s="45" t="s">
        <v>721</v>
      </c>
      <c r="I2006" t="s">
        <v>738</v>
      </c>
    </row>
    <row r="2007" spans="1:9" hidden="1" x14ac:dyDescent="0.3">
      <c r="A2007" t="s">
        <v>734</v>
      </c>
      <c r="B2007" s="46">
        <v>45433</v>
      </c>
      <c r="C2007" s="45">
        <v>26400</v>
      </c>
      <c r="D2007" t="s">
        <v>1199</v>
      </c>
      <c r="E2007" s="46">
        <v>45458</v>
      </c>
      <c r="F2007" s="45" t="s">
        <v>721</v>
      </c>
      <c r="I2007" t="s">
        <v>1200</v>
      </c>
    </row>
    <row r="2008" spans="1:9" hidden="1" x14ac:dyDescent="0.3">
      <c r="A2008" t="s">
        <v>748</v>
      </c>
      <c r="B2008" s="46">
        <v>45437</v>
      </c>
      <c r="C2008" s="45">
        <v>26400</v>
      </c>
      <c r="D2008" t="s">
        <v>1077</v>
      </c>
      <c r="E2008" s="46">
        <v>45458</v>
      </c>
      <c r="F2008" s="45" t="s">
        <v>721</v>
      </c>
      <c r="I2008" t="s">
        <v>738</v>
      </c>
    </row>
    <row r="2009" spans="1:9" hidden="1" x14ac:dyDescent="0.3">
      <c r="A2009" t="s">
        <v>734</v>
      </c>
      <c r="B2009" s="46">
        <v>45313</v>
      </c>
      <c r="C2009" s="45">
        <v>26400</v>
      </c>
      <c r="D2009" t="s">
        <v>1199</v>
      </c>
      <c r="E2009" s="46">
        <v>45337</v>
      </c>
      <c r="F2009" s="45" t="s">
        <v>721</v>
      </c>
      <c r="I2009" t="s">
        <v>1200</v>
      </c>
    </row>
    <row r="2010" spans="1:9" hidden="1" x14ac:dyDescent="0.3">
      <c r="A2010" t="s">
        <v>734</v>
      </c>
      <c r="B2010" s="46">
        <v>45343</v>
      </c>
      <c r="C2010" s="45">
        <v>26400</v>
      </c>
      <c r="D2010" t="s">
        <v>1199</v>
      </c>
      <c r="E2010" s="46">
        <v>45366</v>
      </c>
      <c r="F2010" s="45" t="s">
        <v>721</v>
      </c>
      <c r="I2010" t="s">
        <v>1200</v>
      </c>
    </row>
    <row r="2011" spans="1:9" hidden="1" x14ac:dyDescent="0.3">
      <c r="A2011" t="s">
        <v>734</v>
      </c>
      <c r="B2011" s="46">
        <v>45372</v>
      </c>
      <c r="C2011" s="45">
        <v>26400</v>
      </c>
      <c r="D2011" t="s">
        <v>1199</v>
      </c>
      <c r="E2011" s="46">
        <v>45397</v>
      </c>
      <c r="F2011" s="45" t="s">
        <v>721</v>
      </c>
      <c r="I2011" t="s">
        <v>1200</v>
      </c>
    </row>
    <row r="2012" spans="1:9" hidden="1" x14ac:dyDescent="0.3">
      <c r="A2012" t="s">
        <v>734</v>
      </c>
      <c r="B2012" s="46">
        <v>45190</v>
      </c>
      <c r="C2012" s="45">
        <v>26400</v>
      </c>
      <c r="D2012" t="s">
        <v>1199</v>
      </c>
      <c r="E2012" s="46">
        <v>45215</v>
      </c>
      <c r="F2012" s="45" t="s">
        <v>721</v>
      </c>
      <c r="I2012" t="s">
        <v>1200</v>
      </c>
    </row>
    <row r="2013" spans="1:9" hidden="1" x14ac:dyDescent="0.3">
      <c r="A2013" t="s">
        <v>734</v>
      </c>
      <c r="B2013" s="46">
        <v>45159</v>
      </c>
      <c r="C2013" s="45">
        <v>26400</v>
      </c>
      <c r="D2013" t="s">
        <v>1199</v>
      </c>
      <c r="E2013" s="46">
        <v>45184</v>
      </c>
      <c r="F2013" s="45" t="s">
        <v>721</v>
      </c>
      <c r="I2013" t="s">
        <v>1200</v>
      </c>
    </row>
    <row r="2014" spans="1:9" hidden="1" x14ac:dyDescent="0.3">
      <c r="A2014" t="s">
        <v>734</v>
      </c>
      <c r="B2014" s="46">
        <v>45128</v>
      </c>
      <c r="C2014" s="45">
        <v>26400</v>
      </c>
      <c r="D2014" t="s">
        <v>1199</v>
      </c>
      <c r="E2014" s="46">
        <v>45154</v>
      </c>
      <c r="F2014" s="45" t="s">
        <v>721</v>
      </c>
      <c r="I2014" t="s">
        <v>1200</v>
      </c>
    </row>
    <row r="2015" spans="1:9" hidden="1" x14ac:dyDescent="0.3">
      <c r="A2015" t="s">
        <v>734</v>
      </c>
      <c r="B2015" s="46">
        <v>45222</v>
      </c>
      <c r="C2015" s="45">
        <v>26400</v>
      </c>
      <c r="D2015" t="s">
        <v>1199</v>
      </c>
      <c r="E2015" s="46">
        <v>45245</v>
      </c>
      <c r="F2015" s="45" t="s">
        <v>721</v>
      </c>
      <c r="I2015" t="s">
        <v>1200</v>
      </c>
    </row>
    <row r="2016" spans="1:9" hidden="1" x14ac:dyDescent="0.3">
      <c r="A2016" t="s">
        <v>734</v>
      </c>
      <c r="B2016" s="46">
        <v>45251</v>
      </c>
      <c r="C2016" s="45">
        <v>26400</v>
      </c>
      <c r="D2016" t="s">
        <v>1199</v>
      </c>
      <c r="E2016" s="46">
        <v>45275</v>
      </c>
      <c r="F2016" s="45" t="s">
        <v>721</v>
      </c>
      <c r="I2016" t="s">
        <v>1200</v>
      </c>
    </row>
    <row r="2017" spans="1:9" hidden="1" x14ac:dyDescent="0.3">
      <c r="A2017" t="s">
        <v>734</v>
      </c>
      <c r="B2017" s="46">
        <v>45281</v>
      </c>
      <c r="C2017" s="45">
        <v>26400</v>
      </c>
      <c r="D2017" t="s">
        <v>1199</v>
      </c>
      <c r="E2017" s="46">
        <v>45306</v>
      </c>
      <c r="F2017" s="45" t="s">
        <v>721</v>
      </c>
      <c r="I2017" t="s">
        <v>1200</v>
      </c>
    </row>
    <row r="2018" spans="1:9" hidden="1" x14ac:dyDescent="0.3">
      <c r="A2018" t="s">
        <v>748</v>
      </c>
      <c r="B2018" s="46">
        <v>45126</v>
      </c>
      <c r="C2018" s="45">
        <v>26300</v>
      </c>
      <c r="D2018" t="s">
        <v>980</v>
      </c>
      <c r="E2018" s="46">
        <v>45154</v>
      </c>
      <c r="F2018" s="45" t="s">
        <v>721</v>
      </c>
      <c r="I2018" t="s">
        <v>726</v>
      </c>
    </row>
    <row r="2019" spans="1:9" hidden="1" x14ac:dyDescent="0.3">
      <c r="A2019" t="s">
        <v>821</v>
      </c>
      <c r="B2019" s="46">
        <v>45323</v>
      </c>
      <c r="C2019" s="45">
        <v>26300</v>
      </c>
      <c r="D2019" t="s">
        <v>991</v>
      </c>
      <c r="E2019" s="46">
        <v>45366</v>
      </c>
      <c r="F2019" s="45" t="s">
        <v>721</v>
      </c>
      <c r="I2019" t="s">
        <v>726</v>
      </c>
    </row>
    <row r="2020" spans="1:9" hidden="1" x14ac:dyDescent="0.3">
      <c r="A2020" t="s">
        <v>724</v>
      </c>
      <c r="B2020" s="46">
        <v>45419</v>
      </c>
      <c r="C2020" s="45">
        <v>26190</v>
      </c>
      <c r="D2020" t="s">
        <v>755</v>
      </c>
      <c r="E2020" s="46">
        <v>45469</v>
      </c>
      <c r="F2020" s="45" t="s">
        <v>721</v>
      </c>
      <c r="I2020" t="s">
        <v>726</v>
      </c>
    </row>
    <row r="2021" spans="1:9" hidden="1" x14ac:dyDescent="0.3">
      <c r="A2021" t="s">
        <v>729</v>
      </c>
      <c r="B2021" s="46">
        <v>45376</v>
      </c>
      <c r="C2021" s="45">
        <v>26180</v>
      </c>
      <c r="D2021" t="s">
        <v>790</v>
      </c>
      <c r="E2021" s="46">
        <v>45397</v>
      </c>
      <c r="F2021" s="45" t="s">
        <v>721</v>
      </c>
      <c r="I2021" t="s">
        <v>834</v>
      </c>
    </row>
    <row r="2022" spans="1:9" hidden="1" x14ac:dyDescent="0.3">
      <c r="A2022" t="s">
        <v>729</v>
      </c>
      <c r="B2022" s="46">
        <v>45132</v>
      </c>
      <c r="C2022" s="45">
        <v>26120</v>
      </c>
      <c r="D2022" t="s">
        <v>776</v>
      </c>
      <c r="E2022" s="46">
        <v>45154</v>
      </c>
      <c r="F2022" s="45" t="s">
        <v>721</v>
      </c>
      <c r="I2022" t="s">
        <v>762</v>
      </c>
    </row>
    <row r="2023" spans="1:9" hidden="1" x14ac:dyDescent="0.3">
      <c r="A2023" t="s">
        <v>722</v>
      </c>
      <c r="B2023" s="46">
        <v>45350</v>
      </c>
      <c r="C2023" s="45">
        <v>26060</v>
      </c>
      <c r="D2023" t="s">
        <v>776</v>
      </c>
      <c r="E2023" s="46">
        <v>45366</v>
      </c>
      <c r="F2023" s="45" t="s">
        <v>721</v>
      </c>
      <c r="I2023" t="s">
        <v>726</v>
      </c>
    </row>
    <row r="2024" spans="1:9" hidden="1" x14ac:dyDescent="0.3">
      <c r="A2024" t="s">
        <v>767</v>
      </c>
      <c r="B2024" s="46">
        <v>45327</v>
      </c>
      <c r="C2024" s="45">
        <v>26000</v>
      </c>
      <c r="D2024" t="s">
        <v>1095</v>
      </c>
      <c r="E2024" s="46">
        <v>45366</v>
      </c>
      <c r="F2024" s="45" t="s">
        <v>721</v>
      </c>
      <c r="I2024" t="s">
        <v>726</v>
      </c>
    </row>
    <row r="2025" spans="1:9" hidden="1" x14ac:dyDescent="0.3">
      <c r="A2025" t="s">
        <v>734</v>
      </c>
      <c r="B2025" s="46">
        <v>45337</v>
      </c>
      <c r="C2025" s="45">
        <v>26000</v>
      </c>
      <c r="D2025" t="s">
        <v>1159</v>
      </c>
      <c r="E2025" s="46">
        <v>45366</v>
      </c>
      <c r="F2025" s="45" t="s">
        <v>721</v>
      </c>
      <c r="I2025" t="s">
        <v>726</v>
      </c>
    </row>
    <row r="2026" spans="1:9" hidden="1" x14ac:dyDescent="0.3">
      <c r="A2026" t="s">
        <v>727</v>
      </c>
      <c r="B2026" s="46">
        <v>45303</v>
      </c>
      <c r="C2026" s="45">
        <v>26000</v>
      </c>
      <c r="D2026" t="s">
        <v>1095</v>
      </c>
      <c r="E2026" s="46">
        <v>45337</v>
      </c>
      <c r="F2026" s="45" t="s">
        <v>721</v>
      </c>
      <c r="I2026" t="s">
        <v>726</v>
      </c>
    </row>
    <row r="2027" spans="1:9" hidden="1" x14ac:dyDescent="0.3">
      <c r="A2027" t="s">
        <v>734</v>
      </c>
      <c r="B2027" s="46">
        <v>45351</v>
      </c>
      <c r="C2027" s="45">
        <v>26000</v>
      </c>
      <c r="D2027" t="s">
        <v>855</v>
      </c>
      <c r="E2027" s="46">
        <v>45397</v>
      </c>
      <c r="F2027" s="45" t="s">
        <v>721</v>
      </c>
      <c r="I2027" t="s">
        <v>760</v>
      </c>
    </row>
    <row r="2028" spans="1:9" hidden="1" x14ac:dyDescent="0.3">
      <c r="A2028" t="s">
        <v>724</v>
      </c>
      <c r="B2028" s="46">
        <v>45383</v>
      </c>
      <c r="C2028" s="45">
        <v>26000</v>
      </c>
      <c r="D2028" t="s">
        <v>989</v>
      </c>
      <c r="E2028" s="46">
        <v>45408</v>
      </c>
      <c r="F2028" s="45" t="s">
        <v>721</v>
      </c>
      <c r="I2028" t="s">
        <v>726</v>
      </c>
    </row>
    <row r="2029" spans="1:9" hidden="1" x14ac:dyDescent="0.3">
      <c r="A2029" t="s">
        <v>1169</v>
      </c>
      <c r="B2029" s="46">
        <v>45362</v>
      </c>
      <c r="C2029" s="45">
        <v>26000</v>
      </c>
      <c r="D2029" t="s">
        <v>1229</v>
      </c>
      <c r="E2029" s="46">
        <v>45408</v>
      </c>
      <c r="F2029" s="45" t="s">
        <v>721</v>
      </c>
      <c r="I2029" t="s">
        <v>1162</v>
      </c>
    </row>
    <row r="2030" spans="1:9" hidden="1" x14ac:dyDescent="0.3">
      <c r="A2030" t="s">
        <v>1238</v>
      </c>
      <c r="B2030" s="46">
        <v>45362</v>
      </c>
      <c r="C2030" s="45">
        <v>26000</v>
      </c>
      <c r="D2030" t="s">
        <v>1229</v>
      </c>
      <c r="E2030" s="46">
        <v>45408</v>
      </c>
      <c r="F2030" s="45" t="s">
        <v>721</v>
      </c>
      <c r="I2030" t="s">
        <v>1162</v>
      </c>
    </row>
    <row r="2031" spans="1:9" hidden="1" x14ac:dyDescent="0.3">
      <c r="A2031" t="s">
        <v>775</v>
      </c>
      <c r="B2031" s="46">
        <v>45189</v>
      </c>
      <c r="C2031" s="45">
        <v>26000</v>
      </c>
      <c r="D2031" t="s">
        <v>985</v>
      </c>
      <c r="E2031" s="46">
        <v>45215</v>
      </c>
      <c r="F2031" s="45" t="s">
        <v>721</v>
      </c>
      <c r="I2031" t="s">
        <v>726</v>
      </c>
    </row>
    <row r="2032" spans="1:9" hidden="1" x14ac:dyDescent="0.3">
      <c r="A2032" t="s">
        <v>734</v>
      </c>
      <c r="B2032" s="46">
        <v>45229</v>
      </c>
      <c r="C2032" s="45">
        <v>26000</v>
      </c>
      <c r="D2032" t="s">
        <v>1201</v>
      </c>
      <c r="E2032" s="46">
        <v>45245</v>
      </c>
      <c r="F2032" s="45" t="s">
        <v>721</v>
      </c>
      <c r="I2032" t="s">
        <v>726</v>
      </c>
    </row>
    <row r="2033" spans="1:9" hidden="1" x14ac:dyDescent="0.3">
      <c r="A2033" t="s">
        <v>724</v>
      </c>
      <c r="B2033" s="46">
        <v>45195</v>
      </c>
      <c r="C2033" s="45">
        <v>25920</v>
      </c>
      <c r="D2033" t="s">
        <v>755</v>
      </c>
      <c r="E2033" s="46">
        <v>45225</v>
      </c>
      <c r="F2033" s="45" t="s">
        <v>721</v>
      </c>
      <c r="I2033" t="s">
        <v>726</v>
      </c>
    </row>
    <row r="2034" spans="1:9" hidden="1" x14ac:dyDescent="0.3">
      <c r="A2034" t="s">
        <v>724</v>
      </c>
      <c r="B2034" s="46">
        <v>45160</v>
      </c>
      <c r="C2034" s="45">
        <v>25920</v>
      </c>
      <c r="D2034" t="s">
        <v>755</v>
      </c>
      <c r="E2034" s="46">
        <v>45195</v>
      </c>
      <c r="F2034" s="45" t="s">
        <v>721</v>
      </c>
      <c r="I2034" t="s">
        <v>726</v>
      </c>
    </row>
    <row r="2035" spans="1:9" hidden="1" x14ac:dyDescent="0.3">
      <c r="A2035" t="s">
        <v>724</v>
      </c>
      <c r="B2035" s="46">
        <v>45176</v>
      </c>
      <c r="C2035" s="45">
        <v>25900</v>
      </c>
      <c r="D2035" t="s">
        <v>888</v>
      </c>
      <c r="E2035" s="46">
        <v>45225</v>
      </c>
      <c r="F2035" s="45" t="s">
        <v>721</v>
      </c>
      <c r="I2035" t="s">
        <v>726</v>
      </c>
    </row>
    <row r="2036" spans="1:9" hidden="1" x14ac:dyDescent="0.3">
      <c r="A2036" t="s">
        <v>727</v>
      </c>
      <c r="B2036" s="46">
        <v>45386</v>
      </c>
      <c r="C2036" s="45">
        <v>25900</v>
      </c>
      <c r="D2036" t="s">
        <v>2109</v>
      </c>
      <c r="E2036" s="46">
        <v>45428</v>
      </c>
      <c r="F2036" s="45" t="s">
        <v>721</v>
      </c>
      <c r="I2036" t="s">
        <v>726</v>
      </c>
    </row>
    <row r="2037" spans="1:9" hidden="1" x14ac:dyDescent="0.3">
      <c r="A2037" t="s">
        <v>734</v>
      </c>
      <c r="B2037" s="46">
        <v>45187</v>
      </c>
      <c r="C2037" s="45">
        <v>25800</v>
      </c>
      <c r="D2037" t="s">
        <v>1089</v>
      </c>
      <c r="E2037" s="46">
        <v>45215</v>
      </c>
      <c r="F2037" s="45" t="s">
        <v>721</v>
      </c>
      <c r="I2037" t="s">
        <v>726</v>
      </c>
    </row>
    <row r="2038" spans="1:9" hidden="1" x14ac:dyDescent="0.3">
      <c r="A2038" t="s">
        <v>727</v>
      </c>
      <c r="B2038" s="46">
        <v>45183</v>
      </c>
      <c r="C2038" s="45">
        <v>25800</v>
      </c>
      <c r="D2038" t="s">
        <v>1202</v>
      </c>
      <c r="E2038" s="46">
        <v>45215</v>
      </c>
      <c r="F2038" s="45" t="s">
        <v>721</v>
      </c>
      <c r="I2038" t="s">
        <v>726</v>
      </c>
    </row>
    <row r="2039" spans="1:9" hidden="1" x14ac:dyDescent="0.3">
      <c r="A2039" t="s">
        <v>729</v>
      </c>
      <c r="B2039" s="46">
        <v>45127</v>
      </c>
      <c r="C2039" s="45">
        <v>25800</v>
      </c>
      <c r="D2039" t="s">
        <v>991</v>
      </c>
      <c r="E2039" s="46">
        <v>45154</v>
      </c>
      <c r="F2039" s="45" t="s">
        <v>721</v>
      </c>
      <c r="I2039" t="s">
        <v>726</v>
      </c>
    </row>
    <row r="2040" spans="1:9" hidden="1" x14ac:dyDescent="0.3">
      <c r="A2040" t="s">
        <v>748</v>
      </c>
      <c r="B2040" s="46">
        <v>45259</v>
      </c>
      <c r="C2040" s="45">
        <v>25800</v>
      </c>
      <c r="D2040" t="s">
        <v>864</v>
      </c>
      <c r="E2040" s="46">
        <v>45275</v>
      </c>
      <c r="F2040" s="45" t="s">
        <v>721</v>
      </c>
      <c r="I2040" t="s">
        <v>726</v>
      </c>
    </row>
    <row r="2041" spans="1:9" hidden="1" x14ac:dyDescent="0.3">
      <c r="A2041" t="s">
        <v>794</v>
      </c>
      <c r="B2041" s="46">
        <v>45127</v>
      </c>
      <c r="C2041" s="45">
        <v>25700</v>
      </c>
      <c r="D2041" t="s">
        <v>1045</v>
      </c>
      <c r="E2041" s="46">
        <v>45154</v>
      </c>
      <c r="F2041" s="45" t="s">
        <v>721</v>
      </c>
      <c r="I2041" t="s">
        <v>899</v>
      </c>
    </row>
    <row r="2042" spans="1:9" hidden="1" x14ac:dyDescent="0.3">
      <c r="A2042" t="s">
        <v>748</v>
      </c>
      <c r="B2042" s="46">
        <v>45351</v>
      </c>
      <c r="C2042" s="45">
        <v>25650</v>
      </c>
      <c r="D2042" t="s">
        <v>1031</v>
      </c>
      <c r="E2042" s="46">
        <v>45397</v>
      </c>
      <c r="F2042" s="45" t="s">
        <v>721</v>
      </c>
      <c r="I2042" t="s">
        <v>726</v>
      </c>
    </row>
    <row r="2043" spans="1:9" hidden="1" x14ac:dyDescent="0.3">
      <c r="A2043" t="s">
        <v>722</v>
      </c>
      <c r="B2043" s="46">
        <v>45414</v>
      </c>
      <c r="C2043" s="45">
        <v>25630</v>
      </c>
      <c r="D2043" t="s">
        <v>776</v>
      </c>
      <c r="E2043" s="46">
        <v>45458</v>
      </c>
      <c r="F2043" s="45" t="s">
        <v>721</v>
      </c>
      <c r="I2043" t="s">
        <v>726</v>
      </c>
    </row>
    <row r="2044" spans="1:9" hidden="1" x14ac:dyDescent="0.3">
      <c r="A2044" t="s">
        <v>734</v>
      </c>
      <c r="B2044" s="46">
        <v>45141</v>
      </c>
      <c r="C2044" s="45">
        <v>25600</v>
      </c>
      <c r="D2044" t="s">
        <v>830</v>
      </c>
      <c r="E2044" s="46">
        <v>45184</v>
      </c>
      <c r="F2044" s="45" t="s">
        <v>721</v>
      </c>
      <c r="I2044" t="s">
        <v>726</v>
      </c>
    </row>
    <row r="2045" spans="1:9" hidden="1" x14ac:dyDescent="0.3">
      <c r="A2045" t="s">
        <v>729</v>
      </c>
      <c r="B2045" s="46">
        <v>45139</v>
      </c>
      <c r="C2045" s="45">
        <v>25500</v>
      </c>
      <c r="D2045" t="s">
        <v>1203</v>
      </c>
      <c r="E2045" s="46">
        <v>45184</v>
      </c>
      <c r="F2045" s="45" t="s">
        <v>721</v>
      </c>
      <c r="I2045" t="s">
        <v>756</v>
      </c>
    </row>
    <row r="2046" spans="1:9" hidden="1" x14ac:dyDescent="0.3">
      <c r="A2046" t="s">
        <v>727</v>
      </c>
      <c r="B2046" s="46">
        <v>45187</v>
      </c>
      <c r="C2046" s="45">
        <v>25500</v>
      </c>
      <c r="D2046" t="s">
        <v>1204</v>
      </c>
      <c r="E2046" s="46">
        <v>45215</v>
      </c>
      <c r="F2046" s="45" t="s">
        <v>721</v>
      </c>
      <c r="I2046" t="s">
        <v>726</v>
      </c>
    </row>
    <row r="2047" spans="1:9" hidden="1" x14ac:dyDescent="0.3">
      <c r="A2047" t="s">
        <v>767</v>
      </c>
      <c r="B2047" s="46">
        <v>45189</v>
      </c>
      <c r="C2047" s="45">
        <v>25500</v>
      </c>
      <c r="D2047" t="s">
        <v>1005</v>
      </c>
      <c r="E2047" s="46">
        <v>45215</v>
      </c>
      <c r="F2047" s="45" t="s">
        <v>721</v>
      </c>
      <c r="I2047" t="s">
        <v>726</v>
      </c>
    </row>
    <row r="2048" spans="1:9" hidden="1" x14ac:dyDescent="0.3">
      <c r="A2048" t="s">
        <v>767</v>
      </c>
      <c r="B2048" s="46">
        <v>45422</v>
      </c>
      <c r="C2048" s="45">
        <v>25500</v>
      </c>
      <c r="D2048" t="s">
        <v>2080</v>
      </c>
      <c r="E2048" s="46">
        <v>45458</v>
      </c>
      <c r="F2048" s="45" t="s">
        <v>721</v>
      </c>
      <c r="I2048" t="s">
        <v>726</v>
      </c>
    </row>
    <row r="2049" spans="1:9" hidden="1" x14ac:dyDescent="0.3">
      <c r="A2049" t="s">
        <v>767</v>
      </c>
      <c r="B2049" s="46">
        <v>45434</v>
      </c>
      <c r="C2049" s="45">
        <v>25500</v>
      </c>
      <c r="D2049" t="s">
        <v>2080</v>
      </c>
      <c r="E2049" s="46">
        <v>45458</v>
      </c>
      <c r="F2049" s="45" t="s">
        <v>721</v>
      </c>
      <c r="I2049" t="s">
        <v>726</v>
      </c>
    </row>
    <row r="2050" spans="1:9" hidden="1" x14ac:dyDescent="0.3">
      <c r="A2050" t="s">
        <v>767</v>
      </c>
      <c r="B2050" s="46">
        <v>45429</v>
      </c>
      <c r="C2050" s="45">
        <v>25500</v>
      </c>
      <c r="D2050" t="s">
        <v>2080</v>
      </c>
      <c r="E2050" s="46">
        <v>45458</v>
      </c>
      <c r="F2050" s="45" t="s">
        <v>721</v>
      </c>
      <c r="I2050" t="s">
        <v>726</v>
      </c>
    </row>
    <row r="2051" spans="1:9" hidden="1" x14ac:dyDescent="0.3">
      <c r="A2051" t="s">
        <v>748</v>
      </c>
      <c r="B2051" s="46">
        <v>45365</v>
      </c>
      <c r="C2051" s="45">
        <v>25500</v>
      </c>
      <c r="D2051" t="s">
        <v>893</v>
      </c>
      <c r="E2051" s="46">
        <v>45397</v>
      </c>
      <c r="F2051" s="45" t="s">
        <v>721</v>
      </c>
      <c r="I2051" t="s">
        <v>726</v>
      </c>
    </row>
    <row r="2052" spans="1:9" hidden="1" x14ac:dyDescent="0.3">
      <c r="A2052" t="s">
        <v>724</v>
      </c>
      <c r="B2052" s="46">
        <v>45385</v>
      </c>
      <c r="C2052" s="45">
        <v>25500</v>
      </c>
      <c r="D2052" t="s">
        <v>2080</v>
      </c>
      <c r="E2052" s="46">
        <v>45408</v>
      </c>
      <c r="F2052" s="45" t="s">
        <v>721</v>
      </c>
      <c r="I2052" t="s">
        <v>726</v>
      </c>
    </row>
    <row r="2053" spans="1:9" hidden="1" x14ac:dyDescent="0.3">
      <c r="A2053" t="s">
        <v>727</v>
      </c>
      <c r="B2053" s="46">
        <v>45140</v>
      </c>
      <c r="C2053" s="45">
        <v>25400</v>
      </c>
      <c r="D2053" t="s">
        <v>980</v>
      </c>
      <c r="E2053" s="46">
        <v>45184</v>
      </c>
      <c r="F2053" s="45" t="s">
        <v>721</v>
      </c>
      <c r="I2053" t="s">
        <v>726</v>
      </c>
    </row>
    <row r="2054" spans="1:9" hidden="1" x14ac:dyDescent="0.3">
      <c r="A2054" t="s">
        <v>729</v>
      </c>
      <c r="B2054" s="46">
        <v>45258</v>
      </c>
      <c r="C2054" s="45">
        <v>25380</v>
      </c>
      <c r="D2054" t="s">
        <v>790</v>
      </c>
      <c r="E2054" s="46">
        <v>45275</v>
      </c>
      <c r="F2054" s="45" t="s">
        <v>721</v>
      </c>
      <c r="I2054" t="s">
        <v>834</v>
      </c>
    </row>
    <row r="2055" spans="1:9" hidden="1" x14ac:dyDescent="0.3">
      <c r="A2055" t="s">
        <v>748</v>
      </c>
      <c r="B2055" s="46">
        <v>45204</v>
      </c>
      <c r="C2055" s="45">
        <v>25240</v>
      </c>
      <c r="D2055" t="s">
        <v>828</v>
      </c>
      <c r="E2055" s="46">
        <v>45245</v>
      </c>
      <c r="F2055" s="45" t="s">
        <v>721</v>
      </c>
      <c r="I2055" t="s">
        <v>762</v>
      </c>
    </row>
    <row r="2056" spans="1:9" hidden="1" x14ac:dyDescent="0.3">
      <c r="A2056" t="s">
        <v>761</v>
      </c>
      <c r="B2056" s="46">
        <v>45228</v>
      </c>
      <c r="C2056" s="45">
        <v>25200</v>
      </c>
      <c r="D2056" t="s">
        <v>1022</v>
      </c>
      <c r="E2056" s="46">
        <v>45256</v>
      </c>
      <c r="F2056" s="45" t="s">
        <v>721</v>
      </c>
      <c r="I2056" t="s">
        <v>801</v>
      </c>
    </row>
    <row r="2057" spans="1:9" hidden="1" x14ac:dyDescent="0.3">
      <c r="A2057" t="s">
        <v>748</v>
      </c>
      <c r="B2057" s="46">
        <v>45309</v>
      </c>
      <c r="C2057" s="45">
        <v>25200</v>
      </c>
      <c r="D2057" t="s">
        <v>830</v>
      </c>
      <c r="E2057" s="46">
        <v>45337</v>
      </c>
      <c r="F2057" s="45" t="s">
        <v>721</v>
      </c>
      <c r="I2057" t="s">
        <v>726</v>
      </c>
    </row>
    <row r="2058" spans="1:9" hidden="1" x14ac:dyDescent="0.3">
      <c r="A2058" t="s">
        <v>779</v>
      </c>
      <c r="B2058" s="46">
        <v>45280</v>
      </c>
      <c r="C2058" s="45">
        <v>25000</v>
      </c>
      <c r="D2058" t="s">
        <v>1206</v>
      </c>
      <c r="E2058" s="46">
        <v>45307</v>
      </c>
      <c r="F2058" s="45" t="s">
        <v>721</v>
      </c>
      <c r="I2058" t="s">
        <v>726</v>
      </c>
    </row>
    <row r="2059" spans="1:9" hidden="1" x14ac:dyDescent="0.3">
      <c r="A2059" t="s">
        <v>761</v>
      </c>
      <c r="B2059" s="46">
        <v>45439</v>
      </c>
      <c r="C2059" s="45">
        <v>25000</v>
      </c>
      <c r="D2059" t="s">
        <v>837</v>
      </c>
      <c r="E2059" s="46">
        <v>45469</v>
      </c>
      <c r="F2059" s="45" t="s">
        <v>721</v>
      </c>
      <c r="I2059" t="s">
        <v>838</v>
      </c>
    </row>
    <row r="2060" spans="1:9" hidden="1" x14ac:dyDescent="0.3">
      <c r="A2060" t="s">
        <v>761</v>
      </c>
      <c r="B2060" s="46">
        <v>45439</v>
      </c>
      <c r="C2060" s="45">
        <v>25000</v>
      </c>
      <c r="D2060" t="s">
        <v>837</v>
      </c>
      <c r="E2060" s="46">
        <v>45469</v>
      </c>
      <c r="F2060" s="45" t="s">
        <v>721</v>
      </c>
      <c r="I2060" t="s">
        <v>838</v>
      </c>
    </row>
    <row r="2061" spans="1:9" hidden="1" x14ac:dyDescent="0.3">
      <c r="A2061" t="s">
        <v>794</v>
      </c>
      <c r="B2061" s="46">
        <v>45230</v>
      </c>
      <c r="C2061" s="45">
        <v>25000</v>
      </c>
      <c r="D2061" t="s">
        <v>1208</v>
      </c>
      <c r="E2061" s="46">
        <v>45246</v>
      </c>
      <c r="F2061" s="45" t="s">
        <v>721</v>
      </c>
      <c r="I2061" t="s">
        <v>726</v>
      </c>
    </row>
    <row r="2062" spans="1:9" hidden="1" x14ac:dyDescent="0.3">
      <c r="A2062" t="s">
        <v>775</v>
      </c>
      <c r="B2062" s="46">
        <v>45215</v>
      </c>
      <c r="C2062" s="45">
        <v>25000</v>
      </c>
      <c r="D2062" t="s">
        <v>1209</v>
      </c>
      <c r="E2062" s="46">
        <v>45246</v>
      </c>
      <c r="F2062" s="45" t="s">
        <v>721</v>
      </c>
    </row>
    <row r="2063" spans="1:9" hidden="1" x14ac:dyDescent="0.3">
      <c r="A2063" t="s">
        <v>779</v>
      </c>
      <c r="B2063" s="46">
        <v>45225</v>
      </c>
      <c r="C2063" s="45">
        <v>25000</v>
      </c>
      <c r="D2063" t="s">
        <v>1210</v>
      </c>
      <c r="E2063" s="46">
        <v>45246</v>
      </c>
      <c r="F2063" s="45" t="s">
        <v>721</v>
      </c>
      <c r="I2063" t="s">
        <v>726</v>
      </c>
    </row>
    <row r="2064" spans="1:9" hidden="1" x14ac:dyDescent="0.3">
      <c r="A2064" t="s">
        <v>775</v>
      </c>
      <c r="B2064" s="46">
        <v>45268</v>
      </c>
      <c r="C2064" s="45">
        <v>25000</v>
      </c>
      <c r="D2064" t="s">
        <v>886</v>
      </c>
      <c r="E2064" s="46">
        <v>45307</v>
      </c>
      <c r="F2064" s="45" t="s">
        <v>721</v>
      </c>
      <c r="I2064" t="s">
        <v>726</v>
      </c>
    </row>
    <row r="2065" spans="1:9" hidden="1" x14ac:dyDescent="0.3">
      <c r="A2065" t="s">
        <v>779</v>
      </c>
      <c r="B2065" s="46">
        <v>45238</v>
      </c>
      <c r="C2065" s="45">
        <v>25000</v>
      </c>
      <c r="D2065" t="s">
        <v>1206</v>
      </c>
      <c r="E2065" s="46">
        <v>45276</v>
      </c>
      <c r="F2065" s="45" t="s">
        <v>721</v>
      </c>
      <c r="G2065">
        <v>0</v>
      </c>
      <c r="I2065" t="s">
        <v>726</v>
      </c>
    </row>
    <row r="2066" spans="1:9" hidden="1" x14ac:dyDescent="0.3">
      <c r="A2066" t="s">
        <v>779</v>
      </c>
      <c r="B2066" s="46">
        <v>45238</v>
      </c>
      <c r="C2066" s="45">
        <v>25000</v>
      </c>
      <c r="D2066" t="s">
        <v>1206</v>
      </c>
      <c r="E2066" s="46">
        <v>45278</v>
      </c>
      <c r="F2066" s="45" t="s">
        <v>721</v>
      </c>
      <c r="I2066" t="s">
        <v>726</v>
      </c>
    </row>
    <row r="2067" spans="1:9" hidden="1" x14ac:dyDescent="0.3">
      <c r="A2067" t="s">
        <v>775</v>
      </c>
      <c r="B2067" s="46">
        <v>45250</v>
      </c>
      <c r="C2067" s="45">
        <v>25000</v>
      </c>
      <c r="D2067" t="s">
        <v>1207</v>
      </c>
      <c r="E2067" s="46">
        <v>45278</v>
      </c>
      <c r="F2067" s="45" t="s">
        <v>721</v>
      </c>
    </row>
    <row r="2068" spans="1:9" hidden="1" x14ac:dyDescent="0.3">
      <c r="A2068" t="s">
        <v>748</v>
      </c>
      <c r="B2068" s="46">
        <v>45195</v>
      </c>
      <c r="C2068" s="45">
        <v>25000</v>
      </c>
      <c r="D2068" t="s">
        <v>783</v>
      </c>
      <c r="E2068" s="46">
        <v>45215</v>
      </c>
      <c r="F2068" s="45" t="s">
        <v>721</v>
      </c>
      <c r="I2068" t="s">
        <v>784</v>
      </c>
    </row>
    <row r="2069" spans="1:9" hidden="1" x14ac:dyDescent="0.3">
      <c r="A2069" t="s">
        <v>724</v>
      </c>
      <c r="B2069" s="46">
        <v>45154</v>
      </c>
      <c r="C2069" s="45">
        <v>25000</v>
      </c>
      <c r="D2069" t="s">
        <v>949</v>
      </c>
      <c r="E2069" s="46">
        <v>45195</v>
      </c>
      <c r="F2069" s="45" t="s">
        <v>721</v>
      </c>
      <c r="I2069" t="s">
        <v>726</v>
      </c>
    </row>
    <row r="2070" spans="1:9" hidden="1" x14ac:dyDescent="0.3">
      <c r="A2070" t="s">
        <v>727</v>
      </c>
      <c r="B2070" s="46">
        <v>45169</v>
      </c>
      <c r="C2070" s="45">
        <v>25000</v>
      </c>
      <c r="D2070" t="s">
        <v>850</v>
      </c>
      <c r="E2070" s="46">
        <v>45184</v>
      </c>
      <c r="F2070" s="45" t="s">
        <v>721</v>
      </c>
      <c r="I2070" t="s">
        <v>726</v>
      </c>
    </row>
    <row r="2071" spans="1:9" hidden="1" x14ac:dyDescent="0.3">
      <c r="A2071" t="s">
        <v>729</v>
      </c>
      <c r="B2071" s="46">
        <v>45132</v>
      </c>
      <c r="C2071" s="45">
        <v>25000</v>
      </c>
      <c r="D2071" t="s">
        <v>1205</v>
      </c>
      <c r="E2071" s="46">
        <v>45154</v>
      </c>
      <c r="F2071" s="45" t="s">
        <v>721</v>
      </c>
      <c r="I2071" t="s">
        <v>756</v>
      </c>
    </row>
    <row r="2072" spans="1:9" hidden="1" x14ac:dyDescent="0.3">
      <c r="A2072" t="s">
        <v>722</v>
      </c>
      <c r="B2072" s="46">
        <v>45195</v>
      </c>
      <c r="C2072" s="45">
        <v>24990</v>
      </c>
      <c r="D2072" t="s">
        <v>776</v>
      </c>
      <c r="E2072" s="46">
        <v>45215</v>
      </c>
      <c r="F2072" s="45" t="s">
        <v>721</v>
      </c>
      <c r="I2072" t="s">
        <v>726</v>
      </c>
    </row>
    <row r="2073" spans="1:9" hidden="1" x14ac:dyDescent="0.3">
      <c r="A2073" t="s">
        <v>722</v>
      </c>
      <c r="B2073" s="46">
        <v>45341</v>
      </c>
      <c r="C2073" s="45">
        <v>24930</v>
      </c>
      <c r="D2073" t="s">
        <v>771</v>
      </c>
      <c r="E2073" s="46">
        <v>45366</v>
      </c>
      <c r="F2073" s="45" t="s">
        <v>721</v>
      </c>
      <c r="I2073" t="s">
        <v>762</v>
      </c>
    </row>
    <row r="2074" spans="1:9" hidden="1" x14ac:dyDescent="0.3">
      <c r="A2074" t="s">
        <v>761</v>
      </c>
      <c r="B2074" s="46">
        <v>45167</v>
      </c>
      <c r="C2074" s="45">
        <v>24900</v>
      </c>
      <c r="D2074" t="s">
        <v>1212</v>
      </c>
      <c r="E2074" s="46">
        <v>45195</v>
      </c>
      <c r="F2074" s="45" t="s">
        <v>721</v>
      </c>
      <c r="I2074" t="s">
        <v>726</v>
      </c>
    </row>
    <row r="2075" spans="1:9" hidden="1" x14ac:dyDescent="0.3">
      <c r="A2075" t="s">
        <v>729</v>
      </c>
      <c r="B2075" s="46">
        <v>45262</v>
      </c>
      <c r="C2075" s="45">
        <v>24900</v>
      </c>
      <c r="D2075" t="s">
        <v>1211</v>
      </c>
      <c r="E2075" s="46">
        <v>45306</v>
      </c>
      <c r="F2075" s="45" t="s">
        <v>721</v>
      </c>
      <c r="I2075" t="s">
        <v>760</v>
      </c>
    </row>
    <row r="2076" spans="1:9" hidden="1" x14ac:dyDescent="0.3">
      <c r="A2076" t="s">
        <v>729</v>
      </c>
      <c r="B2076" s="46">
        <v>45288</v>
      </c>
      <c r="C2076" s="45">
        <v>24900</v>
      </c>
      <c r="D2076" t="s">
        <v>771</v>
      </c>
      <c r="E2076" s="46">
        <v>45306</v>
      </c>
      <c r="F2076" s="45" t="s">
        <v>721</v>
      </c>
      <c r="I2076" t="s">
        <v>762</v>
      </c>
    </row>
    <row r="2077" spans="1:9" hidden="1" x14ac:dyDescent="0.3">
      <c r="A2077" t="s">
        <v>720</v>
      </c>
      <c r="B2077" s="46">
        <v>45272</v>
      </c>
      <c r="C2077" s="45">
        <v>24706</v>
      </c>
      <c r="D2077" t="s">
        <v>1213</v>
      </c>
      <c r="E2077" s="46">
        <v>45317</v>
      </c>
      <c r="F2077" s="45" t="s">
        <v>731</v>
      </c>
      <c r="G2077" t="s">
        <v>732</v>
      </c>
      <c r="H2077">
        <v>18.350000000000001</v>
      </c>
      <c r="I2077" t="s">
        <v>738</v>
      </c>
    </row>
    <row r="2078" spans="1:9" hidden="1" x14ac:dyDescent="0.3">
      <c r="A2078" t="s">
        <v>724</v>
      </c>
      <c r="B2078" s="46">
        <v>45435</v>
      </c>
      <c r="C2078" s="45">
        <v>24700</v>
      </c>
      <c r="D2078" t="s">
        <v>1214</v>
      </c>
      <c r="E2078" s="46">
        <v>45469</v>
      </c>
      <c r="F2078" s="45" t="s">
        <v>721</v>
      </c>
      <c r="I2078" t="s">
        <v>726</v>
      </c>
    </row>
    <row r="2079" spans="1:9" hidden="1" x14ac:dyDescent="0.3">
      <c r="A2079" t="s">
        <v>727</v>
      </c>
      <c r="B2079" s="46">
        <v>45399</v>
      </c>
      <c r="C2079" s="45">
        <v>24700</v>
      </c>
      <c r="D2079" t="s">
        <v>991</v>
      </c>
      <c r="E2079" s="46">
        <v>45428</v>
      </c>
      <c r="F2079" s="45" t="s">
        <v>721</v>
      </c>
      <c r="I2079" t="s">
        <v>726</v>
      </c>
    </row>
    <row r="2080" spans="1:9" hidden="1" x14ac:dyDescent="0.3">
      <c r="A2080" t="s">
        <v>761</v>
      </c>
      <c r="B2080" s="46">
        <v>45341</v>
      </c>
      <c r="C2080" s="45">
        <v>24500</v>
      </c>
      <c r="D2080" t="s">
        <v>1215</v>
      </c>
      <c r="E2080" s="46">
        <v>45377</v>
      </c>
      <c r="F2080" s="45" t="s">
        <v>721</v>
      </c>
      <c r="I2080" t="s">
        <v>726</v>
      </c>
    </row>
    <row r="2081" spans="1:9" hidden="1" x14ac:dyDescent="0.3">
      <c r="A2081" t="s">
        <v>734</v>
      </c>
      <c r="B2081" s="46">
        <v>45366</v>
      </c>
      <c r="C2081" s="45">
        <v>24500</v>
      </c>
      <c r="D2081" t="s">
        <v>735</v>
      </c>
      <c r="E2081" s="46">
        <v>45397</v>
      </c>
      <c r="F2081" s="45" t="s">
        <v>721</v>
      </c>
      <c r="I2081" t="s">
        <v>762</v>
      </c>
    </row>
    <row r="2082" spans="1:9" hidden="1" x14ac:dyDescent="0.3">
      <c r="A2082" t="s">
        <v>767</v>
      </c>
      <c r="B2082" s="46">
        <v>45267</v>
      </c>
      <c r="C2082" s="45">
        <v>24500</v>
      </c>
      <c r="D2082" t="s">
        <v>1175</v>
      </c>
      <c r="E2082" s="46">
        <v>45306</v>
      </c>
      <c r="F2082" s="45" t="s">
        <v>721</v>
      </c>
      <c r="I2082" t="s">
        <v>726</v>
      </c>
    </row>
    <row r="2083" spans="1:9" hidden="1" x14ac:dyDescent="0.3">
      <c r="A2083" t="s">
        <v>748</v>
      </c>
      <c r="B2083" s="46">
        <v>45216</v>
      </c>
      <c r="C2083" s="45">
        <v>24500</v>
      </c>
      <c r="D2083" t="s">
        <v>735</v>
      </c>
      <c r="E2083" s="46">
        <v>45245</v>
      </c>
      <c r="F2083" s="45" t="s">
        <v>721</v>
      </c>
      <c r="I2083" t="s">
        <v>762</v>
      </c>
    </row>
    <row r="2084" spans="1:9" hidden="1" x14ac:dyDescent="0.3">
      <c r="A2084" t="s">
        <v>748</v>
      </c>
      <c r="B2084" s="46">
        <v>45125</v>
      </c>
      <c r="C2084" s="45">
        <v>24500</v>
      </c>
      <c r="D2084" t="s">
        <v>735</v>
      </c>
      <c r="E2084" s="46">
        <v>45154</v>
      </c>
      <c r="F2084" s="45" t="s">
        <v>721</v>
      </c>
      <c r="I2084" t="s">
        <v>762</v>
      </c>
    </row>
    <row r="2085" spans="1:9" hidden="1" x14ac:dyDescent="0.3">
      <c r="A2085" t="s">
        <v>821</v>
      </c>
      <c r="B2085" s="46">
        <v>45135</v>
      </c>
      <c r="C2085" s="45">
        <v>24400</v>
      </c>
      <c r="D2085" t="s">
        <v>982</v>
      </c>
      <c r="E2085" s="46">
        <v>45154</v>
      </c>
      <c r="F2085" s="45" t="s">
        <v>721</v>
      </c>
      <c r="I2085" t="s">
        <v>726</v>
      </c>
    </row>
    <row r="2086" spans="1:9" hidden="1" x14ac:dyDescent="0.3">
      <c r="A2086" t="s">
        <v>767</v>
      </c>
      <c r="B2086" s="46">
        <v>45321</v>
      </c>
      <c r="C2086" s="45">
        <v>24400</v>
      </c>
      <c r="D2086" t="s">
        <v>1127</v>
      </c>
      <c r="E2086" s="46">
        <v>45337</v>
      </c>
      <c r="F2086" s="45" t="s">
        <v>721</v>
      </c>
      <c r="I2086" t="s">
        <v>726</v>
      </c>
    </row>
    <row r="2087" spans="1:9" hidden="1" x14ac:dyDescent="0.3">
      <c r="A2087" t="s">
        <v>734</v>
      </c>
      <c r="B2087" s="46">
        <v>45414</v>
      </c>
      <c r="C2087" s="45">
        <v>24400</v>
      </c>
      <c r="D2087" t="s">
        <v>2100</v>
      </c>
      <c r="E2087" s="46">
        <v>45458</v>
      </c>
      <c r="F2087" s="45" t="s">
        <v>721</v>
      </c>
      <c r="I2087" t="s">
        <v>726</v>
      </c>
    </row>
    <row r="2088" spans="1:9" hidden="1" x14ac:dyDescent="0.3">
      <c r="A2088" t="s">
        <v>727</v>
      </c>
      <c r="B2088" s="46">
        <v>45190</v>
      </c>
      <c r="C2088" s="45">
        <v>24200</v>
      </c>
      <c r="D2088" t="s">
        <v>1057</v>
      </c>
      <c r="E2088" s="46">
        <v>45215</v>
      </c>
      <c r="F2088" s="45" t="s">
        <v>721</v>
      </c>
      <c r="I2088" t="s">
        <v>726</v>
      </c>
    </row>
    <row r="2089" spans="1:9" hidden="1" x14ac:dyDescent="0.3">
      <c r="A2089" t="s">
        <v>821</v>
      </c>
      <c r="B2089" s="46">
        <v>45145</v>
      </c>
      <c r="C2089" s="45">
        <v>24100</v>
      </c>
      <c r="D2089" t="s">
        <v>1126</v>
      </c>
      <c r="E2089" s="46">
        <v>45184</v>
      </c>
      <c r="F2089" s="45" t="s">
        <v>721</v>
      </c>
      <c r="I2089" t="s">
        <v>726</v>
      </c>
    </row>
    <row r="2090" spans="1:9" hidden="1" x14ac:dyDescent="0.3">
      <c r="A2090" t="s">
        <v>748</v>
      </c>
      <c r="B2090" s="46">
        <v>45404</v>
      </c>
      <c r="C2090" s="45">
        <v>24100</v>
      </c>
      <c r="D2090" t="s">
        <v>1231</v>
      </c>
      <c r="E2090" s="46">
        <v>45428</v>
      </c>
      <c r="F2090" s="45" t="s">
        <v>721</v>
      </c>
      <c r="I2090" t="s">
        <v>762</v>
      </c>
    </row>
    <row r="2091" spans="1:9" hidden="1" x14ac:dyDescent="0.3">
      <c r="A2091" t="s">
        <v>821</v>
      </c>
      <c r="B2091" s="46">
        <v>45279</v>
      </c>
      <c r="C2091" s="45">
        <v>24060</v>
      </c>
      <c r="D2091" t="s">
        <v>1031</v>
      </c>
      <c r="E2091" s="46">
        <v>45306</v>
      </c>
      <c r="F2091" s="45" t="s">
        <v>721</v>
      </c>
      <c r="I2091" t="s">
        <v>726</v>
      </c>
    </row>
    <row r="2092" spans="1:9" hidden="1" x14ac:dyDescent="0.3">
      <c r="A2092" t="s">
        <v>779</v>
      </c>
      <c r="B2092" s="46">
        <v>45408</v>
      </c>
      <c r="C2092" s="45">
        <v>24030</v>
      </c>
      <c r="D2092" t="s">
        <v>1031</v>
      </c>
      <c r="E2092" s="46">
        <v>45428</v>
      </c>
      <c r="F2092" s="45" t="s">
        <v>721</v>
      </c>
      <c r="G2092">
        <v>0</v>
      </c>
      <c r="I2092" t="s">
        <v>726</v>
      </c>
    </row>
    <row r="2093" spans="1:9" hidden="1" x14ac:dyDescent="0.3">
      <c r="A2093" t="s">
        <v>727</v>
      </c>
      <c r="B2093" s="46">
        <v>45357</v>
      </c>
      <c r="C2093" s="45">
        <v>24000</v>
      </c>
      <c r="D2093" t="s">
        <v>1008</v>
      </c>
      <c r="E2093" s="46">
        <v>45397</v>
      </c>
      <c r="F2093" s="45" t="s">
        <v>721</v>
      </c>
      <c r="I2093" t="s">
        <v>726</v>
      </c>
    </row>
    <row r="2094" spans="1:9" hidden="1" x14ac:dyDescent="0.3">
      <c r="A2094" t="s">
        <v>727</v>
      </c>
      <c r="B2094" s="46">
        <v>45359</v>
      </c>
      <c r="C2094" s="45">
        <v>24000</v>
      </c>
      <c r="D2094" t="s">
        <v>850</v>
      </c>
      <c r="E2094" s="46">
        <v>45397</v>
      </c>
      <c r="F2094" s="45" t="s">
        <v>721</v>
      </c>
      <c r="I2094" t="s">
        <v>726</v>
      </c>
    </row>
    <row r="2095" spans="1:9" hidden="1" x14ac:dyDescent="0.3">
      <c r="A2095" t="s">
        <v>772</v>
      </c>
      <c r="B2095" s="46">
        <v>45350</v>
      </c>
      <c r="C2095" s="45">
        <v>24000</v>
      </c>
      <c r="D2095" t="s">
        <v>1041</v>
      </c>
      <c r="E2095" s="46">
        <v>45377</v>
      </c>
      <c r="F2095" s="45" t="s">
        <v>721</v>
      </c>
      <c r="I2095" t="s">
        <v>726</v>
      </c>
    </row>
    <row r="2096" spans="1:9" hidden="1" x14ac:dyDescent="0.3">
      <c r="A2096" t="s">
        <v>772</v>
      </c>
      <c r="B2096" s="46">
        <v>45345</v>
      </c>
      <c r="C2096" s="45">
        <v>24000</v>
      </c>
      <c r="D2096" t="s">
        <v>1112</v>
      </c>
      <c r="E2096" s="46">
        <v>45377</v>
      </c>
      <c r="F2096" s="45" t="s">
        <v>721</v>
      </c>
      <c r="I2096" t="s">
        <v>726</v>
      </c>
    </row>
    <row r="2097" spans="1:9" hidden="1" x14ac:dyDescent="0.3">
      <c r="A2097" t="s">
        <v>720</v>
      </c>
      <c r="B2097" s="46">
        <v>45353</v>
      </c>
      <c r="C2097" s="45">
        <v>24000</v>
      </c>
      <c r="D2097" t="s">
        <v>1104</v>
      </c>
      <c r="E2097" s="46">
        <v>45377</v>
      </c>
      <c r="F2097" s="45" t="s">
        <v>721</v>
      </c>
      <c r="I2097" t="s">
        <v>738</v>
      </c>
    </row>
    <row r="2098" spans="1:9" hidden="1" x14ac:dyDescent="0.3">
      <c r="A2098" t="s">
        <v>772</v>
      </c>
      <c r="B2098" s="46">
        <v>45371</v>
      </c>
      <c r="C2098" s="45">
        <v>24000</v>
      </c>
      <c r="D2098" t="s">
        <v>1215</v>
      </c>
      <c r="E2098" s="46">
        <v>45408</v>
      </c>
      <c r="F2098" s="45" t="s">
        <v>721</v>
      </c>
      <c r="I2098" t="s">
        <v>726</v>
      </c>
    </row>
    <row r="2099" spans="1:9" hidden="1" x14ac:dyDescent="0.3">
      <c r="A2099" t="s">
        <v>724</v>
      </c>
      <c r="B2099" s="46">
        <v>45369</v>
      </c>
      <c r="C2099" s="45">
        <v>24000</v>
      </c>
      <c r="D2099" t="s">
        <v>1812</v>
      </c>
      <c r="E2099" s="46">
        <v>45408</v>
      </c>
      <c r="F2099" s="45" t="s">
        <v>721</v>
      </c>
      <c r="I2099" t="s">
        <v>726</v>
      </c>
    </row>
    <row r="2100" spans="1:9" hidden="1" x14ac:dyDescent="0.3">
      <c r="A2100" t="s">
        <v>772</v>
      </c>
      <c r="B2100" s="46">
        <v>45363</v>
      </c>
      <c r="C2100" s="45">
        <v>24000</v>
      </c>
      <c r="D2100" t="s">
        <v>1215</v>
      </c>
      <c r="E2100" s="46">
        <v>45408</v>
      </c>
      <c r="F2100" s="45" t="s">
        <v>721</v>
      </c>
      <c r="I2100" t="s">
        <v>726</v>
      </c>
    </row>
    <row r="2101" spans="1:9" hidden="1" x14ac:dyDescent="0.3">
      <c r="A2101" t="s">
        <v>767</v>
      </c>
      <c r="B2101" s="46">
        <v>45294</v>
      </c>
      <c r="C2101" s="45">
        <v>24000</v>
      </c>
      <c r="D2101" t="s">
        <v>850</v>
      </c>
      <c r="E2101" s="46">
        <v>45337</v>
      </c>
      <c r="F2101" s="45" t="s">
        <v>721</v>
      </c>
      <c r="I2101" t="s">
        <v>726</v>
      </c>
    </row>
    <row r="2102" spans="1:9" hidden="1" x14ac:dyDescent="0.3">
      <c r="A2102" t="s">
        <v>821</v>
      </c>
      <c r="B2102" s="46">
        <v>45310</v>
      </c>
      <c r="C2102" s="45">
        <v>24000</v>
      </c>
      <c r="D2102" t="s">
        <v>1008</v>
      </c>
      <c r="E2102" s="46">
        <v>45337</v>
      </c>
      <c r="F2102" s="45" t="s">
        <v>721</v>
      </c>
      <c r="I2102" t="s">
        <v>726</v>
      </c>
    </row>
    <row r="2103" spans="1:9" hidden="1" x14ac:dyDescent="0.3">
      <c r="A2103" t="s">
        <v>821</v>
      </c>
      <c r="B2103" s="46">
        <v>45321</v>
      </c>
      <c r="C2103" s="45">
        <v>24000</v>
      </c>
      <c r="D2103" t="s">
        <v>1008</v>
      </c>
      <c r="E2103" s="46">
        <v>45337</v>
      </c>
      <c r="F2103" s="45" t="s">
        <v>721</v>
      </c>
      <c r="I2103" t="s">
        <v>726</v>
      </c>
    </row>
    <row r="2104" spans="1:9" hidden="1" x14ac:dyDescent="0.3">
      <c r="A2104" t="s">
        <v>821</v>
      </c>
      <c r="B2104" s="46">
        <v>45314</v>
      </c>
      <c r="C2104" s="45">
        <v>24000</v>
      </c>
      <c r="D2104" t="s">
        <v>1008</v>
      </c>
      <c r="E2104" s="46">
        <v>45337</v>
      </c>
      <c r="F2104" s="45" t="s">
        <v>721</v>
      </c>
      <c r="I2104" t="s">
        <v>726</v>
      </c>
    </row>
    <row r="2105" spans="1:9" hidden="1" x14ac:dyDescent="0.3">
      <c r="A2105" t="s">
        <v>821</v>
      </c>
      <c r="B2105" s="46">
        <v>45315</v>
      </c>
      <c r="C2105" s="45">
        <v>24000</v>
      </c>
      <c r="D2105" t="s">
        <v>850</v>
      </c>
      <c r="E2105" s="46">
        <v>45337</v>
      </c>
      <c r="F2105" s="45" t="s">
        <v>721</v>
      </c>
      <c r="I2105" t="s">
        <v>726</v>
      </c>
    </row>
    <row r="2106" spans="1:9" hidden="1" x14ac:dyDescent="0.3">
      <c r="A2106" t="s">
        <v>821</v>
      </c>
      <c r="B2106" s="46">
        <v>45293</v>
      </c>
      <c r="C2106" s="45">
        <v>24000</v>
      </c>
      <c r="D2106" t="s">
        <v>850</v>
      </c>
      <c r="E2106" s="46">
        <v>45337</v>
      </c>
      <c r="F2106" s="45" t="s">
        <v>721</v>
      </c>
      <c r="I2106" t="s">
        <v>726</v>
      </c>
    </row>
    <row r="2107" spans="1:9" hidden="1" x14ac:dyDescent="0.3">
      <c r="A2107" t="s">
        <v>821</v>
      </c>
      <c r="B2107" s="46">
        <v>45301</v>
      </c>
      <c r="C2107" s="45">
        <v>24000</v>
      </c>
      <c r="D2107" t="s">
        <v>1040</v>
      </c>
      <c r="E2107" s="46">
        <v>45337</v>
      </c>
      <c r="F2107" s="45" t="s">
        <v>721</v>
      </c>
      <c r="I2107" t="s">
        <v>726</v>
      </c>
    </row>
    <row r="2108" spans="1:9" hidden="1" x14ac:dyDescent="0.3">
      <c r="A2108" t="s">
        <v>821</v>
      </c>
      <c r="B2108" s="46">
        <v>45306</v>
      </c>
      <c r="C2108" s="45">
        <v>24000</v>
      </c>
      <c r="D2108" t="s">
        <v>1047</v>
      </c>
      <c r="E2108" s="46">
        <v>45337</v>
      </c>
      <c r="F2108" s="45" t="s">
        <v>721</v>
      </c>
      <c r="I2108" t="s">
        <v>726</v>
      </c>
    </row>
    <row r="2109" spans="1:9" hidden="1" x14ac:dyDescent="0.3">
      <c r="A2109" t="s">
        <v>729</v>
      </c>
      <c r="B2109" s="46">
        <v>45300</v>
      </c>
      <c r="C2109" s="45">
        <v>24000</v>
      </c>
      <c r="D2109" t="s">
        <v>1099</v>
      </c>
      <c r="E2109" s="46">
        <v>45337</v>
      </c>
      <c r="F2109" s="45" t="s">
        <v>721</v>
      </c>
      <c r="I2109" t="s">
        <v>726</v>
      </c>
    </row>
    <row r="2110" spans="1:9" hidden="1" x14ac:dyDescent="0.3">
      <c r="A2110" t="s">
        <v>729</v>
      </c>
      <c r="B2110" s="46">
        <v>45301</v>
      </c>
      <c r="C2110" s="45">
        <v>24000</v>
      </c>
      <c r="D2110" t="s">
        <v>1040</v>
      </c>
      <c r="E2110" s="46">
        <v>45337</v>
      </c>
      <c r="F2110" s="45" t="s">
        <v>721</v>
      </c>
      <c r="I2110" t="s">
        <v>726</v>
      </c>
    </row>
    <row r="2111" spans="1:9" hidden="1" x14ac:dyDescent="0.3">
      <c r="A2111" t="s">
        <v>727</v>
      </c>
      <c r="B2111" s="46">
        <v>45350</v>
      </c>
      <c r="C2111" s="45">
        <v>24000</v>
      </c>
      <c r="D2111" t="s">
        <v>850</v>
      </c>
      <c r="E2111" s="46">
        <v>45366</v>
      </c>
      <c r="F2111" s="45" t="s">
        <v>721</v>
      </c>
      <c r="I2111" t="s">
        <v>726</v>
      </c>
    </row>
    <row r="2112" spans="1:9" hidden="1" x14ac:dyDescent="0.3">
      <c r="A2112" t="s">
        <v>727</v>
      </c>
      <c r="B2112" s="46">
        <v>45327</v>
      </c>
      <c r="C2112" s="45">
        <v>24000</v>
      </c>
      <c r="D2112" t="s">
        <v>988</v>
      </c>
      <c r="E2112" s="46">
        <v>45366</v>
      </c>
      <c r="F2112" s="45" t="s">
        <v>721</v>
      </c>
      <c r="I2112" t="s">
        <v>726</v>
      </c>
    </row>
    <row r="2113" spans="1:9" hidden="1" x14ac:dyDescent="0.3">
      <c r="A2113" t="s">
        <v>729</v>
      </c>
      <c r="B2113" s="46">
        <v>45327</v>
      </c>
      <c r="C2113" s="45">
        <v>24000</v>
      </c>
      <c r="D2113" t="s">
        <v>850</v>
      </c>
      <c r="E2113" s="46">
        <v>45366</v>
      </c>
      <c r="F2113" s="45" t="s">
        <v>721</v>
      </c>
      <c r="I2113" t="s">
        <v>726</v>
      </c>
    </row>
    <row r="2114" spans="1:9" hidden="1" x14ac:dyDescent="0.3">
      <c r="A2114" t="s">
        <v>729</v>
      </c>
      <c r="B2114" s="46">
        <v>45324</v>
      </c>
      <c r="C2114" s="45">
        <v>24000</v>
      </c>
      <c r="D2114" t="s">
        <v>1008</v>
      </c>
      <c r="E2114" s="46">
        <v>45366</v>
      </c>
      <c r="F2114" s="45" t="s">
        <v>721</v>
      </c>
      <c r="I2114" t="s">
        <v>726</v>
      </c>
    </row>
    <row r="2115" spans="1:9" hidden="1" x14ac:dyDescent="0.3">
      <c r="A2115" t="s">
        <v>772</v>
      </c>
      <c r="B2115" s="46">
        <v>45310</v>
      </c>
      <c r="C2115" s="45">
        <v>24000</v>
      </c>
      <c r="D2115" t="s">
        <v>755</v>
      </c>
      <c r="E2115" s="46">
        <v>45348</v>
      </c>
      <c r="F2115" s="45" t="s">
        <v>721</v>
      </c>
      <c r="I2115" t="s">
        <v>726</v>
      </c>
    </row>
    <row r="2116" spans="1:9" hidden="1" x14ac:dyDescent="0.3">
      <c r="A2116" t="s">
        <v>727</v>
      </c>
      <c r="B2116" s="46">
        <v>45383</v>
      </c>
      <c r="C2116" s="45">
        <v>24000</v>
      </c>
      <c r="D2116" t="s">
        <v>1008</v>
      </c>
      <c r="E2116" s="46">
        <v>45428</v>
      </c>
      <c r="F2116" s="45" t="s">
        <v>721</v>
      </c>
      <c r="I2116" t="s">
        <v>726</v>
      </c>
    </row>
    <row r="2117" spans="1:9" hidden="1" x14ac:dyDescent="0.3">
      <c r="A2117" t="s">
        <v>734</v>
      </c>
      <c r="B2117" s="46">
        <v>45383</v>
      </c>
      <c r="C2117" s="45">
        <v>24000</v>
      </c>
      <c r="D2117" t="s">
        <v>994</v>
      </c>
      <c r="E2117" s="46">
        <v>45428</v>
      </c>
      <c r="F2117" s="45" t="s">
        <v>721</v>
      </c>
      <c r="I2117" t="s">
        <v>726</v>
      </c>
    </row>
    <row r="2118" spans="1:9" hidden="1" x14ac:dyDescent="0.3">
      <c r="A2118" t="s">
        <v>727</v>
      </c>
      <c r="B2118" s="46">
        <v>45405</v>
      </c>
      <c r="C2118" s="45">
        <v>24000</v>
      </c>
      <c r="D2118" t="s">
        <v>1724</v>
      </c>
      <c r="E2118" s="46">
        <v>45428</v>
      </c>
      <c r="F2118" s="45" t="s">
        <v>721</v>
      </c>
      <c r="I2118" t="s">
        <v>726</v>
      </c>
    </row>
    <row r="2119" spans="1:9" hidden="1" x14ac:dyDescent="0.3">
      <c r="A2119" t="s">
        <v>727</v>
      </c>
      <c r="B2119" s="46">
        <v>45406</v>
      </c>
      <c r="C2119" s="45">
        <v>24000</v>
      </c>
      <c r="D2119" t="s">
        <v>1008</v>
      </c>
      <c r="E2119" s="46">
        <v>45428</v>
      </c>
      <c r="F2119" s="45" t="s">
        <v>721</v>
      </c>
      <c r="I2119" t="s">
        <v>726</v>
      </c>
    </row>
    <row r="2120" spans="1:9" hidden="1" x14ac:dyDescent="0.3">
      <c r="A2120" t="s">
        <v>722</v>
      </c>
      <c r="B2120" s="46">
        <v>45408</v>
      </c>
      <c r="C2120" s="45">
        <v>24000</v>
      </c>
      <c r="D2120" t="s">
        <v>1812</v>
      </c>
      <c r="E2120" s="46">
        <v>45428</v>
      </c>
      <c r="F2120" s="45" t="s">
        <v>721</v>
      </c>
      <c r="I2120" t="s">
        <v>726</v>
      </c>
    </row>
    <row r="2121" spans="1:9" hidden="1" x14ac:dyDescent="0.3">
      <c r="A2121" t="s">
        <v>772</v>
      </c>
      <c r="B2121" s="46">
        <v>45391</v>
      </c>
      <c r="C2121" s="45">
        <v>24000</v>
      </c>
      <c r="D2121" t="s">
        <v>755</v>
      </c>
      <c r="E2121" s="46">
        <v>45438</v>
      </c>
      <c r="F2121" s="45" t="s">
        <v>721</v>
      </c>
      <c r="I2121" t="s">
        <v>726</v>
      </c>
    </row>
    <row r="2122" spans="1:9" hidden="1" x14ac:dyDescent="0.3">
      <c r="A2122" t="s">
        <v>727</v>
      </c>
      <c r="B2122" s="46">
        <v>45436</v>
      </c>
      <c r="C2122" s="45">
        <v>24000</v>
      </c>
      <c r="D2122" t="s">
        <v>1008</v>
      </c>
      <c r="E2122" s="46">
        <v>45458</v>
      </c>
      <c r="F2122" s="45" t="s">
        <v>721</v>
      </c>
      <c r="I2122" t="s">
        <v>726</v>
      </c>
    </row>
    <row r="2123" spans="1:9" hidden="1" x14ac:dyDescent="0.3">
      <c r="A2123" t="s">
        <v>727</v>
      </c>
      <c r="B2123" s="46">
        <v>45439</v>
      </c>
      <c r="C2123" s="45">
        <v>24000</v>
      </c>
      <c r="D2123" t="s">
        <v>850</v>
      </c>
      <c r="E2123" s="46">
        <v>45458</v>
      </c>
      <c r="F2123" s="45" t="s">
        <v>721</v>
      </c>
      <c r="I2123" t="s">
        <v>726</v>
      </c>
    </row>
    <row r="2124" spans="1:9" hidden="1" x14ac:dyDescent="0.3">
      <c r="A2124" t="s">
        <v>727</v>
      </c>
      <c r="B2124" s="46">
        <v>45433</v>
      </c>
      <c r="C2124" s="45">
        <v>24000</v>
      </c>
      <c r="D2124" t="s">
        <v>1041</v>
      </c>
      <c r="E2124" s="46">
        <v>45458</v>
      </c>
      <c r="F2124" s="45" t="s">
        <v>721</v>
      </c>
      <c r="I2124" t="s">
        <v>726</v>
      </c>
    </row>
    <row r="2125" spans="1:9" hidden="1" x14ac:dyDescent="0.3">
      <c r="A2125" t="s">
        <v>727</v>
      </c>
      <c r="B2125" s="46">
        <v>45425</v>
      </c>
      <c r="C2125" s="45">
        <v>24000</v>
      </c>
      <c r="D2125" t="s">
        <v>850</v>
      </c>
      <c r="E2125" s="46">
        <v>45458</v>
      </c>
      <c r="F2125" s="45" t="s">
        <v>721</v>
      </c>
      <c r="I2125" t="s">
        <v>726</v>
      </c>
    </row>
    <row r="2126" spans="1:9" hidden="1" x14ac:dyDescent="0.3">
      <c r="A2126" t="s">
        <v>727</v>
      </c>
      <c r="B2126" s="46">
        <v>45426</v>
      </c>
      <c r="C2126" s="45">
        <v>24000</v>
      </c>
      <c r="D2126" t="s">
        <v>949</v>
      </c>
      <c r="E2126" s="46">
        <v>45458</v>
      </c>
      <c r="F2126" s="45" t="s">
        <v>721</v>
      </c>
      <c r="I2126" t="s">
        <v>726</v>
      </c>
    </row>
    <row r="2127" spans="1:9" hidden="1" x14ac:dyDescent="0.3">
      <c r="A2127" t="s">
        <v>720</v>
      </c>
      <c r="B2127" s="46">
        <v>45432</v>
      </c>
      <c r="C2127" s="45">
        <v>24000</v>
      </c>
      <c r="D2127" t="s">
        <v>1104</v>
      </c>
      <c r="E2127" s="46">
        <v>45469</v>
      </c>
      <c r="F2127" s="45" t="s">
        <v>721</v>
      </c>
      <c r="I2127" t="s">
        <v>738</v>
      </c>
    </row>
    <row r="2128" spans="1:9" hidden="1" x14ac:dyDescent="0.3">
      <c r="A2128" t="s">
        <v>821</v>
      </c>
      <c r="B2128" s="46">
        <v>45268</v>
      </c>
      <c r="C2128" s="45">
        <v>24000</v>
      </c>
      <c r="D2128" t="s">
        <v>988</v>
      </c>
      <c r="E2128" s="46">
        <v>45306</v>
      </c>
      <c r="F2128" s="45" t="s">
        <v>721</v>
      </c>
      <c r="I2128" t="s">
        <v>726</v>
      </c>
    </row>
    <row r="2129" spans="1:9" hidden="1" x14ac:dyDescent="0.3">
      <c r="A2129" t="s">
        <v>720</v>
      </c>
      <c r="B2129" s="46">
        <v>45271</v>
      </c>
      <c r="C2129" s="45">
        <v>24000</v>
      </c>
      <c r="D2129" t="s">
        <v>1104</v>
      </c>
      <c r="E2129" s="46">
        <v>45317</v>
      </c>
      <c r="F2129" s="45" t="s">
        <v>721</v>
      </c>
      <c r="I2129" t="s">
        <v>738</v>
      </c>
    </row>
    <row r="2130" spans="1:9" hidden="1" x14ac:dyDescent="0.3">
      <c r="A2130" t="s">
        <v>720</v>
      </c>
      <c r="B2130" s="46">
        <v>45279</v>
      </c>
      <c r="C2130" s="45">
        <v>24000</v>
      </c>
      <c r="D2130" t="s">
        <v>1104</v>
      </c>
      <c r="E2130" s="46">
        <v>45317</v>
      </c>
      <c r="F2130" s="45" t="s">
        <v>721</v>
      </c>
      <c r="I2130" t="s">
        <v>738</v>
      </c>
    </row>
    <row r="2131" spans="1:9" hidden="1" x14ac:dyDescent="0.3">
      <c r="A2131" t="s">
        <v>729</v>
      </c>
      <c r="B2131" s="46">
        <v>45287</v>
      </c>
      <c r="C2131" s="45">
        <v>24000</v>
      </c>
      <c r="D2131" t="s">
        <v>988</v>
      </c>
      <c r="E2131" s="46">
        <v>45306</v>
      </c>
      <c r="F2131" s="45" t="s">
        <v>721</v>
      </c>
      <c r="I2131" t="s">
        <v>726</v>
      </c>
    </row>
    <row r="2132" spans="1:9" hidden="1" x14ac:dyDescent="0.3">
      <c r="A2132" t="s">
        <v>729</v>
      </c>
      <c r="B2132" s="46">
        <v>45268</v>
      </c>
      <c r="C2132" s="45">
        <v>24000</v>
      </c>
      <c r="D2132" t="s">
        <v>988</v>
      </c>
      <c r="E2132" s="46">
        <v>45306</v>
      </c>
      <c r="F2132" s="45" t="s">
        <v>721</v>
      </c>
      <c r="I2132" t="s">
        <v>726</v>
      </c>
    </row>
    <row r="2133" spans="1:9" hidden="1" x14ac:dyDescent="0.3">
      <c r="A2133" t="s">
        <v>748</v>
      </c>
      <c r="B2133" s="46">
        <v>45275</v>
      </c>
      <c r="C2133" s="45">
        <v>24000</v>
      </c>
      <c r="D2133" t="s">
        <v>850</v>
      </c>
      <c r="E2133" s="46">
        <v>45306</v>
      </c>
      <c r="F2133" s="45" t="s">
        <v>721</v>
      </c>
      <c r="I2133" t="s">
        <v>726</v>
      </c>
    </row>
    <row r="2134" spans="1:9" hidden="1" x14ac:dyDescent="0.3">
      <c r="A2134" t="s">
        <v>775</v>
      </c>
      <c r="B2134" s="46">
        <v>45232</v>
      </c>
      <c r="C2134" s="45">
        <v>24000</v>
      </c>
      <c r="D2134" t="s">
        <v>850</v>
      </c>
      <c r="E2134" s="46">
        <v>45278</v>
      </c>
      <c r="F2134" s="45" t="s">
        <v>721</v>
      </c>
      <c r="I2134" t="s">
        <v>726</v>
      </c>
    </row>
    <row r="2135" spans="1:9" hidden="1" x14ac:dyDescent="0.3">
      <c r="A2135" t="s">
        <v>775</v>
      </c>
      <c r="B2135" s="46">
        <v>45232</v>
      </c>
      <c r="C2135" s="45">
        <v>24000</v>
      </c>
      <c r="D2135" t="s">
        <v>850</v>
      </c>
      <c r="E2135" s="46">
        <v>45276</v>
      </c>
      <c r="F2135" s="45" t="s">
        <v>721</v>
      </c>
      <c r="G2135">
        <v>0</v>
      </c>
      <c r="I2135" t="s">
        <v>726</v>
      </c>
    </row>
    <row r="2136" spans="1:9" hidden="1" x14ac:dyDescent="0.3">
      <c r="A2136" t="s">
        <v>772</v>
      </c>
      <c r="B2136" s="46">
        <v>45246</v>
      </c>
      <c r="C2136" s="45">
        <v>24000</v>
      </c>
      <c r="D2136" t="s">
        <v>1219</v>
      </c>
      <c r="E2136" s="46">
        <v>45286</v>
      </c>
      <c r="F2136" s="45" t="s">
        <v>721</v>
      </c>
      <c r="I2136" t="s">
        <v>726</v>
      </c>
    </row>
    <row r="2137" spans="1:9" hidden="1" x14ac:dyDescent="0.3">
      <c r="A2137" t="s">
        <v>779</v>
      </c>
      <c r="B2137" s="46">
        <v>45211</v>
      </c>
      <c r="C2137" s="45">
        <v>24000</v>
      </c>
      <c r="D2137" t="s">
        <v>1111</v>
      </c>
      <c r="E2137" s="46">
        <v>45246</v>
      </c>
      <c r="F2137" s="45" t="s">
        <v>721</v>
      </c>
    </row>
    <row r="2138" spans="1:9" hidden="1" x14ac:dyDescent="0.3">
      <c r="A2138" t="s">
        <v>821</v>
      </c>
      <c r="B2138" s="46">
        <v>45224</v>
      </c>
      <c r="C2138" s="45">
        <v>24000</v>
      </c>
      <c r="D2138" t="s">
        <v>1040</v>
      </c>
      <c r="E2138" s="46">
        <v>45245</v>
      </c>
      <c r="F2138" s="45" t="s">
        <v>721</v>
      </c>
      <c r="I2138" t="s">
        <v>726</v>
      </c>
    </row>
    <row r="2139" spans="1:9" hidden="1" x14ac:dyDescent="0.3">
      <c r="A2139" t="s">
        <v>821</v>
      </c>
      <c r="B2139" s="46">
        <v>45229</v>
      </c>
      <c r="C2139" s="45">
        <v>24000</v>
      </c>
      <c r="D2139" t="s">
        <v>1040</v>
      </c>
      <c r="E2139" s="46">
        <v>45245</v>
      </c>
      <c r="F2139" s="45" t="s">
        <v>721</v>
      </c>
      <c r="I2139" t="s">
        <v>726</v>
      </c>
    </row>
    <row r="2140" spans="1:9" hidden="1" x14ac:dyDescent="0.3">
      <c r="A2140" t="s">
        <v>727</v>
      </c>
      <c r="B2140" s="46">
        <v>45219</v>
      </c>
      <c r="C2140" s="45">
        <v>24000</v>
      </c>
      <c r="D2140" t="s">
        <v>850</v>
      </c>
      <c r="E2140" s="46">
        <v>45245</v>
      </c>
      <c r="F2140" s="45" t="s">
        <v>721</v>
      </c>
      <c r="I2140" t="s">
        <v>726</v>
      </c>
    </row>
    <row r="2141" spans="1:9" hidden="1" x14ac:dyDescent="0.3">
      <c r="A2141" t="s">
        <v>729</v>
      </c>
      <c r="B2141" s="46">
        <v>45230</v>
      </c>
      <c r="C2141" s="45">
        <v>24000</v>
      </c>
      <c r="D2141" t="s">
        <v>1041</v>
      </c>
      <c r="E2141" s="46">
        <v>45245</v>
      </c>
      <c r="F2141" s="45" t="s">
        <v>721</v>
      </c>
      <c r="I2141" t="s">
        <v>726</v>
      </c>
    </row>
    <row r="2142" spans="1:9" hidden="1" x14ac:dyDescent="0.3">
      <c r="A2142" t="s">
        <v>729</v>
      </c>
      <c r="B2142" s="46">
        <v>45259</v>
      </c>
      <c r="C2142" s="45">
        <v>24000</v>
      </c>
      <c r="D2142" t="s">
        <v>869</v>
      </c>
      <c r="E2142" s="46">
        <v>45275</v>
      </c>
      <c r="F2142" s="45" t="s">
        <v>721</v>
      </c>
      <c r="I2142" t="s">
        <v>726</v>
      </c>
    </row>
    <row r="2143" spans="1:9" hidden="1" x14ac:dyDescent="0.3">
      <c r="A2143" t="s">
        <v>821</v>
      </c>
      <c r="B2143" s="46">
        <v>45231</v>
      </c>
      <c r="C2143" s="45">
        <v>24000</v>
      </c>
      <c r="D2143" t="s">
        <v>1003</v>
      </c>
      <c r="E2143" s="46">
        <v>45275</v>
      </c>
      <c r="F2143" s="45" t="s">
        <v>721</v>
      </c>
      <c r="I2143" t="s">
        <v>726</v>
      </c>
    </row>
    <row r="2144" spans="1:9" hidden="1" x14ac:dyDescent="0.3">
      <c r="A2144" t="s">
        <v>821</v>
      </c>
      <c r="B2144" s="46">
        <v>45257</v>
      </c>
      <c r="C2144" s="45">
        <v>24000</v>
      </c>
      <c r="D2144" t="s">
        <v>1125</v>
      </c>
      <c r="E2144" s="46">
        <v>45275</v>
      </c>
      <c r="F2144" s="45" t="s">
        <v>721</v>
      </c>
      <c r="I2144" t="s">
        <v>726</v>
      </c>
    </row>
    <row r="2145" spans="1:9" hidden="1" x14ac:dyDescent="0.3">
      <c r="A2145" t="s">
        <v>821</v>
      </c>
      <c r="B2145" s="46">
        <v>45259</v>
      </c>
      <c r="C2145" s="45">
        <v>24000</v>
      </c>
      <c r="D2145" t="s">
        <v>1047</v>
      </c>
      <c r="E2145" s="46">
        <v>45275</v>
      </c>
      <c r="F2145" s="45" t="s">
        <v>721</v>
      </c>
      <c r="I2145" t="s">
        <v>726</v>
      </c>
    </row>
    <row r="2146" spans="1:9" hidden="1" x14ac:dyDescent="0.3">
      <c r="A2146" t="s">
        <v>821</v>
      </c>
      <c r="B2146" s="46">
        <v>45252</v>
      </c>
      <c r="C2146" s="45">
        <v>24000</v>
      </c>
      <c r="D2146" t="s">
        <v>850</v>
      </c>
      <c r="E2146" s="46">
        <v>45275</v>
      </c>
      <c r="F2146" s="45" t="s">
        <v>721</v>
      </c>
      <c r="I2146" t="s">
        <v>726</v>
      </c>
    </row>
    <row r="2147" spans="1:9" hidden="1" x14ac:dyDescent="0.3">
      <c r="A2147" t="s">
        <v>720</v>
      </c>
      <c r="B2147" s="46">
        <v>45260</v>
      </c>
      <c r="C2147" s="45">
        <v>24000</v>
      </c>
      <c r="D2147" t="s">
        <v>1104</v>
      </c>
      <c r="E2147" s="46">
        <v>45286</v>
      </c>
      <c r="F2147" s="45" t="s">
        <v>721</v>
      </c>
      <c r="I2147" t="s">
        <v>738</v>
      </c>
    </row>
    <row r="2148" spans="1:9" hidden="1" x14ac:dyDescent="0.3">
      <c r="A2148" t="s">
        <v>729</v>
      </c>
      <c r="B2148" s="46">
        <v>45236</v>
      </c>
      <c r="C2148" s="45">
        <v>24000</v>
      </c>
      <c r="D2148" t="s">
        <v>1040</v>
      </c>
      <c r="E2148" s="46">
        <v>45275</v>
      </c>
      <c r="F2148" s="45" t="s">
        <v>721</v>
      </c>
      <c r="I2148" t="s">
        <v>726</v>
      </c>
    </row>
    <row r="2149" spans="1:9" hidden="1" x14ac:dyDescent="0.3">
      <c r="A2149" t="s">
        <v>729</v>
      </c>
      <c r="B2149" s="46">
        <v>45243</v>
      </c>
      <c r="C2149" s="45">
        <v>24000</v>
      </c>
      <c r="D2149" t="s">
        <v>1124</v>
      </c>
      <c r="E2149" s="46">
        <v>45275</v>
      </c>
      <c r="F2149" s="45" t="s">
        <v>721</v>
      </c>
      <c r="I2149" t="s">
        <v>726</v>
      </c>
    </row>
    <row r="2150" spans="1:9" hidden="1" x14ac:dyDescent="0.3">
      <c r="A2150" t="s">
        <v>729</v>
      </c>
      <c r="B2150" s="46">
        <v>45245</v>
      </c>
      <c r="C2150" s="45">
        <v>24000</v>
      </c>
      <c r="D2150" t="s">
        <v>850</v>
      </c>
      <c r="E2150" s="46">
        <v>45275</v>
      </c>
      <c r="F2150" s="45" t="s">
        <v>721</v>
      </c>
      <c r="I2150" t="s">
        <v>726</v>
      </c>
    </row>
    <row r="2151" spans="1:9" hidden="1" x14ac:dyDescent="0.3">
      <c r="A2151" t="s">
        <v>729</v>
      </c>
      <c r="B2151" s="46">
        <v>45257</v>
      </c>
      <c r="C2151" s="45">
        <v>24000</v>
      </c>
      <c r="D2151" t="s">
        <v>1124</v>
      </c>
      <c r="E2151" s="46">
        <v>45275</v>
      </c>
      <c r="F2151" s="45" t="s">
        <v>721</v>
      </c>
      <c r="I2151" t="s">
        <v>726</v>
      </c>
    </row>
    <row r="2152" spans="1:9" hidden="1" x14ac:dyDescent="0.3">
      <c r="A2152" t="s">
        <v>772</v>
      </c>
      <c r="B2152" s="46">
        <v>45203</v>
      </c>
      <c r="C2152" s="45">
        <v>24000</v>
      </c>
      <c r="D2152" t="s">
        <v>850</v>
      </c>
      <c r="E2152" s="46">
        <v>45256</v>
      </c>
      <c r="F2152" s="45" t="s">
        <v>721</v>
      </c>
      <c r="I2152" t="s">
        <v>726</v>
      </c>
    </row>
    <row r="2153" spans="1:9" hidden="1" x14ac:dyDescent="0.3">
      <c r="A2153" t="s">
        <v>821</v>
      </c>
      <c r="B2153" s="46">
        <v>45146</v>
      </c>
      <c r="C2153" s="45">
        <v>24000</v>
      </c>
      <c r="D2153" t="s">
        <v>850</v>
      </c>
      <c r="E2153" s="46">
        <v>45184</v>
      </c>
      <c r="F2153" s="45" t="s">
        <v>721</v>
      </c>
      <c r="I2153" t="s">
        <v>726</v>
      </c>
    </row>
    <row r="2154" spans="1:9" hidden="1" x14ac:dyDescent="0.3">
      <c r="A2154" t="s">
        <v>821</v>
      </c>
      <c r="B2154" s="46">
        <v>45147</v>
      </c>
      <c r="C2154" s="45">
        <v>24000</v>
      </c>
      <c r="D2154" t="s">
        <v>1040</v>
      </c>
      <c r="E2154" s="46">
        <v>45184</v>
      </c>
      <c r="F2154" s="45" t="s">
        <v>721</v>
      </c>
      <c r="I2154" t="s">
        <v>726</v>
      </c>
    </row>
    <row r="2155" spans="1:9" hidden="1" x14ac:dyDescent="0.3">
      <c r="A2155" t="s">
        <v>821</v>
      </c>
      <c r="B2155" s="46">
        <v>45154</v>
      </c>
      <c r="C2155" s="45">
        <v>24000</v>
      </c>
      <c r="D2155" t="s">
        <v>1047</v>
      </c>
      <c r="E2155" s="46">
        <v>45184</v>
      </c>
      <c r="F2155" s="45" t="s">
        <v>721</v>
      </c>
      <c r="I2155" t="s">
        <v>726</v>
      </c>
    </row>
    <row r="2156" spans="1:9" hidden="1" x14ac:dyDescent="0.3">
      <c r="A2156" t="s">
        <v>775</v>
      </c>
      <c r="B2156" s="46">
        <v>45154</v>
      </c>
      <c r="C2156" s="45">
        <v>24000</v>
      </c>
      <c r="D2156" t="s">
        <v>1217</v>
      </c>
      <c r="E2156" s="46">
        <v>45184</v>
      </c>
      <c r="F2156" s="45" t="s">
        <v>721</v>
      </c>
      <c r="I2156" t="s">
        <v>726</v>
      </c>
    </row>
    <row r="2157" spans="1:9" hidden="1" x14ac:dyDescent="0.3">
      <c r="A2157" t="s">
        <v>761</v>
      </c>
      <c r="B2157" s="46">
        <v>45170</v>
      </c>
      <c r="C2157" s="45">
        <v>24000</v>
      </c>
      <c r="D2157" t="s">
        <v>1220</v>
      </c>
      <c r="E2157" s="46">
        <v>45195</v>
      </c>
      <c r="F2157" s="45" t="s">
        <v>721</v>
      </c>
      <c r="I2157" t="s">
        <v>838</v>
      </c>
    </row>
    <row r="2158" spans="1:9" hidden="1" x14ac:dyDescent="0.3">
      <c r="A2158" t="s">
        <v>761</v>
      </c>
      <c r="B2158" s="46">
        <v>45169</v>
      </c>
      <c r="C2158" s="45">
        <v>24000</v>
      </c>
      <c r="D2158" t="s">
        <v>1220</v>
      </c>
      <c r="E2158" s="46">
        <v>45195</v>
      </c>
      <c r="F2158" s="45" t="s">
        <v>721</v>
      </c>
      <c r="I2158" t="s">
        <v>838</v>
      </c>
    </row>
    <row r="2159" spans="1:9" hidden="1" x14ac:dyDescent="0.3">
      <c r="A2159" t="s">
        <v>729</v>
      </c>
      <c r="B2159" s="46">
        <v>45145</v>
      </c>
      <c r="C2159" s="45">
        <v>24000</v>
      </c>
      <c r="D2159" t="s">
        <v>893</v>
      </c>
      <c r="E2159" s="46">
        <v>45184</v>
      </c>
      <c r="F2159" s="45" t="s">
        <v>721</v>
      </c>
      <c r="I2159" t="s">
        <v>726</v>
      </c>
    </row>
    <row r="2160" spans="1:9" hidden="1" x14ac:dyDescent="0.3">
      <c r="A2160" t="s">
        <v>729</v>
      </c>
      <c r="B2160" s="46">
        <v>45149</v>
      </c>
      <c r="C2160" s="45">
        <v>24000</v>
      </c>
      <c r="D2160" t="s">
        <v>1031</v>
      </c>
      <c r="E2160" s="46">
        <v>45184</v>
      </c>
      <c r="F2160" s="45" t="s">
        <v>721</v>
      </c>
      <c r="I2160" t="s">
        <v>726</v>
      </c>
    </row>
    <row r="2161" spans="1:9" hidden="1" x14ac:dyDescent="0.3">
      <c r="A2161" t="s">
        <v>729</v>
      </c>
      <c r="B2161" s="46">
        <v>45147</v>
      </c>
      <c r="C2161" s="45">
        <v>24000</v>
      </c>
      <c r="D2161" t="s">
        <v>1041</v>
      </c>
      <c r="E2161" s="46">
        <v>45184</v>
      </c>
      <c r="F2161" s="45" t="s">
        <v>721</v>
      </c>
      <c r="I2161" t="s">
        <v>726</v>
      </c>
    </row>
    <row r="2162" spans="1:9" hidden="1" x14ac:dyDescent="0.3">
      <c r="A2162" t="s">
        <v>729</v>
      </c>
      <c r="B2162" s="46">
        <v>45159</v>
      </c>
      <c r="C2162" s="45">
        <v>24000</v>
      </c>
      <c r="D2162" t="s">
        <v>1040</v>
      </c>
      <c r="E2162" s="46">
        <v>45184</v>
      </c>
      <c r="F2162" s="45" t="s">
        <v>721</v>
      </c>
      <c r="I2162" t="s">
        <v>726</v>
      </c>
    </row>
    <row r="2163" spans="1:9" hidden="1" x14ac:dyDescent="0.3">
      <c r="A2163" t="s">
        <v>729</v>
      </c>
      <c r="B2163" s="46">
        <v>45167</v>
      </c>
      <c r="C2163" s="45">
        <v>24000</v>
      </c>
      <c r="D2163" t="s">
        <v>997</v>
      </c>
      <c r="E2163" s="46">
        <v>45184</v>
      </c>
      <c r="F2163" s="45" t="s">
        <v>721</v>
      </c>
      <c r="I2163" t="s">
        <v>726</v>
      </c>
    </row>
    <row r="2164" spans="1:9" hidden="1" x14ac:dyDescent="0.3">
      <c r="A2164" t="s">
        <v>748</v>
      </c>
      <c r="B2164" s="46">
        <v>45156</v>
      </c>
      <c r="C2164" s="45">
        <v>24000</v>
      </c>
      <c r="D2164" t="s">
        <v>1039</v>
      </c>
      <c r="E2164" s="46">
        <v>45184</v>
      </c>
      <c r="F2164" s="45" t="s">
        <v>721</v>
      </c>
      <c r="I2164" t="s">
        <v>726</v>
      </c>
    </row>
    <row r="2165" spans="1:9" hidden="1" x14ac:dyDescent="0.3">
      <c r="A2165" t="s">
        <v>821</v>
      </c>
      <c r="B2165" s="46">
        <v>45133</v>
      </c>
      <c r="C2165" s="45">
        <v>24000</v>
      </c>
      <c r="D2165" t="s">
        <v>949</v>
      </c>
      <c r="E2165" s="46">
        <v>45154</v>
      </c>
      <c r="F2165" s="45" t="s">
        <v>721</v>
      </c>
      <c r="I2165" t="s">
        <v>726</v>
      </c>
    </row>
    <row r="2166" spans="1:9" hidden="1" x14ac:dyDescent="0.3">
      <c r="A2166" t="s">
        <v>729</v>
      </c>
      <c r="B2166" s="46">
        <v>45119</v>
      </c>
      <c r="C2166" s="45">
        <v>24000</v>
      </c>
      <c r="D2166" t="s">
        <v>850</v>
      </c>
      <c r="E2166" s="46">
        <v>45154</v>
      </c>
      <c r="F2166" s="45" t="s">
        <v>721</v>
      </c>
      <c r="I2166" t="s">
        <v>726</v>
      </c>
    </row>
    <row r="2167" spans="1:9" hidden="1" x14ac:dyDescent="0.3">
      <c r="A2167" t="s">
        <v>767</v>
      </c>
      <c r="B2167" s="46">
        <v>45125</v>
      </c>
      <c r="C2167" s="45">
        <v>24000</v>
      </c>
      <c r="D2167" t="s">
        <v>850</v>
      </c>
      <c r="E2167" s="46">
        <v>45154</v>
      </c>
      <c r="F2167" s="45" t="s">
        <v>721</v>
      </c>
      <c r="I2167" t="s">
        <v>726</v>
      </c>
    </row>
    <row r="2168" spans="1:9" hidden="1" x14ac:dyDescent="0.3">
      <c r="A2168" t="s">
        <v>767</v>
      </c>
      <c r="B2168" s="46">
        <v>45138</v>
      </c>
      <c r="C2168" s="45">
        <v>24000</v>
      </c>
      <c r="D2168" t="s">
        <v>850</v>
      </c>
      <c r="E2168" s="46">
        <v>45154</v>
      </c>
      <c r="F2168" s="45" t="s">
        <v>721</v>
      </c>
      <c r="I2168" t="s">
        <v>726</v>
      </c>
    </row>
    <row r="2169" spans="1:9" hidden="1" x14ac:dyDescent="0.3">
      <c r="A2169" t="s">
        <v>772</v>
      </c>
      <c r="B2169" s="46">
        <v>45135</v>
      </c>
      <c r="C2169" s="45">
        <v>24000</v>
      </c>
      <c r="D2169" t="s">
        <v>1112</v>
      </c>
      <c r="E2169" s="46">
        <v>45164</v>
      </c>
      <c r="F2169" s="45" t="s">
        <v>721</v>
      </c>
      <c r="I2169" t="s">
        <v>726</v>
      </c>
    </row>
    <row r="2170" spans="1:9" hidden="1" x14ac:dyDescent="0.3">
      <c r="A2170" t="s">
        <v>772</v>
      </c>
      <c r="B2170" s="46">
        <v>45133</v>
      </c>
      <c r="C2170" s="45">
        <v>24000</v>
      </c>
      <c r="D2170" t="s">
        <v>1108</v>
      </c>
      <c r="E2170" s="46">
        <v>45164</v>
      </c>
      <c r="F2170" s="45" t="s">
        <v>721</v>
      </c>
      <c r="I2170" t="s">
        <v>726</v>
      </c>
    </row>
    <row r="2171" spans="1:9" hidden="1" x14ac:dyDescent="0.3">
      <c r="A2171" t="s">
        <v>772</v>
      </c>
      <c r="B2171" s="46">
        <v>45140</v>
      </c>
      <c r="C2171" s="45">
        <v>24000</v>
      </c>
      <c r="D2171" t="s">
        <v>917</v>
      </c>
      <c r="E2171" s="46">
        <v>45164</v>
      </c>
      <c r="F2171" s="45" t="s">
        <v>721</v>
      </c>
      <c r="I2171" t="s">
        <v>726</v>
      </c>
    </row>
    <row r="2172" spans="1:9" hidden="1" x14ac:dyDescent="0.3">
      <c r="A2172" t="s">
        <v>720</v>
      </c>
      <c r="B2172" s="46">
        <v>45139</v>
      </c>
      <c r="C2172" s="45">
        <v>24000</v>
      </c>
      <c r="D2172" t="s">
        <v>1104</v>
      </c>
      <c r="E2172" s="46">
        <v>45164</v>
      </c>
      <c r="F2172" s="45" t="s">
        <v>721</v>
      </c>
      <c r="I2172" t="s">
        <v>738</v>
      </c>
    </row>
    <row r="2173" spans="1:9" hidden="1" x14ac:dyDescent="0.3">
      <c r="A2173" t="s">
        <v>761</v>
      </c>
      <c r="B2173" s="46">
        <v>45139</v>
      </c>
      <c r="C2173" s="45">
        <v>24000</v>
      </c>
      <c r="D2173" t="s">
        <v>1003</v>
      </c>
      <c r="E2173" s="46">
        <v>45164</v>
      </c>
      <c r="F2173" s="45" t="s">
        <v>721</v>
      </c>
      <c r="I2173" t="s">
        <v>726</v>
      </c>
    </row>
    <row r="2174" spans="1:9" hidden="1" x14ac:dyDescent="0.3">
      <c r="A2174" t="s">
        <v>772</v>
      </c>
      <c r="B2174" s="46">
        <v>45139</v>
      </c>
      <c r="C2174" s="45">
        <v>24000</v>
      </c>
      <c r="D2174" t="s">
        <v>1108</v>
      </c>
      <c r="E2174" s="46">
        <v>45164</v>
      </c>
      <c r="F2174" s="45" t="s">
        <v>721</v>
      </c>
      <c r="I2174" t="s">
        <v>726</v>
      </c>
    </row>
    <row r="2175" spans="1:9" hidden="1" x14ac:dyDescent="0.3">
      <c r="A2175" t="s">
        <v>724</v>
      </c>
      <c r="B2175" s="46">
        <v>45125</v>
      </c>
      <c r="C2175" s="45">
        <v>24000</v>
      </c>
      <c r="D2175" t="s">
        <v>1003</v>
      </c>
      <c r="E2175" s="46">
        <v>45164</v>
      </c>
      <c r="F2175" s="45" t="s">
        <v>721</v>
      </c>
      <c r="I2175" t="s">
        <v>726</v>
      </c>
    </row>
    <row r="2176" spans="1:9" hidden="1" x14ac:dyDescent="0.3">
      <c r="A2176" t="s">
        <v>772</v>
      </c>
      <c r="B2176" s="46">
        <v>45128</v>
      </c>
      <c r="C2176" s="45">
        <v>24000</v>
      </c>
      <c r="D2176" t="s">
        <v>1112</v>
      </c>
      <c r="E2176" s="46">
        <v>45164</v>
      </c>
      <c r="F2176" s="45" t="s">
        <v>721</v>
      </c>
      <c r="I2176" t="s">
        <v>726</v>
      </c>
    </row>
    <row r="2177" spans="1:9" hidden="1" x14ac:dyDescent="0.3">
      <c r="A2177" t="s">
        <v>821</v>
      </c>
      <c r="B2177" s="46">
        <v>45188</v>
      </c>
      <c r="C2177" s="45">
        <v>24000</v>
      </c>
      <c r="D2177" t="s">
        <v>1040</v>
      </c>
      <c r="E2177" s="46">
        <v>45215</v>
      </c>
      <c r="F2177" s="45" t="s">
        <v>721</v>
      </c>
      <c r="I2177" t="s">
        <v>726</v>
      </c>
    </row>
    <row r="2178" spans="1:9" hidden="1" x14ac:dyDescent="0.3">
      <c r="A2178" t="s">
        <v>821</v>
      </c>
      <c r="B2178" s="46">
        <v>45189</v>
      </c>
      <c r="C2178" s="45">
        <v>24000</v>
      </c>
      <c r="D2178" t="s">
        <v>1095</v>
      </c>
      <c r="E2178" s="46">
        <v>45215</v>
      </c>
      <c r="F2178" s="45" t="s">
        <v>721</v>
      </c>
      <c r="I2178" t="s">
        <v>726</v>
      </c>
    </row>
    <row r="2179" spans="1:9" hidden="1" x14ac:dyDescent="0.3">
      <c r="A2179" t="s">
        <v>821</v>
      </c>
      <c r="B2179" s="46">
        <v>45180</v>
      </c>
      <c r="C2179" s="45">
        <v>24000</v>
      </c>
      <c r="D2179" t="s">
        <v>1047</v>
      </c>
      <c r="E2179" s="46">
        <v>45215</v>
      </c>
      <c r="F2179" s="45" t="s">
        <v>721</v>
      </c>
      <c r="I2179" t="s">
        <v>726</v>
      </c>
    </row>
    <row r="2180" spans="1:9" hidden="1" x14ac:dyDescent="0.3">
      <c r="A2180" t="s">
        <v>821</v>
      </c>
      <c r="B2180" s="46">
        <v>45181</v>
      </c>
      <c r="C2180" s="45">
        <v>24000</v>
      </c>
      <c r="D2180" t="s">
        <v>850</v>
      </c>
      <c r="E2180" s="46">
        <v>45215</v>
      </c>
      <c r="F2180" s="45" t="s">
        <v>721</v>
      </c>
      <c r="I2180" t="s">
        <v>726</v>
      </c>
    </row>
    <row r="2181" spans="1:9" hidden="1" x14ac:dyDescent="0.3">
      <c r="A2181" t="s">
        <v>821</v>
      </c>
      <c r="B2181" s="46">
        <v>45182</v>
      </c>
      <c r="C2181" s="45">
        <v>24000</v>
      </c>
      <c r="D2181" t="s">
        <v>1040</v>
      </c>
      <c r="E2181" s="46">
        <v>45215</v>
      </c>
      <c r="F2181" s="45" t="s">
        <v>721</v>
      </c>
      <c r="I2181" t="s">
        <v>726</v>
      </c>
    </row>
    <row r="2182" spans="1:9" hidden="1" x14ac:dyDescent="0.3">
      <c r="A2182" t="s">
        <v>821</v>
      </c>
      <c r="B2182" s="46">
        <v>45184</v>
      </c>
      <c r="C2182" s="45">
        <v>24000</v>
      </c>
      <c r="D2182" t="s">
        <v>1040</v>
      </c>
      <c r="E2182" s="46">
        <v>45215</v>
      </c>
      <c r="F2182" s="45" t="s">
        <v>721</v>
      </c>
      <c r="I2182" t="s">
        <v>726</v>
      </c>
    </row>
    <row r="2183" spans="1:9" hidden="1" x14ac:dyDescent="0.3">
      <c r="A2183" t="s">
        <v>729</v>
      </c>
      <c r="B2183" s="46">
        <v>45188</v>
      </c>
      <c r="C2183" s="45">
        <v>24000</v>
      </c>
      <c r="D2183" t="s">
        <v>1040</v>
      </c>
      <c r="E2183" s="46">
        <v>45215</v>
      </c>
      <c r="F2183" s="45" t="s">
        <v>721</v>
      </c>
      <c r="I2183" t="s">
        <v>726</v>
      </c>
    </row>
    <row r="2184" spans="1:9" hidden="1" x14ac:dyDescent="0.3">
      <c r="A2184" t="s">
        <v>729</v>
      </c>
      <c r="B2184" s="46">
        <v>45184</v>
      </c>
      <c r="C2184" s="45">
        <v>24000</v>
      </c>
      <c r="D2184" t="s">
        <v>850</v>
      </c>
      <c r="E2184" s="46">
        <v>45215</v>
      </c>
      <c r="F2184" s="45" t="s">
        <v>721</v>
      </c>
      <c r="I2184" t="s">
        <v>726</v>
      </c>
    </row>
    <row r="2185" spans="1:9" hidden="1" x14ac:dyDescent="0.3">
      <c r="A2185" t="s">
        <v>761</v>
      </c>
      <c r="B2185" s="46">
        <v>45168</v>
      </c>
      <c r="C2185" s="45">
        <v>24000</v>
      </c>
      <c r="D2185" t="s">
        <v>1220</v>
      </c>
      <c r="E2185" s="46">
        <v>45195</v>
      </c>
      <c r="F2185" s="45" t="s">
        <v>721</v>
      </c>
      <c r="I2185" t="s">
        <v>838</v>
      </c>
    </row>
    <row r="2186" spans="1:9" hidden="1" x14ac:dyDescent="0.3">
      <c r="A2186" t="s">
        <v>772</v>
      </c>
      <c r="B2186" s="46">
        <v>45161</v>
      </c>
      <c r="C2186" s="45">
        <v>24000</v>
      </c>
      <c r="D2186" t="s">
        <v>1109</v>
      </c>
      <c r="E2186" s="46">
        <v>45195</v>
      </c>
      <c r="F2186" s="45" t="s">
        <v>721</v>
      </c>
      <c r="I2186" t="s">
        <v>726</v>
      </c>
    </row>
    <row r="2187" spans="1:9" hidden="1" x14ac:dyDescent="0.3">
      <c r="A2187" t="s">
        <v>748</v>
      </c>
      <c r="B2187" s="46">
        <v>45219</v>
      </c>
      <c r="C2187" s="45">
        <v>24000</v>
      </c>
      <c r="D2187" t="s">
        <v>1039</v>
      </c>
      <c r="E2187" s="46">
        <v>45245</v>
      </c>
      <c r="F2187" s="45" t="s">
        <v>721</v>
      </c>
      <c r="I2187" t="s">
        <v>726</v>
      </c>
    </row>
    <row r="2188" spans="1:9" hidden="1" x14ac:dyDescent="0.3">
      <c r="A2188" t="s">
        <v>729</v>
      </c>
      <c r="B2188" s="46">
        <v>45203</v>
      </c>
      <c r="C2188" s="45">
        <v>24000</v>
      </c>
      <c r="D2188" t="s">
        <v>1041</v>
      </c>
      <c r="E2188" s="46">
        <v>45245</v>
      </c>
      <c r="F2188" s="45" t="s">
        <v>721</v>
      </c>
      <c r="I2188" t="s">
        <v>726</v>
      </c>
    </row>
    <row r="2189" spans="1:9" hidden="1" x14ac:dyDescent="0.3">
      <c r="A2189" t="s">
        <v>775</v>
      </c>
      <c r="B2189" s="46">
        <v>45184</v>
      </c>
      <c r="C2189" s="45">
        <v>24000</v>
      </c>
      <c r="D2189" t="s">
        <v>1217</v>
      </c>
      <c r="E2189" s="46">
        <v>45215</v>
      </c>
      <c r="F2189" s="45" t="s">
        <v>721</v>
      </c>
    </row>
    <row r="2190" spans="1:9" hidden="1" x14ac:dyDescent="0.3">
      <c r="A2190" t="s">
        <v>794</v>
      </c>
      <c r="B2190" s="46">
        <v>45170</v>
      </c>
      <c r="C2190" s="45">
        <v>24000</v>
      </c>
      <c r="D2190" t="s">
        <v>1218</v>
      </c>
      <c r="E2190" s="46">
        <v>45215</v>
      </c>
      <c r="F2190" s="45" t="s">
        <v>721</v>
      </c>
    </row>
    <row r="2191" spans="1:9" hidden="1" x14ac:dyDescent="0.3">
      <c r="A2191" t="s">
        <v>772</v>
      </c>
      <c r="B2191" s="46">
        <v>45195</v>
      </c>
      <c r="C2191" s="45">
        <v>24000</v>
      </c>
      <c r="D2191" t="s">
        <v>1216</v>
      </c>
      <c r="E2191" s="46">
        <v>45225</v>
      </c>
      <c r="F2191" s="45" t="s">
        <v>721</v>
      </c>
      <c r="I2191" t="s">
        <v>726</v>
      </c>
    </row>
    <row r="2192" spans="1:9" hidden="1" x14ac:dyDescent="0.3">
      <c r="A2192" t="s">
        <v>772</v>
      </c>
      <c r="B2192" s="46">
        <v>45196</v>
      </c>
      <c r="C2192" s="45">
        <v>24000</v>
      </c>
      <c r="D2192" t="s">
        <v>949</v>
      </c>
      <c r="E2192" s="46">
        <v>45225</v>
      </c>
      <c r="F2192" s="45" t="s">
        <v>721</v>
      </c>
      <c r="I2192" t="s">
        <v>726</v>
      </c>
    </row>
    <row r="2193" spans="1:9" hidden="1" x14ac:dyDescent="0.3">
      <c r="A2193" t="s">
        <v>772</v>
      </c>
      <c r="B2193" s="46">
        <v>45175</v>
      </c>
      <c r="C2193" s="45">
        <v>24000</v>
      </c>
      <c r="D2193" t="s">
        <v>1109</v>
      </c>
      <c r="E2193" s="46">
        <v>45225</v>
      </c>
      <c r="F2193" s="45" t="s">
        <v>721</v>
      </c>
      <c r="I2193" t="s">
        <v>726</v>
      </c>
    </row>
    <row r="2194" spans="1:9" hidden="1" x14ac:dyDescent="0.3">
      <c r="A2194" t="s">
        <v>748</v>
      </c>
      <c r="B2194" s="46">
        <v>45230</v>
      </c>
      <c r="C2194" s="45">
        <v>23950</v>
      </c>
      <c r="D2194" t="s">
        <v>1031</v>
      </c>
      <c r="E2194" s="46">
        <v>45245</v>
      </c>
      <c r="F2194" s="45" t="s">
        <v>721</v>
      </c>
      <c r="I2194" t="s">
        <v>726</v>
      </c>
    </row>
    <row r="2195" spans="1:9" hidden="1" x14ac:dyDescent="0.3">
      <c r="A2195" t="s">
        <v>748</v>
      </c>
      <c r="B2195" s="46">
        <v>45118</v>
      </c>
      <c r="C2195" s="45">
        <v>23940</v>
      </c>
      <c r="D2195" t="s">
        <v>735</v>
      </c>
      <c r="E2195" s="46">
        <v>45154</v>
      </c>
      <c r="F2195" s="45" t="s">
        <v>721</v>
      </c>
      <c r="I2195" t="s">
        <v>726</v>
      </c>
    </row>
    <row r="2196" spans="1:9" hidden="1" x14ac:dyDescent="0.3">
      <c r="A2196" t="s">
        <v>767</v>
      </c>
      <c r="B2196" s="46">
        <v>45134</v>
      </c>
      <c r="C2196" s="45">
        <v>23900</v>
      </c>
      <c r="D2196" t="s">
        <v>1222</v>
      </c>
      <c r="E2196" s="46">
        <v>45154</v>
      </c>
      <c r="F2196" s="45" t="s">
        <v>721</v>
      </c>
      <c r="I2196" t="s">
        <v>726</v>
      </c>
    </row>
    <row r="2197" spans="1:9" hidden="1" x14ac:dyDescent="0.3">
      <c r="A2197" t="s">
        <v>734</v>
      </c>
      <c r="B2197" s="46">
        <v>45187</v>
      </c>
      <c r="C2197" s="45">
        <v>23900</v>
      </c>
      <c r="D2197" t="s">
        <v>735</v>
      </c>
      <c r="E2197" s="46">
        <v>45215</v>
      </c>
      <c r="F2197" s="45" t="s">
        <v>721</v>
      </c>
      <c r="I2197" t="s">
        <v>736</v>
      </c>
    </row>
    <row r="2198" spans="1:9" hidden="1" x14ac:dyDescent="0.3">
      <c r="A2198" t="s">
        <v>821</v>
      </c>
      <c r="B2198" s="46">
        <v>45177</v>
      </c>
      <c r="C2198" s="45">
        <v>23800</v>
      </c>
      <c r="D2198" t="s">
        <v>1223</v>
      </c>
      <c r="E2198" s="46">
        <v>45215</v>
      </c>
      <c r="F2198" s="45" t="s">
        <v>721</v>
      </c>
      <c r="I2198" t="s">
        <v>726</v>
      </c>
    </row>
    <row r="2199" spans="1:9" hidden="1" x14ac:dyDescent="0.3">
      <c r="A2199" t="s">
        <v>727</v>
      </c>
      <c r="B2199" s="46">
        <v>45175</v>
      </c>
      <c r="C2199" s="45">
        <v>23800</v>
      </c>
      <c r="D2199" t="s">
        <v>1081</v>
      </c>
      <c r="E2199" s="46">
        <v>45215</v>
      </c>
      <c r="F2199" s="45" t="s">
        <v>721</v>
      </c>
      <c r="I2199" t="s">
        <v>726</v>
      </c>
    </row>
    <row r="2200" spans="1:9" hidden="1" x14ac:dyDescent="0.3">
      <c r="A2200" t="s">
        <v>729</v>
      </c>
      <c r="B2200" s="46">
        <v>45189</v>
      </c>
      <c r="C2200" s="45">
        <v>23800</v>
      </c>
      <c r="D2200" t="s">
        <v>1048</v>
      </c>
      <c r="E2200" s="46">
        <v>45215</v>
      </c>
      <c r="F2200" s="45" t="s">
        <v>721</v>
      </c>
      <c r="I2200" t="s">
        <v>726</v>
      </c>
    </row>
    <row r="2201" spans="1:9" hidden="1" x14ac:dyDescent="0.3">
      <c r="A2201" t="s">
        <v>729</v>
      </c>
      <c r="B2201" s="46">
        <v>45138</v>
      </c>
      <c r="C2201" s="45">
        <v>23800</v>
      </c>
      <c r="D2201" t="s">
        <v>1047</v>
      </c>
      <c r="E2201" s="46">
        <v>45154</v>
      </c>
      <c r="F2201" s="45" t="s">
        <v>721</v>
      </c>
      <c r="I2201" t="s">
        <v>726</v>
      </c>
    </row>
    <row r="2202" spans="1:9" hidden="1" x14ac:dyDescent="0.3">
      <c r="A2202" t="s">
        <v>821</v>
      </c>
      <c r="B2202" s="46">
        <v>45244</v>
      </c>
      <c r="C2202" s="45">
        <v>23800</v>
      </c>
      <c r="D2202" t="s">
        <v>1005</v>
      </c>
      <c r="E2202" s="46">
        <v>45275</v>
      </c>
      <c r="F2202" s="45" t="s">
        <v>721</v>
      </c>
      <c r="I2202" t="s">
        <v>726</v>
      </c>
    </row>
    <row r="2203" spans="1:9" hidden="1" x14ac:dyDescent="0.3">
      <c r="A2203" t="s">
        <v>821</v>
      </c>
      <c r="B2203" s="46">
        <v>45250</v>
      </c>
      <c r="C2203" s="45">
        <v>23800</v>
      </c>
      <c r="D2203" t="s">
        <v>1125</v>
      </c>
      <c r="E2203" s="46">
        <v>45275</v>
      </c>
      <c r="F2203" s="45" t="s">
        <v>721</v>
      </c>
      <c r="I2203" t="s">
        <v>726</v>
      </c>
    </row>
    <row r="2204" spans="1:9" hidden="1" x14ac:dyDescent="0.3">
      <c r="A2204" t="s">
        <v>821</v>
      </c>
      <c r="B2204" s="46">
        <v>45264</v>
      </c>
      <c r="C2204" s="45">
        <v>23800</v>
      </c>
      <c r="D2204" t="s">
        <v>1047</v>
      </c>
      <c r="E2204" s="46">
        <v>45306</v>
      </c>
      <c r="F2204" s="45" t="s">
        <v>721</v>
      </c>
      <c r="I2204" t="s">
        <v>726</v>
      </c>
    </row>
    <row r="2205" spans="1:9" hidden="1" x14ac:dyDescent="0.3">
      <c r="A2205" t="s">
        <v>821</v>
      </c>
      <c r="B2205" s="46">
        <v>45273</v>
      </c>
      <c r="C2205" s="45">
        <v>23800</v>
      </c>
      <c r="D2205" t="s">
        <v>1047</v>
      </c>
      <c r="E2205" s="46">
        <v>45306</v>
      </c>
      <c r="F2205" s="45" t="s">
        <v>721</v>
      </c>
      <c r="I2205" t="s">
        <v>726</v>
      </c>
    </row>
    <row r="2206" spans="1:9" hidden="1" x14ac:dyDescent="0.3">
      <c r="A2206" t="s">
        <v>772</v>
      </c>
      <c r="B2206" s="46">
        <v>45428</v>
      </c>
      <c r="C2206" s="45">
        <v>23800</v>
      </c>
      <c r="D2206" t="s">
        <v>2111</v>
      </c>
      <c r="E2206" s="46">
        <v>45469</v>
      </c>
      <c r="F2206" s="45" t="s">
        <v>721</v>
      </c>
      <c r="I2206" t="s">
        <v>726</v>
      </c>
    </row>
    <row r="2207" spans="1:9" hidden="1" x14ac:dyDescent="0.3">
      <c r="A2207" t="s">
        <v>724</v>
      </c>
      <c r="B2207" s="46">
        <v>45440</v>
      </c>
      <c r="C2207" s="45">
        <v>23800</v>
      </c>
      <c r="D2207" t="s">
        <v>2112</v>
      </c>
      <c r="E2207" s="46">
        <v>45469</v>
      </c>
      <c r="F2207" s="45" t="s">
        <v>721</v>
      </c>
      <c r="I2207" t="s">
        <v>726</v>
      </c>
    </row>
    <row r="2208" spans="1:9" hidden="1" x14ac:dyDescent="0.3">
      <c r="A2208" t="s">
        <v>727</v>
      </c>
      <c r="B2208" s="46">
        <v>45429</v>
      </c>
      <c r="C2208" s="45">
        <v>23800</v>
      </c>
      <c r="D2208" t="s">
        <v>1047</v>
      </c>
      <c r="E2208" s="46">
        <v>45458</v>
      </c>
      <c r="F2208" s="45" t="s">
        <v>721</v>
      </c>
      <c r="I2208" t="s">
        <v>726</v>
      </c>
    </row>
    <row r="2209" spans="1:9" hidden="1" x14ac:dyDescent="0.3">
      <c r="A2209" t="s">
        <v>748</v>
      </c>
      <c r="B2209" s="46">
        <v>45387</v>
      </c>
      <c r="C2209" s="45">
        <v>23800</v>
      </c>
      <c r="D2209" t="s">
        <v>1047</v>
      </c>
      <c r="E2209" s="46">
        <v>45428</v>
      </c>
      <c r="F2209" s="45" t="s">
        <v>721</v>
      </c>
      <c r="I2209" t="s">
        <v>726</v>
      </c>
    </row>
    <row r="2210" spans="1:9" hidden="1" x14ac:dyDescent="0.3">
      <c r="A2210" t="s">
        <v>821</v>
      </c>
      <c r="B2210" s="46">
        <v>45300</v>
      </c>
      <c r="C2210" s="45">
        <v>23800</v>
      </c>
      <c r="D2210" t="s">
        <v>1047</v>
      </c>
      <c r="E2210" s="46">
        <v>45337</v>
      </c>
      <c r="F2210" s="45" t="s">
        <v>721</v>
      </c>
      <c r="I2210" t="s">
        <v>726</v>
      </c>
    </row>
    <row r="2211" spans="1:9" hidden="1" x14ac:dyDescent="0.3">
      <c r="A2211" t="s">
        <v>821</v>
      </c>
      <c r="B2211" s="46">
        <v>45317</v>
      </c>
      <c r="C2211" s="45">
        <v>23800</v>
      </c>
      <c r="D2211" t="s">
        <v>1224</v>
      </c>
      <c r="E2211" s="46">
        <v>45337</v>
      </c>
      <c r="F2211" s="45" t="s">
        <v>721</v>
      </c>
      <c r="I2211" t="s">
        <v>726</v>
      </c>
    </row>
    <row r="2212" spans="1:9" hidden="1" x14ac:dyDescent="0.3">
      <c r="A2212" t="s">
        <v>727</v>
      </c>
      <c r="B2212" s="46">
        <v>45295</v>
      </c>
      <c r="C2212" s="45">
        <v>23800</v>
      </c>
      <c r="D2212" t="s">
        <v>1225</v>
      </c>
      <c r="E2212" s="46">
        <v>45337</v>
      </c>
      <c r="F2212" s="45" t="s">
        <v>721</v>
      </c>
      <c r="I2212" t="s">
        <v>726</v>
      </c>
    </row>
    <row r="2213" spans="1:9" hidden="1" x14ac:dyDescent="0.3">
      <c r="A2213" t="s">
        <v>727</v>
      </c>
      <c r="B2213" s="46">
        <v>45362</v>
      </c>
      <c r="C2213" s="45">
        <v>23800</v>
      </c>
      <c r="D2213" t="s">
        <v>1224</v>
      </c>
      <c r="E2213" s="46">
        <v>45397</v>
      </c>
      <c r="F2213" s="45" t="s">
        <v>721</v>
      </c>
      <c r="I2213" t="s">
        <v>726</v>
      </c>
    </row>
    <row r="2214" spans="1:9" hidden="1" x14ac:dyDescent="0.3">
      <c r="A2214" t="s">
        <v>727</v>
      </c>
      <c r="B2214" s="46">
        <v>45322</v>
      </c>
      <c r="C2214" s="45">
        <v>23760</v>
      </c>
      <c r="D2214" t="s">
        <v>1226</v>
      </c>
      <c r="E2214" s="46">
        <v>45337</v>
      </c>
      <c r="F2214" s="45" t="s">
        <v>721</v>
      </c>
      <c r="I2214" t="s">
        <v>782</v>
      </c>
    </row>
    <row r="2215" spans="1:9" hidden="1" x14ac:dyDescent="0.3">
      <c r="A2215" t="s">
        <v>772</v>
      </c>
      <c r="B2215" s="46">
        <v>45330</v>
      </c>
      <c r="C2215" s="45">
        <v>23700</v>
      </c>
      <c r="D2215" t="s">
        <v>789</v>
      </c>
      <c r="E2215" s="46">
        <v>45377</v>
      </c>
      <c r="F2215" s="45" t="s">
        <v>721</v>
      </c>
      <c r="I2215" t="s">
        <v>726</v>
      </c>
    </row>
    <row r="2216" spans="1:9" hidden="1" x14ac:dyDescent="0.3">
      <c r="A2216" t="s">
        <v>724</v>
      </c>
      <c r="B2216" s="46">
        <v>45390</v>
      </c>
      <c r="C2216" s="45">
        <v>23700</v>
      </c>
      <c r="D2216" t="s">
        <v>2111</v>
      </c>
      <c r="E2216" s="46">
        <v>45438</v>
      </c>
      <c r="F2216" s="45" t="s">
        <v>721</v>
      </c>
      <c r="I2216" t="s">
        <v>726</v>
      </c>
    </row>
    <row r="2217" spans="1:9" hidden="1" x14ac:dyDescent="0.3">
      <c r="A2217" t="s">
        <v>727</v>
      </c>
      <c r="B2217" s="46">
        <v>45420</v>
      </c>
      <c r="C2217" s="45">
        <v>23700</v>
      </c>
      <c r="D2217" t="s">
        <v>1235</v>
      </c>
      <c r="E2217" s="46">
        <v>45458</v>
      </c>
      <c r="F2217" s="45" t="s">
        <v>721</v>
      </c>
      <c r="I2217" t="s">
        <v>726</v>
      </c>
    </row>
    <row r="2218" spans="1:9" hidden="1" x14ac:dyDescent="0.3">
      <c r="A2218" t="s">
        <v>748</v>
      </c>
      <c r="B2218" s="46">
        <v>45268</v>
      </c>
      <c r="C2218" s="45">
        <v>23700</v>
      </c>
      <c r="D2218" t="s">
        <v>926</v>
      </c>
      <c r="E2218" s="46">
        <v>45306</v>
      </c>
      <c r="F2218" s="45" t="s">
        <v>721</v>
      </c>
      <c r="I2218" t="s">
        <v>726</v>
      </c>
    </row>
    <row r="2219" spans="1:9" hidden="1" x14ac:dyDescent="0.3">
      <c r="A2219" t="s">
        <v>727</v>
      </c>
      <c r="B2219" s="46">
        <v>45239</v>
      </c>
      <c r="C2219" s="45">
        <v>23700</v>
      </c>
      <c r="D2219" t="s">
        <v>991</v>
      </c>
      <c r="E2219" s="46">
        <v>45275</v>
      </c>
      <c r="F2219" s="45" t="s">
        <v>721</v>
      </c>
      <c r="I2219" t="s">
        <v>726</v>
      </c>
    </row>
    <row r="2220" spans="1:9" hidden="1" x14ac:dyDescent="0.3">
      <c r="A2220" t="s">
        <v>772</v>
      </c>
      <c r="B2220" s="46">
        <v>45160</v>
      </c>
      <c r="C2220" s="45">
        <v>23700</v>
      </c>
      <c r="D2220" t="s">
        <v>980</v>
      </c>
      <c r="E2220" s="46">
        <v>45195</v>
      </c>
      <c r="F2220" s="45" t="s">
        <v>721</v>
      </c>
      <c r="I2220" t="s">
        <v>726</v>
      </c>
    </row>
    <row r="2221" spans="1:9" hidden="1" x14ac:dyDescent="0.3">
      <c r="A2221" t="s">
        <v>727</v>
      </c>
      <c r="B2221" s="46">
        <v>45390</v>
      </c>
      <c r="C2221" s="45">
        <v>23600</v>
      </c>
      <c r="D2221" t="s">
        <v>1224</v>
      </c>
      <c r="E2221" s="46">
        <v>45428</v>
      </c>
      <c r="F2221" s="45" t="s">
        <v>721</v>
      </c>
      <c r="I2221" t="s">
        <v>726</v>
      </c>
    </row>
    <row r="2222" spans="1:9" hidden="1" x14ac:dyDescent="0.3">
      <c r="A2222" t="s">
        <v>727</v>
      </c>
      <c r="B2222" s="46">
        <v>45376</v>
      </c>
      <c r="C2222" s="45">
        <v>23600</v>
      </c>
      <c r="D2222" t="s">
        <v>1224</v>
      </c>
      <c r="E2222" s="46">
        <v>45397</v>
      </c>
      <c r="F2222" s="45" t="s">
        <v>721</v>
      </c>
      <c r="I2222" t="s">
        <v>726</v>
      </c>
    </row>
    <row r="2223" spans="1:9" hidden="1" x14ac:dyDescent="0.3">
      <c r="A2223" t="s">
        <v>803</v>
      </c>
      <c r="B2223" s="46">
        <v>45356</v>
      </c>
      <c r="C2223" s="45">
        <v>23600</v>
      </c>
      <c r="D2223" t="s">
        <v>1085</v>
      </c>
      <c r="E2223" s="46">
        <v>45398</v>
      </c>
      <c r="F2223" s="45" t="s">
        <v>721</v>
      </c>
      <c r="G2223">
        <v>0</v>
      </c>
      <c r="I2223" t="s">
        <v>726</v>
      </c>
    </row>
    <row r="2224" spans="1:9" hidden="1" x14ac:dyDescent="0.3">
      <c r="A2224" t="s">
        <v>775</v>
      </c>
      <c r="B2224" s="46">
        <v>45435</v>
      </c>
      <c r="C2224" s="45">
        <v>23590</v>
      </c>
      <c r="D2224" t="s">
        <v>991</v>
      </c>
      <c r="E2224" s="46">
        <v>45459</v>
      </c>
      <c r="F2224" s="45" t="s">
        <v>721</v>
      </c>
      <c r="I2224" t="s">
        <v>726</v>
      </c>
    </row>
    <row r="2225" spans="1:9" hidden="1" x14ac:dyDescent="0.3">
      <c r="A2225" t="s">
        <v>727</v>
      </c>
      <c r="B2225" s="46">
        <v>45434</v>
      </c>
      <c r="C2225" s="45">
        <v>23500</v>
      </c>
      <c r="D2225" t="s">
        <v>2113</v>
      </c>
      <c r="E2225" s="46">
        <v>45458</v>
      </c>
      <c r="F2225" s="45" t="s">
        <v>721</v>
      </c>
      <c r="I2225" t="s">
        <v>726</v>
      </c>
    </row>
    <row r="2226" spans="1:9" hidden="1" x14ac:dyDescent="0.3">
      <c r="A2226" t="s">
        <v>767</v>
      </c>
      <c r="B2226" s="46">
        <v>45408</v>
      </c>
      <c r="C2226" s="45">
        <v>23500</v>
      </c>
      <c r="D2226" t="s">
        <v>2103</v>
      </c>
      <c r="E2226" s="46">
        <v>45428</v>
      </c>
      <c r="F2226" s="45" t="s">
        <v>721</v>
      </c>
      <c r="I2226" t="s">
        <v>726</v>
      </c>
    </row>
    <row r="2227" spans="1:9" hidden="1" x14ac:dyDescent="0.3">
      <c r="A2227" t="s">
        <v>727</v>
      </c>
      <c r="B2227" s="46">
        <v>45355</v>
      </c>
      <c r="C2227" s="45">
        <v>23500</v>
      </c>
      <c r="D2227" t="s">
        <v>1224</v>
      </c>
      <c r="E2227" s="46">
        <v>45397</v>
      </c>
      <c r="F2227" s="45" t="s">
        <v>721</v>
      </c>
      <c r="I2227" t="s">
        <v>726</v>
      </c>
    </row>
    <row r="2228" spans="1:9" hidden="1" x14ac:dyDescent="0.3">
      <c r="A2228" t="s">
        <v>727</v>
      </c>
      <c r="B2228" s="46">
        <v>45380</v>
      </c>
      <c r="C2228" s="45">
        <v>23500</v>
      </c>
      <c r="D2228" t="s">
        <v>2060</v>
      </c>
      <c r="E2228" s="46">
        <v>45397</v>
      </c>
      <c r="F2228" s="45" t="s">
        <v>721</v>
      </c>
      <c r="I2228" t="s">
        <v>726</v>
      </c>
    </row>
    <row r="2229" spans="1:9" hidden="1" x14ac:dyDescent="0.3">
      <c r="A2229" t="s">
        <v>729</v>
      </c>
      <c r="B2229" s="46">
        <v>45210</v>
      </c>
      <c r="C2229" s="45">
        <v>23500</v>
      </c>
      <c r="D2229" t="s">
        <v>1124</v>
      </c>
      <c r="E2229" s="46">
        <v>45245</v>
      </c>
      <c r="F2229" s="45" t="s">
        <v>721</v>
      </c>
      <c r="I2229" t="s">
        <v>726</v>
      </c>
    </row>
    <row r="2230" spans="1:9" hidden="1" x14ac:dyDescent="0.3">
      <c r="A2230" t="s">
        <v>729</v>
      </c>
      <c r="B2230" s="46">
        <v>45250</v>
      </c>
      <c r="C2230" s="45">
        <v>23500</v>
      </c>
      <c r="D2230" t="s">
        <v>1116</v>
      </c>
      <c r="E2230" s="46">
        <v>45275</v>
      </c>
      <c r="F2230" s="45" t="s">
        <v>721</v>
      </c>
      <c r="I2230" t="s">
        <v>726</v>
      </c>
    </row>
    <row r="2231" spans="1:9" hidden="1" x14ac:dyDescent="0.3">
      <c r="A2231" t="s">
        <v>729</v>
      </c>
      <c r="B2231" s="46">
        <v>45231</v>
      </c>
      <c r="C2231" s="45">
        <v>23500</v>
      </c>
      <c r="D2231" t="s">
        <v>998</v>
      </c>
      <c r="E2231" s="46">
        <v>45275</v>
      </c>
      <c r="F2231" s="45" t="s">
        <v>721</v>
      </c>
      <c r="I2231" t="s">
        <v>726</v>
      </c>
    </row>
    <row r="2232" spans="1:9" hidden="1" x14ac:dyDescent="0.3">
      <c r="A2232" t="s">
        <v>729</v>
      </c>
      <c r="B2232" s="46">
        <v>45217</v>
      </c>
      <c r="C2232" s="45">
        <v>23500</v>
      </c>
      <c r="D2232" t="s">
        <v>790</v>
      </c>
      <c r="E2232" s="46">
        <v>45245</v>
      </c>
      <c r="F2232" s="45" t="s">
        <v>721</v>
      </c>
      <c r="I2232" t="s">
        <v>756</v>
      </c>
    </row>
    <row r="2233" spans="1:9" hidden="1" x14ac:dyDescent="0.3">
      <c r="A2233" t="s">
        <v>729</v>
      </c>
      <c r="B2233" s="46">
        <v>45261</v>
      </c>
      <c r="C2233" s="45">
        <v>23500</v>
      </c>
      <c r="D2233" t="s">
        <v>1116</v>
      </c>
      <c r="E2233" s="46">
        <v>45306</v>
      </c>
      <c r="F2233" s="45" t="s">
        <v>721</v>
      </c>
      <c r="I2233" t="s">
        <v>726</v>
      </c>
    </row>
    <row r="2234" spans="1:9" hidden="1" x14ac:dyDescent="0.3">
      <c r="A2234" t="s">
        <v>821</v>
      </c>
      <c r="B2234" s="46">
        <v>45272</v>
      </c>
      <c r="C2234" s="45">
        <v>23500</v>
      </c>
      <c r="D2234" t="s">
        <v>1153</v>
      </c>
      <c r="E2234" s="46">
        <v>45306</v>
      </c>
      <c r="F2234" s="45" t="s">
        <v>721</v>
      </c>
      <c r="I2234" t="s">
        <v>726</v>
      </c>
    </row>
    <row r="2235" spans="1:9" hidden="1" x14ac:dyDescent="0.3">
      <c r="A2235" t="s">
        <v>724</v>
      </c>
      <c r="B2235" s="46">
        <v>45209</v>
      </c>
      <c r="C2235" s="45">
        <v>23400</v>
      </c>
      <c r="D2235" t="s">
        <v>1110</v>
      </c>
      <c r="E2235" s="46">
        <v>45256</v>
      </c>
      <c r="F2235" s="45" t="s">
        <v>721</v>
      </c>
      <c r="I2235" t="s">
        <v>726</v>
      </c>
    </row>
    <row r="2236" spans="1:9" hidden="1" x14ac:dyDescent="0.3">
      <c r="A2236" t="s">
        <v>722</v>
      </c>
      <c r="B2236" s="46">
        <v>45126</v>
      </c>
      <c r="C2236" s="45">
        <v>23340</v>
      </c>
      <c r="D2236" t="s">
        <v>776</v>
      </c>
      <c r="E2236" s="46">
        <v>45154</v>
      </c>
      <c r="F2236" s="45" t="s">
        <v>721</v>
      </c>
      <c r="I2236" t="s">
        <v>762</v>
      </c>
    </row>
    <row r="2237" spans="1:9" hidden="1" x14ac:dyDescent="0.3">
      <c r="A2237" t="s">
        <v>821</v>
      </c>
      <c r="B2237" s="46">
        <v>45299</v>
      </c>
      <c r="C2237" s="45">
        <v>23300</v>
      </c>
      <c r="D2237" t="s">
        <v>1125</v>
      </c>
      <c r="E2237" s="46">
        <v>45337</v>
      </c>
      <c r="F2237" s="45" t="s">
        <v>721</v>
      </c>
      <c r="I2237" t="s">
        <v>726</v>
      </c>
    </row>
    <row r="2238" spans="1:9" hidden="1" x14ac:dyDescent="0.3">
      <c r="A2238" t="s">
        <v>734</v>
      </c>
      <c r="B2238" s="46">
        <v>45344</v>
      </c>
      <c r="C2238" s="45">
        <v>23200</v>
      </c>
      <c r="D2238" t="s">
        <v>788</v>
      </c>
      <c r="E2238" s="46">
        <v>45366</v>
      </c>
      <c r="F2238" s="45" t="s">
        <v>721</v>
      </c>
      <c r="I2238" t="s">
        <v>726</v>
      </c>
    </row>
    <row r="2239" spans="1:9" hidden="1" x14ac:dyDescent="0.3">
      <c r="A2239" t="s">
        <v>734</v>
      </c>
      <c r="B2239" s="46">
        <v>45435</v>
      </c>
      <c r="C2239" s="45">
        <v>23200</v>
      </c>
      <c r="D2239" t="s">
        <v>991</v>
      </c>
      <c r="E2239" s="46">
        <v>45458</v>
      </c>
      <c r="F2239" s="45" t="s">
        <v>721</v>
      </c>
      <c r="I2239" t="s">
        <v>726</v>
      </c>
    </row>
    <row r="2240" spans="1:9" hidden="1" x14ac:dyDescent="0.3">
      <c r="A2240" t="s">
        <v>727</v>
      </c>
      <c r="B2240" s="46">
        <v>45401</v>
      </c>
      <c r="C2240" s="45">
        <v>23200</v>
      </c>
      <c r="D2240" t="s">
        <v>2114</v>
      </c>
      <c r="E2240" s="46">
        <v>45428</v>
      </c>
      <c r="F2240" s="45" t="s">
        <v>721</v>
      </c>
      <c r="I2240" t="s">
        <v>2027</v>
      </c>
    </row>
    <row r="2241" spans="1:9" hidden="1" x14ac:dyDescent="0.3">
      <c r="A2241" t="s">
        <v>772</v>
      </c>
      <c r="B2241" s="46">
        <v>45309</v>
      </c>
      <c r="C2241" s="45">
        <v>23030</v>
      </c>
      <c r="D2241" t="s">
        <v>820</v>
      </c>
      <c r="E2241" s="46">
        <v>45348</v>
      </c>
      <c r="F2241" s="45" t="s">
        <v>721</v>
      </c>
      <c r="I2241" t="s">
        <v>726</v>
      </c>
    </row>
    <row r="2242" spans="1:9" hidden="1" x14ac:dyDescent="0.3">
      <c r="A2242" t="s">
        <v>761</v>
      </c>
      <c r="B2242" s="46">
        <v>45308</v>
      </c>
      <c r="C2242" s="45">
        <v>23000</v>
      </c>
      <c r="D2242" t="s">
        <v>837</v>
      </c>
      <c r="E2242" s="46">
        <v>45348</v>
      </c>
      <c r="F2242" s="45" t="s">
        <v>721</v>
      </c>
      <c r="I2242" t="s">
        <v>838</v>
      </c>
    </row>
    <row r="2243" spans="1:9" hidden="1" x14ac:dyDescent="0.3">
      <c r="A2243" t="s">
        <v>734</v>
      </c>
      <c r="B2243" s="46">
        <v>45328</v>
      </c>
      <c r="C2243" s="45">
        <v>23000</v>
      </c>
      <c r="D2243" t="s">
        <v>974</v>
      </c>
      <c r="E2243" s="46">
        <v>45366</v>
      </c>
      <c r="F2243" s="45" t="s">
        <v>721</v>
      </c>
      <c r="I2243" t="s">
        <v>726</v>
      </c>
    </row>
    <row r="2244" spans="1:9" hidden="1" x14ac:dyDescent="0.3">
      <c r="A2244" t="s">
        <v>734</v>
      </c>
      <c r="B2244" s="46">
        <v>45307</v>
      </c>
      <c r="C2244" s="45">
        <v>23000</v>
      </c>
      <c r="D2244" t="s">
        <v>974</v>
      </c>
      <c r="E2244" s="46">
        <v>45337</v>
      </c>
      <c r="F2244" s="45" t="s">
        <v>721</v>
      </c>
      <c r="I2244" t="s">
        <v>726</v>
      </c>
    </row>
    <row r="2245" spans="1:9" hidden="1" x14ac:dyDescent="0.3">
      <c r="A2245" t="s">
        <v>729</v>
      </c>
      <c r="B2245" s="46">
        <v>45308</v>
      </c>
      <c r="C2245" s="45">
        <v>23000</v>
      </c>
      <c r="D2245" t="s">
        <v>1124</v>
      </c>
      <c r="E2245" s="46">
        <v>45337</v>
      </c>
      <c r="F2245" s="45" t="s">
        <v>721</v>
      </c>
      <c r="I2245" t="s">
        <v>726</v>
      </c>
    </row>
    <row r="2246" spans="1:9" hidden="1" x14ac:dyDescent="0.3">
      <c r="A2246" t="s">
        <v>722</v>
      </c>
      <c r="B2246" s="46">
        <v>45303</v>
      </c>
      <c r="C2246" s="45">
        <v>23000</v>
      </c>
      <c r="D2246" t="s">
        <v>869</v>
      </c>
      <c r="E2246" s="46">
        <v>45337</v>
      </c>
      <c r="F2246" s="45" t="s">
        <v>721</v>
      </c>
      <c r="I2246" t="s">
        <v>726</v>
      </c>
    </row>
    <row r="2247" spans="1:9" hidden="1" x14ac:dyDescent="0.3">
      <c r="A2247" t="s">
        <v>727</v>
      </c>
      <c r="B2247" s="46">
        <v>45369</v>
      </c>
      <c r="C2247" s="45">
        <v>23000</v>
      </c>
      <c r="D2247" t="s">
        <v>994</v>
      </c>
      <c r="E2247" s="46">
        <v>45397</v>
      </c>
      <c r="F2247" s="45" t="s">
        <v>721</v>
      </c>
      <c r="I2247" t="s">
        <v>726</v>
      </c>
    </row>
    <row r="2248" spans="1:9" hidden="1" x14ac:dyDescent="0.3">
      <c r="A2248" t="s">
        <v>724</v>
      </c>
      <c r="B2248" s="46">
        <v>45412</v>
      </c>
      <c r="C2248" s="45">
        <v>23000</v>
      </c>
      <c r="D2248" t="s">
        <v>2115</v>
      </c>
      <c r="E2248" s="46">
        <v>45438</v>
      </c>
      <c r="F2248" s="45" t="s">
        <v>721</v>
      </c>
      <c r="I2248" t="s">
        <v>726</v>
      </c>
    </row>
    <row r="2249" spans="1:9" hidden="1" x14ac:dyDescent="0.3">
      <c r="A2249" t="s">
        <v>734</v>
      </c>
      <c r="B2249" s="46">
        <v>45420</v>
      </c>
      <c r="C2249" s="45">
        <v>23000</v>
      </c>
      <c r="D2249" t="s">
        <v>869</v>
      </c>
      <c r="E2249" s="46">
        <v>45458</v>
      </c>
      <c r="F2249" s="45" t="s">
        <v>721</v>
      </c>
      <c r="I2249" t="s">
        <v>726</v>
      </c>
    </row>
    <row r="2250" spans="1:9" hidden="1" x14ac:dyDescent="0.3">
      <c r="A2250" t="s">
        <v>734</v>
      </c>
      <c r="B2250" s="46">
        <v>45134</v>
      </c>
      <c r="C2250" s="45">
        <v>23000</v>
      </c>
      <c r="D2250" t="s">
        <v>1177</v>
      </c>
      <c r="E2250" s="46">
        <v>45154</v>
      </c>
      <c r="F2250" s="45" t="s">
        <v>721</v>
      </c>
      <c r="I2250" t="s">
        <v>726</v>
      </c>
    </row>
    <row r="2251" spans="1:9" hidden="1" x14ac:dyDescent="0.3">
      <c r="A2251" t="s">
        <v>748</v>
      </c>
      <c r="B2251" s="46">
        <v>45125</v>
      </c>
      <c r="C2251" s="45">
        <v>23000</v>
      </c>
      <c r="D2251" t="s">
        <v>735</v>
      </c>
      <c r="E2251" s="46">
        <v>45154</v>
      </c>
      <c r="F2251" s="45" t="s">
        <v>721</v>
      </c>
      <c r="I2251" t="s">
        <v>762</v>
      </c>
    </row>
    <row r="2252" spans="1:9" hidden="1" x14ac:dyDescent="0.3">
      <c r="A2252" t="s">
        <v>761</v>
      </c>
      <c r="B2252" s="46">
        <v>45138</v>
      </c>
      <c r="C2252" s="45">
        <v>23000</v>
      </c>
      <c r="D2252" t="s">
        <v>1108</v>
      </c>
      <c r="E2252" s="46">
        <v>45164</v>
      </c>
      <c r="F2252" s="45" t="s">
        <v>721</v>
      </c>
      <c r="I2252" t="s">
        <v>726</v>
      </c>
    </row>
    <row r="2253" spans="1:9" hidden="1" x14ac:dyDescent="0.3">
      <c r="A2253" t="s">
        <v>821</v>
      </c>
      <c r="B2253" s="46">
        <v>45140</v>
      </c>
      <c r="C2253" s="45">
        <v>23000</v>
      </c>
      <c r="D2253" t="s">
        <v>982</v>
      </c>
      <c r="E2253" s="46">
        <v>45184</v>
      </c>
      <c r="F2253" s="45" t="s">
        <v>721</v>
      </c>
      <c r="I2253" t="s">
        <v>726</v>
      </c>
    </row>
    <row r="2254" spans="1:9" hidden="1" x14ac:dyDescent="0.3">
      <c r="A2254" t="s">
        <v>772</v>
      </c>
      <c r="B2254" s="46">
        <v>45194</v>
      </c>
      <c r="C2254" s="45">
        <v>23000</v>
      </c>
      <c r="D2254" t="s">
        <v>1110</v>
      </c>
      <c r="E2254" s="46">
        <v>45225</v>
      </c>
      <c r="F2254" s="45" t="s">
        <v>721</v>
      </c>
      <c r="I2254" t="s">
        <v>726</v>
      </c>
    </row>
    <row r="2255" spans="1:9" hidden="1" x14ac:dyDescent="0.3">
      <c r="A2255" t="s">
        <v>772</v>
      </c>
      <c r="B2255" s="46">
        <v>45162</v>
      </c>
      <c r="C2255" s="45">
        <v>23000</v>
      </c>
      <c r="D2255" t="s">
        <v>820</v>
      </c>
      <c r="E2255" s="46">
        <v>45195</v>
      </c>
      <c r="F2255" s="45" t="s">
        <v>721</v>
      </c>
      <c r="I2255" t="s">
        <v>726</v>
      </c>
    </row>
    <row r="2256" spans="1:9" hidden="1" x14ac:dyDescent="0.3">
      <c r="A2256" t="s">
        <v>729</v>
      </c>
      <c r="B2256" s="46">
        <v>45182</v>
      </c>
      <c r="C2256" s="45">
        <v>23000</v>
      </c>
      <c r="D2256" t="s">
        <v>1116</v>
      </c>
      <c r="E2256" s="46">
        <v>45215</v>
      </c>
      <c r="F2256" s="45" t="s">
        <v>721</v>
      </c>
      <c r="I2256" t="s">
        <v>726</v>
      </c>
    </row>
    <row r="2257" spans="1:9" hidden="1" x14ac:dyDescent="0.3">
      <c r="A2257" t="s">
        <v>748</v>
      </c>
      <c r="B2257" s="46">
        <v>45188</v>
      </c>
      <c r="C2257" s="45">
        <v>23000</v>
      </c>
      <c r="D2257" t="s">
        <v>735</v>
      </c>
      <c r="E2257" s="46">
        <v>45215</v>
      </c>
      <c r="F2257" s="45" t="s">
        <v>721</v>
      </c>
      <c r="I2257" t="s">
        <v>762</v>
      </c>
    </row>
    <row r="2258" spans="1:9" hidden="1" x14ac:dyDescent="0.3">
      <c r="A2258" t="s">
        <v>821</v>
      </c>
      <c r="B2258" s="46">
        <v>45175</v>
      </c>
      <c r="C2258" s="45">
        <v>23000</v>
      </c>
      <c r="D2258" t="s">
        <v>982</v>
      </c>
      <c r="E2258" s="46">
        <v>45215</v>
      </c>
      <c r="F2258" s="45" t="s">
        <v>721</v>
      </c>
      <c r="I2258" t="s">
        <v>726</v>
      </c>
    </row>
    <row r="2259" spans="1:9" hidden="1" x14ac:dyDescent="0.3">
      <c r="A2259" t="s">
        <v>729</v>
      </c>
      <c r="B2259" s="46">
        <v>45244</v>
      </c>
      <c r="C2259" s="45">
        <v>23000</v>
      </c>
      <c r="D2259" t="s">
        <v>1228</v>
      </c>
      <c r="E2259" s="46">
        <v>45275</v>
      </c>
      <c r="F2259" s="45" t="s">
        <v>721</v>
      </c>
      <c r="I2259" t="s">
        <v>726</v>
      </c>
    </row>
    <row r="2260" spans="1:9" hidden="1" x14ac:dyDescent="0.3">
      <c r="A2260" t="s">
        <v>748</v>
      </c>
      <c r="B2260" s="46">
        <v>45250</v>
      </c>
      <c r="C2260" s="45">
        <v>23000</v>
      </c>
      <c r="D2260" t="s">
        <v>938</v>
      </c>
      <c r="E2260" s="46">
        <v>45275</v>
      </c>
      <c r="F2260" s="45" t="s">
        <v>721</v>
      </c>
      <c r="I2260" t="s">
        <v>726</v>
      </c>
    </row>
    <row r="2261" spans="1:9" hidden="1" x14ac:dyDescent="0.3">
      <c r="A2261" t="s">
        <v>821</v>
      </c>
      <c r="B2261" s="46">
        <v>45254</v>
      </c>
      <c r="C2261" s="45">
        <v>23000</v>
      </c>
      <c r="D2261" t="s">
        <v>1228</v>
      </c>
      <c r="E2261" s="46">
        <v>45275</v>
      </c>
      <c r="F2261" s="45" t="s">
        <v>721</v>
      </c>
      <c r="I2261" t="s">
        <v>726</v>
      </c>
    </row>
    <row r="2262" spans="1:9" hidden="1" x14ac:dyDescent="0.3">
      <c r="A2262" t="s">
        <v>821</v>
      </c>
      <c r="B2262" s="46">
        <v>45237</v>
      </c>
      <c r="C2262" s="45">
        <v>23000</v>
      </c>
      <c r="D2262" t="s">
        <v>982</v>
      </c>
      <c r="E2262" s="46">
        <v>45275</v>
      </c>
      <c r="F2262" s="45" t="s">
        <v>721</v>
      </c>
      <c r="I2262" t="s">
        <v>726</v>
      </c>
    </row>
    <row r="2263" spans="1:9" hidden="1" x14ac:dyDescent="0.3">
      <c r="A2263" t="s">
        <v>821</v>
      </c>
      <c r="B2263" s="46">
        <v>45238</v>
      </c>
      <c r="C2263" s="45">
        <v>23000</v>
      </c>
      <c r="D2263" t="s">
        <v>1228</v>
      </c>
      <c r="E2263" s="46">
        <v>45275</v>
      </c>
      <c r="F2263" s="45" t="s">
        <v>721</v>
      </c>
      <c r="I2263" t="s">
        <v>726</v>
      </c>
    </row>
    <row r="2264" spans="1:9" hidden="1" x14ac:dyDescent="0.3">
      <c r="A2264" t="s">
        <v>821</v>
      </c>
      <c r="B2264" s="46">
        <v>45287</v>
      </c>
      <c r="C2264" s="45">
        <v>23000</v>
      </c>
      <c r="D2264" t="s">
        <v>1227</v>
      </c>
      <c r="E2264" s="46">
        <v>45306</v>
      </c>
      <c r="F2264" s="45" t="s">
        <v>721</v>
      </c>
      <c r="I2264" t="s">
        <v>726</v>
      </c>
    </row>
    <row r="2265" spans="1:9" hidden="1" x14ac:dyDescent="0.3">
      <c r="A2265" t="s">
        <v>729</v>
      </c>
      <c r="B2265" s="46">
        <v>45280</v>
      </c>
      <c r="C2265" s="45">
        <v>23000</v>
      </c>
      <c r="D2265" t="s">
        <v>1116</v>
      </c>
      <c r="E2265" s="46">
        <v>45306</v>
      </c>
      <c r="F2265" s="45" t="s">
        <v>721</v>
      </c>
      <c r="I2265" t="s">
        <v>726</v>
      </c>
    </row>
    <row r="2266" spans="1:9" hidden="1" x14ac:dyDescent="0.3">
      <c r="A2266" t="s">
        <v>722</v>
      </c>
      <c r="B2266" s="46">
        <v>45313</v>
      </c>
      <c r="C2266" s="45">
        <v>22990</v>
      </c>
      <c r="D2266" t="s">
        <v>771</v>
      </c>
      <c r="E2266" s="46">
        <v>45337</v>
      </c>
      <c r="F2266" s="45" t="s">
        <v>721</v>
      </c>
      <c r="I2266" t="s">
        <v>762</v>
      </c>
    </row>
    <row r="2267" spans="1:9" hidden="1" x14ac:dyDescent="0.3">
      <c r="A2267" t="s">
        <v>734</v>
      </c>
      <c r="B2267" s="46">
        <v>45250</v>
      </c>
      <c r="C2267" s="45">
        <v>22950</v>
      </c>
      <c r="D2267" t="s">
        <v>1031</v>
      </c>
      <c r="E2267" s="46">
        <v>45275</v>
      </c>
      <c r="F2267" s="45" t="s">
        <v>721</v>
      </c>
      <c r="I2267" t="s">
        <v>726</v>
      </c>
    </row>
    <row r="2268" spans="1:9" hidden="1" x14ac:dyDescent="0.3">
      <c r="A2268" t="s">
        <v>729</v>
      </c>
      <c r="B2268" s="46">
        <v>45132</v>
      </c>
      <c r="C2268" s="45">
        <v>22900</v>
      </c>
      <c r="D2268" t="s">
        <v>998</v>
      </c>
      <c r="E2268" s="46">
        <v>45154</v>
      </c>
      <c r="F2268" s="45" t="s">
        <v>721</v>
      </c>
      <c r="I2268" t="s">
        <v>726</v>
      </c>
    </row>
    <row r="2269" spans="1:9" hidden="1" x14ac:dyDescent="0.3">
      <c r="A2269" t="s">
        <v>1160</v>
      </c>
      <c r="B2269" s="46">
        <v>45154</v>
      </c>
      <c r="C2269" s="45">
        <v>22800</v>
      </c>
      <c r="D2269" t="s">
        <v>1229</v>
      </c>
      <c r="E2269" s="46">
        <v>45195</v>
      </c>
      <c r="F2269" s="45" t="s">
        <v>721</v>
      </c>
      <c r="I2269" t="s">
        <v>1162</v>
      </c>
    </row>
    <row r="2270" spans="1:9" hidden="1" x14ac:dyDescent="0.3">
      <c r="A2270" t="s">
        <v>727</v>
      </c>
      <c r="B2270" s="46">
        <v>45356</v>
      </c>
      <c r="C2270" s="45">
        <v>22700</v>
      </c>
      <c r="D2270" t="s">
        <v>1192</v>
      </c>
      <c r="E2270" s="46">
        <v>45397</v>
      </c>
      <c r="F2270" s="45" t="s">
        <v>721</v>
      </c>
      <c r="I2270" t="s">
        <v>814</v>
      </c>
    </row>
    <row r="2271" spans="1:9" hidden="1" x14ac:dyDescent="0.3">
      <c r="A2271" t="s">
        <v>775</v>
      </c>
      <c r="B2271" s="46">
        <v>45120</v>
      </c>
      <c r="C2271" s="45">
        <v>22600</v>
      </c>
      <c r="D2271" t="s">
        <v>884</v>
      </c>
      <c r="E2271" s="46">
        <v>45154</v>
      </c>
      <c r="F2271" s="45" t="s">
        <v>721</v>
      </c>
      <c r="I2271" t="s">
        <v>726</v>
      </c>
    </row>
    <row r="2272" spans="1:9" hidden="1" x14ac:dyDescent="0.3">
      <c r="A2272" t="s">
        <v>821</v>
      </c>
      <c r="B2272" s="46">
        <v>45210</v>
      </c>
      <c r="C2272" s="45">
        <v>22600</v>
      </c>
      <c r="D2272" t="s">
        <v>1005</v>
      </c>
      <c r="E2272" s="46">
        <v>45245</v>
      </c>
      <c r="F2272" s="45" t="s">
        <v>721</v>
      </c>
      <c r="I2272" t="s">
        <v>726</v>
      </c>
    </row>
    <row r="2273" spans="1:9" hidden="1" x14ac:dyDescent="0.3">
      <c r="A2273" t="s">
        <v>729</v>
      </c>
      <c r="B2273" s="46">
        <v>45273</v>
      </c>
      <c r="C2273" s="45">
        <v>22600</v>
      </c>
      <c r="D2273" t="s">
        <v>1005</v>
      </c>
      <c r="E2273" s="46">
        <v>45306</v>
      </c>
      <c r="F2273" s="45" t="s">
        <v>721</v>
      </c>
      <c r="I2273" t="s">
        <v>726</v>
      </c>
    </row>
    <row r="2274" spans="1:9" hidden="1" x14ac:dyDescent="0.3">
      <c r="A2274" t="s">
        <v>724</v>
      </c>
      <c r="B2274" s="46">
        <v>45215</v>
      </c>
      <c r="C2274" s="45">
        <v>22590</v>
      </c>
      <c r="D2274" t="s">
        <v>755</v>
      </c>
      <c r="E2274" s="46">
        <v>45256</v>
      </c>
      <c r="F2274" s="45" t="s">
        <v>721</v>
      </c>
      <c r="I2274" t="s">
        <v>726</v>
      </c>
    </row>
    <row r="2275" spans="1:9" hidden="1" x14ac:dyDescent="0.3">
      <c r="A2275" t="s">
        <v>748</v>
      </c>
      <c r="B2275" s="46">
        <v>45174</v>
      </c>
      <c r="C2275" s="45">
        <v>22550</v>
      </c>
      <c r="D2275" t="s">
        <v>828</v>
      </c>
      <c r="E2275" s="46">
        <v>45215</v>
      </c>
      <c r="F2275" s="45" t="s">
        <v>721</v>
      </c>
      <c r="I2275" t="s">
        <v>762</v>
      </c>
    </row>
    <row r="2276" spans="1:9" hidden="1" x14ac:dyDescent="0.3">
      <c r="A2276" t="s">
        <v>748</v>
      </c>
      <c r="B2276" s="46">
        <v>45173</v>
      </c>
      <c r="C2276" s="45">
        <v>22500</v>
      </c>
      <c r="D2276" t="s">
        <v>1063</v>
      </c>
      <c r="E2276" s="46">
        <v>45215</v>
      </c>
      <c r="F2276" s="45" t="s">
        <v>721</v>
      </c>
      <c r="I2276" t="s">
        <v>762</v>
      </c>
    </row>
    <row r="2277" spans="1:9" hidden="1" x14ac:dyDescent="0.3">
      <c r="A2277" t="s">
        <v>729</v>
      </c>
      <c r="B2277" s="46">
        <v>45173</v>
      </c>
      <c r="C2277" s="45">
        <v>22500</v>
      </c>
      <c r="D2277" t="s">
        <v>1116</v>
      </c>
      <c r="E2277" s="46">
        <v>45215</v>
      </c>
      <c r="F2277" s="45" t="s">
        <v>721</v>
      </c>
      <c r="I2277" t="s">
        <v>726</v>
      </c>
    </row>
    <row r="2278" spans="1:9" hidden="1" x14ac:dyDescent="0.3">
      <c r="A2278" t="s">
        <v>748</v>
      </c>
      <c r="B2278" s="46">
        <v>45210</v>
      </c>
      <c r="C2278" s="45">
        <v>22500</v>
      </c>
      <c r="D2278" t="s">
        <v>1063</v>
      </c>
      <c r="E2278" s="46">
        <v>45245</v>
      </c>
      <c r="F2278" s="45" t="s">
        <v>721</v>
      </c>
      <c r="I2278" t="s">
        <v>762</v>
      </c>
    </row>
    <row r="2279" spans="1:9" hidden="1" x14ac:dyDescent="0.3">
      <c r="A2279" t="s">
        <v>748</v>
      </c>
      <c r="B2279" s="46">
        <v>45132</v>
      </c>
      <c r="C2279" s="45">
        <v>22500</v>
      </c>
      <c r="D2279" t="s">
        <v>1063</v>
      </c>
      <c r="E2279" s="46">
        <v>45154</v>
      </c>
      <c r="F2279" s="45" t="s">
        <v>721</v>
      </c>
      <c r="I2279" t="s">
        <v>762</v>
      </c>
    </row>
    <row r="2280" spans="1:9" hidden="1" x14ac:dyDescent="0.3">
      <c r="A2280" t="s">
        <v>767</v>
      </c>
      <c r="B2280" s="46">
        <v>45155</v>
      </c>
      <c r="C2280" s="45">
        <v>22500</v>
      </c>
      <c r="D2280" t="s">
        <v>1232</v>
      </c>
      <c r="E2280" s="46">
        <v>45184</v>
      </c>
      <c r="F2280" s="45" t="s">
        <v>721</v>
      </c>
      <c r="I2280" t="s">
        <v>726</v>
      </c>
    </row>
    <row r="2281" spans="1:9" hidden="1" x14ac:dyDescent="0.3">
      <c r="A2281" t="s">
        <v>748</v>
      </c>
      <c r="B2281" s="46">
        <v>45162</v>
      </c>
      <c r="C2281" s="45">
        <v>22500</v>
      </c>
      <c r="D2281" t="s">
        <v>1165</v>
      </c>
      <c r="E2281" s="46">
        <v>45184</v>
      </c>
      <c r="F2281" s="45" t="s">
        <v>721</v>
      </c>
      <c r="I2281" t="s">
        <v>726</v>
      </c>
    </row>
    <row r="2282" spans="1:9" hidden="1" x14ac:dyDescent="0.3">
      <c r="A2282" t="s">
        <v>729</v>
      </c>
      <c r="B2282" s="46">
        <v>45140</v>
      </c>
      <c r="C2282" s="45">
        <v>22500</v>
      </c>
      <c r="D2282" t="s">
        <v>974</v>
      </c>
      <c r="E2282" s="46">
        <v>45184</v>
      </c>
      <c r="F2282" s="45" t="s">
        <v>721</v>
      </c>
      <c r="I2282" t="s">
        <v>726</v>
      </c>
    </row>
    <row r="2283" spans="1:9" hidden="1" x14ac:dyDescent="0.3">
      <c r="A2283" t="s">
        <v>772</v>
      </c>
      <c r="B2283" s="46">
        <v>45232</v>
      </c>
      <c r="C2283" s="45">
        <v>22500</v>
      </c>
      <c r="D2283" t="s">
        <v>1098</v>
      </c>
      <c r="E2283" s="46">
        <v>45256</v>
      </c>
      <c r="F2283" s="45" t="s">
        <v>721</v>
      </c>
      <c r="I2283" t="s">
        <v>760</v>
      </c>
    </row>
    <row r="2284" spans="1:9" hidden="1" x14ac:dyDescent="0.3">
      <c r="A2284" t="s">
        <v>729</v>
      </c>
      <c r="B2284" s="46">
        <v>45229</v>
      </c>
      <c r="C2284" s="45">
        <v>22500</v>
      </c>
      <c r="D2284" t="s">
        <v>938</v>
      </c>
      <c r="E2284" s="46">
        <v>45245</v>
      </c>
      <c r="F2284" s="45" t="s">
        <v>721</v>
      </c>
      <c r="I2284" t="s">
        <v>726</v>
      </c>
    </row>
    <row r="2285" spans="1:9" hidden="1" x14ac:dyDescent="0.3">
      <c r="A2285" t="s">
        <v>748</v>
      </c>
      <c r="B2285" s="46">
        <v>45281</v>
      </c>
      <c r="C2285" s="45">
        <v>22500</v>
      </c>
      <c r="D2285" t="s">
        <v>1063</v>
      </c>
      <c r="E2285" s="46">
        <v>45306</v>
      </c>
      <c r="F2285" s="45" t="s">
        <v>721</v>
      </c>
      <c r="I2285" t="s">
        <v>762</v>
      </c>
    </row>
    <row r="2286" spans="1:9" hidden="1" x14ac:dyDescent="0.3">
      <c r="A2286" t="s">
        <v>772</v>
      </c>
      <c r="B2286" s="46">
        <v>45244</v>
      </c>
      <c r="C2286" s="45">
        <v>22500</v>
      </c>
      <c r="D2286" t="s">
        <v>1230</v>
      </c>
      <c r="E2286" s="46">
        <v>45286</v>
      </c>
      <c r="F2286" s="45" t="s">
        <v>721</v>
      </c>
      <c r="I2286" t="s">
        <v>762</v>
      </c>
    </row>
    <row r="2287" spans="1:9" hidden="1" x14ac:dyDescent="0.3">
      <c r="A2287" t="s">
        <v>821</v>
      </c>
      <c r="B2287" s="46">
        <v>45265</v>
      </c>
      <c r="C2287" s="45">
        <v>22500</v>
      </c>
      <c r="D2287" t="s">
        <v>938</v>
      </c>
      <c r="E2287" s="46">
        <v>45306</v>
      </c>
      <c r="F2287" s="45" t="s">
        <v>721</v>
      </c>
      <c r="I2287" t="s">
        <v>726</v>
      </c>
    </row>
    <row r="2288" spans="1:9" hidden="1" x14ac:dyDescent="0.3">
      <c r="A2288" t="s">
        <v>734</v>
      </c>
      <c r="B2288" s="46">
        <v>45342</v>
      </c>
      <c r="C2288" s="45">
        <v>22500</v>
      </c>
      <c r="D2288" t="s">
        <v>918</v>
      </c>
      <c r="E2288" s="46">
        <v>45366</v>
      </c>
      <c r="F2288" s="45" t="s">
        <v>721</v>
      </c>
      <c r="I2288" t="s">
        <v>726</v>
      </c>
    </row>
    <row r="2289" spans="1:9" hidden="1" x14ac:dyDescent="0.3">
      <c r="A2289" t="s">
        <v>748</v>
      </c>
      <c r="B2289" s="46">
        <v>45324</v>
      </c>
      <c r="C2289" s="45">
        <v>22500</v>
      </c>
      <c r="D2289" t="s">
        <v>1231</v>
      </c>
      <c r="E2289" s="46">
        <v>45366</v>
      </c>
      <c r="F2289" s="45" t="s">
        <v>721</v>
      </c>
      <c r="I2289" t="s">
        <v>762</v>
      </c>
    </row>
    <row r="2290" spans="1:9" hidden="1" x14ac:dyDescent="0.3">
      <c r="A2290" t="s">
        <v>772</v>
      </c>
      <c r="B2290" s="46">
        <v>45405</v>
      </c>
      <c r="C2290" s="45">
        <v>22500</v>
      </c>
      <c r="D2290" t="s">
        <v>2116</v>
      </c>
      <c r="E2290" s="46">
        <v>45438</v>
      </c>
      <c r="F2290" s="45" t="s">
        <v>721</v>
      </c>
      <c r="I2290" t="s">
        <v>762</v>
      </c>
    </row>
    <row r="2291" spans="1:9" hidden="1" x14ac:dyDescent="0.3">
      <c r="A2291" t="s">
        <v>729</v>
      </c>
      <c r="B2291" s="46">
        <v>45205</v>
      </c>
      <c r="C2291" s="45">
        <v>22400</v>
      </c>
      <c r="D2291" t="s">
        <v>1235</v>
      </c>
      <c r="E2291" s="46">
        <v>45245</v>
      </c>
      <c r="F2291" s="45" t="s">
        <v>721</v>
      </c>
      <c r="I2291" t="s">
        <v>726</v>
      </c>
    </row>
    <row r="2292" spans="1:9" hidden="1" x14ac:dyDescent="0.3">
      <c r="A2292" t="s">
        <v>772</v>
      </c>
      <c r="B2292" s="46">
        <v>45167</v>
      </c>
      <c r="C2292" s="45">
        <v>22400</v>
      </c>
      <c r="D2292" t="s">
        <v>980</v>
      </c>
      <c r="E2292" s="46">
        <v>45195</v>
      </c>
      <c r="F2292" s="45" t="s">
        <v>721</v>
      </c>
      <c r="I2292" t="s">
        <v>726</v>
      </c>
    </row>
    <row r="2293" spans="1:9" hidden="1" x14ac:dyDescent="0.3">
      <c r="A2293" t="s">
        <v>821</v>
      </c>
      <c r="B2293" s="46">
        <v>45173</v>
      </c>
      <c r="C2293" s="45">
        <v>22300</v>
      </c>
      <c r="D2293" t="s">
        <v>1081</v>
      </c>
      <c r="E2293" s="46">
        <v>45215</v>
      </c>
      <c r="F2293" s="45" t="s">
        <v>721</v>
      </c>
      <c r="I2293" t="s">
        <v>726</v>
      </c>
    </row>
    <row r="2294" spans="1:9" hidden="1" x14ac:dyDescent="0.3">
      <c r="A2294" t="s">
        <v>821</v>
      </c>
      <c r="B2294" s="46">
        <v>45187</v>
      </c>
      <c r="C2294" s="45">
        <v>22300</v>
      </c>
      <c r="D2294" t="s">
        <v>1154</v>
      </c>
      <c r="E2294" s="46">
        <v>45215</v>
      </c>
      <c r="F2294" s="45" t="s">
        <v>721</v>
      </c>
      <c r="I2294" t="s">
        <v>726</v>
      </c>
    </row>
    <row r="2295" spans="1:9" hidden="1" x14ac:dyDescent="0.3">
      <c r="A2295" t="s">
        <v>767</v>
      </c>
      <c r="B2295" s="46">
        <v>45159</v>
      </c>
      <c r="C2295" s="45">
        <v>22300</v>
      </c>
      <c r="D2295" t="s">
        <v>1048</v>
      </c>
      <c r="E2295" s="46">
        <v>45184</v>
      </c>
      <c r="F2295" s="45" t="s">
        <v>721</v>
      </c>
      <c r="I2295" t="s">
        <v>726</v>
      </c>
    </row>
    <row r="2296" spans="1:9" hidden="1" x14ac:dyDescent="0.3">
      <c r="A2296" t="s">
        <v>734</v>
      </c>
      <c r="B2296" s="46">
        <v>45229</v>
      </c>
      <c r="C2296" s="45">
        <v>22300</v>
      </c>
      <c r="D2296" t="s">
        <v>1236</v>
      </c>
      <c r="E2296" s="46">
        <v>45245</v>
      </c>
      <c r="F2296" s="45" t="s">
        <v>721</v>
      </c>
      <c r="I2296" t="s">
        <v>726</v>
      </c>
    </row>
    <row r="2297" spans="1:9" hidden="1" x14ac:dyDescent="0.3">
      <c r="A2297" t="s">
        <v>722</v>
      </c>
      <c r="B2297" s="46">
        <v>45377</v>
      </c>
      <c r="C2297" s="45">
        <v>22260</v>
      </c>
      <c r="D2297" t="s">
        <v>771</v>
      </c>
      <c r="E2297" s="46">
        <v>45397</v>
      </c>
      <c r="F2297" s="45" t="s">
        <v>721</v>
      </c>
      <c r="I2297" t="s">
        <v>726</v>
      </c>
    </row>
    <row r="2298" spans="1:9" hidden="1" x14ac:dyDescent="0.3">
      <c r="A2298" t="s">
        <v>821</v>
      </c>
      <c r="B2298" s="46">
        <v>45288</v>
      </c>
      <c r="C2298" s="45">
        <v>22200</v>
      </c>
      <c r="D2298" t="s">
        <v>1036</v>
      </c>
      <c r="E2298" s="46">
        <v>45306</v>
      </c>
      <c r="F2298" s="45" t="s">
        <v>721</v>
      </c>
      <c r="I2298" t="s">
        <v>760</v>
      </c>
    </row>
    <row r="2299" spans="1:9" hidden="1" x14ac:dyDescent="0.3">
      <c r="A2299" t="s">
        <v>729</v>
      </c>
      <c r="B2299" s="46">
        <v>45274</v>
      </c>
      <c r="C2299" s="45">
        <v>22200</v>
      </c>
      <c r="D2299" t="s">
        <v>1237</v>
      </c>
      <c r="E2299" s="46">
        <v>45306</v>
      </c>
      <c r="F2299" s="45" t="s">
        <v>721</v>
      </c>
      <c r="I2299" t="s">
        <v>726</v>
      </c>
    </row>
    <row r="2300" spans="1:9" hidden="1" x14ac:dyDescent="0.3">
      <c r="A2300" t="s">
        <v>727</v>
      </c>
      <c r="B2300" s="46">
        <v>45258</v>
      </c>
      <c r="C2300" s="45">
        <v>22140</v>
      </c>
      <c r="D2300" t="s">
        <v>815</v>
      </c>
      <c r="E2300" s="46">
        <v>45275</v>
      </c>
      <c r="F2300" s="45" t="s">
        <v>721</v>
      </c>
      <c r="I2300" t="s">
        <v>782</v>
      </c>
    </row>
    <row r="2301" spans="1:9" hidden="1" x14ac:dyDescent="0.3">
      <c r="A2301" t="s">
        <v>1238</v>
      </c>
      <c r="B2301" s="46">
        <v>45219</v>
      </c>
      <c r="C2301" s="45">
        <v>22100</v>
      </c>
      <c r="D2301" t="s">
        <v>1239</v>
      </c>
      <c r="E2301" s="46">
        <v>45256</v>
      </c>
      <c r="F2301" s="45" t="s">
        <v>721</v>
      </c>
      <c r="I2301" t="s">
        <v>1162</v>
      </c>
    </row>
    <row r="2302" spans="1:9" hidden="1" x14ac:dyDescent="0.3">
      <c r="A2302" t="s">
        <v>724</v>
      </c>
      <c r="B2302" s="46">
        <v>45217</v>
      </c>
      <c r="C2302" s="45">
        <v>22000</v>
      </c>
      <c r="D2302" t="s">
        <v>1232</v>
      </c>
      <c r="E2302" s="46">
        <v>45256</v>
      </c>
      <c r="F2302" s="45" t="s">
        <v>721</v>
      </c>
      <c r="I2302" t="s">
        <v>726</v>
      </c>
    </row>
    <row r="2303" spans="1:9" hidden="1" x14ac:dyDescent="0.3">
      <c r="A2303" t="s">
        <v>821</v>
      </c>
      <c r="B2303" s="46">
        <v>45223</v>
      </c>
      <c r="C2303" s="45">
        <v>22000</v>
      </c>
      <c r="D2303" t="s">
        <v>1030</v>
      </c>
      <c r="E2303" s="46">
        <v>45245</v>
      </c>
      <c r="F2303" s="45" t="s">
        <v>721</v>
      </c>
      <c r="I2303" t="s">
        <v>726</v>
      </c>
    </row>
    <row r="2304" spans="1:9" hidden="1" x14ac:dyDescent="0.3">
      <c r="A2304" t="s">
        <v>729</v>
      </c>
      <c r="B2304" s="46">
        <v>45224</v>
      </c>
      <c r="C2304" s="45">
        <v>22000</v>
      </c>
      <c r="D2304" t="s">
        <v>1030</v>
      </c>
      <c r="E2304" s="46">
        <v>45245</v>
      </c>
      <c r="F2304" s="45" t="s">
        <v>721</v>
      </c>
      <c r="I2304" t="s">
        <v>726</v>
      </c>
    </row>
    <row r="2305" spans="1:9" hidden="1" x14ac:dyDescent="0.3">
      <c r="A2305" t="s">
        <v>729</v>
      </c>
      <c r="B2305" s="46">
        <v>45217</v>
      </c>
      <c r="C2305" s="45">
        <v>22000</v>
      </c>
      <c r="D2305" t="s">
        <v>1030</v>
      </c>
      <c r="E2305" s="46">
        <v>45245</v>
      </c>
      <c r="F2305" s="45" t="s">
        <v>721</v>
      </c>
      <c r="I2305" t="s">
        <v>726</v>
      </c>
    </row>
    <row r="2306" spans="1:9" hidden="1" x14ac:dyDescent="0.3">
      <c r="A2306" t="s">
        <v>821</v>
      </c>
      <c r="B2306" s="46">
        <v>45245</v>
      </c>
      <c r="C2306" s="45">
        <v>22000</v>
      </c>
      <c r="D2306" t="s">
        <v>1030</v>
      </c>
      <c r="E2306" s="46">
        <v>45275</v>
      </c>
      <c r="F2306" s="45" t="s">
        <v>721</v>
      </c>
      <c r="I2306" t="s">
        <v>726</v>
      </c>
    </row>
    <row r="2307" spans="1:9" hidden="1" x14ac:dyDescent="0.3">
      <c r="A2307" t="s">
        <v>748</v>
      </c>
      <c r="B2307" s="46">
        <v>45251</v>
      </c>
      <c r="C2307" s="45">
        <v>22000</v>
      </c>
      <c r="D2307" t="s">
        <v>1005</v>
      </c>
      <c r="E2307" s="46">
        <v>45275</v>
      </c>
      <c r="F2307" s="45" t="s">
        <v>721</v>
      </c>
      <c r="I2307" t="s">
        <v>726</v>
      </c>
    </row>
    <row r="2308" spans="1:9" hidden="1" x14ac:dyDescent="0.3">
      <c r="A2308" t="s">
        <v>729</v>
      </c>
      <c r="B2308" s="46">
        <v>45237</v>
      </c>
      <c r="C2308" s="45">
        <v>22000</v>
      </c>
      <c r="D2308" t="s">
        <v>1228</v>
      </c>
      <c r="E2308" s="46">
        <v>45275</v>
      </c>
      <c r="F2308" s="45" t="s">
        <v>721</v>
      </c>
      <c r="I2308" t="s">
        <v>726</v>
      </c>
    </row>
    <row r="2309" spans="1:9" hidden="1" x14ac:dyDescent="0.3">
      <c r="A2309" t="s">
        <v>729</v>
      </c>
      <c r="B2309" s="46">
        <v>45278</v>
      </c>
      <c r="C2309" s="45">
        <v>22000</v>
      </c>
      <c r="D2309" t="s">
        <v>988</v>
      </c>
      <c r="E2309" s="46">
        <v>45306</v>
      </c>
      <c r="F2309" s="45" t="s">
        <v>721</v>
      </c>
      <c r="I2309" t="s">
        <v>726</v>
      </c>
    </row>
    <row r="2310" spans="1:9" hidden="1" x14ac:dyDescent="0.3">
      <c r="A2310" t="s">
        <v>729</v>
      </c>
      <c r="B2310" s="46">
        <v>45266</v>
      </c>
      <c r="C2310" s="45">
        <v>22000</v>
      </c>
      <c r="D2310" t="s">
        <v>938</v>
      </c>
      <c r="E2310" s="46">
        <v>45306</v>
      </c>
      <c r="F2310" s="45" t="s">
        <v>721</v>
      </c>
      <c r="I2310" t="s">
        <v>726</v>
      </c>
    </row>
    <row r="2311" spans="1:9" hidden="1" x14ac:dyDescent="0.3">
      <c r="A2311" t="s">
        <v>748</v>
      </c>
      <c r="B2311" s="46">
        <v>45286</v>
      </c>
      <c r="C2311" s="45">
        <v>22000</v>
      </c>
      <c r="D2311" t="s">
        <v>1030</v>
      </c>
      <c r="E2311" s="46">
        <v>45306</v>
      </c>
      <c r="F2311" s="45" t="s">
        <v>721</v>
      </c>
      <c r="I2311" t="s">
        <v>726</v>
      </c>
    </row>
    <row r="2312" spans="1:9" hidden="1" x14ac:dyDescent="0.3">
      <c r="A2312" t="s">
        <v>729</v>
      </c>
      <c r="B2312" s="46">
        <v>45265</v>
      </c>
      <c r="C2312" s="45">
        <v>22000</v>
      </c>
      <c r="D2312" t="s">
        <v>1030</v>
      </c>
      <c r="E2312" s="46">
        <v>45306</v>
      </c>
      <c r="F2312" s="45" t="s">
        <v>721</v>
      </c>
      <c r="I2312" t="s">
        <v>726</v>
      </c>
    </row>
    <row r="2313" spans="1:9" hidden="1" x14ac:dyDescent="0.3">
      <c r="A2313" t="s">
        <v>821</v>
      </c>
      <c r="B2313" s="46">
        <v>45280</v>
      </c>
      <c r="C2313" s="45">
        <v>22000</v>
      </c>
      <c r="D2313" t="s">
        <v>791</v>
      </c>
      <c r="E2313" s="46">
        <v>45306</v>
      </c>
      <c r="F2313" s="45" t="s">
        <v>721</v>
      </c>
      <c r="I2313" t="s">
        <v>726</v>
      </c>
    </row>
    <row r="2314" spans="1:9" hidden="1" x14ac:dyDescent="0.3">
      <c r="A2314" t="s">
        <v>821</v>
      </c>
      <c r="B2314" s="46">
        <v>45266</v>
      </c>
      <c r="C2314" s="45">
        <v>22000</v>
      </c>
      <c r="D2314" t="s">
        <v>1030</v>
      </c>
      <c r="E2314" s="46">
        <v>45306</v>
      </c>
      <c r="F2314" s="45" t="s">
        <v>721</v>
      </c>
      <c r="I2314" t="s">
        <v>726</v>
      </c>
    </row>
    <row r="2315" spans="1:9" hidden="1" x14ac:dyDescent="0.3">
      <c r="A2315" t="s">
        <v>729</v>
      </c>
      <c r="B2315" s="46">
        <v>45146</v>
      </c>
      <c r="C2315" s="45">
        <v>22000</v>
      </c>
      <c r="D2315" t="s">
        <v>1116</v>
      </c>
      <c r="E2315" s="46">
        <v>45184</v>
      </c>
      <c r="F2315" s="45" t="s">
        <v>721</v>
      </c>
      <c r="I2315" t="s">
        <v>726</v>
      </c>
    </row>
    <row r="2316" spans="1:9" hidden="1" x14ac:dyDescent="0.3">
      <c r="A2316" t="s">
        <v>724</v>
      </c>
      <c r="B2316" s="46">
        <v>45118</v>
      </c>
      <c r="C2316" s="45">
        <v>22000</v>
      </c>
      <c r="D2316" t="s">
        <v>1240</v>
      </c>
      <c r="E2316" s="46">
        <v>45164</v>
      </c>
      <c r="F2316" s="45" t="s">
        <v>721</v>
      </c>
      <c r="I2316" t="s">
        <v>726</v>
      </c>
    </row>
    <row r="2317" spans="1:9" hidden="1" x14ac:dyDescent="0.3">
      <c r="A2317" t="s">
        <v>729</v>
      </c>
      <c r="B2317" s="46">
        <v>45126</v>
      </c>
      <c r="C2317" s="45">
        <v>22000</v>
      </c>
      <c r="D2317" t="s">
        <v>1042</v>
      </c>
      <c r="E2317" s="46">
        <v>45154</v>
      </c>
      <c r="F2317" s="45" t="s">
        <v>721</v>
      </c>
      <c r="I2317" t="s">
        <v>726</v>
      </c>
    </row>
    <row r="2318" spans="1:9" hidden="1" x14ac:dyDescent="0.3">
      <c r="A2318" t="s">
        <v>729</v>
      </c>
      <c r="B2318" s="46">
        <v>45135</v>
      </c>
      <c r="C2318" s="45">
        <v>22000</v>
      </c>
      <c r="D2318" t="s">
        <v>1030</v>
      </c>
      <c r="E2318" s="46">
        <v>45154</v>
      </c>
      <c r="F2318" s="45" t="s">
        <v>721</v>
      </c>
      <c r="I2318" t="s">
        <v>726</v>
      </c>
    </row>
    <row r="2319" spans="1:9" hidden="1" x14ac:dyDescent="0.3">
      <c r="A2319" t="s">
        <v>821</v>
      </c>
      <c r="B2319" s="46">
        <v>45128</v>
      </c>
      <c r="C2319" s="45">
        <v>22000</v>
      </c>
      <c r="D2319" t="s">
        <v>1030</v>
      </c>
      <c r="E2319" s="46">
        <v>45154</v>
      </c>
      <c r="F2319" s="45" t="s">
        <v>721</v>
      </c>
      <c r="I2319" t="s">
        <v>726</v>
      </c>
    </row>
    <row r="2320" spans="1:9" hidden="1" x14ac:dyDescent="0.3">
      <c r="A2320" t="s">
        <v>727</v>
      </c>
      <c r="B2320" s="46">
        <v>45132</v>
      </c>
      <c r="C2320" s="45">
        <v>22000</v>
      </c>
      <c r="D2320" t="s">
        <v>980</v>
      </c>
      <c r="E2320" s="46">
        <v>45154</v>
      </c>
      <c r="F2320" s="45" t="s">
        <v>721</v>
      </c>
      <c r="I2320" t="s">
        <v>726</v>
      </c>
    </row>
    <row r="2321" spans="1:9" hidden="1" x14ac:dyDescent="0.3">
      <c r="A2321" t="s">
        <v>729</v>
      </c>
      <c r="B2321" s="46">
        <v>45175</v>
      </c>
      <c r="C2321" s="45">
        <v>22000</v>
      </c>
      <c r="D2321" t="s">
        <v>1030</v>
      </c>
      <c r="E2321" s="46">
        <v>45215</v>
      </c>
      <c r="F2321" s="45" t="s">
        <v>721</v>
      </c>
      <c r="I2321" t="s">
        <v>726</v>
      </c>
    </row>
    <row r="2322" spans="1:9" hidden="1" x14ac:dyDescent="0.3">
      <c r="A2322" t="s">
        <v>724</v>
      </c>
      <c r="B2322" s="46">
        <v>45159</v>
      </c>
      <c r="C2322" s="45">
        <v>22000</v>
      </c>
      <c r="D2322" t="s">
        <v>989</v>
      </c>
      <c r="E2322" s="46">
        <v>45195</v>
      </c>
      <c r="F2322" s="45" t="s">
        <v>721</v>
      </c>
      <c r="I2322" t="s">
        <v>726</v>
      </c>
    </row>
    <row r="2323" spans="1:9" hidden="1" x14ac:dyDescent="0.3">
      <c r="A2323" t="s">
        <v>724</v>
      </c>
      <c r="B2323" s="46">
        <v>45152</v>
      </c>
      <c r="C2323" s="45">
        <v>22000</v>
      </c>
      <c r="D2323" t="s">
        <v>949</v>
      </c>
      <c r="E2323" s="46">
        <v>45195</v>
      </c>
      <c r="F2323" s="45" t="s">
        <v>721</v>
      </c>
      <c r="I2323" t="s">
        <v>726</v>
      </c>
    </row>
    <row r="2324" spans="1:9" hidden="1" x14ac:dyDescent="0.3">
      <c r="A2324" t="s">
        <v>761</v>
      </c>
      <c r="B2324" s="46">
        <v>45190</v>
      </c>
      <c r="C2324" s="45">
        <v>22000</v>
      </c>
      <c r="D2324" t="s">
        <v>837</v>
      </c>
      <c r="E2324" s="46">
        <v>45225</v>
      </c>
      <c r="F2324" s="45" t="s">
        <v>721</v>
      </c>
      <c r="I2324" t="s">
        <v>838</v>
      </c>
    </row>
    <row r="2325" spans="1:9" hidden="1" x14ac:dyDescent="0.3">
      <c r="A2325" t="s">
        <v>767</v>
      </c>
      <c r="B2325" s="46">
        <v>45351</v>
      </c>
      <c r="C2325" s="45">
        <v>22000</v>
      </c>
      <c r="D2325" t="s">
        <v>2060</v>
      </c>
      <c r="E2325" s="46">
        <v>45397</v>
      </c>
      <c r="F2325" s="45" t="s">
        <v>721</v>
      </c>
      <c r="I2325" t="s">
        <v>726</v>
      </c>
    </row>
    <row r="2326" spans="1:9" hidden="1" x14ac:dyDescent="0.3">
      <c r="A2326" t="s">
        <v>767</v>
      </c>
      <c r="B2326" s="46">
        <v>45356</v>
      </c>
      <c r="C2326" s="45">
        <v>22000</v>
      </c>
      <c r="D2326" t="s">
        <v>1030</v>
      </c>
      <c r="E2326" s="46">
        <v>45397</v>
      </c>
      <c r="F2326" s="45" t="s">
        <v>721</v>
      </c>
      <c r="I2326" t="s">
        <v>726</v>
      </c>
    </row>
    <row r="2327" spans="1:9" hidden="1" x14ac:dyDescent="0.3">
      <c r="A2327" t="s">
        <v>724</v>
      </c>
      <c r="B2327" s="46">
        <v>45414</v>
      </c>
      <c r="C2327" s="45">
        <v>22000</v>
      </c>
      <c r="D2327" t="s">
        <v>1058</v>
      </c>
      <c r="E2327" s="46">
        <v>45438</v>
      </c>
      <c r="F2327" s="45" t="s">
        <v>721</v>
      </c>
      <c r="I2327" t="s">
        <v>726</v>
      </c>
    </row>
    <row r="2328" spans="1:9" hidden="1" x14ac:dyDescent="0.3">
      <c r="A2328" t="s">
        <v>734</v>
      </c>
      <c r="B2328" s="46">
        <v>45359</v>
      </c>
      <c r="C2328" s="45">
        <v>22000</v>
      </c>
      <c r="D2328" t="s">
        <v>749</v>
      </c>
      <c r="E2328" s="46">
        <v>45397</v>
      </c>
      <c r="F2328" s="45" t="s">
        <v>721</v>
      </c>
      <c r="I2328" t="s">
        <v>750</v>
      </c>
    </row>
    <row r="2329" spans="1:9" hidden="1" x14ac:dyDescent="0.3">
      <c r="A2329" t="s">
        <v>748</v>
      </c>
      <c r="B2329" s="46">
        <v>45378</v>
      </c>
      <c r="C2329" s="45">
        <v>22000</v>
      </c>
      <c r="D2329" t="s">
        <v>1030</v>
      </c>
      <c r="E2329" s="46">
        <v>45397</v>
      </c>
      <c r="F2329" s="45" t="s">
        <v>721</v>
      </c>
      <c r="I2329" t="s">
        <v>726</v>
      </c>
    </row>
    <row r="2330" spans="1:9" hidden="1" x14ac:dyDescent="0.3">
      <c r="A2330" t="s">
        <v>761</v>
      </c>
      <c r="B2330" s="46">
        <v>45343</v>
      </c>
      <c r="C2330" s="45">
        <v>22000</v>
      </c>
      <c r="D2330" t="s">
        <v>1082</v>
      </c>
      <c r="E2330" s="46">
        <v>45377</v>
      </c>
      <c r="F2330" s="45" t="s">
        <v>721</v>
      </c>
      <c r="I2330" t="s">
        <v>726</v>
      </c>
    </row>
    <row r="2331" spans="1:9" hidden="1" x14ac:dyDescent="0.3">
      <c r="A2331" t="s">
        <v>724</v>
      </c>
      <c r="B2331" s="46">
        <v>45336</v>
      </c>
      <c r="C2331" s="45">
        <v>22000</v>
      </c>
      <c r="D2331" t="s">
        <v>1101</v>
      </c>
      <c r="E2331" s="46">
        <v>45377</v>
      </c>
      <c r="F2331" s="45" t="s">
        <v>721</v>
      </c>
      <c r="I2331" t="s">
        <v>762</v>
      </c>
    </row>
    <row r="2332" spans="1:9" hidden="1" x14ac:dyDescent="0.3">
      <c r="A2332" t="s">
        <v>724</v>
      </c>
      <c r="B2332" s="46">
        <v>45321</v>
      </c>
      <c r="C2332" s="45">
        <v>22000</v>
      </c>
      <c r="D2332" t="s">
        <v>1030</v>
      </c>
      <c r="E2332" s="46">
        <v>45348</v>
      </c>
      <c r="F2332" s="45" t="s">
        <v>721</v>
      </c>
      <c r="I2332" t="s">
        <v>726</v>
      </c>
    </row>
    <row r="2333" spans="1:9" hidden="1" x14ac:dyDescent="0.3">
      <c r="A2333" t="s">
        <v>761</v>
      </c>
      <c r="B2333" s="46">
        <v>45317</v>
      </c>
      <c r="C2333" s="45">
        <v>22000</v>
      </c>
      <c r="D2333" t="s">
        <v>882</v>
      </c>
      <c r="E2333" s="46">
        <v>45348</v>
      </c>
      <c r="F2333" s="45" t="s">
        <v>721</v>
      </c>
      <c r="I2333" t="s">
        <v>726</v>
      </c>
    </row>
    <row r="2334" spans="1:9" hidden="1" x14ac:dyDescent="0.3">
      <c r="A2334" t="s">
        <v>734</v>
      </c>
      <c r="B2334" s="46">
        <v>45338</v>
      </c>
      <c r="C2334" s="45">
        <v>22000</v>
      </c>
      <c r="D2334" t="s">
        <v>994</v>
      </c>
      <c r="E2334" s="46">
        <v>45366</v>
      </c>
      <c r="F2334" s="45" t="s">
        <v>721</v>
      </c>
      <c r="I2334" t="s">
        <v>726</v>
      </c>
    </row>
    <row r="2335" spans="1:9" hidden="1" x14ac:dyDescent="0.3">
      <c r="A2335" t="s">
        <v>748</v>
      </c>
      <c r="B2335" s="46">
        <v>45345</v>
      </c>
      <c r="C2335" s="45">
        <v>22000</v>
      </c>
      <c r="D2335" t="s">
        <v>749</v>
      </c>
      <c r="E2335" s="46">
        <v>45366</v>
      </c>
      <c r="F2335" s="45" t="s">
        <v>721</v>
      </c>
      <c r="I2335" t="s">
        <v>750</v>
      </c>
    </row>
    <row r="2336" spans="1:9" hidden="1" x14ac:dyDescent="0.3">
      <c r="A2336" t="s">
        <v>722</v>
      </c>
      <c r="B2336" s="46">
        <v>45338</v>
      </c>
      <c r="C2336" s="45">
        <v>22000</v>
      </c>
      <c r="D2336" t="s">
        <v>735</v>
      </c>
      <c r="E2336" s="46">
        <v>45366</v>
      </c>
      <c r="F2336" s="45" t="s">
        <v>721</v>
      </c>
      <c r="I2336" t="s">
        <v>762</v>
      </c>
    </row>
    <row r="2337" spans="1:9" hidden="1" x14ac:dyDescent="0.3">
      <c r="A2337" t="s">
        <v>722</v>
      </c>
      <c r="B2337" s="46">
        <v>45341</v>
      </c>
      <c r="C2337" s="45">
        <v>22000</v>
      </c>
      <c r="D2337" t="s">
        <v>1153</v>
      </c>
      <c r="E2337" s="46">
        <v>45366</v>
      </c>
      <c r="F2337" s="45" t="s">
        <v>721</v>
      </c>
      <c r="I2337" t="s">
        <v>726</v>
      </c>
    </row>
    <row r="2338" spans="1:9" hidden="1" x14ac:dyDescent="0.3">
      <c r="A2338" t="s">
        <v>767</v>
      </c>
      <c r="B2338" s="46">
        <v>45306</v>
      </c>
      <c r="C2338" s="45">
        <v>22000</v>
      </c>
      <c r="D2338" t="s">
        <v>988</v>
      </c>
      <c r="E2338" s="46">
        <v>45337</v>
      </c>
      <c r="F2338" s="45" t="s">
        <v>721</v>
      </c>
      <c r="I2338" t="s">
        <v>726</v>
      </c>
    </row>
    <row r="2339" spans="1:9" hidden="1" x14ac:dyDescent="0.3">
      <c r="A2339" t="s">
        <v>727</v>
      </c>
      <c r="B2339" s="46">
        <v>45314</v>
      </c>
      <c r="C2339" s="45">
        <v>22000</v>
      </c>
      <c r="D2339" t="s">
        <v>988</v>
      </c>
      <c r="E2339" s="46">
        <v>45337</v>
      </c>
      <c r="F2339" s="45" t="s">
        <v>721</v>
      </c>
      <c r="I2339" t="s">
        <v>726</v>
      </c>
    </row>
    <row r="2340" spans="1:9" hidden="1" x14ac:dyDescent="0.3">
      <c r="A2340" t="s">
        <v>729</v>
      </c>
      <c r="B2340" s="46">
        <v>45321</v>
      </c>
      <c r="C2340" s="45">
        <v>22000</v>
      </c>
      <c r="D2340" t="s">
        <v>1030</v>
      </c>
      <c r="E2340" s="46">
        <v>45337</v>
      </c>
      <c r="F2340" s="45" t="s">
        <v>721</v>
      </c>
      <c r="I2340" t="s">
        <v>726</v>
      </c>
    </row>
    <row r="2341" spans="1:9" hidden="1" x14ac:dyDescent="0.3">
      <c r="A2341" t="s">
        <v>821</v>
      </c>
      <c r="B2341" s="46">
        <v>45307</v>
      </c>
      <c r="C2341" s="45">
        <v>22000</v>
      </c>
      <c r="D2341" t="s">
        <v>1030</v>
      </c>
      <c r="E2341" s="46">
        <v>45337</v>
      </c>
      <c r="F2341" s="45" t="s">
        <v>721</v>
      </c>
      <c r="I2341" t="s">
        <v>726</v>
      </c>
    </row>
    <row r="2342" spans="1:9" hidden="1" x14ac:dyDescent="0.3">
      <c r="A2342" t="s">
        <v>821</v>
      </c>
      <c r="B2342" s="46">
        <v>45296</v>
      </c>
      <c r="C2342" s="45">
        <v>22000</v>
      </c>
      <c r="D2342" t="s">
        <v>1030</v>
      </c>
      <c r="E2342" s="46">
        <v>45337</v>
      </c>
      <c r="F2342" s="45" t="s">
        <v>721</v>
      </c>
      <c r="I2342" t="s">
        <v>726</v>
      </c>
    </row>
    <row r="2343" spans="1:9" hidden="1" x14ac:dyDescent="0.3">
      <c r="A2343" t="s">
        <v>729</v>
      </c>
      <c r="B2343" s="46">
        <v>45306</v>
      </c>
      <c r="C2343" s="45">
        <v>22000</v>
      </c>
      <c r="D2343" t="s">
        <v>1158</v>
      </c>
      <c r="E2343" s="46">
        <v>45337</v>
      </c>
      <c r="F2343" s="45" t="s">
        <v>721</v>
      </c>
      <c r="I2343" t="s">
        <v>726</v>
      </c>
    </row>
    <row r="2344" spans="1:9" hidden="1" x14ac:dyDescent="0.3">
      <c r="A2344" t="s">
        <v>727</v>
      </c>
      <c r="B2344" s="46">
        <v>45404</v>
      </c>
      <c r="C2344" s="45">
        <v>22000</v>
      </c>
      <c r="D2344" t="s">
        <v>1158</v>
      </c>
      <c r="E2344" s="46">
        <v>45428</v>
      </c>
      <c r="F2344" s="45" t="s">
        <v>721</v>
      </c>
      <c r="I2344" t="s">
        <v>726</v>
      </c>
    </row>
    <row r="2345" spans="1:9" hidden="1" x14ac:dyDescent="0.3">
      <c r="A2345" t="s">
        <v>727</v>
      </c>
      <c r="B2345" s="46">
        <v>45432</v>
      </c>
      <c r="C2345" s="45">
        <v>22000</v>
      </c>
      <c r="D2345" t="s">
        <v>1158</v>
      </c>
      <c r="E2345" s="46">
        <v>45458</v>
      </c>
      <c r="F2345" s="45" t="s">
        <v>721</v>
      </c>
      <c r="I2345" t="s">
        <v>726</v>
      </c>
    </row>
    <row r="2346" spans="1:9" hidden="1" x14ac:dyDescent="0.3">
      <c r="A2346" t="s">
        <v>775</v>
      </c>
      <c r="B2346" s="46">
        <v>45443</v>
      </c>
      <c r="C2346" s="45">
        <v>22000</v>
      </c>
      <c r="D2346" t="s">
        <v>2091</v>
      </c>
      <c r="E2346" s="46">
        <v>45459</v>
      </c>
      <c r="F2346" s="45" t="s">
        <v>721</v>
      </c>
      <c r="I2346" t="s">
        <v>726</v>
      </c>
    </row>
    <row r="2347" spans="1:9" hidden="1" x14ac:dyDescent="0.3">
      <c r="A2347" t="s">
        <v>761</v>
      </c>
      <c r="B2347" s="46">
        <v>45435</v>
      </c>
      <c r="C2347" s="45">
        <v>22000</v>
      </c>
      <c r="D2347" t="s">
        <v>837</v>
      </c>
      <c r="E2347" s="46">
        <v>45469</v>
      </c>
      <c r="F2347" s="45" t="s">
        <v>721</v>
      </c>
      <c r="I2347" t="s">
        <v>838</v>
      </c>
    </row>
    <row r="2348" spans="1:9" hidden="1" x14ac:dyDescent="0.3">
      <c r="A2348" t="s">
        <v>734</v>
      </c>
      <c r="B2348" s="46">
        <v>45162</v>
      </c>
      <c r="C2348" s="45">
        <v>21910</v>
      </c>
      <c r="D2348" t="s">
        <v>991</v>
      </c>
      <c r="E2348" s="46">
        <v>45184</v>
      </c>
      <c r="F2348" s="45" t="s">
        <v>721</v>
      </c>
      <c r="I2348" t="s">
        <v>726</v>
      </c>
    </row>
    <row r="2349" spans="1:9" hidden="1" x14ac:dyDescent="0.3">
      <c r="A2349" t="s">
        <v>727</v>
      </c>
      <c r="B2349" s="46">
        <v>45170</v>
      </c>
      <c r="C2349" s="45">
        <v>21900</v>
      </c>
      <c r="D2349" t="s">
        <v>864</v>
      </c>
      <c r="E2349" s="46">
        <v>45215</v>
      </c>
      <c r="F2349" s="45" t="s">
        <v>721</v>
      </c>
      <c r="I2349" t="s">
        <v>726</v>
      </c>
    </row>
    <row r="2350" spans="1:9" hidden="1" x14ac:dyDescent="0.3">
      <c r="A2350" t="s">
        <v>734</v>
      </c>
      <c r="B2350" s="46">
        <v>45300</v>
      </c>
      <c r="C2350" s="45">
        <v>21900</v>
      </c>
      <c r="D2350" t="s">
        <v>998</v>
      </c>
      <c r="E2350" s="46">
        <v>45337</v>
      </c>
      <c r="F2350" s="45" t="s">
        <v>721</v>
      </c>
      <c r="I2350" t="s">
        <v>726</v>
      </c>
    </row>
    <row r="2351" spans="1:9" hidden="1" x14ac:dyDescent="0.3">
      <c r="A2351" t="s">
        <v>734</v>
      </c>
      <c r="B2351" s="46">
        <v>45204</v>
      </c>
      <c r="C2351" s="45">
        <v>21840</v>
      </c>
      <c r="D2351" t="s">
        <v>991</v>
      </c>
      <c r="E2351" s="46">
        <v>45245</v>
      </c>
      <c r="F2351" s="45" t="s">
        <v>721</v>
      </c>
      <c r="I2351" t="s">
        <v>726</v>
      </c>
    </row>
    <row r="2352" spans="1:9" hidden="1" x14ac:dyDescent="0.3">
      <c r="A2352" t="s">
        <v>748</v>
      </c>
      <c r="B2352" s="46">
        <v>45154</v>
      </c>
      <c r="C2352" s="45">
        <v>21800</v>
      </c>
      <c r="D2352" t="s">
        <v>1048</v>
      </c>
      <c r="E2352" s="46">
        <v>45184</v>
      </c>
      <c r="F2352" s="45" t="s">
        <v>721</v>
      </c>
      <c r="I2352" t="s">
        <v>726</v>
      </c>
    </row>
    <row r="2353" spans="1:9" hidden="1" x14ac:dyDescent="0.3">
      <c r="A2353" t="s">
        <v>727</v>
      </c>
      <c r="B2353" s="46">
        <v>45134</v>
      </c>
      <c r="C2353" s="45">
        <v>21800</v>
      </c>
      <c r="D2353" t="s">
        <v>1177</v>
      </c>
      <c r="E2353" s="46">
        <v>45154</v>
      </c>
      <c r="F2353" s="45" t="s">
        <v>721</v>
      </c>
      <c r="I2353" t="s">
        <v>726</v>
      </c>
    </row>
    <row r="2354" spans="1:9" hidden="1" x14ac:dyDescent="0.3">
      <c r="A2354" t="s">
        <v>729</v>
      </c>
      <c r="B2354" s="46">
        <v>45133</v>
      </c>
      <c r="C2354" s="45">
        <v>21800</v>
      </c>
      <c r="D2354" t="s">
        <v>1048</v>
      </c>
      <c r="E2354" s="46">
        <v>45154</v>
      </c>
      <c r="F2354" s="45" t="s">
        <v>721</v>
      </c>
      <c r="I2354" t="s">
        <v>726</v>
      </c>
    </row>
    <row r="2355" spans="1:9" hidden="1" x14ac:dyDescent="0.3">
      <c r="A2355" t="s">
        <v>727</v>
      </c>
      <c r="B2355" s="46">
        <v>45422</v>
      </c>
      <c r="C2355" s="45">
        <v>21800</v>
      </c>
      <c r="D2355" t="s">
        <v>2117</v>
      </c>
      <c r="E2355" s="46">
        <v>45458</v>
      </c>
      <c r="F2355" s="45" t="s">
        <v>721</v>
      </c>
      <c r="I2355" t="s">
        <v>726</v>
      </c>
    </row>
    <row r="2356" spans="1:9" hidden="1" x14ac:dyDescent="0.3">
      <c r="A2356" t="s">
        <v>729</v>
      </c>
      <c r="B2356" s="46">
        <v>45253</v>
      </c>
      <c r="C2356" s="45">
        <v>21700</v>
      </c>
      <c r="D2356" t="s">
        <v>1149</v>
      </c>
      <c r="E2356" s="46">
        <v>45275</v>
      </c>
      <c r="F2356" s="45" t="s">
        <v>721</v>
      </c>
      <c r="I2356" t="s">
        <v>726</v>
      </c>
    </row>
    <row r="2357" spans="1:9" hidden="1" x14ac:dyDescent="0.3">
      <c r="A2357" t="s">
        <v>734</v>
      </c>
      <c r="B2357" s="46">
        <v>45232</v>
      </c>
      <c r="C2357" s="45">
        <v>21650</v>
      </c>
      <c r="D2357" t="s">
        <v>799</v>
      </c>
      <c r="E2357" s="46">
        <v>45275</v>
      </c>
      <c r="F2357" s="45" t="s">
        <v>721</v>
      </c>
      <c r="I2357" t="s">
        <v>826</v>
      </c>
    </row>
    <row r="2358" spans="1:9" hidden="1" x14ac:dyDescent="0.3">
      <c r="A2358" t="s">
        <v>727</v>
      </c>
      <c r="B2358" s="46">
        <v>45433</v>
      </c>
      <c r="C2358" s="45">
        <v>21500</v>
      </c>
      <c r="D2358" t="s">
        <v>2118</v>
      </c>
      <c r="E2358" s="46">
        <v>45458</v>
      </c>
      <c r="F2358" s="45" t="s">
        <v>721</v>
      </c>
      <c r="I2358" t="s">
        <v>736</v>
      </c>
    </row>
    <row r="2359" spans="1:9" hidden="1" x14ac:dyDescent="0.3">
      <c r="A2359" t="s">
        <v>767</v>
      </c>
      <c r="B2359" s="46">
        <v>45323</v>
      </c>
      <c r="C2359" s="45">
        <v>21500</v>
      </c>
      <c r="D2359" t="s">
        <v>1177</v>
      </c>
      <c r="E2359" s="46">
        <v>45366</v>
      </c>
      <c r="F2359" s="45" t="s">
        <v>721</v>
      </c>
      <c r="I2359" t="s">
        <v>726</v>
      </c>
    </row>
    <row r="2360" spans="1:9" hidden="1" x14ac:dyDescent="0.3">
      <c r="A2360" t="s">
        <v>722</v>
      </c>
      <c r="B2360" s="46">
        <v>45339</v>
      </c>
      <c r="C2360" s="45">
        <v>21500</v>
      </c>
      <c r="D2360" t="s">
        <v>1241</v>
      </c>
      <c r="E2360" s="46">
        <v>45366</v>
      </c>
      <c r="F2360" s="45" t="s">
        <v>721</v>
      </c>
      <c r="I2360" t="s">
        <v>760</v>
      </c>
    </row>
    <row r="2361" spans="1:9" hidden="1" x14ac:dyDescent="0.3">
      <c r="A2361" t="s">
        <v>761</v>
      </c>
      <c r="B2361" s="46">
        <v>45342</v>
      </c>
      <c r="C2361" s="45">
        <v>21500</v>
      </c>
      <c r="D2361" t="s">
        <v>939</v>
      </c>
      <c r="E2361" s="46">
        <v>45377</v>
      </c>
      <c r="F2361" s="45" t="s">
        <v>721</v>
      </c>
      <c r="I2361" t="s">
        <v>726</v>
      </c>
    </row>
    <row r="2362" spans="1:9" hidden="1" x14ac:dyDescent="0.3">
      <c r="A2362" t="s">
        <v>772</v>
      </c>
      <c r="B2362" s="46">
        <v>45344</v>
      </c>
      <c r="C2362" s="45">
        <v>21400</v>
      </c>
      <c r="D2362" t="s">
        <v>1242</v>
      </c>
      <c r="E2362" s="46">
        <v>45377</v>
      </c>
      <c r="F2362" s="45" t="s">
        <v>721</v>
      </c>
      <c r="I2362" t="s">
        <v>726</v>
      </c>
    </row>
    <row r="2363" spans="1:9" hidden="1" x14ac:dyDescent="0.3">
      <c r="A2363" t="s">
        <v>1160</v>
      </c>
      <c r="B2363" s="46">
        <v>45190</v>
      </c>
      <c r="C2363" s="45">
        <v>21300</v>
      </c>
      <c r="D2363" t="s">
        <v>1229</v>
      </c>
      <c r="E2363" s="46">
        <v>45225</v>
      </c>
      <c r="F2363" s="45" t="s">
        <v>721</v>
      </c>
      <c r="I2363" t="s">
        <v>1162</v>
      </c>
    </row>
    <row r="2364" spans="1:9" hidden="1" x14ac:dyDescent="0.3">
      <c r="A2364" t="s">
        <v>734</v>
      </c>
      <c r="B2364" s="46">
        <v>45171</v>
      </c>
      <c r="C2364" s="45">
        <v>21191</v>
      </c>
      <c r="D2364" t="s">
        <v>799</v>
      </c>
      <c r="E2364" s="46">
        <v>45215</v>
      </c>
      <c r="F2364" s="45" t="s">
        <v>721</v>
      </c>
      <c r="I2364" t="s">
        <v>826</v>
      </c>
    </row>
    <row r="2365" spans="1:9" hidden="1" x14ac:dyDescent="0.3">
      <c r="A2365" t="s">
        <v>729</v>
      </c>
      <c r="B2365" s="46">
        <v>45168</v>
      </c>
      <c r="C2365" s="45">
        <v>21100</v>
      </c>
      <c r="D2365" t="s">
        <v>980</v>
      </c>
      <c r="E2365" s="46">
        <v>45184</v>
      </c>
      <c r="F2365" s="45" t="s">
        <v>721</v>
      </c>
      <c r="I2365" t="s">
        <v>726</v>
      </c>
    </row>
    <row r="2366" spans="1:9" hidden="1" x14ac:dyDescent="0.3">
      <c r="A2366" t="s">
        <v>777</v>
      </c>
      <c r="B2366" s="46">
        <v>45133</v>
      </c>
      <c r="C2366" s="45">
        <v>21000</v>
      </c>
      <c r="D2366" t="s">
        <v>982</v>
      </c>
      <c r="E2366" s="46">
        <v>45184</v>
      </c>
      <c r="F2366" s="45" t="s">
        <v>721</v>
      </c>
      <c r="I2366" t="s">
        <v>726</v>
      </c>
    </row>
    <row r="2367" spans="1:9" hidden="1" x14ac:dyDescent="0.3">
      <c r="A2367" t="s">
        <v>724</v>
      </c>
      <c r="B2367" s="46">
        <v>45128</v>
      </c>
      <c r="C2367" s="45">
        <v>21000</v>
      </c>
      <c r="D2367" t="s">
        <v>882</v>
      </c>
      <c r="E2367" s="46">
        <v>45164</v>
      </c>
      <c r="F2367" s="45" t="s">
        <v>721</v>
      </c>
      <c r="I2367" t="s">
        <v>726</v>
      </c>
    </row>
    <row r="2368" spans="1:9" hidden="1" x14ac:dyDescent="0.3">
      <c r="A2368" t="s">
        <v>761</v>
      </c>
      <c r="B2368" s="46">
        <v>45128</v>
      </c>
      <c r="C2368" s="45">
        <v>21000</v>
      </c>
      <c r="D2368" t="s">
        <v>837</v>
      </c>
      <c r="E2368" s="46">
        <v>45164</v>
      </c>
      <c r="F2368" s="45" t="s">
        <v>721</v>
      </c>
      <c r="I2368" t="s">
        <v>838</v>
      </c>
    </row>
    <row r="2369" spans="1:9" hidden="1" x14ac:dyDescent="0.3">
      <c r="A2369" t="s">
        <v>761</v>
      </c>
      <c r="B2369" s="46">
        <v>45131</v>
      </c>
      <c r="C2369" s="45">
        <v>21000</v>
      </c>
      <c r="D2369" t="s">
        <v>837</v>
      </c>
      <c r="E2369" s="46">
        <v>45164</v>
      </c>
      <c r="F2369" s="45" t="s">
        <v>721</v>
      </c>
      <c r="I2369" t="s">
        <v>838</v>
      </c>
    </row>
    <row r="2370" spans="1:9" hidden="1" x14ac:dyDescent="0.3">
      <c r="A2370" t="s">
        <v>729</v>
      </c>
      <c r="B2370" s="46">
        <v>45180</v>
      </c>
      <c r="C2370" s="45">
        <v>21000</v>
      </c>
      <c r="D2370" t="s">
        <v>1154</v>
      </c>
      <c r="E2370" s="46">
        <v>45215</v>
      </c>
      <c r="F2370" s="45" t="s">
        <v>721</v>
      </c>
      <c r="I2370" t="s">
        <v>726</v>
      </c>
    </row>
    <row r="2371" spans="1:9" hidden="1" x14ac:dyDescent="0.3">
      <c r="A2371" t="s">
        <v>761</v>
      </c>
      <c r="B2371" s="46">
        <v>45155</v>
      </c>
      <c r="C2371" s="45">
        <v>21000</v>
      </c>
      <c r="D2371" t="s">
        <v>837</v>
      </c>
      <c r="E2371" s="46">
        <v>45195</v>
      </c>
      <c r="F2371" s="45" t="s">
        <v>721</v>
      </c>
      <c r="I2371" t="s">
        <v>838</v>
      </c>
    </row>
    <row r="2372" spans="1:9" hidden="1" x14ac:dyDescent="0.3">
      <c r="A2372" t="s">
        <v>729</v>
      </c>
      <c r="B2372" s="46">
        <v>45196</v>
      </c>
      <c r="C2372" s="45">
        <v>21000</v>
      </c>
      <c r="D2372" t="s">
        <v>1005</v>
      </c>
      <c r="E2372" s="46">
        <v>45245</v>
      </c>
      <c r="F2372" s="45" t="s">
        <v>721</v>
      </c>
      <c r="I2372" t="s">
        <v>726</v>
      </c>
    </row>
    <row r="2373" spans="1:9" hidden="1" x14ac:dyDescent="0.3">
      <c r="A2373" t="s">
        <v>777</v>
      </c>
      <c r="B2373" s="46">
        <v>45166</v>
      </c>
      <c r="C2373" s="45">
        <v>21000</v>
      </c>
      <c r="D2373" t="s">
        <v>1065</v>
      </c>
      <c r="E2373" s="46">
        <v>45215</v>
      </c>
      <c r="F2373" s="45" t="s">
        <v>721</v>
      </c>
      <c r="I2373" t="s">
        <v>838</v>
      </c>
    </row>
    <row r="2374" spans="1:9" hidden="1" x14ac:dyDescent="0.3">
      <c r="A2374" t="s">
        <v>727</v>
      </c>
      <c r="B2374" s="46">
        <v>45239</v>
      </c>
      <c r="C2374" s="45">
        <v>21000</v>
      </c>
      <c r="D2374" t="s">
        <v>735</v>
      </c>
      <c r="E2374" s="46">
        <v>45275</v>
      </c>
      <c r="F2374" s="45" t="s">
        <v>721</v>
      </c>
      <c r="I2374" t="s">
        <v>736</v>
      </c>
    </row>
    <row r="2375" spans="1:9" hidden="1" x14ac:dyDescent="0.3">
      <c r="A2375" t="s">
        <v>767</v>
      </c>
      <c r="B2375" s="46">
        <v>45238</v>
      </c>
      <c r="C2375" s="45">
        <v>21000</v>
      </c>
      <c r="D2375" t="s">
        <v>982</v>
      </c>
      <c r="E2375" s="46">
        <v>45275</v>
      </c>
      <c r="F2375" s="45" t="s">
        <v>721</v>
      </c>
      <c r="I2375" t="s">
        <v>726</v>
      </c>
    </row>
    <row r="2376" spans="1:9" hidden="1" x14ac:dyDescent="0.3">
      <c r="A2376" t="s">
        <v>729</v>
      </c>
      <c r="B2376" s="46">
        <v>45238</v>
      </c>
      <c r="C2376" s="45">
        <v>21000</v>
      </c>
      <c r="D2376" t="s">
        <v>982</v>
      </c>
      <c r="E2376" s="46">
        <v>45275</v>
      </c>
      <c r="F2376" s="45" t="s">
        <v>721</v>
      </c>
      <c r="I2376" t="s">
        <v>726</v>
      </c>
    </row>
    <row r="2377" spans="1:9" hidden="1" x14ac:dyDescent="0.3">
      <c r="A2377" t="s">
        <v>729</v>
      </c>
      <c r="B2377" s="46">
        <v>45223</v>
      </c>
      <c r="C2377" s="45">
        <v>21000</v>
      </c>
      <c r="D2377" t="s">
        <v>1154</v>
      </c>
      <c r="E2377" s="46">
        <v>45245</v>
      </c>
      <c r="F2377" s="45" t="s">
        <v>721</v>
      </c>
      <c r="I2377" t="s">
        <v>726</v>
      </c>
    </row>
    <row r="2378" spans="1:9" hidden="1" x14ac:dyDescent="0.3">
      <c r="A2378" t="s">
        <v>761</v>
      </c>
      <c r="B2378" s="46">
        <v>45222</v>
      </c>
      <c r="C2378" s="45">
        <v>21000</v>
      </c>
      <c r="D2378" t="s">
        <v>837</v>
      </c>
      <c r="E2378" s="46">
        <v>45256</v>
      </c>
      <c r="F2378" s="45" t="s">
        <v>721</v>
      </c>
      <c r="I2378" t="s">
        <v>838</v>
      </c>
    </row>
    <row r="2379" spans="1:9" hidden="1" x14ac:dyDescent="0.3">
      <c r="A2379" t="s">
        <v>821</v>
      </c>
      <c r="B2379" s="46">
        <v>45278</v>
      </c>
      <c r="C2379" s="45">
        <v>21000</v>
      </c>
      <c r="D2379" t="s">
        <v>1154</v>
      </c>
      <c r="E2379" s="46">
        <v>45306</v>
      </c>
      <c r="F2379" s="45" t="s">
        <v>721</v>
      </c>
      <c r="I2379" t="s">
        <v>726</v>
      </c>
    </row>
    <row r="2380" spans="1:9" hidden="1" x14ac:dyDescent="0.3">
      <c r="A2380" t="s">
        <v>761</v>
      </c>
      <c r="B2380" s="46">
        <v>45267</v>
      </c>
      <c r="C2380" s="45">
        <v>21000</v>
      </c>
      <c r="D2380" t="s">
        <v>837</v>
      </c>
      <c r="E2380" s="46">
        <v>45317</v>
      </c>
      <c r="F2380" s="45" t="s">
        <v>721</v>
      </c>
      <c r="I2380" t="s">
        <v>838</v>
      </c>
    </row>
    <row r="2381" spans="1:9" hidden="1" x14ac:dyDescent="0.3">
      <c r="A2381" t="s">
        <v>729</v>
      </c>
      <c r="B2381" s="46">
        <v>45288</v>
      </c>
      <c r="C2381" s="45">
        <v>21000</v>
      </c>
      <c r="D2381" t="s">
        <v>1245</v>
      </c>
      <c r="E2381" s="46">
        <v>45306</v>
      </c>
      <c r="F2381" s="45" t="s">
        <v>721</v>
      </c>
      <c r="I2381" t="s">
        <v>726</v>
      </c>
    </row>
    <row r="2382" spans="1:9" hidden="1" x14ac:dyDescent="0.3">
      <c r="A2382" t="s">
        <v>777</v>
      </c>
      <c r="B2382" s="46">
        <v>45233</v>
      </c>
      <c r="C2382" s="45">
        <v>21000</v>
      </c>
      <c r="D2382" t="s">
        <v>1065</v>
      </c>
      <c r="E2382" s="46">
        <v>45275</v>
      </c>
      <c r="F2382" s="45" t="s">
        <v>721</v>
      </c>
      <c r="I2382" t="s">
        <v>838</v>
      </c>
    </row>
    <row r="2383" spans="1:9" hidden="1" x14ac:dyDescent="0.3">
      <c r="A2383" t="s">
        <v>729</v>
      </c>
      <c r="B2383" s="46">
        <v>45310</v>
      </c>
      <c r="C2383" s="45">
        <v>21000</v>
      </c>
      <c r="D2383" t="s">
        <v>1154</v>
      </c>
      <c r="E2383" s="46">
        <v>45337</v>
      </c>
      <c r="F2383" s="45" t="s">
        <v>721</v>
      </c>
      <c r="I2383" t="s">
        <v>726</v>
      </c>
    </row>
    <row r="2384" spans="1:9" hidden="1" x14ac:dyDescent="0.3">
      <c r="A2384" t="s">
        <v>722</v>
      </c>
      <c r="B2384" s="46">
        <v>45303</v>
      </c>
      <c r="C2384" s="45">
        <v>21000</v>
      </c>
      <c r="D2384" t="s">
        <v>869</v>
      </c>
      <c r="E2384" s="46">
        <v>45337</v>
      </c>
      <c r="F2384" s="45" t="s">
        <v>721</v>
      </c>
      <c r="I2384" t="s">
        <v>726</v>
      </c>
    </row>
    <row r="2385" spans="1:9" hidden="1" x14ac:dyDescent="0.3">
      <c r="A2385" t="s">
        <v>722</v>
      </c>
      <c r="B2385" s="46">
        <v>45303</v>
      </c>
      <c r="C2385" s="45">
        <v>21000</v>
      </c>
      <c r="D2385" t="s">
        <v>869</v>
      </c>
      <c r="E2385" s="46">
        <v>45337</v>
      </c>
      <c r="F2385" s="45" t="s">
        <v>721</v>
      </c>
      <c r="I2385" t="s">
        <v>726</v>
      </c>
    </row>
    <row r="2386" spans="1:9" hidden="1" x14ac:dyDescent="0.3">
      <c r="A2386" t="s">
        <v>729</v>
      </c>
      <c r="B2386" s="46">
        <v>45296</v>
      </c>
      <c r="C2386" s="45">
        <v>21000</v>
      </c>
      <c r="D2386" t="s">
        <v>1154</v>
      </c>
      <c r="E2386" s="46">
        <v>45337</v>
      </c>
      <c r="F2386" s="45" t="s">
        <v>721</v>
      </c>
      <c r="I2386" t="s">
        <v>726</v>
      </c>
    </row>
    <row r="2387" spans="1:9" hidden="1" x14ac:dyDescent="0.3">
      <c r="A2387" t="s">
        <v>729</v>
      </c>
      <c r="B2387" s="46">
        <v>45293</v>
      </c>
      <c r="C2387" s="45">
        <v>21000</v>
      </c>
      <c r="D2387" t="s">
        <v>1154</v>
      </c>
      <c r="E2387" s="46">
        <v>45337</v>
      </c>
      <c r="F2387" s="45" t="s">
        <v>721</v>
      </c>
      <c r="I2387" t="s">
        <v>726</v>
      </c>
    </row>
    <row r="2388" spans="1:9" hidden="1" x14ac:dyDescent="0.3">
      <c r="A2388" t="s">
        <v>767</v>
      </c>
      <c r="B2388" s="46">
        <v>45397</v>
      </c>
      <c r="C2388" s="45">
        <v>21000</v>
      </c>
      <c r="D2388" t="s">
        <v>1008</v>
      </c>
      <c r="E2388" s="46">
        <v>45428</v>
      </c>
      <c r="F2388" s="45" t="s">
        <v>721</v>
      </c>
      <c r="I2388" t="s">
        <v>726</v>
      </c>
    </row>
    <row r="2389" spans="1:9" hidden="1" x14ac:dyDescent="0.3">
      <c r="A2389" t="s">
        <v>772</v>
      </c>
      <c r="B2389" s="46">
        <v>45218</v>
      </c>
      <c r="C2389" s="45">
        <v>20970</v>
      </c>
      <c r="D2389" t="s">
        <v>755</v>
      </c>
      <c r="E2389" s="46">
        <v>45256</v>
      </c>
      <c r="F2389" s="45" t="s">
        <v>721</v>
      </c>
      <c r="I2389" t="s">
        <v>726</v>
      </c>
    </row>
    <row r="2390" spans="1:9" hidden="1" x14ac:dyDescent="0.3">
      <c r="A2390" t="s">
        <v>724</v>
      </c>
      <c r="B2390" s="46">
        <v>45218</v>
      </c>
      <c r="C2390" s="45">
        <v>20900</v>
      </c>
      <c r="D2390" t="s">
        <v>1246</v>
      </c>
      <c r="E2390" s="46">
        <v>45256</v>
      </c>
      <c r="F2390" s="45" t="s">
        <v>721</v>
      </c>
      <c r="I2390" t="s">
        <v>726</v>
      </c>
    </row>
    <row r="2391" spans="1:9" hidden="1" x14ac:dyDescent="0.3">
      <c r="A2391" t="s">
        <v>1338</v>
      </c>
      <c r="B2391" s="46">
        <v>45407</v>
      </c>
      <c r="C2391" s="45">
        <v>20900</v>
      </c>
      <c r="D2391" t="s">
        <v>2119</v>
      </c>
      <c r="E2391" s="46">
        <v>45438</v>
      </c>
      <c r="F2391" s="45" t="s">
        <v>721</v>
      </c>
      <c r="I2391" t="s">
        <v>1162</v>
      </c>
    </row>
    <row r="2392" spans="1:9" hidden="1" x14ac:dyDescent="0.3">
      <c r="A2392" t="s">
        <v>724</v>
      </c>
      <c r="B2392" s="46">
        <v>45401</v>
      </c>
      <c r="C2392" s="45">
        <v>20900</v>
      </c>
      <c r="D2392" t="s">
        <v>1010</v>
      </c>
      <c r="E2392" s="46">
        <v>45438</v>
      </c>
      <c r="F2392" s="45" t="s">
        <v>721</v>
      </c>
      <c r="I2392" t="s">
        <v>726</v>
      </c>
    </row>
    <row r="2393" spans="1:9" hidden="1" x14ac:dyDescent="0.3">
      <c r="A2393" t="s">
        <v>734</v>
      </c>
      <c r="B2393" s="46">
        <v>45201</v>
      </c>
      <c r="C2393" s="45">
        <v>20893</v>
      </c>
      <c r="D2393" t="s">
        <v>799</v>
      </c>
      <c r="E2393" s="46">
        <v>45245</v>
      </c>
      <c r="F2393" s="45" t="s">
        <v>721</v>
      </c>
      <c r="I2393" t="s">
        <v>826</v>
      </c>
    </row>
    <row r="2394" spans="1:9" hidden="1" x14ac:dyDescent="0.3">
      <c r="A2394" t="s">
        <v>775</v>
      </c>
      <c r="B2394" s="46">
        <v>45327</v>
      </c>
      <c r="C2394" s="45">
        <v>20860</v>
      </c>
      <c r="D2394" t="s">
        <v>1247</v>
      </c>
      <c r="E2394" s="46">
        <v>45369</v>
      </c>
      <c r="F2394" s="45" t="s">
        <v>721</v>
      </c>
      <c r="G2394">
        <v>0</v>
      </c>
      <c r="I2394" t="s">
        <v>726</v>
      </c>
    </row>
    <row r="2395" spans="1:9" hidden="1" x14ac:dyDescent="0.3">
      <c r="A2395" t="s">
        <v>1338</v>
      </c>
      <c r="B2395" s="46">
        <v>45400</v>
      </c>
      <c r="C2395" s="45">
        <v>20700</v>
      </c>
      <c r="D2395" t="s">
        <v>1274</v>
      </c>
      <c r="E2395" s="46">
        <v>45438</v>
      </c>
      <c r="F2395" s="45" t="s">
        <v>721</v>
      </c>
      <c r="I2395" t="s">
        <v>1162</v>
      </c>
    </row>
    <row r="2396" spans="1:9" hidden="1" x14ac:dyDescent="0.3">
      <c r="A2396" t="s">
        <v>722</v>
      </c>
      <c r="B2396" s="46">
        <v>45209</v>
      </c>
      <c r="C2396" s="45">
        <v>20700</v>
      </c>
      <c r="D2396" t="s">
        <v>1074</v>
      </c>
      <c r="E2396" s="46">
        <v>45245</v>
      </c>
      <c r="F2396" s="45" t="s">
        <v>721</v>
      </c>
      <c r="I2396" t="s">
        <v>801</v>
      </c>
    </row>
    <row r="2397" spans="1:9" hidden="1" x14ac:dyDescent="0.3">
      <c r="A2397" t="s">
        <v>767</v>
      </c>
      <c r="B2397" s="46">
        <v>45194</v>
      </c>
      <c r="C2397" s="45">
        <v>20600</v>
      </c>
      <c r="D2397" t="s">
        <v>1005</v>
      </c>
      <c r="E2397" s="46">
        <v>45215</v>
      </c>
      <c r="F2397" s="45" t="s">
        <v>721</v>
      </c>
      <c r="I2397" t="s">
        <v>726</v>
      </c>
    </row>
    <row r="2398" spans="1:9" hidden="1" x14ac:dyDescent="0.3">
      <c r="A2398" t="s">
        <v>727</v>
      </c>
      <c r="B2398" s="46">
        <v>45170</v>
      </c>
      <c r="C2398" s="45">
        <v>20600</v>
      </c>
      <c r="D2398" t="s">
        <v>991</v>
      </c>
      <c r="E2398" s="46">
        <v>45215</v>
      </c>
      <c r="F2398" s="45" t="s">
        <v>721</v>
      </c>
      <c r="I2398" t="s">
        <v>726</v>
      </c>
    </row>
    <row r="2399" spans="1:9" hidden="1" x14ac:dyDescent="0.3">
      <c r="A2399" t="s">
        <v>727</v>
      </c>
      <c r="B2399" s="46">
        <v>45421</v>
      </c>
      <c r="C2399" s="45">
        <v>20600</v>
      </c>
      <c r="D2399" t="s">
        <v>1089</v>
      </c>
      <c r="E2399" s="46">
        <v>45458</v>
      </c>
      <c r="F2399" s="45" t="s">
        <v>721</v>
      </c>
      <c r="I2399" t="s">
        <v>726</v>
      </c>
    </row>
    <row r="2400" spans="1:9" hidden="1" x14ac:dyDescent="0.3">
      <c r="A2400" t="s">
        <v>734</v>
      </c>
      <c r="B2400" s="46">
        <v>45140</v>
      </c>
      <c r="C2400" s="45">
        <v>20568</v>
      </c>
      <c r="D2400" t="s">
        <v>799</v>
      </c>
      <c r="E2400" s="46">
        <v>45184</v>
      </c>
      <c r="F2400" s="45" t="s">
        <v>721</v>
      </c>
      <c r="I2400" t="s">
        <v>826</v>
      </c>
    </row>
    <row r="2401" spans="1:9" hidden="1" x14ac:dyDescent="0.3">
      <c r="A2401" t="s">
        <v>729</v>
      </c>
      <c r="B2401" s="46">
        <v>45141</v>
      </c>
      <c r="C2401" s="45">
        <v>20500</v>
      </c>
      <c r="D2401" t="s">
        <v>1248</v>
      </c>
      <c r="E2401" s="46">
        <v>45184</v>
      </c>
      <c r="F2401" s="45" t="s">
        <v>721</v>
      </c>
      <c r="I2401" t="s">
        <v>726</v>
      </c>
    </row>
    <row r="2402" spans="1:9" hidden="1" x14ac:dyDescent="0.3">
      <c r="A2402" t="s">
        <v>1160</v>
      </c>
      <c r="B2402" s="46">
        <v>45401</v>
      </c>
      <c r="C2402" s="45">
        <v>20500</v>
      </c>
      <c r="D2402" t="s">
        <v>1161</v>
      </c>
      <c r="E2402" s="46">
        <v>45438</v>
      </c>
      <c r="F2402" s="45" t="s">
        <v>721</v>
      </c>
      <c r="I2402" t="s">
        <v>1162</v>
      </c>
    </row>
    <row r="2403" spans="1:9" hidden="1" x14ac:dyDescent="0.3">
      <c r="A2403" t="s">
        <v>727</v>
      </c>
      <c r="B2403" s="46">
        <v>45323</v>
      </c>
      <c r="C2403" s="45">
        <v>20500</v>
      </c>
      <c r="D2403" t="s">
        <v>1100</v>
      </c>
      <c r="E2403" s="46">
        <v>45366</v>
      </c>
      <c r="F2403" s="45" t="s">
        <v>721</v>
      </c>
      <c r="I2403" t="s">
        <v>726</v>
      </c>
    </row>
    <row r="2404" spans="1:9" hidden="1" x14ac:dyDescent="0.3">
      <c r="A2404" t="s">
        <v>772</v>
      </c>
      <c r="B2404" s="46">
        <v>45141</v>
      </c>
      <c r="C2404" s="45">
        <v>20400</v>
      </c>
      <c r="D2404" t="s">
        <v>1136</v>
      </c>
      <c r="E2404" s="46">
        <v>45164</v>
      </c>
      <c r="F2404" s="45" t="s">
        <v>721</v>
      </c>
      <c r="I2404" t="s">
        <v>726</v>
      </c>
    </row>
    <row r="2405" spans="1:9" hidden="1" x14ac:dyDescent="0.3">
      <c r="A2405" t="s">
        <v>727</v>
      </c>
      <c r="B2405" s="46">
        <v>45176</v>
      </c>
      <c r="C2405" s="45">
        <v>20300</v>
      </c>
      <c r="D2405" t="s">
        <v>1249</v>
      </c>
      <c r="E2405" s="46">
        <v>45215</v>
      </c>
      <c r="F2405" s="45" t="s">
        <v>721</v>
      </c>
      <c r="I2405" t="s">
        <v>726</v>
      </c>
    </row>
    <row r="2406" spans="1:9" hidden="1" x14ac:dyDescent="0.3">
      <c r="A2406" t="s">
        <v>724</v>
      </c>
      <c r="B2406" s="46">
        <v>45194</v>
      </c>
      <c r="C2406" s="45">
        <v>20250</v>
      </c>
      <c r="D2406" t="s">
        <v>755</v>
      </c>
      <c r="E2406" s="46">
        <v>45225</v>
      </c>
      <c r="F2406" s="45" t="s">
        <v>721</v>
      </c>
      <c r="I2406" t="s">
        <v>726</v>
      </c>
    </row>
    <row r="2407" spans="1:9" hidden="1" x14ac:dyDescent="0.3">
      <c r="A2407" t="s">
        <v>724</v>
      </c>
      <c r="B2407" s="46">
        <v>45205</v>
      </c>
      <c r="C2407" s="45">
        <v>20250</v>
      </c>
      <c r="D2407" t="s">
        <v>755</v>
      </c>
      <c r="E2407" s="46">
        <v>45256</v>
      </c>
      <c r="F2407" s="45" t="s">
        <v>721</v>
      </c>
      <c r="I2407" t="s">
        <v>726</v>
      </c>
    </row>
    <row r="2408" spans="1:9" hidden="1" x14ac:dyDescent="0.3">
      <c r="A2408" t="s">
        <v>734</v>
      </c>
      <c r="B2408" s="46">
        <v>45238</v>
      </c>
      <c r="C2408" s="45">
        <v>20200</v>
      </c>
      <c r="D2408" t="s">
        <v>893</v>
      </c>
      <c r="E2408" s="46">
        <v>45275</v>
      </c>
      <c r="F2408" s="45" t="s">
        <v>721</v>
      </c>
      <c r="I2408" t="s">
        <v>726</v>
      </c>
    </row>
    <row r="2409" spans="1:9" hidden="1" x14ac:dyDescent="0.3">
      <c r="A2409" t="s">
        <v>775</v>
      </c>
      <c r="B2409" s="46">
        <v>45302</v>
      </c>
      <c r="C2409" s="45">
        <v>20200</v>
      </c>
      <c r="D2409" t="s">
        <v>884</v>
      </c>
      <c r="E2409" s="46">
        <v>45338</v>
      </c>
      <c r="F2409" s="45" t="s">
        <v>721</v>
      </c>
      <c r="I2409" t="s">
        <v>726</v>
      </c>
    </row>
    <row r="2410" spans="1:9" hidden="1" x14ac:dyDescent="0.3">
      <c r="A2410" t="s">
        <v>724</v>
      </c>
      <c r="B2410" s="46">
        <v>45428</v>
      </c>
      <c r="C2410" s="45">
        <v>20100</v>
      </c>
      <c r="D2410" t="s">
        <v>1057</v>
      </c>
      <c r="E2410" s="46">
        <v>45469</v>
      </c>
      <c r="F2410" s="45" t="s">
        <v>721</v>
      </c>
      <c r="I2410" t="s">
        <v>726</v>
      </c>
    </row>
    <row r="2411" spans="1:9" hidden="1" x14ac:dyDescent="0.3">
      <c r="A2411" t="s">
        <v>767</v>
      </c>
      <c r="B2411" s="46">
        <v>45420</v>
      </c>
      <c r="C2411" s="45">
        <v>20000</v>
      </c>
      <c r="D2411" t="s">
        <v>1095</v>
      </c>
      <c r="E2411" s="46">
        <v>45458</v>
      </c>
      <c r="F2411" s="45" t="s">
        <v>721</v>
      </c>
      <c r="I2411" t="s">
        <v>726</v>
      </c>
    </row>
    <row r="2412" spans="1:9" hidden="1" x14ac:dyDescent="0.3">
      <c r="A2412" t="s">
        <v>727</v>
      </c>
      <c r="B2412" s="46">
        <v>45401</v>
      </c>
      <c r="C2412" s="45">
        <v>20000</v>
      </c>
      <c r="D2412" t="s">
        <v>2120</v>
      </c>
      <c r="E2412" s="46">
        <v>45428</v>
      </c>
      <c r="F2412" s="45" t="s">
        <v>721</v>
      </c>
      <c r="I2412" t="s">
        <v>2027</v>
      </c>
    </row>
    <row r="2413" spans="1:9" hidden="1" x14ac:dyDescent="0.3">
      <c r="A2413" t="s">
        <v>729</v>
      </c>
      <c r="B2413" s="46">
        <v>45307</v>
      </c>
      <c r="C2413" s="45">
        <v>20000</v>
      </c>
      <c r="D2413" t="s">
        <v>893</v>
      </c>
      <c r="E2413" s="46">
        <v>45337</v>
      </c>
      <c r="F2413" s="45" t="s">
        <v>721</v>
      </c>
      <c r="I2413" t="s">
        <v>726</v>
      </c>
    </row>
    <row r="2414" spans="1:9" hidden="1" x14ac:dyDescent="0.3">
      <c r="A2414" t="s">
        <v>729</v>
      </c>
      <c r="B2414" s="46">
        <v>45317</v>
      </c>
      <c r="C2414" s="45">
        <v>20000</v>
      </c>
      <c r="D2414" t="s">
        <v>790</v>
      </c>
      <c r="E2414" s="46">
        <v>45337</v>
      </c>
      <c r="F2414" s="45" t="s">
        <v>721</v>
      </c>
      <c r="I2414" t="s">
        <v>756</v>
      </c>
    </row>
    <row r="2415" spans="1:9" hidden="1" x14ac:dyDescent="0.3">
      <c r="A2415" t="s">
        <v>729</v>
      </c>
      <c r="B2415" s="46">
        <v>45323</v>
      </c>
      <c r="C2415" s="45">
        <v>20000</v>
      </c>
      <c r="D2415" t="s">
        <v>790</v>
      </c>
      <c r="E2415" s="46">
        <v>45366</v>
      </c>
      <c r="F2415" s="45" t="s">
        <v>721</v>
      </c>
      <c r="I2415" t="s">
        <v>756</v>
      </c>
    </row>
    <row r="2416" spans="1:9" hidden="1" x14ac:dyDescent="0.3">
      <c r="A2416" t="s">
        <v>772</v>
      </c>
      <c r="B2416" s="46">
        <v>45316</v>
      </c>
      <c r="C2416" s="45">
        <v>20000</v>
      </c>
      <c r="D2416" t="s">
        <v>1251</v>
      </c>
      <c r="E2416" s="46">
        <v>45348</v>
      </c>
      <c r="F2416" s="45" t="s">
        <v>721</v>
      </c>
      <c r="I2416" t="s">
        <v>726</v>
      </c>
    </row>
    <row r="2417" spans="1:9" hidden="1" x14ac:dyDescent="0.3">
      <c r="A2417" t="s">
        <v>724</v>
      </c>
      <c r="B2417" s="46">
        <v>45348</v>
      </c>
      <c r="C2417" s="45">
        <v>20000</v>
      </c>
      <c r="D2417" t="s">
        <v>1137</v>
      </c>
      <c r="E2417" s="46">
        <v>45377</v>
      </c>
      <c r="F2417" s="45" t="s">
        <v>721</v>
      </c>
      <c r="I2417" t="s">
        <v>726</v>
      </c>
    </row>
    <row r="2418" spans="1:9" hidden="1" x14ac:dyDescent="0.3">
      <c r="A2418" t="s">
        <v>724</v>
      </c>
      <c r="B2418" s="46">
        <v>45379</v>
      </c>
      <c r="C2418" s="45">
        <v>20000</v>
      </c>
      <c r="D2418" t="s">
        <v>1102</v>
      </c>
      <c r="E2418" s="46">
        <v>45408</v>
      </c>
      <c r="F2418" s="45" t="s">
        <v>721</v>
      </c>
      <c r="I2418" t="s">
        <v>726</v>
      </c>
    </row>
    <row r="2419" spans="1:9" hidden="1" x14ac:dyDescent="0.3">
      <c r="A2419" t="s">
        <v>748</v>
      </c>
      <c r="B2419" s="46">
        <v>45358</v>
      </c>
      <c r="C2419" s="45">
        <v>20000</v>
      </c>
      <c r="D2419" t="s">
        <v>934</v>
      </c>
      <c r="E2419" s="46">
        <v>45397</v>
      </c>
      <c r="F2419" s="45" t="s">
        <v>721</v>
      </c>
      <c r="I2419" t="s">
        <v>726</v>
      </c>
    </row>
    <row r="2420" spans="1:9" hidden="1" x14ac:dyDescent="0.3">
      <c r="A2420" t="s">
        <v>748</v>
      </c>
      <c r="B2420" s="46">
        <v>45351</v>
      </c>
      <c r="C2420" s="45">
        <v>20000</v>
      </c>
      <c r="D2420" t="s">
        <v>934</v>
      </c>
      <c r="E2420" s="46">
        <v>45397</v>
      </c>
      <c r="F2420" s="45" t="s">
        <v>721</v>
      </c>
      <c r="I2420" t="s">
        <v>726</v>
      </c>
    </row>
    <row r="2421" spans="1:9" hidden="1" x14ac:dyDescent="0.3">
      <c r="A2421" t="s">
        <v>777</v>
      </c>
      <c r="B2421" s="46">
        <v>45390</v>
      </c>
      <c r="C2421" s="45">
        <v>20000</v>
      </c>
      <c r="D2421" t="s">
        <v>1065</v>
      </c>
      <c r="E2421" s="46">
        <v>45428</v>
      </c>
      <c r="F2421" s="45" t="s">
        <v>721</v>
      </c>
      <c r="I2421" t="s">
        <v>838</v>
      </c>
    </row>
    <row r="2422" spans="1:9" hidden="1" x14ac:dyDescent="0.3">
      <c r="A2422" t="s">
        <v>722</v>
      </c>
      <c r="B2422" s="46">
        <v>45379</v>
      </c>
      <c r="C2422" s="45">
        <v>20000</v>
      </c>
      <c r="D2422" t="s">
        <v>1084</v>
      </c>
      <c r="E2422" s="46">
        <v>45397</v>
      </c>
      <c r="F2422" s="45" t="s">
        <v>721</v>
      </c>
      <c r="I2422" t="s">
        <v>756</v>
      </c>
    </row>
    <row r="2423" spans="1:9" hidden="1" x14ac:dyDescent="0.3">
      <c r="A2423" t="s">
        <v>734</v>
      </c>
      <c r="B2423" s="46">
        <v>45240</v>
      </c>
      <c r="C2423" s="45">
        <v>20000</v>
      </c>
      <c r="D2423" t="s">
        <v>928</v>
      </c>
      <c r="E2423" s="46">
        <v>45275</v>
      </c>
      <c r="F2423" s="45" t="s">
        <v>721</v>
      </c>
      <c r="I2423" t="s">
        <v>726</v>
      </c>
    </row>
    <row r="2424" spans="1:9" hidden="1" x14ac:dyDescent="0.3">
      <c r="A2424" t="s">
        <v>821</v>
      </c>
      <c r="B2424" s="46">
        <v>45243</v>
      </c>
      <c r="C2424" s="45">
        <v>20000</v>
      </c>
      <c r="D2424" t="s">
        <v>1095</v>
      </c>
      <c r="E2424" s="46">
        <v>45275</v>
      </c>
      <c r="F2424" s="45" t="s">
        <v>721</v>
      </c>
      <c r="I2424" t="s">
        <v>726</v>
      </c>
    </row>
    <row r="2425" spans="1:9" hidden="1" x14ac:dyDescent="0.3">
      <c r="A2425" t="s">
        <v>767</v>
      </c>
      <c r="B2425" s="46">
        <v>45236</v>
      </c>
      <c r="C2425" s="45">
        <v>20000</v>
      </c>
      <c r="D2425" t="s">
        <v>1005</v>
      </c>
      <c r="E2425" s="46">
        <v>45275</v>
      </c>
      <c r="F2425" s="45" t="s">
        <v>721</v>
      </c>
      <c r="I2425" t="s">
        <v>726</v>
      </c>
    </row>
    <row r="2426" spans="1:9" hidden="1" x14ac:dyDescent="0.3">
      <c r="A2426" t="s">
        <v>727</v>
      </c>
      <c r="B2426" s="46">
        <v>45245</v>
      </c>
      <c r="C2426" s="45">
        <v>20000</v>
      </c>
      <c r="D2426" t="s">
        <v>938</v>
      </c>
      <c r="E2426" s="46">
        <v>45275</v>
      </c>
      <c r="F2426" s="45" t="s">
        <v>721</v>
      </c>
      <c r="I2426" t="s">
        <v>726</v>
      </c>
    </row>
    <row r="2427" spans="1:9" hidden="1" x14ac:dyDescent="0.3">
      <c r="A2427" t="s">
        <v>729</v>
      </c>
      <c r="B2427" s="46">
        <v>45254</v>
      </c>
      <c r="C2427" s="45">
        <v>20000</v>
      </c>
      <c r="D2427" t="s">
        <v>893</v>
      </c>
      <c r="E2427" s="46">
        <v>45275</v>
      </c>
      <c r="F2427" s="45" t="s">
        <v>721</v>
      </c>
      <c r="I2427" t="s">
        <v>726</v>
      </c>
    </row>
    <row r="2428" spans="1:9" hidden="1" x14ac:dyDescent="0.3">
      <c r="A2428" t="s">
        <v>748</v>
      </c>
      <c r="B2428" s="46">
        <v>45259</v>
      </c>
      <c r="C2428" s="45">
        <v>20000</v>
      </c>
      <c r="D2428" t="s">
        <v>1252</v>
      </c>
      <c r="E2428" s="46">
        <v>45275</v>
      </c>
      <c r="F2428" s="45" t="s">
        <v>721</v>
      </c>
      <c r="I2428" t="s">
        <v>762</v>
      </c>
    </row>
    <row r="2429" spans="1:9" hidden="1" x14ac:dyDescent="0.3">
      <c r="A2429" t="s">
        <v>779</v>
      </c>
      <c r="B2429" s="46">
        <v>45202</v>
      </c>
      <c r="C2429" s="45">
        <v>20000</v>
      </c>
      <c r="D2429" t="s">
        <v>1254</v>
      </c>
      <c r="E2429" s="46">
        <v>45246</v>
      </c>
      <c r="F2429" s="45" t="s">
        <v>721</v>
      </c>
    </row>
    <row r="2430" spans="1:9" hidden="1" x14ac:dyDescent="0.3">
      <c r="A2430" t="s">
        <v>821</v>
      </c>
      <c r="B2430" s="46">
        <v>45209</v>
      </c>
      <c r="C2430" s="45">
        <v>20000</v>
      </c>
      <c r="D2430" t="s">
        <v>1095</v>
      </c>
      <c r="E2430" s="46">
        <v>45245</v>
      </c>
      <c r="F2430" s="45" t="s">
        <v>721</v>
      </c>
      <c r="I2430" t="s">
        <v>726</v>
      </c>
    </row>
    <row r="2431" spans="1:9" hidden="1" x14ac:dyDescent="0.3">
      <c r="A2431" t="s">
        <v>761</v>
      </c>
      <c r="B2431" s="46">
        <v>45217</v>
      </c>
      <c r="C2431" s="45">
        <v>20000</v>
      </c>
      <c r="D2431" t="s">
        <v>837</v>
      </c>
      <c r="E2431" s="46">
        <v>45256</v>
      </c>
      <c r="F2431" s="45" t="s">
        <v>721</v>
      </c>
      <c r="I2431" t="s">
        <v>838</v>
      </c>
    </row>
    <row r="2432" spans="1:9" hidden="1" x14ac:dyDescent="0.3">
      <c r="A2432" t="s">
        <v>794</v>
      </c>
      <c r="B2432" s="46">
        <v>45225</v>
      </c>
      <c r="C2432" s="45">
        <v>20000</v>
      </c>
      <c r="D2432" t="s">
        <v>1253</v>
      </c>
      <c r="E2432" s="46">
        <v>45246</v>
      </c>
      <c r="F2432" s="45" t="s">
        <v>721</v>
      </c>
      <c r="I2432" t="s">
        <v>818</v>
      </c>
    </row>
    <row r="2433" spans="1:9" hidden="1" x14ac:dyDescent="0.3">
      <c r="A2433" t="s">
        <v>729</v>
      </c>
      <c r="B2433" s="46">
        <v>45272</v>
      </c>
      <c r="C2433" s="45">
        <v>20000</v>
      </c>
      <c r="D2433" t="s">
        <v>928</v>
      </c>
      <c r="E2433" s="46">
        <v>45306</v>
      </c>
      <c r="F2433" s="45" t="s">
        <v>721</v>
      </c>
      <c r="I2433" t="s">
        <v>726</v>
      </c>
    </row>
    <row r="2434" spans="1:9" hidden="1" x14ac:dyDescent="0.3">
      <c r="A2434" t="s">
        <v>729</v>
      </c>
      <c r="B2434" s="46">
        <v>45279</v>
      </c>
      <c r="C2434" s="45">
        <v>20000</v>
      </c>
      <c r="D2434" t="s">
        <v>893</v>
      </c>
      <c r="E2434" s="46">
        <v>45306</v>
      </c>
      <c r="F2434" s="45" t="s">
        <v>721</v>
      </c>
      <c r="I2434" t="s">
        <v>726</v>
      </c>
    </row>
    <row r="2435" spans="1:9" hidden="1" x14ac:dyDescent="0.3">
      <c r="A2435" t="s">
        <v>729</v>
      </c>
      <c r="B2435" s="46">
        <v>45264</v>
      </c>
      <c r="C2435" s="45">
        <v>20000</v>
      </c>
      <c r="D2435" t="s">
        <v>1158</v>
      </c>
      <c r="E2435" s="46">
        <v>45306</v>
      </c>
      <c r="F2435" s="45" t="s">
        <v>721</v>
      </c>
      <c r="I2435" t="s">
        <v>726</v>
      </c>
    </row>
    <row r="2436" spans="1:9" hidden="1" x14ac:dyDescent="0.3">
      <c r="A2436" t="s">
        <v>794</v>
      </c>
      <c r="B2436" s="46">
        <v>45290</v>
      </c>
      <c r="C2436" s="45">
        <v>20000</v>
      </c>
      <c r="D2436" t="s">
        <v>1250</v>
      </c>
      <c r="E2436" s="46">
        <v>45307</v>
      </c>
      <c r="F2436" s="45" t="s">
        <v>721</v>
      </c>
      <c r="I2436" t="s">
        <v>726</v>
      </c>
    </row>
    <row r="2437" spans="1:9" hidden="1" x14ac:dyDescent="0.3">
      <c r="A2437" t="s">
        <v>821</v>
      </c>
      <c r="B2437" s="46">
        <v>45286</v>
      </c>
      <c r="C2437" s="45">
        <v>20000</v>
      </c>
      <c r="D2437" t="s">
        <v>1095</v>
      </c>
      <c r="E2437" s="46">
        <v>45306</v>
      </c>
      <c r="F2437" s="45" t="s">
        <v>721</v>
      </c>
      <c r="I2437" t="s">
        <v>726</v>
      </c>
    </row>
    <row r="2438" spans="1:9" hidden="1" x14ac:dyDescent="0.3">
      <c r="A2438" t="s">
        <v>767</v>
      </c>
      <c r="B2438" s="46">
        <v>45271</v>
      </c>
      <c r="C2438" s="45">
        <v>20000</v>
      </c>
      <c r="D2438" t="s">
        <v>1005</v>
      </c>
      <c r="E2438" s="46">
        <v>45306</v>
      </c>
      <c r="F2438" s="45" t="s">
        <v>721</v>
      </c>
      <c r="I2438" t="s">
        <v>726</v>
      </c>
    </row>
    <row r="2439" spans="1:9" hidden="1" x14ac:dyDescent="0.3">
      <c r="A2439" t="s">
        <v>722</v>
      </c>
      <c r="B2439" s="46">
        <v>45177</v>
      </c>
      <c r="C2439" s="45">
        <v>20000</v>
      </c>
      <c r="D2439" t="s">
        <v>992</v>
      </c>
      <c r="E2439" s="46">
        <v>45215</v>
      </c>
      <c r="F2439" s="45" t="s">
        <v>721</v>
      </c>
      <c r="I2439" t="s">
        <v>818</v>
      </c>
    </row>
    <row r="2440" spans="1:9" hidden="1" x14ac:dyDescent="0.3">
      <c r="A2440" t="s">
        <v>821</v>
      </c>
      <c r="B2440" s="46">
        <v>45195</v>
      </c>
      <c r="C2440" s="45">
        <v>20000</v>
      </c>
      <c r="D2440" t="s">
        <v>1255</v>
      </c>
      <c r="E2440" s="46">
        <v>45215</v>
      </c>
      <c r="F2440" s="45" t="s">
        <v>721</v>
      </c>
      <c r="I2440" t="s">
        <v>726</v>
      </c>
    </row>
    <row r="2441" spans="1:9" hidden="1" x14ac:dyDescent="0.3">
      <c r="A2441" t="s">
        <v>729</v>
      </c>
      <c r="B2441" s="46">
        <v>45195</v>
      </c>
      <c r="C2441" s="45">
        <v>20000</v>
      </c>
      <c r="D2441" t="s">
        <v>1118</v>
      </c>
      <c r="E2441" s="46">
        <v>45215</v>
      </c>
      <c r="F2441" s="45" t="s">
        <v>721</v>
      </c>
      <c r="I2441" t="s">
        <v>726</v>
      </c>
    </row>
    <row r="2442" spans="1:9" hidden="1" x14ac:dyDescent="0.3">
      <c r="A2442" t="s">
        <v>724</v>
      </c>
      <c r="B2442" s="46">
        <v>45126</v>
      </c>
      <c r="C2442" s="45">
        <v>20000</v>
      </c>
      <c r="D2442" t="s">
        <v>882</v>
      </c>
      <c r="E2442" s="46">
        <v>45164</v>
      </c>
      <c r="F2442" s="45" t="s">
        <v>721</v>
      </c>
      <c r="I2442" t="s">
        <v>726</v>
      </c>
    </row>
    <row r="2443" spans="1:9" hidden="1" x14ac:dyDescent="0.3">
      <c r="A2443" t="s">
        <v>779</v>
      </c>
      <c r="B2443" s="46">
        <v>45124</v>
      </c>
      <c r="C2443" s="45">
        <v>20000</v>
      </c>
      <c r="D2443" t="s">
        <v>1256</v>
      </c>
      <c r="E2443" s="46">
        <v>45154</v>
      </c>
      <c r="F2443" s="45" t="s">
        <v>721</v>
      </c>
      <c r="I2443" t="s">
        <v>1148</v>
      </c>
    </row>
    <row r="2444" spans="1:9" hidden="1" x14ac:dyDescent="0.3">
      <c r="A2444" t="s">
        <v>779</v>
      </c>
      <c r="B2444" s="46">
        <v>45125</v>
      </c>
      <c r="C2444" s="45">
        <v>20000</v>
      </c>
      <c r="D2444" t="s">
        <v>1256</v>
      </c>
      <c r="E2444" s="46">
        <v>45154</v>
      </c>
      <c r="F2444" s="45" t="s">
        <v>721</v>
      </c>
      <c r="I2444" t="s">
        <v>1148</v>
      </c>
    </row>
    <row r="2445" spans="1:9" hidden="1" x14ac:dyDescent="0.3">
      <c r="A2445" t="s">
        <v>779</v>
      </c>
      <c r="B2445" s="46">
        <v>45126</v>
      </c>
      <c r="C2445" s="45">
        <v>20000</v>
      </c>
      <c r="D2445" t="s">
        <v>1256</v>
      </c>
      <c r="E2445" s="46">
        <v>45154</v>
      </c>
      <c r="F2445" s="45" t="s">
        <v>721</v>
      </c>
      <c r="I2445" t="s">
        <v>1148</v>
      </c>
    </row>
    <row r="2446" spans="1:9" hidden="1" x14ac:dyDescent="0.3">
      <c r="A2446" t="s">
        <v>779</v>
      </c>
      <c r="B2446" s="46">
        <v>45127</v>
      </c>
      <c r="C2446" s="45">
        <v>20000</v>
      </c>
      <c r="D2446" t="s">
        <v>1256</v>
      </c>
      <c r="E2446" s="46">
        <v>45154</v>
      </c>
      <c r="F2446" s="45" t="s">
        <v>721</v>
      </c>
      <c r="I2446" t="s">
        <v>1148</v>
      </c>
    </row>
    <row r="2447" spans="1:9" hidden="1" x14ac:dyDescent="0.3">
      <c r="A2447" t="s">
        <v>779</v>
      </c>
      <c r="B2447" s="46">
        <v>45128</v>
      </c>
      <c r="C2447" s="45">
        <v>20000</v>
      </c>
      <c r="D2447" t="s">
        <v>1256</v>
      </c>
      <c r="E2447" s="46">
        <v>45154</v>
      </c>
      <c r="F2447" s="45" t="s">
        <v>721</v>
      </c>
      <c r="I2447" t="s">
        <v>1148</v>
      </c>
    </row>
    <row r="2448" spans="1:9" hidden="1" x14ac:dyDescent="0.3">
      <c r="A2448" t="s">
        <v>821</v>
      </c>
      <c r="B2448" s="46">
        <v>45138</v>
      </c>
      <c r="C2448" s="45">
        <v>20000</v>
      </c>
      <c r="D2448" t="s">
        <v>991</v>
      </c>
      <c r="E2448" s="46">
        <v>45154</v>
      </c>
      <c r="F2448" s="45" t="s">
        <v>721</v>
      </c>
      <c r="I2448" t="s">
        <v>726</v>
      </c>
    </row>
    <row r="2449" spans="1:9" hidden="1" x14ac:dyDescent="0.3">
      <c r="A2449" t="s">
        <v>821</v>
      </c>
      <c r="B2449" s="46">
        <v>45132</v>
      </c>
      <c r="C2449" s="45">
        <v>20000</v>
      </c>
      <c r="D2449" t="s">
        <v>1095</v>
      </c>
      <c r="E2449" s="46">
        <v>45154</v>
      </c>
      <c r="F2449" s="45" t="s">
        <v>721</v>
      </c>
      <c r="I2449" t="s">
        <v>726</v>
      </c>
    </row>
    <row r="2450" spans="1:9" hidden="1" x14ac:dyDescent="0.3">
      <c r="A2450" t="s">
        <v>821</v>
      </c>
      <c r="B2450" s="46">
        <v>45149</v>
      </c>
      <c r="C2450" s="45">
        <v>20000</v>
      </c>
      <c r="D2450" t="s">
        <v>1158</v>
      </c>
      <c r="E2450" s="46">
        <v>45184</v>
      </c>
      <c r="F2450" s="45" t="s">
        <v>721</v>
      </c>
      <c r="I2450" t="s">
        <v>726</v>
      </c>
    </row>
    <row r="2451" spans="1:9" hidden="1" x14ac:dyDescent="0.3">
      <c r="A2451" t="s">
        <v>821</v>
      </c>
      <c r="B2451" s="46">
        <v>45167</v>
      </c>
      <c r="C2451" s="45">
        <v>20000</v>
      </c>
      <c r="D2451" t="s">
        <v>1095</v>
      </c>
      <c r="E2451" s="46">
        <v>45184</v>
      </c>
      <c r="F2451" s="45" t="s">
        <v>721</v>
      </c>
      <c r="I2451" t="s">
        <v>726</v>
      </c>
    </row>
    <row r="2452" spans="1:9" hidden="1" x14ac:dyDescent="0.3">
      <c r="A2452" t="s">
        <v>729</v>
      </c>
      <c r="B2452" s="46">
        <v>45189</v>
      </c>
      <c r="C2452" s="45">
        <v>19900</v>
      </c>
      <c r="D2452" t="s">
        <v>790</v>
      </c>
      <c r="E2452" s="46">
        <v>45215</v>
      </c>
      <c r="F2452" s="45" t="s">
        <v>721</v>
      </c>
      <c r="I2452" t="s">
        <v>756</v>
      </c>
    </row>
    <row r="2453" spans="1:9" hidden="1" x14ac:dyDescent="0.3">
      <c r="A2453" t="s">
        <v>779</v>
      </c>
      <c r="B2453" s="46">
        <v>45222</v>
      </c>
      <c r="C2453" s="45">
        <v>19900</v>
      </c>
      <c r="D2453" t="s">
        <v>1070</v>
      </c>
      <c r="E2453" s="46">
        <v>45246</v>
      </c>
      <c r="F2453" s="45" t="s">
        <v>721</v>
      </c>
      <c r="I2453" t="s">
        <v>726</v>
      </c>
    </row>
    <row r="2454" spans="1:9" hidden="1" x14ac:dyDescent="0.3">
      <c r="A2454" t="s">
        <v>729</v>
      </c>
      <c r="B2454" s="46">
        <v>45257</v>
      </c>
      <c r="C2454" s="45">
        <v>19900</v>
      </c>
      <c r="D2454" t="s">
        <v>790</v>
      </c>
      <c r="E2454" s="46">
        <v>45275</v>
      </c>
      <c r="F2454" s="45" t="s">
        <v>721</v>
      </c>
      <c r="I2454" t="s">
        <v>756</v>
      </c>
    </row>
    <row r="2455" spans="1:9" hidden="1" x14ac:dyDescent="0.3">
      <c r="A2455" t="s">
        <v>729</v>
      </c>
      <c r="B2455" s="46">
        <v>45250</v>
      </c>
      <c r="C2455" s="45">
        <v>19900</v>
      </c>
      <c r="D2455" t="s">
        <v>790</v>
      </c>
      <c r="E2455" s="46">
        <v>45275</v>
      </c>
      <c r="F2455" s="45" t="s">
        <v>721</v>
      </c>
      <c r="I2455" t="s">
        <v>756</v>
      </c>
    </row>
    <row r="2456" spans="1:9" hidden="1" x14ac:dyDescent="0.3">
      <c r="A2456" t="s">
        <v>743</v>
      </c>
      <c r="B2456" s="46">
        <v>45250</v>
      </c>
      <c r="C2456" s="45">
        <v>19804</v>
      </c>
      <c r="D2456" t="s">
        <v>753</v>
      </c>
      <c r="E2456" s="46">
        <v>45286</v>
      </c>
      <c r="F2456" s="45" t="s">
        <v>731</v>
      </c>
      <c r="G2456" t="s">
        <v>732</v>
      </c>
      <c r="H2456">
        <v>15</v>
      </c>
      <c r="I2456" t="s">
        <v>733</v>
      </c>
    </row>
    <row r="2457" spans="1:9" hidden="1" x14ac:dyDescent="0.3">
      <c r="A2457" t="s">
        <v>727</v>
      </c>
      <c r="B2457" s="46">
        <v>45231</v>
      </c>
      <c r="C2457" s="45">
        <v>19800</v>
      </c>
      <c r="D2457" t="s">
        <v>1081</v>
      </c>
      <c r="E2457" s="46">
        <v>45275</v>
      </c>
      <c r="F2457" s="45" t="s">
        <v>721</v>
      </c>
      <c r="I2457" t="s">
        <v>726</v>
      </c>
    </row>
    <row r="2458" spans="1:9" hidden="1" x14ac:dyDescent="0.3">
      <c r="A2458" t="s">
        <v>722</v>
      </c>
      <c r="B2458" s="46">
        <v>45344</v>
      </c>
      <c r="C2458" s="45">
        <v>19800</v>
      </c>
      <c r="D2458" t="s">
        <v>830</v>
      </c>
      <c r="E2458" s="46">
        <v>45366</v>
      </c>
      <c r="F2458" s="45" t="s">
        <v>721</v>
      </c>
      <c r="I2458" t="s">
        <v>726</v>
      </c>
    </row>
    <row r="2459" spans="1:9" hidden="1" x14ac:dyDescent="0.3">
      <c r="A2459" t="s">
        <v>772</v>
      </c>
      <c r="B2459" s="46">
        <v>45363</v>
      </c>
      <c r="C2459" s="45">
        <v>19700</v>
      </c>
      <c r="D2459" t="s">
        <v>1192</v>
      </c>
      <c r="E2459" s="46">
        <v>45408</v>
      </c>
      <c r="F2459" s="45" t="s">
        <v>721</v>
      </c>
      <c r="I2459" t="s">
        <v>814</v>
      </c>
    </row>
    <row r="2460" spans="1:9" hidden="1" x14ac:dyDescent="0.3">
      <c r="A2460" t="s">
        <v>729</v>
      </c>
      <c r="B2460" s="46">
        <v>45287</v>
      </c>
      <c r="C2460" s="45">
        <v>19600</v>
      </c>
      <c r="D2460" t="s">
        <v>790</v>
      </c>
      <c r="E2460" s="46">
        <v>45306</v>
      </c>
      <c r="F2460" s="45" t="s">
        <v>721</v>
      </c>
      <c r="I2460" t="s">
        <v>756</v>
      </c>
    </row>
    <row r="2461" spans="1:9" hidden="1" x14ac:dyDescent="0.3">
      <c r="A2461" t="s">
        <v>724</v>
      </c>
      <c r="B2461" s="46">
        <v>45161</v>
      </c>
      <c r="C2461" s="45">
        <v>19540</v>
      </c>
      <c r="D2461" t="s">
        <v>755</v>
      </c>
      <c r="E2461" s="46">
        <v>45195</v>
      </c>
      <c r="F2461" s="45" t="s">
        <v>721</v>
      </c>
      <c r="I2461" t="s">
        <v>726</v>
      </c>
    </row>
    <row r="2462" spans="1:9" hidden="1" x14ac:dyDescent="0.3">
      <c r="A2462" t="s">
        <v>777</v>
      </c>
      <c r="B2462" s="46">
        <v>45131</v>
      </c>
      <c r="C2462" s="45">
        <v>19500</v>
      </c>
      <c r="D2462" t="s">
        <v>869</v>
      </c>
      <c r="E2462" s="46">
        <v>45184</v>
      </c>
      <c r="F2462" s="45" t="s">
        <v>721</v>
      </c>
      <c r="I2462" t="s">
        <v>726</v>
      </c>
    </row>
    <row r="2463" spans="1:9" hidden="1" x14ac:dyDescent="0.3">
      <c r="A2463" t="s">
        <v>729</v>
      </c>
      <c r="B2463" s="46">
        <v>45252</v>
      </c>
      <c r="C2463" s="45">
        <v>19500</v>
      </c>
      <c r="D2463" t="s">
        <v>1228</v>
      </c>
      <c r="E2463" s="46">
        <v>45275</v>
      </c>
      <c r="F2463" s="45" t="s">
        <v>721</v>
      </c>
      <c r="I2463" t="s">
        <v>726</v>
      </c>
    </row>
    <row r="2464" spans="1:9" hidden="1" x14ac:dyDescent="0.3">
      <c r="A2464" t="s">
        <v>748</v>
      </c>
      <c r="B2464" s="46">
        <v>45259</v>
      </c>
      <c r="C2464" s="45">
        <v>19500</v>
      </c>
      <c r="D2464" t="s">
        <v>1257</v>
      </c>
      <c r="E2464" s="46">
        <v>45275</v>
      </c>
      <c r="F2464" s="45" t="s">
        <v>721</v>
      </c>
      <c r="I2464" t="s">
        <v>1148</v>
      </c>
    </row>
    <row r="2465" spans="1:9" hidden="1" x14ac:dyDescent="0.3">
      <c r="A2465" t="s">
        <v>722</v>
      </c>
      <c r="B2465" s="46">
        <v>45301</v>
      </c>
      <c r="C2465" s="45">
        <v>19440</v>
      </c>
      <c r="D2465" t="s">
        <v>1074</v>
      </c>
      <c r="E2465" s="46">
        <v>45337</v>
      </c>
      <c r="F2465" s="45" t="s">
        <v>721</v>
      </c>
      <c r="I2465" t="s">
        <v>801</v>
      </c>
    </row>
    <row r="2466" spans="1:9" hidden="1" x14ac:dyDescent="0.3">
      <c r="A2466" t="s">
        <v>761</v>
      </c>
      <c r="B2466" s="46">
        <v>45124</v>
      </c>
      <c r="C2466" s="45">
        <v>19400</v>
      </c>
      <c r="D2466" t="s">
        <v>1132</v>
      </c>
      <c r="E2466" s="46">
        <v>45164</v>
      </c>
      <c r="F2466" s="45" t="s">
        <v>721</v>
      </c>
      <c r="I2466" t="s">
        <v>726</v>
      </c>
    </row>
    <row r="2467" spans="1:9" hidden="1" x14ac:dyDescent="0.3">
      <c r="A2467" t="s">
        <v>722</v>
      </c>
      <c r="B2467" s="46">
        <v>45239</v>
      </c>
      <c r="C2467" s="45">
        <v>19330</v>
      </c>
      <c r="D2467" t="s">
        <v>771</v>
      </c>
      <c r="E2467" s="46">
        <v>45275</v>
      </c>
      <c r="F2467" s="45" t="s">
        <v>721</v>
      </c>
      <c r="I2467" t="s">
        <v>726</v>
      </c>
    </row>
    <row r="2468" spans="1:9" hidden="1" x14ac:dyDescent="0.3">
      <c r="A2468" t="s">
        <v>722</v>
      </c>
      <c r="B2468" s="46">
        <v>45139</v>
      </c>
      <c r="C2468" s="45">
        <v>19300</v>
      </c>
      <c r="D2468" t="s">
        <v>771</v>
      </c>
      <c r="E2468" s="46">
        <v>45184</v>
      </c>
      <c r="F2468" s="45" t="s">
        <v>721</v>
      </c>
      <c r="I2468" t="s">
        <v>726</v>
      </c>
    </row>
    <row r="2469" spans="1:9" hidden="1" x14ac:dyDescent="0.3">
      <c r="A2469" t="s">
        <v>722</v>
      </c>
      <c r="B2469" s="46">
        <v>45124</v>
      </c>
      <c r="C2469" s="45">
        <v>19300</v>
      </c>
      <c r="D2469" t="s">
        <v>771</v>
      </c>
      <c r="E2469" s="46">
        <v>45154</v>
      </c>
      <c r="F2469" s="45" t="s">
        <v>721</v>
      </c>
    </row>
    <row r="2470" spans="1:9" hidden="1" x14ac:dyDescent="0.3">
      <c r="A2470" t="s">
        <v>727</v>
      </c>
      <c r="B2470" s="46">
        <v>45400</v>
      </c>
      <c r="C2470" s="45">
        <v>19200</v>
      </c>
      <c r="D2470" t="s">
        <v>2114</v>
      </c>
      <c r="E2470" s="46">
        <v>45428</v>
      </c>
      <c r="F2470" s="45" t="s">
        <v>721</v>
      </c>
      <c r="I2470" t="s">
        <v>2027</v>
      </c>
    </row>
    <row r="2471" spans="1:9" hidden="1" x14ac:dyDescent="0.3">
      <c r="A2471" t="s">
        <v>724</v>
      </c>
      <c r="B2471" s="46">
        <v>45400</v>
      </c>
      <c r="C2471" s="45">
        <v>19200</v>
      </c>
      <c r="D2471" t="s">
        <v>1194</v>
      </c>
      <c r="E2471" s="46">
        <v>45438</v>
      </c>
      <c r="F2471" s="45" t="s">
        <v>721</v>
      </c>
      <c r="I2471" t="s">
        <v>726</v>
      </c>
    </row>
    <row r="2472" spans="1:9" hidden="1" x14ac:dyDescent="0.3">
      <c r="A2472" t="s">
        <v>729</v>
      </c>
      <c r="B2472" s="46">
        <v>45163</v>
      </c>
      <c r="C2472" s="45">
        <v>19160</v>
      </c>
      <c r="D2472" t="s">
        <v>790</v>
      </c>
      <c r="E2472" s="46">
        <v>45184</v>
      </c>
      <c r="F2472" s="45" t="s">
        <v>721</v>
      </c>
      <c r="I2472" t="s">
        <v>834</v>
      </c>
    </row>
    <row r="2473" spans="1:9" hidden="1" x14ac:dyDescent="0.3">
      <c r="A2473" t="s">
        <v>729</v>
      </c>
      <c r="B2473" s="46">
        <v>45250</v>
      </c>
      <c r="C2473" s="45">
        <v>19160</v>
      </c>
      <c r="D2473" t="s">
        <v>790</v>
      </c>
      <c r="E2473" s="46">
        <v>45275</v>
      </c>
      <c r="F2473" s="45" t="s">
        <v>721</v>
      </c>
      <c r="I2473" t="s">
        <v>834</v>
      </c>
    </row>
    <row r="2474" spans="1:9" hidden="1" x14ac:dyDescent="0.3">
      <c r="A2474" t="s">
        <v>722</v>
      </c>
      <c r="B2474" s="46">
        <v>45348</v>
      </c>
      <c r="C2474" s="45">
        <v>19070</v>
      </c>
      <c r="D2474" t="s">
        <v>776</v>
      </c>
      <c r="E2474" s="46">
        <v>45366</v>
      </c>
      <c r="F2474" s="45" t="s">
        <v>721</v>
      </c>
      <c r="I2474" t="s">
        <v>726</v>
      </c>
    </row>
    <row r="2475" spans="1:9" hidden="1" x14ac:dyDescent="0.3">
      <c r="A2475" t="s">
        <v>729</v>
      </c>
      <c r="B2475" s="46">
        <v>45314</v>
      </c>
      <c r="C2475" s="45">
        <v>19000</v>
      </c>
      <c r="D2475" t="s">
        <v>1118</v>
      </c>
      <c r="E2475" s="46">
        <v>45337</v>
      </c>
      <c r="F2475" s="45" t="s">
        <v>721</v>
      </c>
      <c r="I2475" t="s">
        <v>726</v>
      </c>
    </row>
    <row r="2476" spans="1:9" hidden="1" x14ac:dyDescent="0.3">
      <c r="A2476" t="s">
        <v>767</v>
      </c>
      <c r="B2476" s="46">
        <v>45372</v>
      </c>
      <c r="C2476" s="45">
        <v>19000</v>
      </c>
      <c r="D2476" t="s">
        <v>2060</v>
      </c>
      <c r="E2476" s="46">
        <v>45397</v>
      </c>
      <c r="F2476" s="45" t="s">
        <v>721</v>
      </c>
      <c r="I2476" t="s">
        <v>726</v>
      </c>
    </row>
    <row r="2477" spans="1:9" hidden="1" x14ac:dyDescent="0.3">
      <c r="A2477" t="s">
        <v>779</v>
      </c>
      <c r="B2477" s="46">
        <v>45434</v>
      </c>
      <c r="C2477" s="45">
        <v>19000</v>
      </c>
      <c r="D2477" t="s">
        <v>1261</v>
      </c>
      <c r="E2477" s="46">
        <v>45459</v>
      </c>
      <c r="F2477" s="45" t="s">
        <v>721</v>
      </c>
      <c r="I2477" t="s">
        <v>726</v>
      </c>
    </row>
    <row r="2478" spans="1:9" hidden="1" x14ac:dyDescent="0.3">
      <c r="A2478" t="s">
        <v>722</v>
      </c>
      <c r="B2478" s="46">
        <v>45257</v>
      </c>
      <c r="C2478" s="45">
        <v>19000</v>
      </c>
      <c r="D2478" t="s">
        <v>776</v>
      </c>
      <c r="E2478" s="46">
        <v>45275</v>
      </c>
      <c r="F2478" s="45" t="s">
        <v>721</v>
      </c>
      <c r="I2478" t="s">
        <v>726</v>
      </c>
    </row>
    <row r="2479" spans="1:9" hidden="1" x14ac:dyDescent="0.3">
      <c r="A2479" t="s">
        <v>761</v>
      </c>
      <c r="B2479" s="46">
        <v>45258</v>
      </c>
      <c r="C2479" s="45">
        <v>19000</v>
      </c>
      <c r="D2479" t="s">
        <v>837</v>
      </c>
      <c r="E2479" s="46">
        <v>45286</v>
      </c>
      <c r="F2479" s="45" t="s">
        <v>721</v>
      </c>
      <c r="I2479" t="s">
        <v>838</v>
      </c>
    </row>
    <row r="2480" spans="1:9" hidden="1" x14ac:dyDescent="0.3">
      <c r="A2480" t="s">
        <v>821</v>
      </c>
      <c r="B2480" s="46">
        <v>45230</v>
      </c>
      <c r="C2480" s="45">
        <v>19000</v>
      </c>
      <c r="D2480" t="s">
        <v>1095</v>
      </c>
      <c r="E2480" s="46">
        <v>45245</v>
      </c>
      <c r="F2480" s="45" t="s">
        <v>721</v>
      </c>
      <c r="I2480" t="s">
        <v>726</v>
      </c>
    </row>
    <row r="2481" spans="1:9" hidden="1" x14ac:dyDescent="0.3">
      <c r="A2481" t="s">
        <v>777</v>
      </c>
      <c r="B2481" s="46">
        <v>45243</v>
      </c>
      <c r="C2481" s="45">
        <v>19000</v>
      </c>
      <c r="D2481" t="s">
        <v>1065</v>
      </c>
      <c r="E2481" s="46">
        <v>45275</v>
      </c>
      <c r="F2481" s="45" t="s">
        <v>721</v>
      </c>
      <c r="I2481" t="s">
        <v>838</v>
      </c>
    </row>
    <row r="2482" spans="1:9" hidden="1" x14ac:dyDescent="0.3">
      <c r="A2482" t="s">
        <v>724</v>
      </c>
      <c r="B2482" s="46">
        <v>45289</v>
      </c>
      <c r="C2482" s="45">
        <v>19000</v>
      </c>
      <c r="D2482" t="s">
        <v>1110</v>
      </c>
      <c r="E2482" s="46">
        <v>45317</v>
      </c>
      <c r="F2482" s="45" t="s">
        <v>721</v>
      </c>
      <c r="I2482" t="s">
        <v>726</v>
      </c>
    </row>
    <row r="2483" spans="1:9" hidden="1" x14ac:dyDescent="0.3">
      <c r="A2483" t="s">
        <v>727</v>
      </c>
      <c r="B2483" s="46">
        <v>45261</v>
      </c>
      <c r="C2483" s="45">
        <v>19000</v>
      </c>
      <c r="D2483" t="s">
        <v>938</v>
      </c>
      <c r="E2483" s="46">
        <v>45306</v>
      </c>
      <c r="F2483" s="45" t="s">
        <v>721</v>
      </c>
      <c r="I2483" t="s">
        <v>726</v>
      </c>
    </row>
    <row r="2484" spans="1:9" hidden="1" x14ac:dyDescent="0.3">
      <c r="A2484" t="s">
        <v>821</v>
      </c>
      <c r="B2484" s="46">
        <v>45261</v>
      </c>
      <c r="C2484" s="45">
        <v>19000</v>
      </c>
      <c r="D2484" t="s">
        <v>1258</v>
      </c>
      <c r="E2484" s="46">
        <v>45306</v>
      </c>
      <c r="F2484" s="45" t="s">
        <v>721</v>
      </c>
      <c r="I2484" t="s">
        <v>726</v>
      </c>
    </row>
    <row r="2485" spans="1:9" hidden="1" x14ac:dyDescent="0.3">
      <c r="A2485" t="s">
        <v>777</v>
      </c>
      <c r="B2485" s="46">
        <v>45267</v>
      </c>
      <c r="C2485" s="45">
        <v>19000</v>
      </c>
      <c r="D2485" t="s">
        <v>1065</v>
      </c>
      <c r="E2485" s="46">
        <v>45306</v>
      </c>
      <c r="F2485" s="45" t="s">
        <v>721</v>
      </c>
      <c r="I2485" t="s">
        <v>838</v>
      </c>
    </row>
    <row r="2486" spans="1:9" hidden="1" x14ac:dyDescent="0.3">
      <c r="A2486" t="s">
        <v>748</v>
      </c>
      <c r="B2486" s="46">
        <v>45215</v>
      </c>
      <c r="C2486" s="45">
        <v>19000</v>
      </c>
      <c r="D2486" t="s">
        <v>1005</v>
      </c>
      <c r="E2486" s="46">
        <v>45245</v>
      </c>
      <c r="F2486" s="45" t="s">
        <v>721</v>
      </c>
      <c r="I2486" t="s">
        <v>726</v>
      </c>
    </row>
    <row r="2487" spans="1:9" hidden="1" x14ac:dyDescent="0.3">
      <c r="A2487" t="s">
        <v>722</v>
      </c>
      <c r="B2487" s="46">
        <v>45419</v>
      </c>
      <c r="C2487" s="45">
        <v>18990</v>
      </c>
      <c r="D2487" t="s">
        <v>776</v>
      </c>
      <c r="E2487" s="46">
        <v>45458</v>
      </c>
      <c r="F2487" s="45" t="s">
        <v>721</v>
      </c>
      <c r="I2487" t="s">
        <v>726</v>
      </c>
    </row>
    <row r="2488" spans="1:9" hidden="1" x14ac:dyDescent="0.3">
      <c r="A2488" t="s">
        <v>722</v>
      </c>
      <c r="B2488" s="46">
        <v>45384</v>
      </c>
      <c r="C2488" s="45">
        <v>18990</v>
      </c>
      <c r="D2488" t="s">
        <v>776</v>
      </c>
      <c r="E2488" s="46">
        <v>45428</v>
      </c>
      <c r="F2488" s="45" t="s">
        <v>721</v>
      </c>
      <c r="I2488" t="s">
        <v>726</v>
      </c>
    </row>
    <row r="2489" spans="1:9" hidden="1" x14ac:dyDescent="0.3">
      <c r="A2489" t="s">
        <v>722</v>
      </c>
      <c r="B2489" s="46">
        <v>45397</v>
      </c>
      <c r="C2489" s="45">
        <v>18990</v>
      </c>
      <c r="D2489" t="s">
        <v>771</v>
      </c>
      <c r="E2489" s="46">
        <v>45428</v>
      </c>
      <c r="F2489" s="45" t="s">
        <v>721</v>
      </c>
      <c r="I2489" t="s">
        <v>726</v>
      </c>
    </row>
    <row r="2490" spans="1:9" hidden="1" x14ac:dyDescent="0.3">
      <c r="A2490" t="s">
        <v>722</v>
      </c>
      <c r="B2490" s="46">
        <v>45355</v>
      </c>
      <c r="C2490" s="45">
        <v>18990</v>
      </c>
      <c r="D2490" t="s">
        <v>771</v>
      </c>
      <c r="E2490" s="46">
        <v>45397</v>
      </c>
      <c r="F2490" s="45" t="s">
        <v>721</v>
      </c>
      <c r="I2490" t="s">
        <v>726</v>
      </c>
    </row>
    <row r="2491" spans="1:9" hidden="1" x14ac:dyDescent="0.3">
      <c r="A2491" t="s">
        <v>777</v>
      </c>
      <c r="B2491" s="46">
        <v>45285</v>
      </c>
      <c r="C2491" s="45">
        <v>18900</v>
      </c>
      <c r="D2491" t="s">
        <v>1259</v>
      </c>
      <c r="E2491" s="46">
        <v>45337</v>
      </c>
      <c r="F2491" s="45" t="s">
        <v>721</v>
      </c>
      <c r="I2491" t="s">
        <v>756</v>
      </c>
    </row>
    <row r="2492" spans="1:9" hidden="1" x14ac:dyDescent="0.3">
      <c r="A2492" t="s">
        <v>722</v>
      </c>
      <c r="B2492" s="46">
        <v>45397</v>
      </c>
      <c r="C2492" s="45">
        <v>18900</v>
      </c>
      <c r="D2492" t="s">
        <v>1166</v>
      </c>
      <c r="E2492" s="46">
        <v>45428</v>
      </c>
      <c r="F2492" s="45" t="s">
        <v>721</v>
      </c>
      <c r="I2492" t="s">
        <v>801</v>
      </c>
    </row>
    <row r="2493" spans="1:9" hidden="1" x14ac:dyDescent="0.3">
      <c r="A2493" t="s">
        <v>767</v>
      </c>
      <c r="B2493" s="46">
        <v>45401</v>
      </c>
      <c r="C2493" s="45">
        <v>18800</v>
      </c>
      <c r="D2493" t="s">
        <v>1081</v>
      </c>
      <c r="E2493" s="46">
        <v>45428</v>
      </c>
      <c r="F2493" s="45" t="s">
        <v>721</v>
      </c>
      <c r="I2493" t="s">
        <v>726</v>
      </c>
    </row>
    <row r="2494" spans="1:9" hidden="1" x14ac:dyDescent="0.3">
      <c r="A2494" t="s">
        <v>729</v>
      </c>
      <c r="B2494" s="46">
        <v>45317</v>
      </c>
      <c r="C2494" s="45">
        <v>18800</v>
      </c>
      <c r="D2494" t="s">
        <v>790</v>
      </c>
      <c r="E2494" s="46">
        <v>45337</v>
      </c>
      <c r="F2494" s="45" t="s">
        <v>721</v>
      </c>
      <c r="I2494" t="s">
        <v>756</v>
      </c>
    </row>
    <row r="2495" spans="1:9" hidden="1" x14ac:dyDescent="0.3">
      <c r="A2495" t="s">
        <v>767</v>
      </c>
      <c r="B2495" s="46">
        <v>45379</v>
      </c>
      <c r="C2495" s="45">
        <v>18800</v>
      </c>
      <c r="D2495" t="s">
        <v>991</v>
      </c>
      <c r="E2495" s="46">
        <v>45397</v>
      </c>
      <c r="F2495" s="45" t="s">
        <v>721</v>
      </c>
      <c r="I2495" t="s">
        <v>726</v>
      </c>
    </row>
    <row r="2496" spans="1:9" hidden="1" x14ac:dyDescent="0.3">
      <c r="A2496" t="s">
        <v>729</v>
      </c>
      <c r="B2496" s="46">
        <v>45195</v>
      </c>
      <c r="C2496" s="45">
        <v>18800</v>
      </c>
      <c r="D2496" t="s">
        <v>1101</v>
      </c>
      <c r="E2496" s="46">
        <v>45215</v>
      </c>
      <c r="F2496" s="45" t="s">
        <v>721</v>
      </c>
      <c r="I2496" t="s">
        <v>762</v>
      </c>
    </row>
    <row r="2497" spans="1:9" hidden="1" x14ac:dyDescent="0.3">
      <c r="A2497" t="s">
        <v>722</v>
      </c>
      <c r="B2497" s="46">
        <v>45209</v>
      </c>
      <c r="C2497" s="45">
        <v>18790</v>
      </c>
      <c r="D2497" t="s">
        <v>776</v>
      </c>
      <c r="E2497" s="46">
        <v>45245</v>
      </c>
      <c r="F2497" s="45" t="s">
        <v>721</v>
      </c>
      <c r="I2497" t="s">
        <v>726</v>
      </c>
    </row>
    <row r="2498" spans="1:9" hidden="1" x14ac:dyDescent="0.3">
      <c r="A2498" t="s">
        <v>772</v>
      </c>
      <c r="B2498" s="46">
        <v>45169</v>
      </c>
      <c r="C2498" s="45">
        <v>18700</v>
      </c>
      <c r="D2498" t="s">
        <v>820</v>
      </c>
      <c r="E2498" s="46">
        <v>45195</v>
      </c>
      <c r="F2498" s="45" t="s">
        <v>721</v>
      </c>
      <c r="I2498" t="s">
        <v>726</v>
      </c>
    </row>
    <row r="2499" spans="1:9" hidden="1" x14ac:dyDescent="0.3">
      <c r="A2499" t="s">
        <v>724</v>
      </c>
      <c r="B2499" s="46">
        <v>45299</v>
      </c>
      <c r="C2499" s="45">
        <v>18700</v>
      </c>
      <c r="D2499" t="s">
        <v>1096</v>
      </c>
      <c r="E2499" s="46">
        <v>45348</v>
      </c>
      <c r="F2499" s="45" t="s">
        <v>721</v>
      </c>
      <c r="I2499" t="s">
        <v>841</v>
      </c>
    </row>
    <row r="2500" spans="1:9" hidden="1" x14ac:dyDescent="0.3">
      <c r="A2500" t="s">
        <v>722</v>
      </c>
      <c r="B2500" s="46">
        <v>45419</v>
      </c>
      <c r="C2500" s="45">
        <v>18530</v>
      </c>
      <c r="D2500" t="s">
        <v>735</v>
      </c>
      <c r="E2500" s="46">
        <v>45458</v>
      </c>
      <c r="F2500" s="45" t="s">
        <v>721</v>
      </c>
      <c r="I2500" t="s">
        <v>762</v>
      </c>
    </row>
    <row r="2501" spans="1:9" hidden="1" x14ac:dyDescent="0.3">
      <c r="A2501" t="s">
        <v>775</v>
      </c>
      <c r="B2501" s="46">
        <v>45420</v>
      </c>
      <c r="C2501" s="45">
        <v>18500</v>
      </c>
      <c r="D2501" t="s">
        <v>2121</v>
      </c>
      <c r="E2501" s="46">
        <v>45459</v>
      </c>
      <c r="F2501" s="45" t="s">
        <v>721</v>
      </c>
      <c r="I2501" t="s">
        <v>726</v>
      </c>
    </row>
    <row r="2502" spans="1:9" hidden="1" x14ac:dyDescent="0.3">
      <c r="A2502" t="s">
        <v>727</v>
      </c>
      <c r="B2502" s="46">
        <v>45259</v>
      </c>
      <c r="C2502" s="45">
        <v>18500</v>
      </c>
      <c r="D2502" t="s">
        <v>1232</v>
      </c>
      <c r="E2502" s="46">
        <v>45275</v>
      </c>
      <c r="F2502" s="45" t="s">
        <v>721</v>
      </c>
      <c r="I2502" t="s">
        <v>726</v>
      </c>
    </row>
    <row r="2503" spans="1:9" hidden="1" x14ac:dyDescent="0.3">
      <c r="A2503" t="s">
        <v>748</v>
      </c>
      <c r="B2503" s="46">
        <v>45121</v>
      </c>
      <c r="C2503" s="45">
        <v>18480</v>
      </c>
      <c r="D2503" t="s">
        <v>1260</v>
      </c>
      <c r="E2503" s="46">
        <v>45154</v>
      </c>
      <c r="F2503" s="45" t="s">
        <v>721</v>
      </c>
      <c r="I2503" t="s">
        <v>782</v>
      </c>
    </row>
    <row r="2504" spans="1:9" hidden="1" x14ac:dyDescent="0.3">
      <c r="A2504" t="s">
        <v>748</v>
      </c>
      <c r="B2504" s="46">
        <v>45166</v>
      </c>
      <c r="C2504" s="45">
        <v>18400</v>
      </c>
      <c r="D2504" t="s">
        <v>980</v>
      </c>
      <c r="E2504" s="46">
        <v>45184</v>
      </c>
      <c r="F2504" s="45" t="s">
        <v>721</v>
      </c>
      <c r="I2504" t="s">
        <v>726</v>
      </c>
    </row>
    <row r="2505" spans="1:9" hidden="1" x14ac:dyDescent="0.3">
      <c r="A2505" t="s">
        <v>1160</v>
      </c>
      <c r="B2505" s="46">
        <v>45404</v>
      </c>
      <c r="C2505" s="45">
        <v>18400</v>
      </c>
      <c r="D2505" t="s">
        <v>1170</v>
      </c>
      <c r="E2505" s="46">
        <v>45438</v>
      </c>
      <c r="F2505" s="45" t="s">
        <v>721</v>
      </c>
      <c r="I2505" t="s">
        <v>1162</v>
      </c>
    </row>
    <row r="2506" spans="1:9" hidden="1" x14ac:dyDescent="0.3">
      <c r="A2506" t="s">
        <v>724</v>
      </c>
      <c r="B2506" s="46">
        <v>45148</v>
      </c>
      <c r="C2506" s="45">
        <v>18200</v>
      </c>
      <c r="D2506" t="s">
        <v>820</v>
      </c>
      <c r="E2506" s="46">
        <v>45195</v>
      </c>
      <c r="F2506" s="45" t="s">
        <v>721</v>
      </c>
      <c r="I2506" t="s">
        <v>726</v>
      </c>
    </row>
    <row r="2507" spans="1:9" hidden="1" x14ac:dyDescent="0.3">
      <c r="A2507" t="s">
        <v>734</v>
      </c>
      <c r="B2507" s="46">
        <v>45288</v>
      </c>
      <c r="C2507" s="45">
        <v>18170</v>
      </c>
      <c r="D2507" t="s">
        <v>991</v>
      </c>
      <c r="E2507" s="46">
        <v>45306</v>
      </c>
      <c r="F2507" s="45" t="s">
        <v>721</v>
      </c>
      <c r="I2507" t="s">
        <v>726</v>
      </c>
    </row>
    <row r="2508" spans="1:9" hidden="1" x14ac:dyDescent="0.3">
      <c r="A2508" t="s">
        <v>772</v>
      </c>
      <c r="B2508" s="46">
        <v>45239</v>
      </c>
      <c r="C2508" s="45">
        <v>18100</v>
      </c>
      <c r="D2508" t="s">
        <v>820</v>
      </c>
      <c r="E2508" s="46">
        <v>45286</v>
      </c>
      <c r="F2508" s="45" t="s">
        <v>721</v>
      </c>
      <c r="I2508" t="s">
        <v>726</v>
      </c>
    </row>
    <row r="2509" spans="1:9" hidden="1" x14ac:dyDescent="0.3">
      <c r="A2509" t="s">
        <v>722</v>
      </c>
      <c r="B2509" s="46">
        <v>45184</v>
      </c>
      <c r="C2509" s="45">
        <v>18010</v>
      </c>
      <c r="D2509" t="s">
        <v>776</v>
      </c>
      <c r="E2509" s="46">
        <v>45215</v>
      </c>
      <c r="F2509" s="45" t="s">
        <v>721</v>
      </c>
      <c r="I2509" t="s">
        <v>726</v>
      </c>
    </row>
    <row r="2510" spans="1:9" hidden="1" x14ac:dyDescent="0.3">
      <c r="A2510" t="s">
        <v>748</v>
      </c>
      <c r="B2510" s="46">
        <v>45209</v>
      </c>
      <c r="C2510" s="45">
        <v>18000</v>
      </c>
      <c r="D2510" t="s">
        <v>735</v>
      </c>
      <c r="E2510" s="46">
        <v>45245</v>
      </c>
      <c r="F2510" s="45" t="s">
        <v>721</v>
      </c>
      <c r="I2510" t="s">
        <v>762</v>
      </c>
    </row>
    <row r="2511" spans="1:9" hidden="1" x14ac:dyDescent="0.3">
      <c r="A2511" t="s">
        <v>729</v>
      </c>
      <c r="B2511" s="46">
        <v>45286</v>
      </c>
      <c r="C2511" s="45">
        <v>18000</v>
      </c>
      <c r="D2511" t="s">
        <v>1016</v>
      </c>
      <c r="E2511" s="46">
        <v>45306</v>
      </c>
      <c r="F2511" s="45" t="s">
        <v>721</v>
      </c>
      <c r="I2511" t="s">
        <v>726</v>
      </c>
    </row>
    <row r="2512" spans="1:9" hidden="1" x14ac:dyDescent="0.3">
      <c r="A2512" t="s">
        <v>761</v>
      </c>
      <c r="B2512" s="46">
        <v>45279</v>
      </c>
      <c r="C2512" s="45">
        <v>18000</v>
      </c>
      <c r="D2512" t="s">
        <v>837</v>
      </c>
      <c r="E2512" s="46">
        <v>45317</v>
      </c>
      <c r="F2512" s="45" t="s">
        <v>721</v>
      </c>
      <c r="I2512" t="s">
        <v>838</v>
      </c>
    </row>
    <row r="2513" spans="1:9" hidden="1" x14ac:dyDescent="0.3">
      <c r="A2513" t="s">
        <v>724</v>
      </c>
      <c r="B2513" s="46">
        <v>45222</v>
      </c>
      <c r="C2513" s="45">
        <v>18000</v>
      </c>
      <c r="D2513" t="s">
        <v>1119</v>
      </c>
      <c r="E2513" s="46">
        <v>45256</v>
      </c>
      <c r="F2513" s="45" t="s">
        <v>721</v>
      </c>
      <c r="I2513" t="s">
        <v>726</v>
      </c>
    </row>
    <row r="2514" spans="1:9" hidden="1" x14ac:dyDescent="0.3">
      <c r="A2514" t="s">
        <v>767</v>
      </c>
      <c r="B2514" s="46">
        <v>45442</v>
      </c>
      <c r="C2514" s="45">
        <v>18000</v>
      </c>
      <c r="D2514" t="s">
        <v>1177</v>
      </c>
      <c r="E2514" s="46">
        <v>45458</v>
      </c>
      <c r="F2514" s="45" t="s">
        <v>721</v>
      </c>
      <c r="I2514" t="s">
        <v>726</v>
      </c>
    </row>
    <row r="2515" spans="1:9" hidden="1" x14ac:dyDescent="0.3">
      <c r="A2515" t="s">
        <v>734</v>
      </c>
      <c r="B2515" s="46">
        <v>45337</v>
      </c>
      <c r="C2515" s="45">
        <v>18000</v>
      </c>
      <c r="D2515" t="s">
        <v>855</v>
      </c>
      <c r="E2515" s="46">
        <v>45366</v>
      </c>
      <c r="F2515" s="45" t="s">
        <v>721</v>
      </c>
      <c r="I2515" t="s">
        <v>760</v>
      </c>
    </row>
    <row r="2516" spans="1:9" hidden="1" x14ac:dyDescent="0.3">
      <c r="A2516" t="s">
        <v>779</v>
      </c>
      <c r="B2516" s="46">
        <v>45278</v>
      </c>
      <c r="C2516" s="45">
        <v>18000</v>
      </c>
      <c r="D2516" t="s">
        <v>1261</v>
      </c>
      <c r="E2516" s="46">
        <v>45307</v>
      </c>
      <c r="F2516" s="45" t="s">
        <v>721</v>
      </c>
      <c r="I2516" t="s">
        <v>726</v>
      </c>
    </row>
    <row r="2517" spans="1:9" hidden="1" x14ac:dyDescent="0.3">
      <c r="A2517" t="s">
        <v>775</v>
      </c>
      <c r="B2517" s="46">
        <v>45395</v>
      </c>
      <c r="C2517" s="45">
        <v>18000</v>
      </c>
      <c r="D2517" t="s">
        <v>2122</v>
      </c>
      <c r="E2517" s="46">
        <v>45428</v>
      </c>
      <c r="F2517" s="45" t="s">
        <v>721</v>
      </c>
      <c r="G2517">
        <v>0</v>
      </c>
      <c r="I2517" t="s">
        <v>726</v>
      </c>
    </row>
    <row r="2518" spans="1:9" hidden="1" x14ac:dyDescent="0.3">
      <c r="A2518" t="s">
        <v>777</v>
      </c>
      <c r="B2518" s="46">
        <v>45367</v>
      </c>
      <c r="C2518" s="45">
        <v>18000</v>
      </c>
      <c r="D2518" t="s">
        <v>1389</v>
      </c>
      <c r="E2518" s="46">
        <v>45397</v>
      </c>
      <c r="F2518" s="45" t="s">
        <v>721</v>
      </c>
      <c r="I2518" t="s">
        <v>1148</v>
      </c>
    </row>
    <row r="2519" spans="1:9" hidden="1" x14ac:dyDescent="0.3">
      <c r="A2519" t="s">
        <v>722</v>
      </c>
      <c r="B2519" s="46">
        <v>45341</v>
      </c>
      <c r="C2519" s="45">
        <v>17990</v>
      </c>
      <c r="D2519" t="s">
        <v>771</v>
      </c>
      <c r="E2519" s="46">
        <v>45366</v>
      </c>
      <c r="F2519" s="45" t="s">
        <v>721</v>
      </c>
      <c r="I2519" t="s">
        <v>726</v>
      </c>
    </row>
    <row r="2520" spans="1:9" hidden="1" x14ac:dyDescent="0.3">
      <c r="A2520" t="s">
        <v>775</v>
      </c>
      <c r="B2520" s="46">
        <v>45237</v>
      </c>
      <c r="C2520" s="45">
        <v>17910</v>
      </c>
      <c r="D2520" t="s">
        <v>1031</v>
      </c>
      <c r="E2520" s="46">
        <v>45278</v>
      </c>
      <c r="F2520" s="45" t="s">
        <v>721</v>
      </c>
      <c r="I2520" t="s">
        <v>726</v>
      </c>
    </row>
    <row r="2521" spans="1:9" hidden="1" x14ac:dyDescent="0.3">
      <c r="A2521" t="s">
        <v>722</v>
      </c>
      <c r="B2521" s="46">
        <v>45209</v>
      </c>
      <c r="C2521" s="45">
        <v>17900</v>
      </c>
      <c r="D2521" t="s">
        <v>776</v>
      </c>
      <c r="E2521" s="46">
        <v>45245</v>
      </c>
      <c r="F2521" s="45" t="s">
        <v>721</v>
      </c>
      <c r="I2521" t="s">
        <v>736</v>
      </c>
    </row>
    <row r="2522" spans="1:9" hidden="1" x14ac:dyDescent="0.3">
      <c r="A2522" t="s">
        <v>727</v>
      </c>
      <c r="B2522" s="46">
        <v>45337</v>
      </c>
      <c r="C2522" s="45">
        <v>17850</v>
      </c>
      <c r="D2522" t="s">
        <v>991</v>
      </c>
      <c r="E2522" s="46">
        <v>45366</v>
      </c>
      <c r="F2522" s="45" t="s">
        <v>721</v>
      </c>
      <c r="I2522" t="s">
        <v>726</v>
      </c>
    </row>
    <row r="2523" spans="1:9" hidden="1" x14ac:dyDescent="0.3">
      <c r="A2523" t="s">
        <v>775</v>
      </c>
      <c r="B2523" s="46">
        <v>45282</v>
      </c>
      <c r="C2523" s="45">
        <v>17730</v>
      </c>
      <c r="D2523" t="s">
        <v>1031</v>
      </c>
      <c r="E2523" s="46">
        <v>45307</v>
      </c>
      <c r="F2523" s="45" t="s">
        <v>721</v>
      </c>
      <c r="I2523" t="s">
        <v>726</v>
      </c>
    </row>
    <row r="2524" spans="1:9" hidden="1" x14ac:dyDescent="0.3">
      <c r="A2524" t="s">
        <v>734</v>
      </c>
      <c r="B2524" s="46">
        <v>45279</v>
      </c>
      <c r="C2524" s="45">
        <v>17700</v>
      </c>
      <c r="D2524" t="s">
        <v>1163</v>
      </c>
      <c r="E2524" s="46">
        <v>45306</v>
      </c>
      <c r="F2524" s="45" t="s">
        <v>721</v>
      </c>
      <c r="I2524" t="s">
        <v>726</v>
      </c>
    </row>
    <row r="2525" spans="1:9" hidden="1" x14ac:dyDescent="0.3">
      <c r="A2525" t="s">
        <v>734</v>
      </c>
      <c r="B2525" s="46">
        <v>45428</v>
      </c>
      <c r="C2525" s="45">
        <v>17700</v>
      </c>
      <c r="D2525" t="s">
        <v>1163</v>
      </c>
      <c r="E2525" s="46">
        <v>45458</v>
      </c>
      <c r="F2525" s="45" t="s">
        <v>721</v>
      </c>
      <c r="I2525" t="s">
        <v>726</v>
      </c>
    </row>
    <row r="2526" spans="1:9" hidden="1" x14ac:dyDescent="0.3">
      <c r="A2526" t="s">
        <v>724</v>
      </c>
      <c r="B2526" s="46">
        <v>45330</v>
      </c>
      <c r="C2526" s="45">
        <v>17600</v>
      </c>
      <c r="D2526" t="s">
        <v>1057</v>
      </c>
      <c r="E2526" s="46">
        <v>45377</v>
      </c>
      <c r="F2526" s="45" t="s">
        <v>721</v>
      </c>
      <c r="I2526" t="s">
        <v>726</v>
      </c>
    </row>
    <row r="2527" spans="1:9" hidden="1" x14ac:dyDescent="0.3">
      <c r="A2527" t="s">
        <v>722</v>
      </c>
      <c r="B2527" s="46">
        <v>45376</v>
      </c>
      <c r="C2527" s="45">
        <v>17560</v>
      </c>
      <c r="D2527" t="s">
        <v>771</v>
      </c>
      <c r="E2527" s="46">
        <v>45397</v>
      </c>
      <c r="F2527" s="45" t="s">
        <v>721</v>
      </c>
      <c r="I2527" t="s">
        <v>726</v>
      </c>
    </row>
    <row r="2528" spans="1:9" hidden="1" x14ac:dyDescent="0.3">
      <c r="A2528" t="s">
        <v>748</v>
      </c>
      <c r="B2528" s="46">
        <v>45294</v>
      </c>
      <c r="C2528" s="45">
        <v>17500</v>
      </c>
      <c r="D2528" t="s">
        <v>1264</v>
      </c>
      <c r="E2528" s="46">
        <v>45337</v>
      </c>
      <c r="F2528" s="45" t="s">
        <v>721</v>
      </c>
      <c r="I2528" t="s">
        <v>782</v>
      </c>
    </row>
    <row r="2529" spans="1:9" hidden="1" x14ac:dyDescent="0.3">
      <c r="A2529" t="s">
        <v>775</v>
      </c>
      <c r="B2529" s="46">
        <v>45278</v>
      </c>
      <c r="C2529" s="45">
        <v>17500</v>
      </c>
      <c r="D2529" t="s">
        <v>1088</v>
      </c>
      <c r="E2529" s="46">
        <v>45307</v>
      </c>
      <c r="F2529" s="45" t="s">
        <v>721</v>
      </c>
      <c r="I2529" t="s">
        <v>726</v>
      </c>
    </row>
    <row r="2530" spans="1:9" hidden="1" x14ac:dyDescent="0.3">
      <c r="A2530" t="s">
        <v>767</v>
      </c>
      <c r="B2530" s="46">
        <v>45225</v>
      </c>
      <c r="C2530" s="45">
        <v>17500</v>
      </c>
      <c r="D2530" t="s">
        <v>1265</v>
      </c>
      <c r="E2530" s="46">
        <v>45245</v>
      </c>
      <c r="F2530" s="45" t="s">
        <v>721</v>
      </c>
      <c r="I2530" t="s">
        <v>726</v>
      </c>
    </row>
    <row r="2531" spans="1:9" hidden="1" x14ac:dyDescent="0.3">
      <c r="A2531" t="s">
        <v>727</v>
      </c>
      <c r="B2531" s="46">
        <v>45212</v>
      </c>
      <c r="C2531" s="45">
        <v>17500</v>
      </c>
      <c r="D2531" t="s">
        <v>980</v>
      </c>
      <c r="E2531" s="46">
        <v>45245</v>
      </c>
      <c r="F2531" s="45" t="s">
        <v>721</v>
      </c>
      <c r="I2531" t="s">
        <v>726</v>
      </c>
    </row>
    <row r="2532" spans="1:9" hidden="1" x14ac:dyDescent="0.3">
      <c r="A2532" t="s">
        <v>775</v>
      </c>
      <c r="B2532" s="46">
        <v>45166</v>
      </c>
      <c r="C2532" s="45">
        <v>17500</v>
      </c>
      <c r="D2532" t="s">
        <v>1263</v>
      </c>
      <c r="E2532" s="46">
        <v>45184</v>
      </c>
      <c r="F2532" s="45" t="s">
        <v>721</v>
      </c>
    </row>
    <row r="2533" spans="1:9" hidden="1" x14ac:dyDescent="0.3">
      <c r="A2533" t="s">
        <v>724</v>
      </c>
      <c r="B2533" s="46">
        <v>45420</v>
      </c>
      <c r="C2533" s="45">
        <v>17370</v>
      </c>
      <c r="D2533" t="s">
        <v>755</v>
      </c>
      <c r="E2533" s="46">
        <v>45469</v>
      </c>
      <c r="F2533" s="45" t="s">
        <v>721</v>
      </c>
      <c r="I2533" t="s">
        <v>726</v>
      </c>
    </row>
    <row r="2534" spans="1:9" hidden="1" x14ac:dyDescent="0.3">
      <c r="A2534" t="s">
        <v>729</v>
      </c>
      <c r="B2534" s="46">
        <v>45181</v>
      </c>
      <c r="C2534" s="45">
        <v>17300</v>
      </c>
      <c r="D2534" t="s">
        <v>1154</v>
      </c>
      <c r="E2534" s="46">
        <v>45215</v>
      </c>
      <c r="F2534" s="45" t="s">
        <v>721</v>
      </c>
      <c r="I2534" t="s">
        <v>726</v>
      </c>
    </row>
    <row r="2535" spans="1:9" hidden="1" x14ac:dyDescent="0.3">
      <c r="A2535" t="s">
        <v>767</v>
      </c>
      <c r="B2535" s="46">
        <v>45176</v>
      </c>
      <c r="C2535" s="45">
        <v>17000</v>
      </c>
      <c r="D2535" t="s">
        <v>1267</v>
      </c>
      <c r="E2535" s="46">
        <v>45215</v>
      </c>
      <c r="F2535" s="45" t="s">
        <v>721</v>
      </c>
      <c r="I2535" t="s">
        <v>726</v>
      </c>
    </row>
    <row r="2536" spans="1:9" hidden="1" x14ac:dyDescent="0.3">
      <c r="A2536" t="s">
        <v>748</v>
      </c>
      <c r="B2536" s="46">
        <v>45383</v>
      </c>
      <c r="C2536" s="45">
        <v>17000</v>
      </c>
      <c r="D2536" t="s">
        <v>1192</v>
      </c>
      <c r="E2536" s="46">
        <v>45428</v>
      </c>
      <c r="F2536" s="45" t="s">
        <v>721</v>
      </c>
      <c r="I2536" t="s">
        <v>814</v>
      </c>
    </row>
    <row r="2537" spans="1:9" hidden="1" x14ac:dyDescent="0.3">
      <c r="A2537" t="s">
        <v>767</v>
      </c>
      <c r="B2537" s="46">
        <v>45399</v>
      </c>
      <c r="C2537" s="45">
        <v>17000</v>
      </c>
      <c r="D2537" t="s">
        <v>2080</v>
      </c>
      <c r="E2537" s="46">
        <v>45428</v>
      </c>
      <c r="F2537" s="45" t="s">
        <v>721</v>
      </c>
      <c r="I2537" t="s">
        <v>726</v>
      </c>
    </row>
    <row r="2538" spans="1:9" hidden="1" x14ac:dyDescent="0.3">
      <c r="A2538" t="s">
        <v>727</v>
      </c>
      <c r="B2538" s="46">
        <v>45408</v>
      </c>
      <c r="C2538" s="45">
        <v>17000</v>
      </c>
      <c r="D2538" t="s">
        <v>2080</v>
      </c>
      <c r="E2538" s="46">
        <v>45428</v>
      </c>
      <c r="F2538" s="45" t="s">
        <v>721</v>
      </c>
      <c r="I2538" t="s">
        <v>726</v>
      </c>
    </row>
    <row r="2539" spans="1:9" hidden="1" x14ac:dyDescent="0.3">
      <c r="A2539" t="s">
        <v>748</v>
      </c>
      <c r="B2539" s="46">
        <v>45393</v>
      </c>
      <c r="C2539" s="45">
        <v>17000</v>
      </c>
      <c r="D2539" t="s">
        <v>1039</v>
      </c>
      <c r="E2539" s="46">
        <v>45428</v>
      </c>
      <c r="F2539" s="45" t="s">
        <v>721</v>
      </c>
      <c r="I2539" t="s">
        <v>726</v>
      </c>
    </row>
    <row r="2540" spans="1:9" hidden="1" x14ac:dyDescent="0.3">
      <c r="A2540" t="s">
        <v>779</v>
      </c>
      <c r="B2540" s="46">
        <v>45322</v>
      </c>
      <c r="C2540" s="45">
        <v>17000</v>
      </c>
      <c r="D2540" t="s">
        <v>884</v>
      </c>
      <c r="E2540" s="46">
        <v>45338</v>
      </c>
      <c r="F2540" s="45" t="s">
        <v>721</v>
      </c>
      <c r="I2540" t="s">
        <v>726</v>
      </c>
    </row>
    <row r="2541" spans="1:9" hidden="1" x14ac:dyDescent="0.3">
      <c r="A2541" t="s">
        <v>734</v>
      </c>
      <c r="B2541" s="46">
        <v>45380</v>
      </c>
      <c r="C2541" s="45">
        <v>17000</v>
      </c>
      <c r="D2541" t="s">
        <v>2080</v>
      </c>
      <c r="E2541" s="46">
        <v>45397</v>
      </c>
      <c r="F2541" s="45" t="s">
        <v>721</v>
      </c>
      <c r="I2541" t="s">
        <v>726</v>
      </c>
    </row>
    <row r="2542" spans="1:9" hidden="1" x14ac:dyDescent="0.3">
      <c r="A2542" t="s">
        <v>779</v>
      </c>
      <c r="B2542" s="46">
        <v>45405</v>
      </c>
      <c r="C2542" s="45">
        <v>17000</v>
      </c>
      <c r="D2542" t="s">
        <v>2123</v>
      </c>
      <c r="E2542" s="46">
        <v>45428</v>
      </c>
      <c r="F2542" s="45" t="s">
        <v>721</v>
      </c>
      <c r="G2542">
        <v>0</v>
      </c>
      <c r="I2542" t="s">
        <v>726</v>
      </c>
    </row>
    <row r="2543" spans="1:9" hidden="1" x14ac:dyDescent="0.3">
      <c r="A2543" t="s">
        <v>779</v>
      </c>
      <c r="B2543" s="46">
        <v>45407</v>
      </c>
      <c r="C2543" s="45">
        <v>17000</v>
      </c>
      <c r="D2543" t="s">
        <v>884</v>
      </c>
      <c r="E2543" s="46">
        <v>45428</v>
      </c>
      <c r="F2543" s="45" t="s">
        <v>721</v>
      </c>
      <c r="G2543">
        <v>0</v>
      </c>
      <c r="I2543" t="s">
        <v>726</v>
      </c>
    </row>
    <row r="2544" spans="1:9" hidden="1" x14ac:dyDescent="0.3">
      <c r="A2544" t="s">
        <v>748</v>
      </c>
      <c r="B2544" s="46">
        <v>45218</v>
      </c>
      <c r="C2544" s="45">
        <v>16960</v>
      </c>
      <c r="D2544" t="s">
        <v>735</v>
      </c>
      <c r="E2544" s="46">
        <v>45245</v>
      </c>
      <c r="F2544" s="45" t="s">
        <v>721</v>
      </c>
      <c r="I2544" t="s">
        <v>726</v>
      </c>
    </row>
    <row r="2545" spans="1:9" hidden="1" x14ac:dyDescent="0.3">
      <c r="A2545" t="s">
        <v>729</v>
      </c>
      <c r="B2545" s="46">
        <v>45239</v>
      </c>
      <c r="C2545" s="45">
        <v>16900</v>
      </c>
      <c r="D2545" t="s">
        <v>991</v>
      </c>
      <c r="E2545" s="46">
        <v>45275</v>
      </c>
      <c r="F2545" s="45" t="s">
        <v>721</v>
      </c>
      <c r="I2545" t="s">
        <v>726</v>
      </c>
    </row>
    <row r="2546" spans="1:9" hidden="1" x14ac:dyDescent="0.3">
      <c r="A2546" t="s">
        <v>734</v>
      </c>
      <c r="B2546" s="46">
        <v>45281</v>
      </c>
      <c r="C2546" s="45">
        <v>16900</v>
      </c>
      <c r="D2546" t="s">
        <v>830</v>
      </c>
      <c r="E2546" s="46">
        <v>45306</v>
      </c>
      <c r="F2546" s="45" t="s">
        <v>721</v>
      </c>
      <c r="I2546" t="s">
        <v>726</v>
      </c>
    </row>
    <row r="2547" spans="1:9" hidden="1" x14ac:dyDescent="0.3">
      <c r="A2547" t="s">
        <v>734</v>
      </c>
      <c r="B2547" s="46">
        <v>45302</v>
      </c>
      <c r="C2547" s="45">
        <v>16900</v>
      </c>
      <c r="D2547" t="s">
        <v>1225</v>
      </c>
      <c r="E2547" s="46">
        <v>45337</v>
      </c>
      <c r="F2547" s="45" t="s">
        <v>721</v>
      </c>
      <c r="I2547" t="s">
        <v>726</v>
      </c>
    </row>
    <row r="2548" spans="1:9" hidden="1" x14ac:dyDescent="0.3">
      <c r="A2548" t="s">
        <v>724</v>
      </c>
      <c r="B2548" s="46">
        <v>45275</v>
      </c>
      <c r="C2548" s="45">
        <v>16830</v>
      </c>
      <c r="D2548" t="s">
        <v>755</v>
      </c>
      <c r="E2548" s="46">
        <v>45317</v>
      </c>
      <c r="F2548" s="45" t="s">
        <v>721</v>
      </c>
      <c r="I2548" t="s">
        <v>726</v>
      </c>
    </row>
    <row r="2549" spans="1:9" hidden="1" x14ac:dyDescent="0.3">
      <c r="A2549" t="s">
        <v>724</v>
      </c>
      <c r="B2549" s="46">
        <v>45251</v>
      </c>
      <c r="C2549" s="45">
        <v>16830</v>
      </c>
      <c r="D2549" t="s">
        <v>755</v>
      </c>
      <c r="E2549" s="46">
        <v>45286</v>
      </c>
      <c r="F2549" s="45" t="s">
        <v>721</v>
      </c>
      <c r="I2549" t="s">
        <v>726</v>
      </c>
    </row>
    <row r="2550" spans="1:9" hidden="1" x14ac:dyDescent="0.3">
      <c r="A2550" t="s">
        <v>775</v>
      </c>
      <c r="B2550" s="46">
        <v>45126</v>
      </c>
      <c r="C2550" s="45">
        <v>16800</v>
      </c>
      <c r="D2550" t="s">
        <v>1268</v>
      </c>
      <c r="E2550" s="46">
        <v>45154</v>
      </c>
      <c r="F2550" s="45" t="s">
        <v>721</v>
      </c>
      <c r="I2550" t="s">
        <v>726</v>
      </c>
    </row>
    <row r="2551" spans="1:9" hidden="1" x14ac:dyDescent="0.3">
      <c r="A2551" t="s">
        <v>761</v>
      </c>
      <c r="B2551" s="46">
        <v>45420</v>
      </c>
      <c r="C2551" s="45">
        <v>16800</v>
      </c>
      <c r="D2551" t="s">
        <v>1220</v>
      </c>
      <c r="E2551" s="46">
        <v>45469</v>
      </c>
      <c r="F2551" s="45" t="s">
        <v>721</v>
      </c>
      <c r="I2551" t="s">
        <v>838</v>
      </c>
    </row>
    <row r="2552" spans="1:9" hidden="1" x14ac:dyDescent="0.3">
      <c r="A2552" t="s">
        <v>1269</v>
      </c>
      <c r="B2552" s="46">
        <v>45275</v>
      </c>
      <c r="C2552" s="45">
        <v>16700</v>
      </c>
      <c r="D2552" t="s">
        <v>1270</v>
      </c>
      <c r="E2552" s="46">
        <v>45317</v>
      </c>
      <c r="F2552" s="45" t="s">
        <v>721</v>
      </c>
      <c r="I2552" t="s">
        <v>1162</v>
      </c>
    </row>
    <row r="2553" spans="1:9" hidden="1" x14ac:dyDescent="0.3">
      <c r="A2553" t="s">
        <v>722</v>
      </c>
      <c r="B2553" s="46">
        <v>45351</v>
      </c>
      <c r="C2553" s="45">
        <v>16520</v>
      </c>
      <c r="D2553" t="s">
        <v>991</v>
      </c>
      <c r="E2553" s="46">
        <v>45397</v>
      </c>
      <c r="F2553" s="45" t="s">
        <v>721</v>
      </c>
      <c r="I2553" t="s">
        <v>726</v>
      </c>
    </row>
    <row r="2554" spans="1:9" hidden="1" x14ac:dyDescent="0.3">
      <c r="A2554" t="s">
        <v>779</v>
      </c>
      <c r="B2554" s="46">
        <v>45442</v>
      </c>
      <c r="C2554" s="45">
        <v>16500</v>
      </c>
      <c r="D2554" t="s">
        <v>1247</v>
      </c>
      <c r="E2554" s="46">
        <v>45459</v>
      </c>
      <c r="F2554" s="45" t="s">
        <v>721</v>
      </c>
      <c r="I2554" t="s">
        <v>726</v>
      </c>
    </row>
    <row r="2555" spans="1:9" hidden="1" x14ac:dyDescent="0.3">
      <c r="A2555" t="s">
        <v>775</v>
      </c>
      <c r="B2555" s="46">
        <v>45169</v>
      </c>
      <c r="C2555" s="45">
        <v>16500</v>
      </c>
      <c r="D2555" t="s">
        <v>991</v>
      </c>
      <c r="E2555" s="46">
        <v>45184</v>
      </c>
      <c r="F2555" s="45" t="s">
        <v>721</v>
      </c>
      <c r="I2555" t="s">
        <v>726</v>
      </c>
    </row>
    <row r="2556" spans="1:9" hidden="1" x14ac:dyDescent="0.3">
      <c r="A2556" t="s">
        <v>767</v>
      </c>
      <c r="B2556" s="46">
        <v>45162</v>
      </c>
      <c r="C2556" s="45">
        <v>16500</v>
      </c>
      <c r="D2556" t="s">
        <v>1150</v>
      </c>
      <c r="E2556" s="46">
        <v>45184</v>
      </c>
      <c r="F2556" s="45" t="s">
        <v>721</v>
      </c>
      <c r="I2556" t="s">
        <v>726</v>
      </c>
    </row>
    <row r="2557" spans="1:9" hidden="1" x14ac:dyDescent="0.3">
      <c r="A2557" t="s">
        <v>724</v>
      </c>
      <c r="B2557" s="46">
        <v>45176</v>
      </c>
      <c r="C2557" s="45">
        <v>16400</v>
      </c>
      <c r="D2557" t="s">
        <v>888</v>
      </c>
      <c r="E2557" s="46">
        <v>45225</v>
      </c>
      <c r="F2557" s="45" t="s">
        <v>721</v>
      </c>
      <c r="I2557" t="s">
        <v>726</v>
      </c>
    </row>
    <row r="2558" spans="1:9" hidden="1" x14ac:dyDescent="0.3">
      <c r="A2558" t="s">
        <v>734</v>
      </c>
      <c r="B2558" s="46">
        <v>45271</v>
      </c>
      <c r="C2558" s="45">
        <v>16400</v>
      </c>
      <c r="D2558" t="s">
        <v>1271</v>
      </c>
      <c r="E2558" s="46">
        <v>45306</v>
      </c>
      <c r="F2558" s="45" t="s">
        <v>721</v>
      </c>
      <c r="I2558" t="s">
        <v>1200</v>
      </c>
    </row>
    <row r="2559" spans="1:9" hidden="1" x14ac:dyDescent="0.3">
      <c r="A2559" t="s">
        <v>729</v>
      </c>
      <c r="B2559" s="46">
        <v>45260</v>
      </c>
      <c r="C2559" s="45">
        <v>16400</v>
      </c>
      <c r="D2559" t="s">
        <v>991</v>
      </c>
      <c r="E2559" s="46">
        <v>45275</v>
      </c>
      <c r="F2559" s="45" t="s">
        <v>721</v>
      </c>
      <c r="I2559" t="s">
        <v>726</v>
      </c>
    </row>
    <row r="2560" spans="1:9" hidden="1" x14ac:dyDescent="0.3">
      <c r="A2560" t="s">
        <v>722</v>
      </c>
      <c r="B2560" s="46">
        <v>45211</v>
      </c>
      <c r="C2560" s="45">
        <v>16400</v>
      </c>
      <c r="D2560" t="s">
        <v>1237</v>
      </c>
      <c r="E2560" s="46">
        <v>45245</v>
      </c>
      <c r="F2560" s="45" t="s">
        <v>721</v>
      </c>
      <c r="I2560" t="s">
        <v>726</v>
      </c>
    </row>
    <row r="2561" spans="1:9" hidden="1" x14ac:dyDescent="0.3">
      <c r="A2561" t="s">
        <v>734</v>
      </c>
      <c r="B2561" s="46">
        <v>45421</v>
      </c>
      <c r="C2561" s="45">
        <v>16400</v>
      </c>
      <c r="D2561" t="s">
        <v>1271</v>
      </c>
      <c r="E2561" s="46">
        <v>45458</v>
      </c>
      <c r="F2561" s="45" t="s">
        <v>721</v>
      </c>
      <c r="I2561" t="s">
        <v>1200</v>
      </c>
    </row>
    <row r="2562" spans="1:9" hidden="1" x14ac:dyDescent="0.3">
      <c r="A2562" t="s">
        <v>734</v>
      </c>
      <c r="B2562" s="46">
        <v>45391</v>
      </c>
      <c r="C2562" s="45">
        <v>16400</v>
      </c>
      <c r="D2562" t="s">
        <v>1271</v>
      </c>
      <c r="E2562" s="46">
        <v>45428</v>
      </c>
      <c r="F2562" s="45" t="s">
        <v>721</v>
      </c>
      <c r="I2562" t="s">
        <v>1200</v>
      </c>
    </row>
    <row r="2563" spans="1:9" hidden="1" x14ac:dyDescent="0.3">
      <c r="A2563" t="s">
        <v>734</v>
      </c>
      <c r="B2563" s="46">
        <v>45362</v>
      </c>
      <c r="C2563" s="45">
        <v>16400</v>
      </c>
      <c r="D2563" t="s">
        <v>1271</v>
      </c>
      <c r="E2563" s="46">
        <v>45397</v>
      </c>
      <c r="F2563" s="45" t="s">
        <v>721</v>
      </c>
      <c r="I2563" t="s">
        <v>1200</v>
      </c>
    </row>
    <row r="2564" spans="1:9" hidden="1" x14ac:dyDescent="0.3">
      <c r="A2564" t="s">
        <v>734</v>
      </c>
      <c r="B2564" s="46">
        <v>45300</v>
      </c>
      <c r="C2564" s="45">
        <v>16400</v>
      </c>
      <c r="D2564" t="s">
        <v>1271</v>
      </c>
      <c r="E2564" s="46">
        <v>45337</v>
      </c>
      <c r="F2564" s="45" t="s">
        <v>721</v>
      </c>
      <c r="I2564" t="s">
        <v>1200</v>
      </c>
    </row>
    <row r="2565" spans="1:9" hidden="1" x14ac:dyDescent="0.3">
      <c r="A2565" t="s">
        <v>734</v>
      </c>
      <c r="B2565" s="46">
        <v>45335</v>
      </c>
      <c r="C2565" s="45">
        <v>16400</v>
      </c>
      <c r="D2565" t="s">
        <v>1271</v>
      </c>
      <c r="E2565" s="46">
        <v>45366</v>
      </c>
      <c r="F2565" s="45" t="s">
        <v>721</v>
      </c>
      <c r="I2565" t="s">
        <v>1200</v>
      </c>
    </row>
    <row r="2566" spans="1:9" hidden="1" x14ac:dyDescent="0.3">
      <c r="A2566" t="s">
        <v>734</v>
      </c>
      <c r="B2566" s="46">
        <v>45407</v>
      </c>
      <c r="C2566" s="45">
        <v>16300</v>
      </c>
      <c r="D2566" t="s">
        <v>1225</v>
      </c>
      <c r="E2566" s="46">
        <v>45428</v>
      </c>
      <c r="F2566" s="45" t="s">
        <v>721</v>
      </c>
      <c r="I2566" t="s">
        <v>726</v>
      </c>
    </row>
    <row r="2567" spans="1:9" hidden="1" x14ac:dyDescent="0.3">
      <c r="A2567" t="s">
        <v>746</v>
      </c>
      <c r="B2567" s="46">
        <v>45371</v>
      </c>
      <c r="C2567" s="45">
        <v>16269</v>
      </c>
      <c r="D2567" t="s">
        <v>752</v>
      </c>
      <c r="E2567" s="46">
        <v>45397</v>
      </c>
      <c r="F2567" s="45" t="s">
        <v>731</v>
      </c>
      <c r="G2567" t="s">
        <v>732</v>
      </c>
      <c r="H2567">
        <v>12</v>
      </c>
      <c r="I2567" t="s">
        <v>733</v>
      </c>
    </row>
    <row r="2568" spans="1:9" hidden="1" x14ac:dyDescent="0.3">
      <c r="A2568" t="s">
        <v>775</v>
      </c>
      <c r="B2568" s="46">
        <v>45405</v>
      </c>
      <c r="C2568" s="45">
        <v>16200</v>
      </c>
      <c r="D2568" t="s">
        <v>2124</v>
      </c>
      <c r="E2568" s="46">
        <v>45428</v>
      </c>
      <c r="F2568" s="45" t="s">
        <v>721</v>
      </c>
      <c r="G2568">
        <v>0</v>
      </c>
      <c r="I2568" t="s">
        <v>726</v>
      </c>
    </row>
    <row r="2569" spans="1:9" hidden="1" x14ac:dyDescent="0.3">
      <c r="A2569" t="s">
        <v>724</v>
      </c>
      <c r="B2569" s="46">
        <v>45336</v>
      </c>
      <c r="C2569" s="45">
        <v>16200</v>
      </c>
      <c r="D2569" t="s">
        <v>755</v>
      </c>
      <c r="E2569" s="46">
        <v>45377</v>
      </c>
      <c r="F2569" s="45" t="s">
        <v>721</v>
      </c>
      <c r="I2569" t="s">
        <v>726</v>
      </c>
    </row>
    <row r="2570" spans="1:9" hidden="1" x14ac:dyDescent="0.3">
      <c r="A2570" t="s">
        <v>727</v>
      </c>
      <c r="B2570" s="46">
        <v>45397</v>
      </c>
      <c r="C2570" s="45">
        <v>16200</v>
      </c>
      <c r="D2570" t="s">
        <v>1031</v>
      </c>
      <c r="E2570" s="46">
        <v>45428</v>
      </c>
      <c r="F2570" s="45" t="s">
        <v>721</v>
      </c>
      <c r="I2570" t="s">
        <v>726</v>
      </c>
    </row>
    <row r="2571" spans="1:9" hidden="1" x14ac:dyDescent="0.3">
      <c r="A2571" t="s">
        <v>727</v>
      </c>
      <c r="B2571" s="46">
        <v>45397</v>
      </c>
      <c r="C2571" s="45">
        <v>16200</v>
      </c>
      <c r="D2571" t="s">
        <v>1031</v>
      </c>
      <c r="E2571" s="46">
        <v>45428</v>
      </c>
      <c r="F2571" s="45" t="s">
        <v>721</v>
      </c>
      <c r="I2571" t="s">
        <v>726</v>
      </c>
    </row>
    <row r="2572" spans="1:9" hidden="1" x14ac:dyDescent="0.3">
      <c r="A2572" t="s">
        <v>724</v>
      </c>
      <c r="B2572" s="46">
        <v>45441</v>
      </c>
      <c r="C2572" s="45">
        <v>16200</v>
      </c>
      <c r="D2572" t="s">
        <v>755</v>
      </c>
      <c r="E2572" s="46">
        <v>45469</v>
      </c>
      <c r="F2572" s="45" t="s">
        <v>721</v>
      </c>
      <c r="I2572" t="s">
        <v>726</v>
      </c>
    </row>
    <row r="2573" spans="1:9" hidden="1" x14ac:dyDescent="0.3">
      <c r="A2573" t="s">
        <v>734</v>
      </c>
      <c r="B2573" s="46">
        <v>45211</v>
      </c>
      <c r="C2573" s="45">
        <v>16200</v>
      </c>
      <c r="D2573" t="s">
        <v>1272</v>
      </c>
      <c r="E2573" s="46">
        <v>45245</v>
      </c>
      <c r="F2573" s="45" t="s">
        <v>721</v>
      </c>
      <c r="I2573" t="s">
        <v>726</v>
      </c>
    </row>
    <row r="2574" spans="1:9" hidden="1" x14ac:dyDescent="0.3">
      <c r="A2574" t="s">
        <v>724</v>
      </c>
      <c r="B2574" s="46">
        <v>45293</v>
      </c>
      <c r="C2574" s="45">
        <v>16200</v>
      </c>
      <c r="D2574" t="s">
        <v>755</v>
      </c>
      <c r="E2574" s="46">
        <v>45317</v>
      </c>
      <c r="F2574" s="45" t="s">
        <v>721</v>
      </c>
      <c r="I2574" t="s">
        <v>726</v>
      </c>
    </row>
    <row r="2575" spans="1:9" hidden="1" x14ac:dyDescent="0.3">
      <c r="A2575" t="s">
        <v>727</v>
      </c>
      <c r="B2575" s="46">
        <v>45148</v>
      </c>
      <c r="C2575" s="45">
        <v>16200</v>
      </c>
      <c r="D2575" t="s">
        <v>1031</v>
      </c>
      <c r="E2575" s="46">
        <v>45184</v>
      </c>
      <c r="F2575" s="45" t="s">
        <v>721</v>
      </c>
      <c r="I2575" t="s">
        <v>726</v>
      </c>
    </row>
    <row r="2576" spans="1:9" hidden="1" x14ac:dyDescent="0.3">
      <c r="A2576" t="s">
        <v>767</v>
      </c>
      <c r="B2576" s="46">
        <v>45274</v>
      </c>
      <c r="C2576" s="45">
        <v>16100</v>
      </c>
      <c r="D2576" t="s">
        <v>1237</v>
      </c>
      <c r="E2576" s="46">
        <v>45306</v>
      </c>
      <c r="F2576" s="45" t="s">
        <v>721</v>
      </c>
      <c r="I2576" t="s">
        <v>726</v>
      </c>
    </row>
    <row r="2577" spans="1:9" hidden="1" x14ac:dyDescent="0.3">
      <c r="A2577" t="s">
        <v>727</v>
      </c>
      <c r="B2577" s="46">
        <v>45278</v>
      </c>
      <c r="C2577" s="45">
        <v>16000</v>
      </c>
      <c r="D2577" t="s">
        <v>938</v>
      </c>
      <c r="E2577" s="46">
        <v>45306</v>
      </c>
      <c r="F2577" s="45" t="s">
        <v>721</v>
      </c>
      <c r="I2577" t="s">
        <v>726</v>
      </c>
    </row>
    <row r="2578" spans="1:9" hidden="1" x14ac:dyDescent="0.3">
      <c r="A2578" t="s">
        <v>727</v>
      </c>
      <c r="B2578" s="46">
        <v>45287</v>
      </c>
      <c r="C2578" s="45">
        <v>16000</v>
      </c>
      <c r="D2578" t="s">
        <v>938</v>
      </c>
      <c r="E2578" s="46">
        <v>45306</v>
      </c>
      <c r="F2578" s="45" t="s">
        <v>721</v>
      </c>
      <c r="I2578" t="s">
        <v>726</v>
      </c>
    </row>
    <row r="2579" spans="1:9" hidden="1" x14ac:dyDescent="0.3">
      <c r="A2579" t="s">
        <v>729</v>
      </c>
      <c r="B2579" s="46">
        <v>45251</v>
      </c>
      <c r="C2579" s="45">
        <v>16000</v>
      </c>
      <c r="D2579" t="s">
        <v>771</v>
      </c>
      <c r="E2579" s="46">
        <v>45275</v>
      </c>
      <c r="F2579" s="45" t="s">
        <v>721</v>
      </c>
      <c r="I2579" t="s">
        <v>762</v>
      </c>
    </row>
    <row r="2580" spans="1:9" hidden="1" x14ac:dyDescent="0.3">
      <c r="A2580" t="s">
        <v>727</v>
      </c>
      <c r="B2580" s="46">
        <v>45119</v>
      </c>
      <c r="C2580" s="45">
        <v>16000</v>
      </c>
      <c r="D2580" t="s">
        <v>928</v>
      </c>
      <c r="E2580" s="46">
        <v>45154</v>
      </c>
      <c r="F2580" s="45" t="s">
        <v>721</v>
      </c>
      <c r="I2580" t="s">
        <v>726</v>
      </c>
    </row>
    <row r="2581" spans="1:9" hidden="1" x14ac:dyDescent="0.3">
      <c r="A2581" t="s">
        <v>779</v>
      </c>
      <c r="B2581" s="46">
        <v>45171</v>
      </c>
      <c r="C2581" s="45">
        <v>16000</v>
      </c>
      <c r="D2581" t="s">
        <v>1273</v>
      </c>
      <c r="E2581" s="46">
        <v>45215</v>
      </c>
      <c r="F2581" s="45" t="s">
        <v>721</v>
      </c>
    </row>
    <row r="2582" spans="1:9" hidden="1" x14ac:dyDescent="0.3">
      <c r="A2582" t="s">
        <v>779</v>
      </c>
      <c r="B2582" s="46">
        <v>45432</v>
      </c>
      <c r="C2582" s="45">
        <v>16000</v>
      </c>
      <c r="D2582" t="s">
        <v>1301</v>
      </c>
      <c r="E2582" s="46">
        <v>45459</v>
      </c>
      <c r="F2582" s="45" t="s">
        <v>721</v>
      </c>
      <c r="I2582" t="s">
        <v>726</v>
      </c>
    </row>
    <row r="2583" spans="1:9" hidden="1" x14ac:dyDescent="0.3">
      <c r="A2583" t="s">
        <v>775</v>
      </c>
      <c r="B2583" s="46">
        <v>45357</v>
      </c>
      <c r="C2583" s="45">
        <v>16000</v>
      </c>
      <c r="D2583" t="s">
        <v>2099</v>
      </c>
      <c r="E2583" s="46">
        <v>45398</v>
      </c>
      <c r="F2583" s="45" t="s">
        <v>721</v>
      </c>
      <c r="G2583">
        <v>0</v>
      </c>
      <c r="I2583" t="s">
        <v>726</v>
      </c>
    </row>
    <row r="2584" spans="1:9" hidden="1" x14ac:dyDescent="0.3">
      <c r="A2584" t="s">
        <v>727</v>
      </c>
      <c r="B2584" s="46">
        <v>45300</v>
      </c>
      <c r="C2584" s="45">
        <v>16000</v>
      </c>
      <c r="D2584" t="s">
        <v>938</v>
      </c>
      <c r="E2584" s="46">
        <v>45337</v>
      </c>
      <c r="F2584" s="45" t="s">
        <v>721</v>
      </c>
      <c r="I2584" t="s">
        <v>726</v>
      </c>
    </row>
    <row r="2585" spans="1:9" hidden="1" x14ac:dyDescent="0.3">
      <c r="A2585" t="s">
        <v>729</v>
      </c>
      <c r="B2585" s="46">
        <v>45404</v>
      </c>
      <c r="C2585" s="45">
        <v>15980</v>
      </c>
      <c r="D2585" t="s">
        <v>776</v>
      </c>
      <c r="E2585" s="46">
        <v>45428</v>
      </c>
      <c r="F2585" s="45" t="s">
        <v>721</v>
      </c>
      <c r="I2585" t="s">
        <v>762</v>
      </c>
    </row>
    <row r="2586" spans="1:9" hidden="1" x14ac:dyDescent="0.3">
      <c r="A2586" t="s">
        <v>727</v>
      </c>
      <c r="B2586" s="46">
        <v>45335</v>
      </c>
      <c r="C2586" s="45">
        <v>15920</v>
      </c>
      <c r="D2586" t="s">
        <v>765</v>
      </c>
      <c r="E2586" s="46">
        <v>45366</v>
      </c>
      <c r="F2586" s="45" t="s">
        <v>721</v>
      </c>
      <c r="I2586" t="s">
        <v>726</v>
      </c>
    </row>
    <row r="2587" spans="1:9" hidden="1" x14ac:dyDescent="0.3">
      <c r="A2587" t="s">
        <v>757</v>
      </c>
      <c r="B2587" s="46">
        <v>45416</v>
      </c>
      <c r="C2587" s="45">
        <v>15728</v>
      </c>
      <c r="D2587" t="s">
        <v>753</v>
      </c>
      <c r="E2587" s="46">
        <v>45469</v>
      </c>
      <c r="F2587" s="45" t="s">
        <v>731</v>
      </c>
      <c r="G2587" t="s">
        <v>732</v>
      </c>
      <c r="H2587">
        <v>11.25</v>
      </c>
      <c r="I2587" t="s">
        <v>733</v>
      </c>
    </row>
    <row r="2588" spans="1:9" hidden="1" x14ac:dyDescent="0.3">
      <c r="A2588" t="s">
        <v>727</v>
      </c>
      <c r="B2588" s="46">
        <v>45379</v>
      </c>
      <c r="C2588" s="45">
        <v>15700</v>
      </c>
      <c r="D2588" t="s">
        <v>1163</v>
      </c>
      <c r="E2588" s="46">
        <v>45397</v>
      </c>
      <c r="F2588" s="45" t="s">
        <v>721</v>
      </c>
      <c r="I2588" t="s">
        <v>726</v>
      </c>
    </row>
    <row r="2589" spans="1:9" hidden="1" x14ac:dyDescent="0.3">
      <c r="A2589" t="s">
        <v>729</v>
      </c>
      <c r="B2589" s="46">
        <v>45335</v>
      </c>
      <c r="C2589" s="45">
        <v>15680</v>
      </c>
      <c r="D2589" t="s">
        <v>776</v>
      </c>
      <c r="E2589" s="46">
        <v>45366</v>
      </c>
      <c r="F2589" s="45" t="s">
        <v>721</v>
      </c>
      <c r="I2589" t="s">
        <v>762</v>
      </c>
    </row>
    <row r="2590" spans="1:9" hidden="1" x14ac:dyDescent="0.3">
      <c r="A2590" t="s">
        <v>729</v>
      </c>
      <c r="B2590" s="46">
        <v>45370</v>
      </c>
      <c r="C2590" s="45">
        <v>15610</v>
      </c>
      <c r="D2590" t="s">
        <v>776</v>
      </c>
      <c r="E2590" s="46">
        <v>45397</v>
      </c>
      <c r="F2590" s="45" t="s">
        <v>721</v>
      </c>
      <c r="I2590" t="s">
        <v>762</v>
      </c>
    </row>
    <row r="2591" spans="1:9" hidden="1" x14ac:dyDescent="0.3">
      <c r="A2591" t="s">
        <v>1169</v>
      </c>
      <c r="B2591" s="46">
        <v>45209</v>
      </c>
      <c r="C2591" s="45">
        <v>15600</v>
      </c>
      <c r="D2591" t="s">
        <v>1274</v>
      </c>
      <c r="E2591" s="46">
        <v>45256</v>
      </c>
      <c r="F2591" s="45" t="s">
        <v>721</v>
      </c>
      <c r="I2591" t="s">
        <v>1162</v>
      </c>
    </row>
    <row r="2592" spans="1:9" hidden="1" x14ac:dyDescent="0.3">
      <c r="A2592" t="s">
        <v>729</v>
      </c>
      <c r="B2592" s="46">
        <v>45232</v>
      </c>
      <c r="C2592" s="45">
        <v>15500</v>
      </c>
      <c r="D2592" t="s">
        <v>1165</v>
      </c>
      <c r="E2592" s="46">
        <v>45275</v>
      </c>
      <c r="F2592" s="45" t="s">
        <v>721</v>
      </c>
      <c r="I2592" t="s">
        <v>726</v>
      </c>
    </row>
    <row r="2593" spans="1:9" hidden="1" x14ac:dyDescent="0.3">
      <c r="A2593" t="s">
        <v>724</v>
      </c>
      <c r="B2593" s="46">
        <v>45218</v>
      </c>
      <c r="C2593" s="45">
        <v>15500</v>
      </c>
      <c r="D2593" t="s">
        <v>1069</v>
      </c>
      <c r="E2593" s="46">
        <v>45256</v>
      </c>
      <c r="F2593" s="45" t="s">
        <v>721</v>
      </c>
      <c r="I2593" t="s">
        <v>726</v>
      </c>
    </row>
    <row r="2594" spans="1:9" hidden="1" x14ac:dyDescent="0.3">
      <c r="A2594" t="s">
        <v>729</v>
      </c>
      <c r="B2594" s="46">
        <v>45287</v>
      </c>
      <c r="C2594" s="45">
        <v>15500</v>
      </c>
      <c r="D2594" t="s">
        <v>1101</v>
      </c>
      <c r="E2594" s="46">
        <v>45306</v>
      </c>
      <c r="F2594" s="45" t="s">
        <v>721</v>
      </c>
      <c r="I2594" t="s">
        <v>736</v>
      </c>
    </row>
    <row r="2595" spans="1:9" hidden="1" x14ac:dyDescent="0.3">
      <c r="A2595" t="s">
        <v>729</v>
      </c>
      <c r="B2595" s="46">
        <v>45204</v>
      </c>
      <c r="C2595" s="45">
        <v>15500</v>
      </c>
      <c r="D2595" t="s">
        <v>1165</v>
      </c>
      <c r="E2595" s="46">
        <v>45245</v>
      </c>
      <c r="F2595" s="45" t="s">
        <v>721</v>
      </c>
      <c r="I2595" t="s">
        <v>726</v>
      </c>
    </row>
    <row r="2596" spans="1:9" hidden="1" x14ac:dyDescent="0.3">
      <c r="A2596" t="s">
        <v>772</v>
      </c>
      <c r="B2596" s="46">
        <v>45127</v>
      </c>
      <c r="C2596" s="45">
        <v>15500</v>
      </c>
      <c r="D2596" t="s">
        <v>1223</v>
      </c>
      <c r="E2596" s="46">
        <v>45164</v>
      </c>
      <c r="F2596" s="45" t="s">
        <v>721</v>
      </c>
      <c r="I2596" t="s">
        <v>760</v>
      </c>
    </row>
    <row r="2597" spans="1:9" hidden="1" x14ac:dyDescent="0.3">
      <c r="A2597" t="s">
        <v>777</v>
      </c>
      <c r="B2597" s="46">
        <v>45127</v>
      </c>
      <c r="C2597" s="45">
        <v>15500</v>
      </c>
      <c r="D2597" t="s">
        <v>1277</v>
      </c>
      <c r="E2597" s="46">
        <v>45154</v>
      </c>
      <c r="F2597" s="45" t="s">
        <v>721</v>
      </c>
    </row>
    <row r="2598" spans="1:9" hidden="1" x14ac:dyDescent="0.3">
      <c r="A2598" t="s">
        <v>734</v>
      </c>
      <c r="B2598" s="46">
        <v>45310</v>
      </c>
      <c r="C2598" s="45">
        <v>15500</v>
      </c>
      <c r="D2598" t="s">
        <v>776</v>
      </c>
      <c r="E2598" s="46">
        <v>45337</v>
      </c>
      <c r="F2598" s="45" t="s">
        <v>721</v>
      </c>
      <c r="I2598" t="s">
        <v>762</v>
      </c>
    </row>
    <row r="2599" spans="1:9" hidden="1" x14ac:dyDescent="0.3">
      <c r="A2599" t="s">
        <v>729</v>
      </c>
      <c r="B2599" s="46">
        <v>45323</v>
      </c>
      <c r="C2599" s="45">
        <v>15464</v>
      </c>
      <c r="D2599" t="s">
        <v>765</v>
      </c>
      <c r="E2599" s="46">
        <v>45366</v>
      </c>
      <c r="F2599" s="45" t="s">
        <v>721</v>
      </c>
      <c r="I2599" t="s">
        <v>726</v>
      </c>
    </row>
    <row r="2600" spans="1:9" hidden="1" x14ac:dyDescent="0.3">
      <c r="A2600" t="s">
        <v>724</v>
      </c>
      <c r="B2600" s="46">
        <v>45406</v>
      </c>
      <c r="C2600" s="45">
        <v>15400</v>
      </c>
      <c r="D2600" t="s">
        <v>1096</v>
      </c>
      <c r="E2600" s="46">
        <v>45438</v>
      </c>
      <c r="F2600" s="45" t="s">
        <v>721</v>
      </c>
      <c r="I2600" t="s">
        <v>841</v>
      </c>
    </row>
    <row r="2601" spans="1:9" hidden="1" x14ac:dyDescent="0.3">
      <c r="A2601" t="s">
        <v>748</v>
      </c>
      <c r="B2601" s="46">
        <v>45121</v>
      </c>
      <c r="C2601" s="45">
        <v>15400</v>
      </c>
      <c r="D2601" t="s">
        <v>980</v>
      </c>
      <c r="E2601" s="46">
        <v>45154</v>
      </c>
      <c r="F2601" s="45" t="s">
        <v>721</v>
      </c>
      <c r="I2601" t="s">
        <v>726</v>
      </c>
    </row>
    <row r="2602" spans="1:9" hidden="1" x14ac:dyDescent="0.3">
      <c r="A2602" t="s">
        <v>724</v>
      </c>
      <c r="B2602" s="46">
        <v>45442</v>
      </c>
      <c r="C2602" s="45">
        <v>15300</v>
      </c>
      <c r="D2602" t="s">
        <v>2125</v>
      </c>
      <c r="E2602" s="46">
        <v>45469</v>
      </c>
      <c r="F2602" s="45" t="s">
        <v>721</v>
      </c>
      <c r="I2602" t="s">
        <v>726</v>
      </c>
    </row>
    <row r="2603" spans="1:9" hidden="1" x14ac:dyDescent="0.3">
      <c r="A2603" t="s">
        <v>734</v>
      </c>
      <c r="B2603" s="46">
        <v>45295</v>
      </c>
      <c r="C2603" s="45">
        <v>15300</v>
      </c>
      <c r="D2603" t="s">
        <v>1167</v>
      </c>
      <c r="E2603" s="46">
        <v>45337</v>
      </c>
      <c r="F2603" s="45" t="s">
        <v>721</v>
      </c>
      <c r="I2603" t="s">
        <v>726</v>
      </c>
    </row>
    <row r="2604" spans="1:9" hidden="1" x14ac:dyDescent="0.3">
      <c r="A2604" t="s">
        <v>727</v>
      </c>
      <c r="B2604" s="46">
        <v>45176</v>
      </c>
      <c r="C2604" s="45">
        <v>15200</v>
      </c>
      <c r="D2604" t="s">
        <v>1163</v>
      </c>
      <c r="E2604" s="46">
        <v>45215</v>
      </c>
      <c r="F2604" s="45" t="s">
        <v>721</v>
      </c>
      <c r="I2604" t="s">
        <v>726</v>
      </c>
    </row>
    <row r="2605" spans="1:9" hidden="1" x14ac:dyDescent="0.3">
      <c r="A2605" t="s">
        <v>729</v>
      </c>
      <c r="B2605" s="46">
        <v>45216</v>
      </c>
      <c r="C2605" s="45">
        <v>15200</v>
      </c>
      <c r="D2605" t="s">
        <v>893</v>
      </c>
      <c r="E2605" s="46">
        <v>45245</v>
      </c>
      <c r="F2605" s="45" t="s">
        <v>721</v>
      </c>
      <c r="I2605" t="s">
        <v>760</v>
      </c>
    </row>
    <row r="2606" spans="1:9" hidden="1" x14ac:dyDescent="0.3">
      <c r="A2606" t="s">
        <v>734</v>
      </c>
      <c r="B2606" s="46">
        <v>45239</v>
      </c>
      <c r="C2606" s="45">
        <v>15150</v>
      </c>
      <c r="D2606" t="s">
        <v>1271</v>
      </c>
      <c r="E2606" s="46">
        <v>45275</v>
      </c>
      <c r="F2606" s="45" t="s">
        <v>721</v>
      </c>
      <c r="I2606" t="s">
        <v>1200</v>
      </c>
    </row>
    <row r="2607" spans="1:9" hidden="1" x14ac:dyDescent="0.3">
      <c r="A2607" t="s">
        <v>767</v>
      </c>
      <c r="B2607" s="46">
        <v>45224</v>
      </c>
      <c r="C2607" s="45">
        <v>15000</v>
      </c>
      <c r="D2607" t="s">
        <v>1279</v>
      </c>
      <c r="E2607" s="46">
        <v>45245</v>
      </c>
      <c r="F2607" s="45" t="s">
        <v>721</v>
      </c>
      <c r="I2607" t="s">
        <v>726</v>
      </c>
    </row>
    <row r="2608" spans="1:9" hidden="1" x14ac:dyDescent="0.3">
      <c r="A2608" t="s">
        <v>779</v>
      </c>
      <c r="B2608" s="46">
        <v>45259</v>
      </c>
      <c r="C2608" s="45">
        <v>15000</v>
      </c>
      <c r="D2608" t="s">
        <v>884</v>
      </c>
      <c r="E2608" s="46">
        <v>45278</v>
      </c>
      <c r="F2608" s="45" t="s">
        <v>721</v>
      </c>
      <c r="I2608" t="s">
        <v>726</v>
      </c>
    </row>
    <row r="2609" spans="1:9" hidden="1" x14ac:dyDescent="0.3">
      <c r="A2609" t="s">
        <v>779</v>
      </c>
      <c r="B2609" s="46">
        <v>45259</v>
      </c>
      <c r="C2609" s="45">
        <v>15000</v>
      </c>
      <c r="D2609" t="s">
        <v>884</v>
      </c>
      <c r="E2609" s="46">
        <v>45276</v>
      </c>
      <c r="F2609" s="45" t="s">
        <v>721</v>
      </c>
      <c r="G2609">
        <v>0</v>
      </c>
      <c r="I2609" t="s">
        <v>726</v>
      </c>
    </row>
    <row r="2610" spans="1:9" hidden="1" x14ac:dyDescent="0.3">
      <c r="A2610" t="s">
        <v>779</v>
      </c>
      <c r="B2610" s="46">
        <v>45271</v>
      </c>
      <c r="C2610" s="45">
        <v>15000</v>
      </c>
      <c r="D2610" t="s">
        <v>816</v>
      </c>
      <c r="E2610" s="46">
        <v>45307</v>
      </c>
      <c r="F2610" s="45" t="s">
        <v>721</v>
      </c>
      <c r="I2610" t="s">
        <v>726</v>
      </c>
    </row>
    <row r="2611" spans="1:9" hidden="1" x14ac:dyDescent="0.3">
      <c r="A2611" t="s">
        <v>748</v>
      </c>
      <c r="B2611" s="46">
        <v>45217</v>
      </c>
      <c r="C2611" s="45">
        <v>15000</v>
      </c>
      <c r="D2611" t="s">
        <v>783</v>
      </c>
      <c r="E2611" s="46">
        <v>45245</v>
      </c>
      <c r="F2611" s="45" t="s">
        <v>721</v>
      </c>
      <c r="I2611" t="s">
        <v>784</v>
      </c>
    </row>
    <row r="2612" spans="1:9" hidden="1" x14ac:dyDescent="0.3">
      <c r="A2612" t="s">
        <v>748</v>
      </c>
      <c r="B2612" s="46">
        <v>45212</v>
      </c>
      <c r="C2612" s="45">
        <v>15000</v>
      </c>
      <c r="D2612" t="s">
        <v>783</v>
      </c>
      <c r="E2612" s="46">
        <v>45245</v>
      </c>
      <c r="F2612" s="45" t="s">
        <v>721</v>
      </c>
      <c r="I2612" t="s">
        <v>784</v>
      </c>
    </row>
    <row r="2613" spans="1:9" hidden="1" x14ac:dyDescent="0.3">
      <c r="A2613" t="s">
        <v>779</v>
      </c>
      <c r="B2613" s="46">
        <v>45195</v>
      </c>
      <c r="C2613" s="45">
        <v>15000</v>
      </c>
      <c r="D2613" t="s">
        <v>1280</v>
      </c>
      <c r="E2613" s="46">
        <v>45215</v>
      </c>
      <c r="F2613" s="45" t="s">
        <v>721</v>
      </c>
    </row>
    <row r="2614" spans="1:9" hidden="1" x14ac:dyDescent="0.3">
      <c r="A2614" t="s">
        <v>1281</v>
      </c>
      <c r="B2614" s="46">
        <v>45180</v>
      </c>
      <c r="C2614" s="45">
        <v>15000</v>
      </c>
      <c r="D2614" t="s">
        <v>1270</v>
      </c>
      <c r="E2614" s="46">
        <v>45225</v>
      </c>
      <c r="F2614" s="45" t="s">
        <v>721</v>
      </c>
      <c r="I2614" t="s">
        <v>1162</v>
      </c>
    </row>
    <row r="2615" spans="1:9" hidden="1" x14ac:dyDescent="0.3">
      <c r="A2615" t="s">
        <v>748</v>
      </c>
      <c r="B2615" s="46">
        <v>45138</v>
      </c>
      <c r="C2615" s="45">
        <v>15000</v>
      </c>
      <c r="D2615" t="s">
        <v>783</v>
      </c>
      <c r="E2615" s="46">
        <v>45154</v>
      </c>
      <c r="F2615" s="45" t="s">
        <v>721</v>
      </c>
      <c r="I2615" t="s">
        <v>784</v>
      </c>
    </row>
    <row r="2616" spans="1:9" hidden="1" x14ac:dyDescent="0.3">
      <c r="A2616" t="s">
        <v>722</v>
      </c>
      <c r="B2616" s="46">
        <v>45125</v>
      </c>
      <c r="C2616" s="45">
        <v>15000</v>
      </c>
      <c r="D2616" t="s">
        <v>1278</v>
      </c>
      <c r="E2616" s="46">
        <v>45154</v>
      </c>
      <c r="F2616" s="45" t="s">
        <v>721</v>
      </c>
    </row>
    <row r="2617" spans="1:9" hidden="1" x14ac:dyDescent="0.3">
      <c r="A2617" t="s">
        <v>779</v>
      </c>
      <c r="B2617" s="46">
        <v>45315</v>
      </c>
      <c r="C2617" s="45">
        <v>15000</v>
      </c>
      <c r="D2617" t="s">
        <v>816</v>
      </c>
      <c r="E2617" s="46">
        <v>45338</v>
      </c>
      <c r="F2617" s="45" t="s">
        <v>721</v>
      </c>
      <c r="I2617" t="s">
        <v>726</v>
      </c>
    </row>
    <row r="2618" spans="1:9" hidden="1" x14ac:dyDescent="0.3">
      <c r="A2618" t="s">
        <v>779</v>
      </c>
      <c r="B2618" s="46">
        <v>45293</v>
      </c>
      <c r="C2618" s="45">
        <v>15000</v>
      </c>
      <c r="D2618" t="s">
        <v>816</v>
      </c>
      <c r="E2618" s="46">
        <v>45338</v>
      </c>
      <c r="F2618" s="45" t="s">
        <v>721</v>
      </c>
      <c r="I2618" t="s">
        <v>726</v>
      </c>
    </row>
    <row r="2619" spans="1:9" hidden="1" x14ac:dyDescent="0.3">
      <c r="A2619" t="s">
        <v>748</v>
      </c>
      <c r="B2619" s="46">
        <v>45303</v>
      </c>
      <c r="C2619" s="45">
        <v>15000</v>
      </c>
      <c r="D2619" t="s">
        <v>783</v>
      </c>
      <c r="E2619" s="46">
        <v>45337</v>
      </c>
      <c r="F2619" s="45" t="s">
        <v>721</v>
      </c>
      <c r="I2619" t="s">
        <v>784</v>
      </c>
    </row>
    <row r="2620" spans="1:9" hidden="1" x14ac:dyDescent="0.3">
      <c r="A2620" t="s">
        <v>767</v>
      </c>
      <c r="B2620" s="46">
        <v>45348</v>
      </c>
      <c r="C2620" s="45">
        <v>15000</v>
      </c>
      <c r="D2620" t="s">
        <v>893</v>
      </c>
      <c r="E2620" s="46">
        <v>45366</v>
      </c>
      <c r="F2620" s="45" t="s">
        <v>721</v>
      </c>
      <c r="I2620" t="s">
        <v>726</v>
      </c>
    </row>
    <row r="2621" spans="1:9" hidden="1" x14ac:dyDescent="0.3">
      <c r="A2621" t="s">
        <v>748</v>
      </c>
      <c r="B2621" s="46">
        <v>45380</v>
      </c>
      <c r="C2621" s="45">
        <v>15000</v>
      </c>
      <c r="D2621" t="s">
        <v>783</v>
      </c>
      <c r="E2621" s="46">
        <v>45397</v>
      </c>
      <c r="F2621" s="45" t="s">
        <v>721</v>
      </c>
      <c r="I2621" t="s">
        <v>784</v>
      </c>
    </row>
    <row r="2622" spans="1:9" hidden="1" x14ac:dyDescent="0.3">
      <c r="A2622" t="s">
        <v>748</v>
      </c>
      <c r="B2622" s="46">
        <v>45366</v>
      </c>
      <c r="C2622" s="45">
        <v>15000</v>
      </c>
      <c r="D2622" t="s">
        <v>783</v>
      </c>
      <c r="E2622" s="46">
        <v>45397</v>
      </c>
      <c r="F2622" s="45" t="s">
        <v>721</v>
      </c>
      <c r="I2622" t="s">
        <v>784</v>
      </c>
    </row>
    <row r="2623" spans="1:9" hidden="1" x14ac:dyDescent="0.3">
      <c r="A2623" t="s">
        <v>779</v>
      </c>
      <c r="B2623" s="46">
        <v>45362</v>
      </c>
      <c r="C2623" s="45">
        <v>15000</v>
      </c>
      <c r="D2623" t="s">
        <v>816</v>
      </c>
      <c r="E2623" s="46">
        <v>45398</v>
      </c>
      <c r="F2623" s="45" t="s">
        <v>721</v>
      </c>
      <c r="G2623">
        <v>0</v>
      </c>
      <c r="I2623" t="s">
        <v>726</v>
      </c>
    </row>
    <row r="2624" spans="1:9" hidden="1" x14ac:dyDescent="0.3">
      <c r="A2624" t="s">
        <v>779</v>
      </c>
      <c r="B2624" s="46">
        <v>45376</v>
      </c>
      <c r="C2624" s="45">
        <v>15000</v>
      </c>
      <c r="D2624" t="s">
        <v>816</v>
      </c>
      <c r="E2624" s="46">
        <v>45398</v>
      </c>
      <c r="F2624" s="45" t="s">
        <v>721</v>
      </c>
      <c r="G2624">
        <v>0</v>
      </c>
      <c r="I2624" t="s">
        <v>726</v>
      </c>
    </row>
    <row r="2625" spans="1:9" hidden="1" x14ac:dyDescent="0.3">
      <c r="A2625" t="s">
        <v>722</v>
      </c>
      <c r="B2625" s="46">
        <v>45378</v>
      </c>
      <c r="C2625" s="45">
        <v>15000</v>
      </c>
      <c r="D2625" t="s">
        <v>2126</v>
      </c>
      <c r="E2625" s="46">
        <v>45397</v>
      </c>
      <c r="F2625" s="45" t="s">
        <v>721</v>
      </c>
      <c r="I2625" t="s">
        <v>2071</v>
      </c>
    </row>
    <row r="2626" spans="1:9" hidden="1" x14ac:dyDescent="0.3">
      <c r="A2626" t="s">
        <v>779</v>
      </c>
      <c r="B2626" s="46">
        <v>45406</v>
      </c>
      <c r="C2626" s="45">
        <v>15000</v>
      </c>
      <c r="D2626" t="s">
        <v>2127</v>
      </c>
      <c r="E2626" s="46">
        <v>45428</v>
      </c>
      <c r="F2626" s="45" t="s">
        <v>721</v>
      </c>
      <c r="G2626">
        <v>0</v>
      </c>
      <c r="I2626" t="s">
        <v>726</v>
      </c>
    </row>
    <row r="2627" spans="1:9" hidden="1" x14ac:dyDescent="0.3">
      <c r="A2627" t="s">
        <v>803</v>
      </c>
      <c r="B2627" s="46">
        <v>45351</v>
      </c>
      <c r="C2627" s="45">
        <v>15000</v>
      </c>
      <c r="D2627" t="s">
        <v>1282</v>
      </c>
      <c r="E2627" s="46">
        <v>45369</v>
      </c>
      <c r="F2627" s="45" t="s">
        <v>721</v>
      </c>
      <c r="G2627">
        <v>0</v>
      </c>
      <c r="I2627" t="s">
        <v>750</v>
      </c>
    </row>
    <row r="2628" spans="1:9" hidden="1" x14ac:dyDescent="0.3">
      <c r="A2628" t="s">
        <v>727</v>
      </c>
      <c r="B2628" s="46">
        <v>45322</v>
      </c>
      <c r="C2628" s="45">
        <v>14993</v>
      </c>
      <c r="D2628" t="s">
        <v>1283</v>
      </c>
      <c r="E2628" s="46">
        <v>45337</v>
      </c>
      <c r="F2628" s="45" t="s">
        <v>721</v>
      </c>
      <c r="I2628" t="s">
        <v>782</v>
      </c>
    </row>
    <row r="2629" spans="1:9" hidden="1" x14ac:dyDescent="0.3">
      <c r="A2629" t="s">
        <v>743</v>
      </c>
      <c r="B2629" s="46">
        <v>45321</v>
      </c>
      <c r="C2629" s="45">
        <v>14952</v>
      </c>
      <c r="D2629" t="s">
        <v>753</v>
      </c>
      <c r="E2629" s="46">
        <v>45348</v>
      </c>
      <c r="F2629" s="45" t="s">
        <v>731</v>
      </c>
      <c r="G2629" t="s">
        <v>732</v>
      </c>
      <c r="H2629">
        <v>11</v>
      </c>
      <c r="I2629" t="s">
        <v>733</v>
      </c>
    </row>
    <row r="2630" spans="1:9" hidden="1" x14ac:dyDescent="0.3">
      <c r="A2630" t="s">
        <v>761</v>
      </c>
      <c r="B2630" s="46">
        <v>45368</v>
      </c>
      <c r="C2630" s="45">
        <v>14900</v>
      </c>
      <c r="D2630" t="s">
        <v>1104</v>
      </c>
      <c r="E2630" s="46">
        <v>45408</v>
      </c>
      <c r="F2630" s="45" t="s">
        <v>721</v>
      </c>
      <c r="I2630" t="s">
        <v>738</v>
      </c>
    </row>
    <row r="2631" spans="1:9" hidden="1" x14ac:dyDescent="0.3">
      <c r="A2631" t="s">
        <v>779</v>
      </c>
      <c r="B2631" s="46">
        <v>45237</v>
      </c>
      <c r="C2631" s="45">
        <v>14900</v>
      </c>
      <c r="D2631" t="s">
        <v>1284</v>
      </c>
      <c r="E2631" s="46">
        <v>45276</v>
      </c>
      <c r="F2631" s="45" t="s">
        <v>721</v>
      </c>
      <c r="G2631">
        <v>0</v>
      </c>
      <c r="I2631" t="s">
        <v>726</v>
      </c>
    </row>
    <row r="2632" spans="1:9" hidden="1" x14ac:dyDescent="0.3">
      <c r="A2632" t="s">
        <v>724</v>
      </c>
      <c r="B2632" s="46">
        <v>45252</v>
      </c>
      <c r="C2632" s="45">
        <v>14900</v>
      </c>
      <c r="D2632" t="s">
        <v>820</v>
      </c>
      <c r="E2632" s="46">
        <v>45286</v>
      </c>
      <c r="F2632" s="45" t="s">
        <v>721</v>
      </c>
      <c r="I2632" t="s">
        <v>726</v>
      </c>
    </row>
    <row r="2633" spans="1:9" hidden="1" x14ac:dyDescent="0.3">
      <c r="A2633" t="s">
        <v>779</v>
      </c>
      <c r="B2633" s="46">
        <v>45237</v>
      </c>
      <c r="C2633" s="45">
        <v>14900</v>
      </c>
      <c r="D2633" t="s">
        <v>1284</v>
      </c>
      <c r="E2633" s="46">
        <v>45278</v>
      </c>
      <c r="F2633" s="45" t="s">
        <v>721</v>
      </c>
      <c r="I2633" t="s">
        <v>726</v>
      </c>
    </row>
    <row r="2634" spans="1:9" hidden="1" x14ac:dyDescent="0.3">
      <c r="A2634" t="s">
        <v>779</v>
      </c>
      <c r="B2634" s="46">
        <v>45226</v>
      </c>
      <c r="C2634" s="45">
        <v>14900</v>
      </c>
      <c r="D2634" t="s">
        <v>991</v>
      </c>
      <c r="E2634" s="46">
        <v>45246</v>
      </c>
      <c r="F2634" s="45" t="s">
        <v>721</v>
      </c>
      <c r="I2634" t="s">
        <v>726</v>
      </c>
    </row>
    <row r="2635" spans="1:9" hidden="1" x14ac:dyDescent="0.3">
      <c r="A2635" t="s">
        <v>729</v>
      </c>
      <c r="B2635" s="46">
        <v>45217</v>
      </c>
      <c r="C2635" s="45">
        <v>14900</v>
      </c>
      <c r="D2635" t="s">
        <v>1183</v>
      </c>
      <c r="E2635" s="46">
        <v>45245</v>
      </c>
      <c r="F2635" s="45" t="s">
        <v>721</v>
      </c>
      <c r="I2635" t="s">
        <v>782</v>
      </c>
    </row>
    <row r="2636" spans="1:9" hidden="1" x14ac:dyDescent="0.3">
      <c r="A2636" t="s">
        <v>761</v>
      </c>
      <c r="B2636" s="46">
        <v>45222</v>
      </c>
      <c r="C2636" s="45">
        <v>14900</v>
      </c>
      <c r="D2636" t="s">
        <v>1285</v>
      </c>
      <c r="E2636" s="46">
        <v>45256</v>
      </c>
      <c r="F2636" s="45" t="s">
        <v>721</v>
      </c>
      <c r="I2636" t="s">
        <v>838</v>
      </c>
    </row>
    <row r="2637" spans="1:9" hidden="1" x14ac:dyDescent="0.3">
      <c r="A2637" t="s">
        <v>1169</v>
      </c>
      <c r="B2637" s="46">
        <v>45230</v>
      </c>
      <c r="C2637" s="45">
        <v>14800</v>
      </c>
      <c r="D2637" t="s">
        <v>1170</v>
      </c>
      <c r="E2637" s="46">
        <v>45256</v>
      </c>
      <c r="F2637" s="45" t="s">
        <v>721</v>
      </c>
      <c r="I2637" t="s">
        <v>1162</v>
      </c>
    </row>
    <row r="2638" spans="1:9" hidden="1" x14ac:dyDescent="0.3">
      <c r="A2638" t="s">
        <v>729</v>
      </c>
      <c r="B2638" s="46">
        <v>45166</v>
      </c>
      <c r="C2638" s="45">
        <v>14760</v>
      </c>
      <c r="D2638" t="s">
        <v>765</v>
      </c>
      <c r="E2638" s="46">
        <v>45184</v>
      </c>
      <c r="F2638" s="45" t="s">
        <v>721</v>
      </c>
      <c r="I2638" t="s">
        <v>782</v>
      </c>
    </row>
    <row r="2639" spans="1:9" hidden="1" x14ac:dyDescent="0.3">
      <c r="A2639" t="s">
        <v>748</v>
      </c>
      <c r="B2639" s="46">
        <v>45174</v>
      </c>
      <c r="C2639" s="45">
        <v>14700</v>
      </c>
      <c r="D2639" t="s">
        <v>735</v>
      </c>
      <c r="E2639" s="46">
        <v>45215</v>
      </c>
      <c r="F2639" s="45" t="s">
        <v>721</v>
      </c>
      <c r="I2639" t="s">
        <v>762</v>
      </c>
    </row>
    <row r="2640" spans="1:9" hidden="1" x14ac:dyDescent="0.3">
      <c r="A2640" t="s">
        <v>1160</v>
      </c>
      <c r="B2640" s="46">
        <v>45316</v>
      </c>
      <c r="C2640" s="45">
        <v>14700</v>
      </c>
      <c r="D2640" t="s">
        <v>1286</v>
      </c>
      <c r="E2640" s="46">
        <v>45348</v>
      </c>
      <c r="F2640" s="45" t="s">
        <v>721</v>
      </c>
      <c r="I2640" t="s">
        <v>1162</v>
      </c>
    </row>
    <row r="2641" spans="1:9" hidden="1" x14ac:dyDescent="0.3">
      <c r="A2641" t="s">
        <v>727</v>
      </c>
      <c r="B2641" s="46">
        <v>45397</v>
      </c>
      <c r="C2641" s="45">
        <v>14670</v>
      </c>
      <c r="D2641" t="s">
        <v>1031</v>
      </c>
      <c r="E2641" s="46">
        <v>45428</v>
      </c>
      <c r="F2641" s="45" t="s">
        <v>721</v>
      </c>
      <c r="I2641" t="s">
        <v>726</v>
      </c>
    </row>
    <row r="2642" spans="1:9" hidden="1" x14ac:dyDescent="0.3">
      <c r="A2642" t="s">
        <v>729</v>
      </c>
      <c r="B2642" s="46">
        <v>45211</v>
      </c>
      <c r="C2642" s="45">
        <v>14600</v>
      </c>
      <c r="D2642" t="s">
        <v>991</v>
      </c>
      <c r="E2642" s="46">
        <v>45245</v>
      </c>
      <c r="F2642" s="45" t="s">
        <v>721</v>
      </c>
      <c r="I2642" t="s">
        <v>726</v>
      </c>
    </row>
    <row r="2643" spans="1:9" hidden="1" x14ac:dyDescent="0.3">
      <c r="A2643" t="s">
        <v>724</v>
      </c>
      <c r="B2643" s="46">
        <v>45211</v>
      </c>
      <c r="C2643" s="45">
        <v>14600</v>
      </c>
      <c r="D2643" t="s">
        <v>1136</v>
      </c>
      <c r="E2643" s="46">
        <v>45256</v>
      </c>
      <c r="F2643" s="45" t="s">
        <v>721</v>
      </c>
      <c r="I2643" t="s">
        <v>726</v>
      </c>
    </row>
    <row r="2644" spans="1:9" hidden="1" x14ac:dyDescent="0.3">
      <c r="A2644" t="s">
        <v>722</v>
      </c>
      <c r="B2644" s="46">
        <v>45222</v>
      </c>
      <c r="C2644" s="45">
        <v>14590</v>
      </c>
      <c r="D2644" t="s">
        <v>771</v>
      </c>
      <c r="E2644" s="46">
        <v>45245</v>
      </c>
      <c r="F2644" s="45" t="s">
        <v>721</v>
      </c>
    </row>
    <row r="2645" spans="1:9" hidden="1" x14ac:dyDescent="0.3">
      <c r="A2645" t="s">
        <v>775</v>
      </c>
      <c r="B2645" s="46">
        <v>45273</v>
      </c>
      <c r="C2645" s="45">
        <v>14500</v>
      </c>
      <c r="D2645" t="s">
        <v>1232</v>
      </c>
      <c r="E2645" s="46">
        <v>45307</v>
      </c>
      <c r="F2645" s="45" t="s">
        <v>721</v>
      </c>
      <c r="I2645" t="s">
        <v>726</v>
      </c>
    </row>
    <row r="2646" spans="1:9" hidden="1" x14ac:dyDescent="0.3">
      <c r="A2646" t="s">
        <v>724</v>
      </c>
      <c r="B2646" s="46">
        <v>45272</v>
      </c>
      <c r="C2646" s="45">
        <v>14500</v>
      </c>
      <c r="D2646" t="s">
        <v>1232</v>
      </c>
      <c r="E2646" s="46">
        <v>45317</v>
      </c>
      <c r="F2646" s="45" t="s">
        <v>721</v>
      </c>
      <c r="I2646" t="s">
        <v>726</v>
      </c>
    </row>
    <row r="2647" spans="1:9" hidden="1" x14ac:dyDescent="0.3">
      <c r="A2647" t="s">
        <v>724</v>
      </c>
      <c r="B2647" s="46">
        <v>45406</v>
      </c>
      <c r="C2647" s="45">
        <v>14500</v>
      </c>
      <c r="D2647" t="s">
        <v>2111</v>
      </c>
      <c r="E2647" s="46">
        <v>45438</v>
      </c>
      <c r="F2647" s="45" t="s">
        <v>721</v>
      </c>
      <c r="I2647" t="s">
        <v>726</v>
      </c>
    </row>
    <row r="2648" spans="1:9" hidden="1" x14ac:dyDescent="0.3">
      <c r="A2648" t="s">
        <v>724</v>
      </c>
      <c r="B2648" s="46">
        <v>45308</v>
      </c>
      <c r="C2648" s="45">
        <v>14490</v>
      </c>
      <c r="D2648" t="s">
        <v>741</v>
      </c>
      <c r="E2648" s="46">
        <v>45348</v>
      </c>
      <c r="F2648" s="45" t="s">
        <v>721</v>
      </c>
      <c r="I2648" t="s">
        <v>742</v>
      </c>
    </row>
    <row r="2649" spans="1:9" hidden="1" x14ac:dyDescent="0.3">
      <c r="A2649" t="s">
        <v>734</v>
      </c>
      <c r="B2649" s="46">
        <v>45232</v>
      </c>
      <c r="C2649" s="45">
        <v>14300</v>
      </c>
      <c r="D2649" t="s">
        <v>1287</v>
      </c>
      <c r="E2649" s="46">
        <v>45275</v>
      </c>
      <c r="F2649" s="45" t="s">
        <v>721</v>
      </c>
      <c r="I2649" t="s">
        <v>738</v>
      </c>
    </row>
    <row r="2650" spans="1:9" hidden="1" x14ac:dyDescent="0.3">
      <c r="A2650" t="s">
        <v>734</v>
      </c>
      <c r="B2650" s="46">
        <v>45184</v>
      </c>
      <c r="C2650" s="45">
        <v>14300</v>
      </c>
      <c r="D2650" t="s">
        <v>1288</v>
      </c>
      <c r="E2650" s="46">
        <v>45215</v>
      </c>
      <c r="F2650" s="45" t="s">
        <v>721</v>
      </c>
      <c r="I2650" t="s">
        <v>738</v>
      </c>
    </row>
    <row r="2651" spans="1:9" hidden="1" x14ac:dyDescent="0.3">
      <c r="A2651" t="s">
        <v>779</v>
      </c>
      <c r="B2651" s="46">
        <v>45188</v>
      </c>
      <c r="C2651" s="45">
        <v>14300</v>
      </c>
      <c r="D2651" t="s">
        <v>947</v>
      </c>
      <c r="E2651" s="46">
        <v>45215</v>
      </c>
      <c r="F2651" s="45" t="s">
        <v>721</v>
      </c>
    </row>
    <row r="2652" spans="1:9" hidden="1" x14ac:dyDescent="0.3">
      <c r="A2652" t="s">
        <v>821</v>
      </c>
      <c r="B2652" s="46">
        <v>45176</v>
      </c>
      <c r="C2652" s="45">
        <v>14200</v>
      </c>
      <c r="D2652" t="s">
        <v>1289</v>
      </c>
      <c r="E2652" s="46">
        <v>45215</v>
      </c>
      <c r="F2652" s="45" t="s">
        <v>721</v>
      </c>
      <c r="I2652" t="s">
        <v>726</v>
      </c>
    </row>
    <row r="2653" spans="1:9" hidden="1" x14ac:dyDescent="0.3">
      <c r="A2653" t="s">
        <v>1160</v>
      </c>
      <c r="B2653" s="46">
        <v>45310</v>
      </c>
      <c r="C2653" s="45">
        <v>14200</v>
      </c>
      <c r="D2653" t="s">
        <v>1286</v>
      </c>
      <c r="E2653" s="46">
        <v>45348</v>
      </c>
      <c r="F2653" s="45" t="s">
        <v>721</v>
      </c>
      <c r="I2653" t="s">
        <v>1162</v>
      </c>
    </row>
    <row r="2654" spans="1:9" hidden="1" x14ac:dyDescent="0.3">
      <c r="A2654" t="s">
        <v>767</v>
      </c>
      <c r="B2654" s="46">
        <v>45337</v>
      </c>
      <c r="C2654" s="45">
        <v>14200</v>
      </c>
      <c r="D2654" t="s">
        <v>1053</v>
      </c>
      <c r="E2654" s="46">
        <v>45366</v>
      </c>
      <c r="F2654" s="45" t="s">
        <v>721</v>
      </c>
      <c r="I2654" t="s">
        <v>726</v>
      </c>
    </row>
    <row r="2655" spans="1:9" hidden="1" x14ac:dyDescent="0.3">
      <c r="A2655" t="s">
        <v>1160</v>
      </c>
      <c r="B2655" s="46">
        <v>45317</v>
      </c>
      <c r="C2655" s="45">
        <v>14100</v>
      </c>
      <c r="D2655" t="s">
        <v>1286</v>
      </c>
      <c r="E2655" s="46">
        <v>45348</v>
      </c>
      <c r="F2655" s="45" t="s">
        <v>721</v>
      </c>
      <c r="I2655" t="s">
        <v>1162</v>
      </c>
    </row>
    <row r="2656" spans="1:9" hidden="1" x14ac:dyDescent="0.3">
      <c r="A2656" t="s">
        <v>1160</v>
      </c>
      <c r="B2656" s="46">
        <v>45411</v>
      </c>
      <c r="C2656" s="45">
        <v>14100</v>
      </c>
      <c r="D2656" t="s">
        <v>1170</v>
      </c>
      <c r="E2656" s="46">
        <v>45438</v>
      </c>
      <c r="F2656" s="45" t="s">
        <v>721</v>
      </c>
      <c r="I2656" t="s">
        <v>1162</v>
      </c>
    </row>
    <row r="2657" spans="1:9" hidden="1" x14ac:dyDescent="0.3">
      <c r="A2657" t="s">
        <v>727</v>
      </c>
      <c r="B2657" s="46">
        <v>45407</v>
      </c>
      <c r="C2657" s="45">
        <v>14000</v>
      </c>
      <c r="D2657" t="s">
        <v>830</v>
      </c>
      <c r="E2657" s="46">
        <v>45428</v>
      </c>
      <c r="F2657" s="45" t="s">
        <v>721</v>
      </c>
      <c r="I2657" t="s">
        <v>726</v>
      </c>
    </row>
    <row r="2658" spans="1:9" hidden="1" x14ac:dyDescent="0.3">
      <c r="A2658" t="s">
        <v>727</v>
      </c>
      <c r="B2658" s="46">
        <v>45328</v>
      </c>
      <c r="C2658" s="45">
        <v>14000</v>
      </c>
      <c r="D2658" t="s">
        <v>1101</v>
      </c>
      <c r="E2658" s="46">
        <v>45366</v>
      </c>
      <c r="F2658" s="45" t="s">
        <v>721</v>
      </c>
      <c r="I2658" t="s">
        <v>762</v>
      </c>
    </row>
    <row r="2659" spans="1:9" hidden="1" x14ac:dyDescent="0.3">
      <c r="A2659" t="s">
        <v>779</v>
      </c>
      <c r="B2659" s="46">
        <v>45286</v>
      </c>
      <c r="C2659" s="45">
        <v>14000</v>
      </c>
      <c r="D2659" t="s">
        <v>991</v>
      </c>
      <c r="E2659" s="46">
        <v>45307</v>
      </c>
      <c r="F2659" s="45" t="s">
        <v>721</v>
      </c>
      <c r="I2659" t="s">
        <v>726</v>
      </c>
    </row>
    <row r="2660" spans="1:9" hidden="1" x14ac:dyDescent="0.3">
      <c r="A2660" t="s">
        <v>779</v>
      </c>
      <c r="B2660" s="46">
        <v>45328</v>
      </c>
      <c r="C2660" s="45">
        <v>14000</v>
      </c>
      <c r="D2660" t="s">
        <v>1291</v>
      </c>
      <c r="E2660" s="46">
        <v>45369</v>
      </c>
      <c r="F2660" s="45" t="s">
        <v>721</v>
      </c>
      <c r="G2660">
        <v>0</v>
      </c>
      <c r="I2660" t="s">
        <v>726</v>
      </c>
    </row>
    <row r="2661" spans="1:9" hidden="1" x14ac:dyDescent="0.3">
      <c r="A2661" t="s">
        <v>779</v>
      </c>
      <c r="B2661" s="46">
        <v>45190</v>
      </c>
      <c r="C2661" s="45">
        <v>14000</v>
      </c>
      <c r="D2661" t="s">
        <v>1293</v>
      </c>
      <c r="E2661" s="46">
        <v>45215</v>
      </c>
      <c r="F2661" s="45" t="s">
        <v>721</v>
      </c>
    </row>
    <row r="2662" spans="1:9" hidden="1" x14ac:dyDescent="0.3">
      <c r="A2662" t="s">
        <v>729</v>
      </c>
      <c r="B2662" s="46">
        <v>45120</v>
      </c>
      <c r="C2662" s="45">
        <v>14000</v>
      </c>
      <c r="D2662" t="s">
        <v>1183</v>
      </c>
      <c r="E2662" s="46">
        <v>45154</v>
      </c>
      <c r="F2662" s="45" t="s">
        <v>721</v>
      </c>
      <c r="I2662" t="s">
        <v>762</v>
      </c>
    </row>
    <row r="2663" spans="1:9" hidden="1" x14ac:dyDescent="0.3">
      <c r="A2663" t="s">
        <v>777</v>
      </c>
      <c r="B2663" s="46">
        <v>45126</v>
      </c>
      <c r="C2663" s="45">
        <v>14000</v>
      </c>
      <c r="D2663" t="s">
        <v>1290</v>
      </c>
      <c r="E2663" s="46">
        <v>45154</v>
      </c>
      <c r="F2663" s="45" t="s">
        <v>721</v>
      </c>
    </row>
    <row r="2664" spans="1:9" hidden="1" x14ac:dyDescent="0.3">
      <c r="A2664" t="s">
        <v>772</v>
      </c>
      <c r="B2664" s="46">
        <v>45257</v>
      </c>
      <c r="C2664" s="45">
        <v>14000</v>
      </c>
      <c r="D2664" t="s">
        <v>1055</v>
      </c>
      <c r="E2664" s="46">
        <v>45286</v>
      </c>
      <c r="F2664" s="45" t="s">
        <v>721</v>
      </c>
      <c r="I2664" t="s">
        <v>814</v>
      </c>
    </row>
    <row r="2665" spans="1:9" hidden="1" x14ac:dyDescent="0.3">
      <c r="A2665" t="s">
        <v>779</v>
      </c>
      <c r="B2665" s="46">
        <v>45223</v>
      </c>
      <c r="C2665" s="45">
        <v>14000</v>
      </c>
      <c r="D2665" t="s">
        <v>1294</v>
      </c>
      <c r="E2665" s="46">
        <v>45246</v>
      </c>
      <c r="F2665" s="45" t="s">
        <v>721</v>
      </c>
      <c r="I2665" t="s">
        <v>726</v>
      </c>
    </row>
    <row r="2666" spans="1:9" hidden="1" x14ac:dyDescent="0.3">
      <c r="A2666" t="s">
        <v>734</v>
      </c>
      <c r="B2666" s="46">
        <v>45286</v>
      </c>
      <c r="C2666" s="45">
        <v>14000</v>
      </c>
      <c r="D2666" t="s">
        <v>1292</v>
      </c>
      <c r="E2666" s="46">
        <v>45306</v>
      </c>
      <c r="F2666" s="45" t="s">
        <v>721</v>
      </c>
      <c r="I2666" t="s">
        <v>760</v>
      </c>
    </row>
    <row r="2667" spans="1:9" hidden="1" x14ac:dyDescent="0.3">
      <c r="A2667" t="s">
        <v>1160</v>
      </c>
      <c r="B2667" s="46">
        <v>45226</v>
      </c>
      <c r="C2667" s="45">
        <v>13800</v>
      </c>
      <c r="D2667" t="s">
        <v>1170</v>
      </c>
      <c r="E2667" s="46">
        <v>45256</v>
      </c>
      <c r="F2667" s="45" t="s">
        <v>721</v>
      </c>
      <c r="I2667" t="s">
        <v>1162</v>
      </c>
    </row>
    <row r="2668" spans="1:9" hidden="1" x14ac:dyDescent="0.3">
      <c r="A2668" t="s">
        <v>1160</v>
      </c>
      <c r="B2668" s="46">
        <v>45258</v>
      </c>
      <c r="C2668" s="45">
        <v>13800</v>
      </c>
      <c r="D2668" t="s">
        <v>1170</v>
      </c>
      <c r="E2668" s="46">
        <v>45286</v>
      </c>
      <c r="F2668" s="45" t="s">
        <v>721</v>
      </c>
      <c r="I2668" t="s">
        <v>1162</v>
      </c>
    </row>
    <row r="2669" spans="1:9" hidden="1" x14ac:dyDescent="0.3">
      <c r="A2669" t="s">
        <v>779</v>
      </c>
      <c r="B2669" s="46">
        <v>45169</v>
      </c>
      <c r="C2669" s="45">
        <v>13800</v>
      </c>
      <c r="D2669" t="s">
        <v>881</v>
      </c>
      <c r="E2669" s="46">
        <v>45184</v>
      </c>
      <c r="F2669" s="45" t="s">
        <v>721</v>
      </c>
    </row>
    <row r="2670" spans="1:9" hidden="1" x14ac:dyDescent="0.3">
      <c r="A2670" t="s">
        <v>734</v>
      </c>
      <c r="B2670" s="46">
        <v>45415</v>
      </c>
      <c r="C2670" s="45">
        <v>13800</v>
      </c>
      <c r="D2670" t="s">
        <v>2095</v>
      </c>
      <c r="E2670" s="46">
        <v>45458</v>
      </c>
      <c r="F2670" s="45" t="s">
        <v>721</v>
      </c>
      <c r="I2670" t="s">
        <v>726</v>
      </c>
    </row>
    <row r="2671" spans="1:9" hidden="1" x14ac:dyDescent="0.3">
      <c r="A2671" t="s">
        <v>727</v>
      </c>
      <c r="B2671" s="46">
        <v>45260</v>
      </c>
      <c r="C2671" s="45">
        <v>13700</v>
      </c>
      <c r="D2671" t="s">
        <v>830</v>
      </c>
      <c r="E2671" s="46">
        <v>45275</v>
      </c>
      <c r="F2671" s="45" t="s">
        <v>721</v>
      </c>
      <c r="I2671" t="s">
        <v>726</v>
      </c>
    </row>
    <row r="2672" spans="1:9" hidden="1" x14ac:dyDescent="0.3">
      <c r="A2672" t="s">
        <v>1160</v>
      </c>
      <c r="B2672" s="46">
        <v>45313</v>
      </c>
      <c r="C2672" s="45">
        <v>13600</v>
      </c>
      <c r="D2672" t="s">
        <v>1229</v>
      </c>
      <c r="E2672" s="46">
        <v>45348</v>
      </c>
      <c r="F2672" s="45" t="s">
        <v>721</v>
      </c>
      <c r="I2672" t="s">
        <v>1162</v>
      </c>
    </row>
    <row r="2673" spans="1:9" hidden="1" x14ac:dyDescent="0.3">
      <c r="A2673" t="s">
        <v>767</v>
      </c>
      <c r="B2673" s="46">
        <v>45224</v>
      </c>
      <c r="C2673" s="45">
        <v>13500</v>
      </c>
      <c r="D2673" t="s">
        <v>1279</v>
      </c>
      <c r="E2673" s="46">
        <v>45245</v>
      </c>
      <c r="F2673" s="45" t="s">
        <v>721</v>
      </c>
      <c r="I2673" t="s">
        <v>726</v>
      </c>
    </row>
    <row r="2674" spans="1:9" hidden="1" x14ac:dyDescent="0.3">
      <c r="A2674" t="s">
        <v>821</v>
      </c>
      <c r="B2674" s="46">
        <v>45277</v>
      </c>
      <c r="C2674" s="45">
        <v>13500</v>
      </c>
      <c r="D2674" t="s">
        <v>1295</v>
      </c>
      <c r="E2674" s="46">
        <v>45306</v>
      </c>
      <c r="F2674" s="45" t="s">
        <v>721</v>
      </c>
      <c r="I2674" t="s">
        <v>760</v>
      </c>
    </row>
    <row r="2675" spans="1:9" hidden="1" x14ac:dyDescent="0.3">
      <c r="A2675" t="s">
        <v>779</v>
      </c>
      <c r="B2675" s="46">
        <v>45168</v>
      </c>
      <c r="C2675" s="45">
        <v>13500</v>
      </c>
      <c r="D2675" t="s">
        <v>991</v>
      </c>
      <c r="E2675" s="46">
        <v>45184</v>
      </c>
      <c r="F2675" s="45" t="s">
        <v>721</v>
      </c>
      <c r="I2675" t="s">
        <v>726</v>
      </c>
    </row>
    <row r="2676" spans="1:9" hidden="1" x14ac:dyDescent="0.3">
      <c r="A2676" t="s">
        <v>724</v>
      </c>
      <c r="B2676" s="46">
        <v>45167</v>
      </c>
      <c r="C2676" s="45">
        <v>13500</v>
      </c>
      <c r="D2676" t="s">
        <v>755</v>
      </c>
      <c r="E2676" s="46">
        <v>45195</v>
      </c>
      <c r="F2676" s="45" t="s">
        <v>721</v>
      </c>
      <c r="I2676" t="s">
        <v>726</v>
      </c>
    </row>
    <row r="2677" spans="1:9" hidden="1" x14ac:dyDescent="0.3">
      <c r="A2677" t="s">
        <v>1160</v>
      </c>
      <c r="B2677" s="46">
        <v>45124</v>
      </c>
      <c r="C2677" s="45">
        <v>13400</v>
      </c>
      <c r="D2677" t="s">
        <v>1229</v>
      </c>
      <c r="E2677" s="46">
        <v>45164</v>
      </c>
      <c r="F2677" s="45" t="s">
        <v>721</v>
      </c>
      <c r="I2677" t="s">
        <v>1162</v>
      </c>
    </row>
    <row r="2678" spans="1:9" hidden="1" x14ac:dyDescent="0.3">
      <c r="A2678" t="s">
        <v>767</v>
      </c>
      <c r="B2678" s="46">
        <v>45414</v>
      </c>
      <c r="C2678" s="45">
        <v>13300</v>
      </c>
      <c r="D2678" t="s">
        <v>991</v>
      </c>
      <c r="E2678" s="46">
        <v>45458</v>
      </c>
      <c r="F2678" s="45" t="s">
        <v>721</v>
      </c>
      <c r="I2678" t="s">
        <v>726</v>
      </c>
    </row>
    <row r="2679" spans="1:9" hidden="1" x14ac:dyDescent="0.3">
      <c r="A2679" t="s">
        <v>1281</v>
      </c>
      <c r="B2679" s="46">
        <v>45419</v>
      </c>
      <c r="C2679" s="45">
        <v>13300</v>
      </c>
      <c r="D2679" t="s">
        <v>1239</v>
      </c>
      <c r="E2679" s="46">
        <v>45469</v>
      </c>
      <c r="F2679" s="45" t="s">
        <v>721</v>
      </c>
      <c r="I2679" t="s">
        <v>1162</v>
      </c>
    </row>
    <row r="2680" spans="1:9" hidden="1" x14ac:dyDescent="0.3">
      <c r="A2680" t="s">
        <v>775</v>
      </c>
      <c r="B2680" s="46">
        <v>45330</v>
      </c>
      <c r="C2680" s="45">
        <v>13230</v>
      </c>
      <c r="D2680" t="s">
        <v>1031</v>
      </c>
      <c r="E2680" s="46">
        <v>45369</v>
      </c>
      <c r="F2680" s="45" t="s">
        <v>721</v>
      </c>
      <c r="G2680">
        <v>0</v>
      </c>
      <c r="I2680" t="s">
        <v>726</v>
      </c>
    </row>
    <row r="2681" spans="1:9" hidden="1" x14ac:dyDescent="0.3">
      <c r="A2681" t="s">
        <v>767</v>
      </c>
      <c r="B2681" s="46">
        <v>45407</v>
      </c>
      <c r="C2681" s="45">
        <v>13200</v>
      </c>
      <c r="D2681" t="s">
        <v>2128</v>
      </c>
      <c r="E2681" s="46">
        <v>45428</v>
      </c>
      <c r="F2681" s="45" t="s">
        <v>721</v>
      </c>
      <c r="I2681" t="s">
        <v>838</v>
      </c>
    </row>
    <row r="2682" spans="1:9" hidden="1" x14ac:dyDescent="0.3">
      <c r="A2682" t="s">
        <v>729</v>
      </c>
      <c r="B2682" s="46">
        <v>45439</v>
      </c>
      <c r="C2682" s="45">
        <v>13090</v>
      </c>
      <c r="D2682" t="s">
        <v>2078</v>
      </c>
      <c r="E2682" s="46">
        <v>45458</v>
      </c>
      <c r="F2682" s="45" t="s">
        <v>721</v>
      </c>
      <c r="I2682" t="s">
        <v>834</v>
      </c>
    </row>
    <row r="2683" spans="1:9" hidden="1" x14ac:dyDescent="0.3">
      <c r="A2683" t="s">
        <v>729</v>
      </c>
      <c r="B2683" s="46">
        <v>45439</v>
      </c>
      <c r="C2683" s="45">
        <v>13090</v>
      </c>
      <c r="D2683" t="s">
        <v>2078</v>
      </c>
      <c r="E2683" s="46">
        <v>45458</v>
      </c>
      <c r="F2683" s="45" t="s">
        <v>721</v>
      </c>
      <c r="I2683" t="s">
        <v>834</v>
      </c>
    </row>
    <row r="2684" spans="1:9" hidden="1" x14ac:dyDescent="0.3">
      <c r="A2684" t="s">
        <v>729</v>
      </c>
      <c r="B2684" s="46">
        <v>45404</v>
      </c>
      <c r="C2684" s="45">
        <v>13090</v>
      </c>
      <c r="D2684" t="s">
        <v>2078</v>
      </c>
      <c r="E2684" s="46">
        <v>45428</v>
      </c>
      <c r="F2684" s="45" t="s">
        <v>721</v>
      </c>
      <c r="I2684" t="s">
        <v>834</v>
      </c>
    </row>
    <row r="2685" spans="1:9" hidden="1" x14ac:dyDescent="0.3">
      <c r="A2685" t="s">
        <v>775</v>
      </c>
      <c r="B2685" s="46">
        <v>45184</v>
      </c>
      <c r="C2685" s="45">
        <v>13050</v>
      </c>
      <c r="D2685" t="s">
        <v>1031</v>
      </c>
      <c r="E2685" s="46">
        <v>45215</v>
      </c>
      <c r="F2685" s="45" t="s">
        <v>721</v>
      </c>
      <c r="I2685" t="s">
        <v>726</v>
      </c>
    </row>
    <row r="2686" spans="1:9" hidden="1" x14ac:dyDescent="0.3">
      <c r="A2686" t="s">
        <v>748</v>
      </c>
      <c r="B2686" s="46">
        <v>45166</v>
      </c>
      <c r="C2686" s="45">
        <v>13000</v>
      </c>
      <c r="D2686" t="s">
        <v>735</v>
      </c>
      <c r="E2686" s="46">
        <v>45184</v>
      </c>
      <c r="F2686" s="45" t="s">
        <v>721</v>
      </c>
      <c r="I2686" t="s">
        <v>795</v>
      </c>
    </row>
    <row r="2687" spans="1:9" hidden="1" x14ac:dyDescent="0.3">
      <c r="A2687" t="s">
        <v>779</v>
      </c>
      <c r="B2687" s="46">
        <v>45132</v>
      </c>
      <c r="C2687" s="45">
        <v>13000</v>
      </c>
      <c r="D2687" t="s">
        <v>1299</v>
      </c>
      <c r="E2687" s="46">
        <v>45154</v>
      </c>
      <c r="F2687" s="45" t="s">
        <v>721</v>
      </c>
    </row>
    <row r="2688" spans="1:9" hidden="1" x14ac:dyDescent="0.3">
      <c r="A2688" t="s">
        <v>729</v>
      </c>
      <c r="B2688" s="46">
        <v>45133</v>
      </c>
      <c r="C2688" s="45">
        <v>13000</v>
      </c>
      <c r="D2688" t="s">
        <v>975</v>
      </c>
      <c r="E2688" s="46">
        <v>45154</v>
      </c>
      <c r="F2688" s="45" t="s">
        <v>721</v>
      </c>
      <c r="I2688" t="s">
        <v>760</v>
      </c>
    </row>
    <row r="2689" spans="1:9" hidden="1" x14ac:dyDescent="0.3">
      <c r="A2689" t="s">
        <v>729</v>
      </c>
      <c r="B2689" s="46">
        <v>45270</v>
      </c>
      <c r="C2689" s="45">
        <v>13000</v>
      </c>
      <c r="D2689" t="s">
        <v>1297</v>
      </c>
      <c r="E2689" s="46">
        <v>45306</v>
      </c>
      <c r="F2689" s="45" t="s">
        <v>721</v>
      </c>
      <c r="I2689" t="s">
        <v>760</v>
      </c>
    </row>
    <row r="2690" spans="1:9" hidden="1" x14ac:dyDescent="0.3">
      <c r="A2690" t="s">
        <v>775</v>
      </c>
      <c r="B2690" s="46">
        <v>45224</v>
      </c>
      <c r="C2690" s="45">
        <v>13000</v>
      </c>
      <c r="D2690" t="s">
        <v>1296</v>
      </c>
      <c r="E2690" s="46">
        <v>45246</v>
      </c>
      <c r="F2690" s="45" t="s">
        <v>721</v>
      </c>
      <c r="I2690" t="s">
        <v>726</v>
      </c>
    </row>
    <row r="2691" spans="1:9" hidden="1" x14ac:dyDescent="0.3">
      <c r="A2691" t="s">
        <v>727</v>
      </c>
      <c r="B2691" s="46">
        <v>45395</v>
      </c>
      <c r="C2691" s="45">
        <v>13000</v>
      </c>
      <c r="D2691" t="s">
        <v>830</v>
      </c>
      <c r="E2691" s="46">
        <v>45428</v>
      </c>
      <c r="F2691" s="45" t="s">
        <v>721</v>
      </c>
      <c r="I2691" t="s">
        <v>726</v>
      </c>
    </row>
    <row r="2692" spans="1:9" hidden="1" x14ac:dyDescent="0.3">
      <c r="A2692" t="s">
        <v>1281</v>
      </c>
      <c r="B2692" s="46">
        <v>45432</v>
      </c>
      <c r="C2692" s="45">
        <v>13000</v>
      </c>
      <c r="D2692" t="s">
        <v>1315</v>
      </c>
      <c r="E2692" s="46">
        <v>45469</v>
      </c>
      <c r="F2692" s="45" t="s">
        <v>721</v>
      </c>
      <c r="I2692" t="s">
        <v>1162</v>
      </c>
    </row>
    <row r="2693" spans="1:9" hidden="1" x14ac:dyDescent="0.3">
      <c r="A2693" t="s">
        <v>779</v>
      </c>
      <c r="B2693" s="46">
        <v>45414</v>
      </c>
      <c r="C2693" s="45">
        <v>13000</v>
      </c>
      <c r="D2693" t="s">
        <v>1090</v>
      </c>
      <c r="E2693" s="46">
        <v>45459</v>
      </c>
      <c r="F2693" s="45" t="s">
        <v>721</v>
      </c>
      <c r="I2693" t="s">
        <v>726</v>
      </c>
    </row>
    <row r="2694" spans="1:9" hidden="1" x14ac:dyDescent="0.3">
      <c r="A2694" t="s">
        <v>724</v>
      </c>
      <c r="B2694" s="46">
        <v>45371</v>
      </c>
      <c r="C2694" s="45">
        <v>13000</v>
      </c>
      <c r="D2694" t="s">
        <v>1232</v>
      </c>
      <c r="E2694" s="46">
        <v>45408</v>
      </c>
      <c r="F2694" s="45" t="s">
        <v>721</v>
      </c>
      <c r="I2694" t="s">
        <v>726</v>
      </c>
    </row>
    <row r="2695" spans="1:9" hidden="1" x14ac:dyDescent="0.3">
      <c r="A2695" t="s">
        <v>779</v>
      </c>
      <c r="B2695" s="46">
        <v>45320</v>
      </c>
      <c r="C2695" s="45">
        <v>13000</v>
      </c>
      <c r="D2695" t="s">
        <v>1298</v>
      </c>
      <c r="E2695" s="46">
        <v>45338</v>
      </c>
      <c r="F2695" s="45" t="s">
        <v>721</v>
      </c>
      <c r="I2695" t="s">
        <v>726</v>
      </c>
    </row>
    <row r="2696" spans="1:9" hidden="1" x14ac:dyDescent="0.3">
      <c r="A2696" t="s">
        <v>748</v>
      </c>
      <c r="B2696" s="46">
        <v>45387</v>
      </c>
      <c r="C2696" s="45">
        <v>12980</v>
      </c>
      <c r="D2696" t="s">
        <v>1226</v>
      </c>
      <c r="E2696" s="46">
        <v>45428</v>
      </c>
      <c r="F2696" s="45" t="s">
        <v>721</v>
      </c>
      <c r="I2696" t="s">
        <v>782</v>
      </c>
    </row>
    <row r="2697" spans="1:9" hidden="1" x14ac:dyDescent="0.3">
      <c r="A2697" t="s">
        <v>779</v>
      </c>
      <c r="B2697" s="46">
        <v>45306</v>
      </c>
      <c r="C2697" s="45">
        <v>12900</v>
      </c>
      <c r="D2697" t="s">
        <v>1300</v>
      </c>
      <c r="E2697" s="46">
        <v>45338</v>
      </c>
      <c r="F2697" s="45" t="s">
        <v>721</v>
      </c>
      <c r="I2697" t="s">
        <v>726</v>
      </c>
    </row>
    <row r="2698" spans="1:9" hidden="1" x14ac:dyDescent="0.3">
      <c r="A2698" t="s">
        <v>779</v>
      </c>
      <c r="B2698" s="46">
        <v>45404</v>
      </c>
      <c r="C2698" s="45">
        <v>12900</v>
      </c>
      <c r="D2698" t="s">
        <v>2121</v>
      </c>
      <c r="E2698" s="46">
        <v>45428</v>
      </c>
      <c r="F2698" s="45" t="s">
        <v>721</v>
      </c>
      <c r="G2698">
        <v>0</v>
      </c>
      <c r="I2698" t="s">
        <v>726</v>
      </c>
    </row>
    <row r="2699" spans="1:9" hidden="1" x14ac:dyDescent="0.3">
      <c r="A2699" t="s">
        <v>729</v>
      </c>
      <c r="B2699" s="46">
        <v>45266</v>
      </c>
      <c r="C2699" s="45">
        <v>12900</v>
      </c>
      <c r="D2699" t="s">
        <v>771</v>
      </c>
      <c r="E2699" s="46">
        <v>45306</v>
      </c>
      <c r="F2699" s="45" t="s">
        <v>721</v>
      </c>
      <c r="I2699" t="s">
        <v>762</v>
      </c>
    </row>
    <row r="2700" spans="1:9" hidden="1" x14ac:dyDescent="0.3">
      <c r="A2700" t="s">
        <v>779</v>
      </c>
      <c r="B2700" s="46">
        <v>45252</v>
      </c>
      <c r="C2700" s="45">
        <v>12900</v>
      </c>
      <c r="D2700" t="s">
        <v>1301</v>
      </c>
      <c r="E2700" s="46">
        <v>45278</v>
      </c>
      <c r="F2700" s="45" t="s">
        <v>721</v>
      </c>
      <c r="I2700" t="s">
        <v>726</v>
      </c>
    </row>
    <row r="2701" spans="1:9" hidden="1" x14ac:dyDescent="0.3">
      <c r="A2701" t="s">
        <v>779</v>
      </c>
      <c r="B2701" s="46">
        <v>45252</v>
      </c>
      <c r="C2701" s="45">
        <v>12900</v>
      </c>
      <c r="D2701" t="s">
        <v>1301</v>
      </c>
      <c r="E2701" s="46">
        <v>45276</v>
      </c>
      <c r="F2701" s="45" t="s">
        <v>721</v>
      </c>
      <c r="G2701">
        <v>0</v>
      </c>
      <c r="I2701" t="s">
        <v>726</v>
      </c>
    </row>
    <row r="2702" spans="1:9" hidden="1" x14ac:dyDescent="0.3">
      <c r="A2702" t="s">
        <v>724</v>
      </c>
      <c r="B2702" s="46">
        <v>45236</v>
      </c>
      <c r="C2702" s="45">
        <v>12870</v>
      </c>
      <c r="D2702" t="s">
        <v>755</v>
      </c>
      <c r="E2702" s="46">
        <v>45286</v>
      </c>
      <c r="F2702" s="45" t="s">
        <v>721</v>
      </c>
      <c r="I2702" t="s">
        <v>726</v>
      </c>
    </row>
    <row r="2703" spans="1:9" hidden="1" x14ac:dyDescent="0.3">
      <c r="A2703" t="s">
        <v>724</v>
      </c>
      <c r="B2703" s="46">
        <v>45260</v>
      </c>
      <c r="C2703" s="45">
        <v>12870</v>
      </c>
      <c r="D2703" t="s">
        <v>755</v>
      </c>
      <c r="E2703" s="46">
        <v>45286</v>
      </c>
      <c r="F2703" s="45" t="s">
        <v>721</v>
      </c>
      <c r="I2703" t="s">
        <v>726</v>
      </c>
    </row>
    <row r="2704" spans="1:9" hidden="1" x14ac:dyDescent="0.3">
      <c r="A2704" t="s">
        <v>775</v>
      </c>
      <c r="B2704" s="46">
        <v>45187</v>
      </c>
      <c r="C2704" s="45">
        <v>12870</v>
      </c>
      <c r="D2704" t="s">
        <v>1031</v>
      </c>
      <c r="E2704" s="46">
        <v>45215</v>
      </c>
      <c r="F2704" s="45" t="s">
        <v>721</v>
      </c>
      <c r="I2704" t="s">
        <v>726</v>
      </c>
    </row>
    <row r="2705" spans="1:9" hidden="1" x14ac:dyDescent="0.3">
      <c r="A2705" t="s">
        <v>724</v>
      </c>
      <c r="B2705" s="46">
        <v>45173</v>
      </c>
      <c r="C2705" s="45">
        <v>12870</v>
      </c>
      <c r="D2705" t="s">
        <v>755</v>
      </c>
      <c r="E2705" s="46">
        <v>45225</v>
      </c>
      <c r="F2705" s="45" t="s">
        <v>721</v>
      </c>
      <c r="I2705" t="s">
        <v>726</v>
      </c>
    </row>
    <row r="2706" spans="1:9" hidden="1" x14ac:dyDescent="0.3">
      <c r="A2706" t="s">
        <v>775</v>
      </c>
      <c r="B2706" s="46">
        <v>45338</v>
      </c>
      <c r="C2706" s="45">
        <v>12870</v>
      </c>
      <c r="D2706" t="s">
        <v>1031</v>
      </c>
      <c r="E2706" s="46">
        <v>45369</v>
      </c>
      <c r="F2706" s="45" t="s">
        <v>721</v>
      </c>
      <c r="G2706">
        <v>0</v>
      </c>
      <c r="I2706" t="s">
        <v>726</v>
      </c>
    </row>
    <row r="2707" spans="1:9" hidden="1" x14ac:dyDescent="0.3">
      <c r="A2707" t="s">
        <v>724</v>
      </c>
      <c r="B2707" s="46">
        <v>45433</v>
      </c>
      <c r="C2707" s="45">
        <v>12870</v>
      </c>
      <c r="D2707" t="s">
        <v>755</v>
      </c>
      <c r="E2707" s="46">
        <v>45469</v>
      </c>
      <c r="F2707" s="45" t="s">
        <v>721</v>
      </c>
      <c r="I2707" t="s">
        <v>726</v>
      </c>
    </row>
    <row r="2708" spans="1:9" hidden="1" x14ac:dyDescent="0.3">
      <c r="A2708" t="s">
        <v>1281</v>
      </c>
      <c r="B2708" s="46">
        <v>45397</v>
      </c>
      <c r="C2708" s="45">
        <v>12800</v>
      </c>
      <c r="D2708" t="s">
        <v>1181</v>
      </c>
      <c r="E2708" s="46">
        <v>45438</v>
      </c>
      <c r="F2708" s="45" t="s">
        <v>721</v>
      </c>
      <c r="I2708" t="s">
        <v>1162</v>
      </c>
    </row>
    <row r="2709" spans="1:9" hidden="1" x14ac:dyDescent="0.3">
      <c r="A2709" t="s">
        <v>734</v>
      </c>
      <c r="B2709" s="46">
        <v>45379</v>
      </c>
      <c r="C2709" s="45">
        <v>12800</v>
      </c>
      <c r="D2709" t="s">
        <v>991</v>
      </c>
      <c r="E2709" s="46">
        <v>45397</v>
      </c>
      <c r="F2709" s="45" t="s">
        <v>721</v>
      </c>
      <c r="I2709" t="s">
        <v>726</v>
      </c>
    </row>
    <row r="2710" spans="1:9" hidden="1" x14ac:dyDescent="0.3">
      <c r="A2710" t="s">
        <v>748</v>
      </c>
      <c r="B2710" s="46">
        <v>45176</v>
      </c>
      <c r="C2710" s="45">
        <v>12800</v>
      </c>
      <c r="D2710" t="s">
        <v>1101</v>
      </c>
      <c r="E2710" s="46">
        <v>45215</v>
      </c>
      <c r="F2710" s="45" t="s">
        <v>721</v>
      </c>
      <c r="I2710" t="s">
        <v>762</v>
      </c>
    </row>
    <row r="2711" spans="1:9" hidden="1" x14ac:dyDescent="0.3">
      <c r="A2711" t="s">
        <v>724</v>
      </c>
      <c r="B2711" s="46">
        <v>45373</v>
      </c>
      <c r="C2711" s="45">
        <v>12780</v>
      </c>
      <c r="D2711" t="s">
        <v>755</v>
      </c>
      <c r="E2711" s="46">
        <v>45408</v>
      </c>
      <c r="F2711" s="45" t="s">
        <v>721</v>
      </c>
      <c r="I2711" t="s">
        <v>726</v>
      </c>
    </row>
    <row r="2712" spans="1:9" hidden="1" x14ac:dyDescent="0.3">
      <c r="A2712" t="s">
        <v>767</v>
      </c>
      <c r="B2712" s="46">
        <v>45264</v>
      </c>
      <c r="C2712" s="45">
        <v>12700</v>
      </c>
      <c r="D2712" t="s">
        <v>1101</v>
      </c>
      <c r="E2712" s="46">
        <v>45306</v>
      </c>
      <c r="F2712" s="45" t="s">
        <v>721</v>
      </c>
      <c r="I2712" t="s">
        <v>782</v>
      </c>
    </row>
    <row r="2713" spans="1:9" hidden="1" x14ac:dyDescent="0.3">
      <c r="A2713" t="s">
        <v>729</v>
      </c>
      <c r="B2713" s="46">
        <v>45204</v>
      </c>
      <c r="C2713" s="45">
        <v>12690</v>
      </c>
      <c r="D2713" t="s">
        <v>790</v>
      </c>
      <c r="E2713" s="46">
        <v>45245</v>
      </c>
      <c r="F2713" s="45" t="s">
        <v>721</v>
      </c>
      <c r="I2713" t="s">
        <v>834</v>
      </c>
    </row>
    <row r="2714" spans="1:9" hidden="1" x14ac:dyDescent="0.3">
      <c r="A2714" t="s">
        <v>748</v>
      </c>
      <c r="B2714" s="46">
        <v>45243</v>
      </c>
      <c r="C2714" s="45">
        <v>12600</v>
      </c>
      <c r="D2714" t="s">
        <v>735</v>
      </c>
      <c r="E2714" s="46">
        <v>45275</v>
      </c>
      <c r="F2714" s="45" t="s">
        <v>721</v>
      </c>
    </row>
    <row r="2715" spans="1:9" hidden="1" x14ac:dyDescent="0.3">
      <c r="A2715" t="s">
        <v>775</v>
      </c>
      <c r="B2715" s="46">
        <v>45265</v>
      </c>
      <c r="C2715" s="45">
        <v>12500</v>
      </c>
      <c r="D2715" t="s">
        <v>1232</v>
      </c>
      <c r="E2715" s="46">
        <v>45307</v>
      </c>
      <c r="F2715" s="45" t="s">
        <v>721</v>
      </c>
      <c r="I2715" t="s">
        <v>726</v>
      </c>
    </row>
    <row r="2716" spans="1:9" hidden="1" x14ac:dyDescent="0.3">
      <c r="A2716" t="s">
        <v>761</v>
      </c>
      <c r="B2716" s="46">
        <v>45183</v>
      </c>
      <c r="C2716" s="45">
        <v>12500</v>
      </c>
      <c r="D2716" t="s">
        <v>1234</v>
      </c>
      <c r="E2716" s="46">
        <v>45225</v>
      </c>
      <c r="F2716" s="45" t="s">
        <v>721</v>
      </c>
      <c r="I2716" t="s">
        <v>801</v>
      </c>
    </row>
    <row r="2717" spans="1:9" hidden="1" x14ac:dyDescent="0.3">
      <c r="A2717" t="s">
        <v>734</v>
      </c>
      <c r="B2717" s="46">
        <v>45428</v>
      </c>
      <c r="C2717" s="45">
        <v>12500</v>
      </c>
      <c r="D2717" t="s">
        <v>771</v>
      </c>
      <c r="E2717" s="46">
        <v>45458</v>
      </c>
      <c r="F2717" s="45" t="s">
        <v>721</v>
      </c>
      <c r="I2717" t="s">
        <v>762</v>
      </c>
    </row>
    <row r="2718" spans="1:9" hidden="1" x14ac:dyDescent="0.3">
      <c r="A2718" t="s">
        <v>1281</v>
      </c>
      <c r="B2718" s="46">
        <v>45275</v>
      </c>
      <c r="C2718" s="45">
        <v>12400</v>
      </c>
      <c r="D2718" t="s">
        <v>1270</v>
      </c>
      <c r="E2718" s="46">
        <v>45317</v>
      </c>
      <c r="F2718" s="45" t="s">
        <v>721</v>
      </c>
      <c r="I2718" t="s">
        <v>1162</v>
      </c>
    </row>
    <row r="2719" spans="1:9" hidden="1" x14ac:dyDescent="0.3">
      <c r="A2719" t="s">
        <v>734</v>
      </c>
      <c r="B2719" s="46">
        <v>45393</v>
      </c>
      <c r="C2719" s="45">
        <v>12300</v>
      </c>
      <c r="D2719" t="s">
        <v>2109</v>
      </c>
      <c r="E2719" s="46">
        <v>45428</v>
      </c>
      <c r="F2719" s="45" t="s">
        <v>721</v>
      </c>
      <c r="I2719" t="s">
        <v>726</v>
      </c>
    </row>
    <row r="2720" spans="1:9" hidden="1" x14ac:dyDescent="0.3">
      <c r="A2720" t="s">
        <v>1281</v>
      </c>
      <c r="B2720" s="46">
        <v>45446</v>
      </c>
      <c r="C2720" s="45">
        <v>12200</v>
      </c>
      <c r="D2720" t="s">
        <v>1315</v>
      </c>
      <c r="E2720" s="46">
        <v>45469</v>
      </c>
      <c r="F2720" s="45" t="s">
        <v>721</v>
      </c>
      <c r="I2720" t="s">
        <v>1162</v>
      </c>
    </row>
    <row r="2721" spans="1:9" hidden="1" x14ac:dyDescent="0.3">
      <c r="A2721" t="s">
        <v>724</v>
      </c>
      <c r="B2721" s="46">
        <v>45436</v>
      </c>
      <c r="C2721" s="45">
        <v>12150</v>
      </c>
      <c r="D2721" t="s">
        <v>755</v>
      </c>
      <c r="E2721" s="46">
        <v>45469</v>
      </c>
      <c r="F2721" s="45" t="s">
        <v>721</v>
      </c>
      <c r="I2721" t="s">
        <v>726</v>
      </c>
    </row>
    <row r="2722" spans="1:9" hidden="1" x14ac:dyDescent="0.3">
      <c r="A2722" t="s">
        <v>724</v>
      </c>
      <c r="B2722" s="46">
        <v>45397</v>
      </c>
      <c r="C2722" s="45">
        <v>12150</v>
      </c>
      <c r="D2722" t="s">
        <v>755</v>
      </c>
      <c r="E2722" s="46">
        <v>45438</v>
      </c>
      <c r="F2722" s="45" t="s">
        <v>721</v>
      </c>
      <c r="I2722" t="s">
        <v>726</v>
      </c>
    </row>
    <row r="2723" spans="1:9" hidden="1" x14ac:dyDescent="0.3">
      <c r="A2723" t="s">
        <v>724</v>
      </c>
      <c r="B2723" s="46">
        <v>45345</v>
      </c>
      <c r="C2723" s="45">
        <v>12150</v>
      </c>
      <c r="D2723" t="s">
        <v>755</v>
      </c>
      <c r="E2723" s="46">
        <v>45377</v>
      </c>
      <c r="F2723" s="45" t="s">
        <v>721</v>
      </c>
      <c r="I2723" t="s">
        <v>726</v>
      </c>
    </row>
    <row r="2724" spans="1:9" hidden="1" x14ac:dyDescent="0.3">
      <c r="A2724" t="s">
        <v>724</v>
      </c>
      <c r="B2724" s="46">
        <v>45327</v>
      </c>
      <c r="C2724" s="45">
        <v>12150</v>
      </c>
      <c r="D2724" t="s">
        <v>755</v>
      </c>
      <c r="E2724" s="46">
        <v>45377</v>
      </c>
      <c r="F2724" s="45" t="s">
        <v>721</v>
      </c>
      <c r="I2724" t="s">
        <v>726</v>
      </c>
    </row>
    <row r="2725" spans="1:9" hidden="1" x14ac:dyDescent="0.3">
      <c r="A2725" t="s">
        <v>724</v>
      </c>
      <c r="B2725" s="46">
        <v>45313</v>
      </c>
      <c r="C2725" s="45">
        <v>12150</v>
      </c>
      <c r="D2725" t="s">
        <v>755</v>
      </c>
      <c r="E2725" s="46">
        <v>45348</v>
      </c>
      <c r="F2725" s="45" t="s">
        <v>721</v>
      </c>
      <c r="I2725" t="s">
        <v>726</v>
      </c>
    </row>
    <row r="2726" spans="1:9" hidden="1" x14ac:dyDescent="0.3">
      <c r="A2726" t="s">
        <v>724</v>
      </c>
      <c r="B2726" s="46">
        <v>45314</v>
      </c>
      <c r="C2726" s="45">
        <v>12150</v>
      </c>
      <c r="D2726" t="s">
        <v>755</v>
      </c>
      <c r="E2726" s="46">
        <v>45348</v>
      </c>
      <c r="F2726" s="45" t="s">
        <v>721</v>
      </c>
      <c r="I2726" t="s">
        <v>726</v>
      </c>
    </row>
    <row r="2727" spans="1:9" hidden="1" x14ac:dyDescent="0.3">
      <c r="A2727" t="s">
        <v>724</v>
      </c>
      <c r="B2727" s="46">
        <v>45299</v>
      </c>
      <c r="C2727" s="45">
        <v>12150</v>
      </c>
      <c r="D2727" t="s">
        <v>755</v>
      </c>
      <c r="E2727" s="46">
        <v>45348</v>
      </c>
      <c r="F2727" s="45" t="s">
        <v>721</v>
      </c>
      <c r="I2727" t="s">
        <v>726</v>
      </c>
    </row>
    <row r="2728" spans="1:9" hidden="1" x14ac:dyDescent="0.3">
      <c r="A2728" t="s">
        <v>724</v>
      </c>
      <c r="B2728" s="46">
        <v>45300</v>
      </c>
      <c r="C2728" s="45">
        <v>12150</v>
      </c>
      <c r="D2728" t="s">
        <v>755</v>
      </c>
      <c r="E2728" s="46">
        <v>45348</v>
      </c>
      <c r="F2728" s="45" t="s">
        <v>721</v>
      </c>
      <c r="I2728" t="s">
        <v>726</v>
      </c>
    </row>
    <row r="2729" spans="1:9" hidden="1" x14ac:dyDescent="0.3">
      <c r="A2729" t="s">
        <v>722</v>
      </c>
      <c r="B2729" s="46">
        <v>45324</v>
      </c>
      <c r="C2729" s="45">
        <v>12150</v>
      </c>
      <c r="D2729" t="s">
        <v>1031</v>
      </c>
      <c r="E2729" s="46">
        <v>45366</v>
      </c>
      <c r="F2729" s="45" t="s">
        <v>721</v>
      </c>
      <c r="I2729" t="s">
        <v>726</v>
      </c>
    </row>
    <row r="2730" spans="1:9" hidden="1" x14ac:dyDescent="0.3">
      <c r="A2730" t="s">
        <v>724</v>
      </c>
      <c r="B2730" s="46">
        <v>45278</v>
      </c>
      <c r="C2730" s="45">
        <v>12150</v>
      </c>
      <c r="D2730" t="s">
        <v>755</v>
      </c>
      <c r="E2730" s="46">
        <v>45317</v>
      </c>
      <c r="F2730" s="45" t="s">
        <v>721</v>
      </c>
      <c r="I2730" t="s">
        <v>726</v>
      </c>
    </row>
    <row r="2731" spans="1:9" hidden="1" x14ac:dyDescent="0.3">
      <c r="A2731" t="s">
        <v>724</v>
      </c>
      <c r="B2731" s="46">
        <v>45280</v>
      </c>
      <c r="C2731" s="45">
        <v>12150</v>
      </c>
      <c r="D2731" t="s">
        <v>755</v>
      </c>
      <c r="E2731" s="46">
        <v>45317</v>
      </c>
      <c r="F2731" s="45" t="s">
        <v>721</v>
      </c>
      <c r="I2731" t="s">
        <v>726</v>
      </c>
    </row>
    <row r="2732" spans="1:9" hidden="1" x14ac:dyDescent="0.3">
      <c r="A2732" t="s">
        <v>724</v>
      </c>
      <c r="B2732" s="46">
        <v>45271</v>
      </c>
      <c r="C2732" s="45">
        <v>12150</v>
      </c>
      <c r="D2732" t="s">
        <v>755</v>
      </c>
      <c r="E2732" s="46">
        <v>45317</v>
      </c>
      <c r="F2732" s="45" t="s">
        <v>721</v>
      </c>
      <c r="I2732" t="s">
        <v>726</v>
      </c>
    </row>
    <row r="2733" spans="1:9" hidden="1" x14ac:dyDescent="0.3">
      <c r="A2733" t="s">
        <v>724</v>
      </c>
      <c r="B2733" s="46">
        <v>45294</v>
      </c>
      <c r="C2733" s="45">
        <v>12150</v>
      </c>
      <c r="D2733" t="s">
        <v>755</v>
      </c>
      <c r="E2733" s="46">
        <v>45317</v>
      </c>
      <c r="F2733" s="45" t="s">
        <v>721</v>
      </c>
      <c r="I2733" t="s">
        <v>726</v>
      </c>
    </row>
    <row r="2734" spans="1:9" hidden="1" x14ac:dyDescent="0.3">
      <c r="A2734" t="s">
        <v>724</v>
      </c>
      <c r="B2734" s="46">
        <v>45245</v>
      </c>
      <c r="C2734" s="45">
        <v>12150</v>
      </c>
      <c r="D2734" t="s">
        <v>755</v>
      </c>
      <c r="E2734" s="46">
        <v>45286</v>
      </c>
      <c r="F2734" s="45" t="s">
        <v>721</v>
      </c>
      <c r="I2734" t="s">
        <v>726</v>
      </c>
    </row>
    <row r="2735" spans="1:9" hidden="1" x14ac:dyDescent="0.3">
      <c r="A2735" t="s">
        <v>724</v>
      </c>
      <c r="B2735" s="46">
        <v>45212</v>
      </c>
      <c r="C2735" s="45">
        <v>12150</v>
      </c>
      <c r="D2735" t="s">
        <v>755</v>
      </c>
      <c r="E2735" s="46">
        <v>45256</v>
      </c>
      <c r="F2735" s="45" t="s">
        <v>721</v>
      </c>
      <c r="I2735" t="s">
        <v>726</v>
      </c>
    </row>
    <row r="2736" spans="1:9" hidden="1" x14ac:dyDescent="0.3">
      <c r="A2736" t="s">
        <v>724</v>
      </c>
      <c r="B2736" s="46">
        <v>45180</v>
      </c>
      <c r="C2736" s="45">
        <v>12150</v>
      </c>
      <c r="D2736" t="s">
        <v>755</v>
      </c>
      <c r="E2736" s="46">
        <v>45225</v>
      </c>
      <c r="F2736" s="45" t="s">
        <v>721</v>
      </c>
      <c r="I2736" t="s">
        <v>726</v>
      </c>
    </row>
    <row r="2737" spans="1:9" hidden="1" x14ac:dyDescent="0.3">
      <c r="A2737" t="s">
        <v>775</v>
      </c>
      <c r="B2737" s="46">
        <v>45177</v>
      </c>
      <c r="C2737" s="45">
        <v>12150</v>
      </c>
      <c r="D2737" t="s">
        <v>1031</v>
      </c>
      <c r="E2737" s="46">
        <v>45215</v>
      </c>
      <c r="F2737" s="45" t="s">
        <v>721</v>
      </c>
      <c r="I2737" t="s">
        <v>726</v>
      </c>
    </row>
    <row r="2738" spans="1:9" hidden="1" x14ac:dyDescent="0.3">
      <c r="A2738" t="s">
        <v>748</v>
      </c>
      <c r="B2738" s="46">
        <v>45176</v>
      </c>
      <c r="C2738" s="45">
        <v>12150</v>
      </c>
      <c r="D2738" t="s">
        <v>1031</v>
      </c>
      <c r="E2738" s="46">
        <v>45215</v>
      </c>
      <c r="F2738" s="45" t="s">
        <v>721</v>
      </c>
      <c r="I2738" t="s">
        <v>726</v>
      </c>
    </row>
    <row r="2739" spans="1:9" hidden="1" x14ac:dyDescent="0.3">
      <c r="A2739" t="s">
        <v>724</v>
      </c>
      <c r="B2739" s="46">
        <v>45168</v>
      </c>
      <c r="C2739" s="45">
        <v>12150</v>
      </c>
      <c r="D2739" t="s">
        <v>755</v>
      </c>
      <c r="E2739" s="46">
        <v>45195</v>
      </c>
      <c r="F2739" s="45" t="s">
        <v>721</v>
      </c>
      <c r="I2739" t="s">
        <v>726</v>
      </c>
    </row>
    <row r="2740" spans="1:9" hidden="1" x14ac:dyDescent="0.3">
      <c r="A2740" t="s">
        <v>724</v>
      </c>
      <c r="B2740" s="46">
        <v>45166</v>
      </c>
      <c r="C2740" s="45">
        <v>12150</v>
      </c>
      <c r="D2740" t="s">
        <v>755</v>
      </c>
      <c r="E2740" s="46">
        <v>45195</v>
      </c>
      <c r="F2740" s="45" t="s">
        <v>721</v>
      </c>
      <c r="I2740" t="s">
        <v>726</v>
      </c>
    </row>
    <row r="2741" spans="1:9" hidden="1" x14ac:dyDescent="0.3">
      <c r="A2741" t="s">
        <v>724</v>
      </c>
      <c r="B2741" s="46">
        <v>45119</v>
      </c>
      <c r="C2741" s="45">
        <v>12150</v>
      </c>
      <c r="D2741" t="s">
        <v>755</v>
      </c>
      <c r="E2741" s="46">
        <v>45164</v>
      </c>
      <c r="F2741" s="45" t="s">
        <v>721</v>
      </c>
      <c r="I2741" t="s">
        <v>726</v>
      </c>
    </row>
    <row r="2742" spans="1:9" hidden="1" x14ac:dyDescent="0.3">
      <c r="A2742" t="s">
        <v>734</v>
      </c>
      <c r="B2742" s="46">
        <v>45351</v>
      </c>
      <c r="C2742" s="45">
        <v>12100</v>
      </c>
      <c r="D2742" t="s">
        <v>2106</v>
      </c>
      <c r="E2742" s="46">
        <v>45397</v>
      </c>
      <c r="F2742" s="45" t="s">
        <v>721</v>
      </c>
      <c r="I2742" t="s">
        <v>726</v>
      </c>
    </row>
    <row r="2743" spans="1:9" hidden="1" x14ac:dyDescent="0.3">
      <c r="A2743" t="s">
        <v>748</v>
      </c>
      <c r="B2743" s="46">
        <v>45369</v>
      </c>
      <c r="C2743" s="45">
        <v>12000</v>
      </c>
      <c r="D2743" t="s">
        <v>1047</v>
      </c>
      <c r="E2743" s="46">
        <v>45397</v>
      </c>
      <c r="F2743" s="45" t="s">
        <v>721</v>
      </c>
      <c r="I2743" t="s">
        <v>726</v>
      </c>
    </row>
    <row r="2744" spans="1:9" hidden="1" x14ac:dyDescent="0.3">
      <c r="A2744" t="s">
        <v>748</v>
      </c>
      <c r="B2744" s="46">
        <v>45373</v>
      </c>
      <c r="C2744" s="45">
        <v>12000</v>
      </c>
      <c r="D2744" t="s">
        <v>1047</v>
      </c>
      <c r="E2744" s="46">
        <v>45397</v>
      </c>
      <c r="F2744" s="45" t="s">
        <v>721</v>
      </c>
      <c r="I2744" t="s">
        <v>726</v>
      </c>
    </row>
    <row r="2745" spans="1:9" hidden="1" x14ac:dyDescent="0.3">
      <c r="A2745" t="s">
        <v>779</v>
      </c>
      <c r="B2745" s="46">
        <v>45378</v>
      </c>
      <c r="C2745" s="45">
        <v>12000</v>
      </c>
      <c r="D2745" t="s">
        <v>850</v>
      </c>
      <c r="E2745" s="46">
        <v>45398</v>
      </c>
      <c r="F2745" s="45" t="s">
        <v>721</v>
      </c>
      <c r="G2745">
        <v>0</v>
      </c>
      <c r="I2745" t="s">
        <v>726</v>
      </c>
    </row>
    <row r="2746" spans="1:9" hidden="1" x14ac:dyDescent="0.3">
      <c r="A2746" t="s">
        <v>779</v>
      </c>
      <c r="B2746" s="46">
        <v>45379</v>
      </c>
      <c r="C2746" s="45">
        <v>12000</v>
      </c>
      <c r="D2746" t="s">
        <v>2129</v>
      </c>
      <c r="E2746" s="46">
        <v>45398</v>
      </c>
      <c r="F2746" s="45" t="s">
        <v>721</v>
      </c>
      <c r="G2746">
        <v>0</v>
      </c>
      <c r="I2746" t="s">
        <v>1148</v>
      </c>
    </row>
    <row r="2747" spans="1:9" hidden="1" x14ac:dyDescent="0.3">
      <c r="A2747" t="s">
        <v>779</v>
      </c>
      <c r="B2747" s="46">
        <v>45405</v>
      </c>
      <c r="C2747" s="45">
        <v>12000</v>
      </c>
      <c r="D2747" t="s">
        <v>1099</v>
      </c>
      <c r="E2747" s="46">
        <v>45428</v>
      </c>
      <c r="F2747" s="45" t="s">
        <v>721</v>
      </c>
      <c r="G2747">
        <v>0</v>
      </c>
      <c r="I2747" t="s">
        <v>726</v>
      </c>
    </row>
    <row r="2748" spans="1:9" hidden="1" x14ac:dyDescent="0.3">
      <c r="A2748" t="s">
        <v>779</v>
      </c>
      <c r="B2748" s="46">
        <v>45385</v>
      </c>
      <c r="C2748" s="45">
        <v>12000</v>
      </c>
      <c r="D2748" t="s">
        <v>1306</v>
      </c>
      <c r="E2748" s="46">
        <v>45428</v>
      </c>
      <c r="F2748" s="45" t="s">
        <v>721</v>
      </c>
      <c r="G2748">
        <v>0</v>
      </c>
      <c r="I2748" t="s">
        <v>726</v>
      </c>
    </row>
    <row r="2749" spans="1:9" hidden="1" x14ac:dyDescent="0.3">
      <c r="A2749" t="s">
        <v>779</v>
      </c>
      <c r="B2749" s="46">
        <v>45386</v>
      </c>
      <c r="C2749" s="45">
        <v>12000</v>
      </c>
      <c r="D2749" t="s">
        <v>2130</v>
      </c>
      <c r="E2749" s="46">
        <v>45428</v>
      </c>
      <c r="F2749" s="45" t="s">
        <v>721</v>
      </c>
      <c r="G2749">
        <v>0</v>
      </c>
      <c r="I2749" t="s">
        <v>726</v>
      </c>
    </row>
    <row r="2750" spans="1:9" hidden="1" x14ac:dyDescent="0.3">
      <c r="A2750" t="s">
        <v>779</v>
      </c>
      <c r="B2750" s="46">
        <v>45398</v>
      </c>
      <c r="C2750" s="45">
        <v>12000</v>
      </c>
      <c r="D2750" t="s">
        <v>1305</v>
      </c>
      <c r="E2750" s="46">
        <v>45428</v>
      </c>
      <c r="F2750" s="45" t="s">
        <v>721</v>
      </c>
      <c r="G2750">
        <v>0</v>
      </c>
      <c r="I2750" t="s">
        <v>726</v>
      </c>
    </row>
    <row r="2751" spans="1:9" hidden="1" x14ac:dyDescent="0.3">
      <c r="A2751" t="s">
        <v>779</v>
      </c>
      <c r="B2751" s="46">
        <v>45341</v>
      </c>
      <c r="C2751" s="45">
        <v>12000</v>
      </c>
      <c r="D2751" t="s">
        <v>1305</v>
      </c>
      <c r="E2751" s="46">
        <v>45369</v>
      </c>
      <c r="F2751" s="45" t="s">
        <v>721</v>
      </c>
      <c r="G2751">
        <v>0</v>
      </c>
      <c r="I2751" t="s">
        <v>726</v>
      </c>
    </row>
    <row r="2752" spans="1:9" hidden="1" x14ac:dyDescent="0.3">
      <c r="A2752" t="s">
        <v>779</v>
      </c>
      <c r="B2752" s="46">
        <v>45343</v>
      </c>
      <c r="C2752" s="45">
        <v>12000</v>
      </c>
      <c r="D2752" t="s">
        <v>1306</v>
      </c>
      <c r="E2752" s="46">
        <v>45369</v>
      </c>
      <c r="F2752" s="45" t="s">
        <v>721</v>
      </c>
      <c r="G2752">
        <v>0</v>
      </c>
      <c r="I2752" t="s">
        <v>726</v>
      </c>
    </row>
    <row r="2753" spans="1:9" hidden="1" x14ac:dyDescent="0.3">
      <c r="A2753" t="s">
        <v>761</v>
      </c>
      <c r="B2753" s="46">
        <v>45378</v>
      </c>
      <c r="C2753" s="45">
        <v>12000</v>
      </c>
      <c r="D2753" t="s">
        <v>1220</v>
      </c>
      <c r="E2753" s="46">
        <v>45408</v>
      </c>
      <c r="F2753" s="45" t="s">
        <v>721</v>
      </c>
      <c r="I2753" t="s">
        <v>1148</v>
      </c>
    </row>
    <row r="2754" spans="1:9" hidden="1" x14ac:dyDescent="0.3">
      <c r="A2754" t="s">
        <v>727</v>
      </c>
      <c r="B2754" s="46">
        <v>45341</v>
      </c>
      <c r="C2754" s="45">
        <v>12000</v>
      </c>
      <c r="D2754" t="s">
        <v>1116</v>
      </c>
      <c r="E2754" s="46">
        <v>45366</v>
      </c>
      <c r="F2754" s="45" t="s">
        <v>721</v>
      </c>
      <c r="I2754" t="s">
        <v>726</v>
      </c>
    </row>
    <row r="2755" spans="1:9" hidden="1" x14ac:dyDescent="0.3">
      <c r="A2755" t="s">
        <v>748</v>
      </c>
      <c r="B2755" s="46">
        <v>45350</v>
      </c>
      <c r="C2755" s="45">
        <v>12000</v>
      </c>
      <c r="D2755" t="s">
        <v>1047</v>
      </c>
      <c r="E2755" s="46">
        <v>45366</v>
      </c>
      <c r="F2755" s="45" t="s">
        <v>721</v>
      </c>
      <c r="I2755" t="s">
        <v>726</v>
      </c>
    </row>
    <row r="2756" spans="1:9" hidden="1" x14ac:dyDescent="0.3">
      <c r="A2756" t="s">
        <v>779</v>
      </c>
      <c r="B2756" s="46">
        <v>45281</v>
      </c>
      <c r="C2756" s="45">
        <v>12000</v>
      </c>
      <c r="D2756" t="s">
        <v>1294</v>
      </c>
      <c r="E2756" s="46">
        <v>45307</v>
      </c>
      <c r="F2756" s="45" t="s">
        <v>721</v>
      </c>
      <c r="I2756" t="s">
        <v>726</v>
      </c>
    </row>
    <row r="2757" spans="1:9" hidden="1" x14ac:dyDescent="0.3">
      <c r="A2757" t="s">
        <v>729</v>
      </c>
      <c r="B2757" s="46">
        <v>45294</v>
      </c>
      <c r="C2757" s="45">
        <v>12000</v>
      </c>
      <c r="D2757" t="s">
        <v>1116</v>
      </c>
      <c r="E2757" s="46">
        <v>45337</v>
      </c>
      <c r="F2757" s="45" t="s">
        <v>721</v>
      </c>
      <c r="I2757" t="s">
        <v>726</v>
      </c>
    </row>
    <row r="2758" spans="1:9" hidden="1" x14ac:dyDescent="0.3">
      <c r="A2758" t="s">
        <v>767</v>
      </c>
      <c r="B2758" s="46">
        <v>45300</v>
      </c>
      <c r="C2758" s="45">
        <v>12000</v>
      </c>
      <c r="D2758" t="s">
        <v>1116</v>
      </c>
      <c r="E2758" s="46">
        <v>45337</v>
      </c>
      <c r="F2758" s="45" t="s">
        <v>721</v>
      </c>
      <c r="I2758" t="s">
        <v>726</v>
      </c>
    </row>
    <row r="2759" spans="1:9" hidden="1" x14ac:dyDescent="0.3">
      <c r="A2759" t="s">
        <v>772</v>
      </c>
      <c r="B2759" s="46">
        <v>45405</v>
      </c>
      <c r="C2759" s="45">
        <v>12000</v>
      </c>
      <c r="D2759" t="s">
        <v>850</v>
      </c>
      <c r="E2759" s="46">
        <v>45438</v>
      </c>
      <c r="F2759" s="45" t="s">
        <v>721</v>
      </c>
      <c r="I2759" t="s">
        <v>726</v>
      </c>
    </row>
    <row r="2760" spans="1:9" hidden="1" x14ac:dyDescent="0.3">
      <c r="A2760" t="s">
        <v>727</v>
      </c>
      <c r="B2760" s="46">
        <v>45411</v>
      </c>
      <c r="C2760" s="45">
        <v>12000</v>
      </c>
      <c r="D2760" t="s">
        <v>991</v>
      </c>
      <c r="E2760" s="46">
        <v>45428</v>
      </c>
      <c r="F2760" s="45" t="s">
        <v>721</v>
      </c>
      <c r="I2760" t="s">
        <v>726</v>
      </c>
    </row>
    <row r="2761" spans="1:9" hidden="1" x14ac:dyDescent="0.3">
      <c r="A2761" t="s">
        <v>767</v>
      </c>
      <c r="B2761" s="46">
        <v>45407</v>
      </c>
      <c r="C2761" s="45">
        <v>12000</v>
      </c>
      <c r="D2761" t="s">
        <v>816</v>
      </c>
      <c r="E2761" s="46">
        <v>45428</v>
      </c>
      <c r="F2761" s="45" t="s">
        <v>721</v>
      </c>
      <c r="I2761" t="s">
        <v>726</v>
      </c>
    </row>
    <row r="2762" spans="1:9" hidden="1" x14ac:dyDescent="0.3">
      <c r="A2762" t="s">
        <v>727</v>
      </c>
      <c r="B2762" s="46">
        <v>45443</v>
      </c>
      <c r="C2762" s="45">
        <v>12000</v>
      </c>
      <c r="D2762" t="s">
        <v>1008</v>
      </c>
      <c r="E2762" s="46">
        <v>45458</v>
      </c>
      <c r="F2762" s="45" t="s">
        <v>721</v>
      </c>
      <c r="I2762" t="s">
        <v>726</v>
      </c>
    </row>
    <row r="2763" spans="1:9" hidden="1" x14ac:dyDescent="0.3">
      <c r="A2763" t="s">
        <v>767</v>
      </c>
      <c r="B2763" s="46">
        <v>45432</v>
      </c>
      <c r="C2763" s="45">
        <v>12000</v>
      </c>
      <c r="D2763" t="s">
        <v>1116</v>
      </c>
      <c r="E2763" s="46">
        <v>45458</v>
      </c>
      <c r="F2763" s="45" t="s">
        <v>721</v>
      </c>
      <c r="I2763" t="s">
        <v>726</v>
      </c>
    </row>
    <row r="2764" spans="1:9" hidden="1" x14ac:dyDescent="0.3">
      <c r="A2764" t="s">
        <v>767</v>
      </c>
      <c r="B2764" s="46">
        <v>45426</v>
      </c>
      <c r="C2764" s="45">
        <v>12000</v>
      </c>
      <c r="D2764" t="s">
        <v>2060</v>
      </c>
      <c r="E2764" s="46">
        <v>45458</v>
      </c>
      <c r="F2764" s="45" t="s">
        <v>721</v>
      </c>
      <c r="I2764" t="s">
        <v>726</v>
      </c>
    </row>
    <row r="2765" spans="1:9" hidden="1" x14ac:dyDescent="0.3">
      <c r="A2765" t="s">
        <v>727</v>
      </c>
      <c r="B2765" s="46">
        <v>45161</v>
      </c>
      <c r="C2765" s="45">
        <v>12000</v>
      </c>
      <c r="D2765" t="s">
        <v>893</v>
      </c>
      <c r="E2765" s="46">
        <v>45184</v>
      </c>
      <c r="F2765" s="45" t="s">
        <v>721</v>
      </c>
      <c r="I2765" t="s">
        <v>726</v>
      </c>
    </row>
    <row r="2766" spans="1:9" hidden="1" x14ac:dyDescent="0.3">
      <c r="A2766" t="s">
        <v>748</v>
      </c>
      <c r="B2766" s="46">
        <v>45138</v>
      </c>
      <c r="C2766" s="45">
        <v>12000</v>
      </c>
      <c r="D2766" t="s">
        <v>1031</v>
      </c>
      <c r="E2766" s="46">
        <v>45154</v>
      </c>
      <c r="F2766" s="45" t="s">
        <v>721</v>
      </c>
      <c r="I2766" t="s">
        <v>726</v>
      </c>
    </row>
    <row r="2767" spans="1:9" hidden="1" x14ac:dyDescent="0.3">
      <c r="A2767" t="s">
        <v>767</v>
      </c>
      <c r="B2767" s="46">
        <v>45119</v>
      </c>
      <c r="C2767" s="45">
        <v>12000</v>
      </c>
      <c r="D2767" t="s">
        <v>908</v>
      </c>
      <c r="E2767" s="46">
        <v>45154</v>
      </c>
      <c r="F2767" s="45" t="s">
        <v>721</v>
      </c>
      <c r="I2767" t="s">
        <v>726</v>
      </c>
    </row>
    <row r="2768" spans="1:9" hidden="1" x14ac:dyDescent="0.3">
      <c r="A2768" t="s">
        <v>767</v>
      </c>
      <c r="B2768" s="46">
        <v>45127</v>
      </c>
      <c r="C2768" s="45">
        <v>12000</v>
      </c>
      <c r="D2768" t="s">
        <v>802</v>
      </c>
      <c r="E2768" s="46">
        <v>45154</v>
      </c>
      <c r="F2768" s="45" t="s">
        <v>721</v>
      </c>
      <c r="I2768" t="s">
        <v>726</v>
      </c>
    </row>
    <row r="2769" spans="1:9" hidden="1" x14ac:dyDescent="0.3">
      <c r="A2769" t="s">
        <v>767</v>
      </c>
      <c r="B2769" s="46">
        <v>45128</v>
      </c>
      <c r="C2769" s="45">
        <v>12000</v>
      </c>
      <c r="D2769" t="s">
        <v>850</v>
      </c>
      <c r="E2769" s="46">
        <v>45154</v>
      </c>
      <c r="F2769" s="45" t="s">
        <v>721</v>
      </c>
      <c r="I2769" t="s">
        <v>726</v>
      </c>
    </row>
    <row r="2770" spans="1:9" hidden="1" x14ac:dyDescent="0.3">
      <c r="A2770" t="s">
        <v>729</v>
      </c>
      <c r="B2770" s="46">
        <v>45194</v>
      </c>
      <c r="C2770" s="45">
        <v>12000</v>
      </c>
      <c r="D2770" t="s">
        <v>1116</v>
      </c>
      <c r="E2770" s="46">
        <v>45215</v>
      </c>
      <c r="F2770" s="45" t="s">
        <v>721</v>
      </c>
      <c r="I2770" t="s">
        <v>726</v>
      </c>
    </row>
    <row r="2771" spans="1:9" hidden="1" x14ac:dyDescent="0.3">
      <c r="A2771" t="s">
        <v>748</v>
      </c>
      <c r="B2771" s="46">
        <v>45189</v>
      </c>
      <c r="C2771" s="45">
        <v>12000</v>
      </c>
      <c r="D2771" t="s">
        <v>1304</v>
      </c>
      <c r="E2771" s="46">
        <v>45215</v>
      </c>
      <c r="F2771" s="45" t="s">
        <v>721</v>
      </c>
      <c r="I2771" t="s">
        <v>795</v>
      </c>
    </row>
    <row r="2772" spans="1:9" hidden="1" x14ac:dyDescent="0.3">
      <c r="A2772" t="s">
        <v>724</v>
      </c>
      <c r="B2772" s="46">
        <v>45173</v>
      </c>
      <c r="C2772" s="45">
        <v>12000</v>
      </c>
      <c r="D2772" t="s">
        <v>1233</v>
      </c>
      <c r="E2772" s="46">
        <v>45225</v>
      </c>
      <c r="F2772" s="45" t="s">
        <v>721</v>
      </c>
      <c r="I2772" t="s">
        <v>726</v>
      </c>
    </row>
    <row r="2773" spans="1:9" hidden="1" x14ac:dyDescent="0.3">
      <c r="A2773" t="s">
        <v>724</v>
      </c>
      <c r="B2773" s="46">
        <v>45196</v>
      </c>
      <c r="C2773" s="45">
        <v>12000</v>
      </c>
      <c r="D2773" t="s">
        <v>1303</v>
      </c>
      <c r="E2773" s="46">
        <v>45225</v>
      </c>
      <c r="F2773" s="45" t="s">
        <v>721</v>
      </c>
      <c r="I2773" t="s">
        <v>726</v>
      </c>
    </row>
    <row r="2774" spans="1:9" hidden="1" x14ac:dyDescent="0.3">
      <c r="A2774" t="s">
        <v>767</v>
      </c>
      <c r="B2774" s="46">
        <v>45203</v>
      </c>
      <c r="C2774" s="45">
        <v>12000</v>
      </c>
      <c r="D2774" t="s">
        <v>1116</v>
      </c>
      <c r="E2774" s="46">
        <v>45245</v>
      </c>
      <c r="F2774" s="45" t="s">
        <v>721</v>
      </c>
      <c r="I2774" t="s">
        <v>726</v>
      </c>
    </row>
    <row r="2775" spans="1:9" hidden="1" x14ac:dyDescent="0.3">
      <c r="A2775" t="s">
        <v>729</v>
      </c>
      <c r="B2775" s="46">
        <v>45212</v>
      </c>
      <c r="C2775" s="45">
        <v>12000</v>
      </c>
      <c r="D2775" t="s">
        <v>1116</v>
      </c>
      <c r="E2775" s="46">
        <v>45245</v>
      </c>
      <c r="F2775" s="45" t="s">
        <v>721</v>
      </c>
      <c r="I2775" t="s">
        <v>726</v>
      </c>
    </row>
    <row r="2776" spans="1:9" hidden="1" x14ac:dyDescent="0.3">
      <c r="A2776" t="s">
        <v>727</v>
      </c>
      <c r="B2776" s="46">
        <v>45223</v>
      </c>
      <c r="C2776" s="45">
        <v>12000</v>
      </c>
      <c r="D2776" t="s">
        <v>850</v>
      </c>
      <c r="E2776" s="46">
        <v>45245</v>
      </c>
      <c r="F2776" s="45" t="s">
        <v>721</v>
      </c>
      <c r="I2776" t="s">
        <v>726</v>
      </c>
    </row>
    <row r="2777" spans="1:9" hidden="1" x14ac:dyDescent="0.3">
      <c r="A2777" t="s">
        <v>729</v>
      </c>
      <c r="B2777" s="46">
        <v>45251</v>
      </c>
      <c r="C2777" s="45">
        <v>12000</v>
      </c>
      <c r="D2777" t="s">
        <v>1039</v>
      </c>
      <c r="E2777" s="46">
        <v>45275</v>
      </c>
      <c r="F2777" s="45" t="s">
        <v>721</v>
      </c>
      <c r="I2777" t="s">
        <v>726</v>
      </c>
    </row>
    <row r="2778" spans="1:9" hidden="1" x14ac:dyDescent="0.3">
      <c r="A2778" t="s">
        <v>772</v>
      </c>
      <c r="B2778" s="46">
        <v>45259</v>
      </c>
      <c r="C2778" s="45">
        <v>12000</v>
      </c>
      <c r="D2778" t="s">
        <v>850</v>
      </c>
      <c r="E2778" s="46">
        <v>45286</v>
      </c>
      <c r="F2778" s="45" t="s">
        <v>721</v>
      </c>
      <c r="I2778" t="s">
        <v>726</v>
      </c>
    </row>
    <row r="2779" spans="1:9" hidden="1" x14ac:dyDescent="0.3">
      <c r="A2779" t="s">
        <v>767</v>
      </c>
      <c r="B2779" s="46">
        <v>45258</v>
      </c>
      <c r="C2779" s="45">
        <v>12000</v>
      </c>
      <c r="D2779" t="s">
        <v>1116</v>
      </c>
      <c r="E2779" s="46">
        <v>45275</v>
      </c>
      <c r="F2779" s="45" t="s">
        <v>721</v>
      </c>
      <c r="I2779" t="s">
        <v>726</v>
      </c>
    </row>
    <row r="2780" spans="1:9" hidden="1" x14ac:dyDescent="0.3">
      <c r="A2780" t="s">
        <v>821</v>
      </c>
      <c r="B2780" s="46">
        <v>45250</v>
      </c>
      <c r="C2780" s="45">
        <v>12000</v>
      </c>
      <c r="D2780" t="s">
        <v>1192</v>
      </c>
      <c r="E2780" s="46">
        <v>45275</v>
      </c>
      <c r="F2780" s="45" t="s">
        <v>721</v>
      </c>
      <c r="I2780" t="s">
        <v>814</v>
      </c>
    </row>
    <row r="2781" spans="1:9" hidden="1" x14ac:dyDescent="0.3">
      <c r="A2781" t="s">
        <v>779</v>
      </c>
      <c r="B2781" s="46">
        <v>45231</v>
      </c>
      <c r="C2781" s="45">
        <v>12000</v>
      </c>
      <c r="D2781" t="s">
        <v>1307</v>
      </c>
      <c r="E2781" s="46">
        <v>45276</v>
      </c>
      <c r="F2781" s="45" t="s">
        <v>721</v>
      </c>
      <c r="G2781">
        <v>0</v>
      </c>
      <c r="I2781" t="s">
        <v>726</v>
      </c>
    </row>
    <row r="2782" spans="1:9" hidden="1" x14ac:dyDescent="0.3">
      <c r="A2782" t="s">
        <v>772</v>
      </c>
      <c r="B2782" s="46">
        <v>45236</v>
      </c>
      <c r="C2782" s="45">
        <v>12000</v>
      </c>
      <c r="D2782" t="s">
        <v>1098</v>
      </c>
      <c r="E2782" s="46">
        <v>45286</v>
      </c>
      <c r="F2782" s="45" t="s">
        <v>721</v>
      </c>
      <c r="I2782" t="s">
        <v>726</v>
      </c>
    </row>
    <row r="2783" spans="1:9" hidden="1" x14ac:dyDescent="0.3">
      <c r="A2783" t="s">
        <v>724</v>
      </c>
      <c r="B2783" s="46">
        <v>45237</v>
      </c>
      <c r="C2783" s="45">
        <v>12000</v>
      </c>
      <c r="D2783" t="s">
        <v>1232</v>
      </c>
      <c r="E2783" s="46">
        <v>45286</v>
      </c>
      <c r="F2783" s="45" t="s">
        <v>721</v>
      </c>
      <c r="I2783" t="s">
        <v>726</v>
      </c>
    </row>
    <row r="2784" spans="1:9" hidden="1" x14ac:dyDescent="0.3">
      <c r="A2784" t="s">
        <v>779</v>
      </c>
      <c r="B2784" s="46">
        <v>45231</v>
      </c>
      <c r="C2784" s="45">
        <v>12000</v>
      </c>
      <c r="D2784" t="s">
        <v>1307</v>
      </c>
      <c r="E2784" s="46">
        <v>45278</v>
      </c>
      <c r="F2784" s="45" t="s">
        <v>721</v>
      </c>
      <c r="I2784" t="s">
        <v>726</v>
      </c>
    </row>
    <row r="2785" spans="1:9" hidden="1" x14ac:dyDescent="0.3">
      <c r="A2785" t="s">
        <v>775</v>
      </c>
      <c r="B2785" s="46">
        <v>45238</v>
      </c>
      <c r="C2785" s="45">
        <v>12000</v>
      </c>
      <c r="D2785" t="s">
        <v>1308</v>
      </c>
      <c r="E2785" s="46">
        <v>45278</v>
      </c>
      <c r="F2785" s="45" t="s">
        <v>721</v>
      </c>
      <c r="I2785" t="s">
        <v>726</v>
      </c>
    </row>
    <row r="2786" spans="1:9" hidden="1" x14ac:dyDescent="0.3">
      <c r="A2786" t="s">
        <v>748</v>
      </c>
      <c r="B2786" s="46">
        <v>45273</v>
      </c>
      <c r="C2786" s="45">
        <v>12000</v>
      </c>
      <c r="D2786" t="s">
        <v>1031</v>
      </c>
      <c r="E2786" s="46">
        <v>45306</v>
      </c>
      <c r="F2786" s="45" t="s">
        <v>721</v>
      </c>
      <c r="I2786" t="s">
        <v>726</v>
      </c>
    </row>
    <row r="2787" spans="1:9" hidden="1" x14ac:dyDescent="0.3">
      <c r="A2787" t="s">
        <v>767</v>
      </c>
      <c r="B2787" s="46">
        <v>45286</v>
      </c>
      <c r="C2787" s="45">
        <v>12000</v>
      </c>
      <c r="D2787" t="s">
        <v>1116</v>
      </c>
      <c r="E2787" s="46">
        <v>45306</v>
      </c>
      <c r="F2787" s="45" t="s">
        <v>721</v>
      </c>
      <c r="I2787" t="s">
        <v>726</v>
      </c>
    </row>
    <row r="2788" spans="1:9" hidden="1" x14ac:dyDescent="0.3">
      <c r="A2788" t="s">
        <v>767</v>
      </c>
      <c r="B2788" s="46">
        <v>45287</v>
      </c>
      <c r="C2788" s="45">
        <v>12000</v>
      </c>
      <c r="D2788" t="s">
        <v>1116</v>
      </c>
      <c r="E2788" s="46">
        <v>45306</v>
      </c>
      <c r="F2788" s="45" t="s">
        <v>721</v>
      </c>
      <c r="I2788" t="s">
        <v>726</v>
      </c>
    </row>
    <row r="2789" spans="1:9" hidden="1" x14ac:dyDescent="0.3">
      <c r="A2789" t="s">
        <v>767</v>
      </c>
      <c r="B2789" s="46">
        <v>45289</v>
      </c>
      <c r="C2789" s="45">
        <v>12000</v>
      </c>
      <c r="D2789" t="s">
        <v>1116</v>
      </c>
      <c r="E2789" s="46">
        <v>45306</v>
      </c>
      <c r="F2789" s="45" t="s">
        <v>721</v>
      </c>
      <c r="I2789" t="s">
        <v>726</v>
      </c>
    </row>
    <row r="2790" spans="1:9" hidden="1" x14ac:dyDescent="0.3">
      <c r="A2790" t="s">
        <v>767</v>
      </c>
      <c r="B2790" s="46">
        <v>45278</v>
      </c>
      <c r="C2790" s="45">
        <v>12000</v>
      </c>
      <c r="D2790" t="s">
        <v>1116</v>
      </c>
      <c r="E2790" s="46">
        <v>45306</v>
      </c>
      <c r="F2790" s="45" t="s">
        <v>721</v>
      </c>
      <c r="I2790" t="s">
        <v>726</v>
      </c>
    </row>
    <row r="2791" spans="1:9" hidden="1" x14ac:dyDescent="0.3">
      <c r="A2791" t="s">
        <v>767</v>
      </c>
      <c r="B2791" s="46">
        <v>45273</v>
      </c>
      <c r="C2791" s="45">
        <v>12000</v>
      </c>
      <c r="D2791" t="s">
        <v>1116</v>
      </c>
      <c r="E2791" s="46">
        <v>45306</v>
      </c>
      <c r="F2791" s="45" t="s">
        <v>721</v>
      </c>
      <c r="I2791" t="s">
        <v>726</v>
      </c>
    </row>
    <row r="2792" spans="1:9" hidden="1" x14ac:dyDescent="0.3">
      <c r="A2792" t="s">
        <v>727</v>
      </c>
      <c r="B2792" s="46">
        <v>45271</v>
      </c>
      <c r="C2792" s="45">
        <v>12000</v>
      </c>
      <c r="D2792" t="s">
        <v>1116</v>
      </c>
      <c r="E2792" s="46">
        <v>45306</v>
      </c>
      <c r="F2792" s="45" t="s">
        <v>721</v>
      </c>
      <c r="I2792" t="s">
        <v>726</v>
      </c>
    </row>
    <row r="2793" spans="1:9" hidden="1" x14ac:dyDescent="0.3">
      <c r="A2793" t="s">
        <v>727</v>
      </c>
      <c r="B2793" s="46">
        <v>45433</v>
      </c>
      <c r="C2793" s="45">
        <v>11920</v>
      </c>
      <c r="D2793" t="s">
        <v>2131</v>
      </c>
      <c r="E2793" s="46">
        <v>45458</v>
      </c>
      <c r="F2793" s="45" t="s">
        <v>721</v>
      </c>
      <c r="I2793" t="s">
        <v>736</v>
      </c>
    </row>
    <row r="2794" spans="1:9" hidden="1" x14ac:dyDescent="0.3">
      <c r="A2794" t="s">
        <v>767</v>
      </c>
      <c r="B2794" s="46">
        <v>45433</v>
      </c>
      <c r="C2794" s="45">
        <v>11900</v>
      </c>
      <c r="D2794" t="s">
        <v>2132</v>
      </c>
      <c r="E2794" s="46">
        <v>45458</v>
      </c>
      <c r="F2794" s="45" t="s">
        <v>721</v>
      </c>
      <c r="I2794" t="s">
        <v>726</v>
      </c>
    </row>
    <row r="2795" spans="1:9" hidden="1" x14ac:dyDescent="0.3">
      <c r="A2795" t="s">
        <v>748</v>
      </c>
      <c r="B2795" s="46">
        <v>45415</v>
      </c>
      <c r="C2795" s="45">
        <v>11900</v>
      </c>
      <c r="D2795" t="s">
        <v>1047</v>
      </c>
      <c r="E2795" s="46">
        <v>45458</v>
      </c>
      <c r="F2795" s="45" t="s">
        <v>721</v>
      </c>
      <c r="I2795" t="s">
        <v>726</v>
      </c>
    </row>
    <row r="2796" spans="1:9" hidden="1" x14ac:dyDescent="0.3">
      <c r="A2796" t="s">
        <v>727</v>
      </c>
      <c r="B2796" s="46">
        <v>45407</v>
      </c>
      <c r="C2796" s="45">
        <v>11900</v>
      </c>
      <c r="D2796" t="s">
        <v>830</v>
      </c>
      <c r="E2796" s="46">
        <v>45428</v>
      </c>
      <c r="F2796" s="45" t="s">
        <v>721</v>
      </c>
      <c r="I2796" t="s">
        <v>726</v>
      </c>
    </row>
    <row r="2797" spans="1:9" hidden="1" x14ac:dyDescent="0.3">
      <c r="A2797" t="s">
        <v>748</v>
      </c>
      <c r="B2797" s="46">
        <v>45401</v>
      </c>
      <c r="C2797" s="45">
        <v>11900</v>
      </c>
      <c r="D2797" t="s">
        <v>1224</v>
      </c>
      <c r="E2797" s="46">
        <v>45428</v>
      </c>
      <c r="F2797" s="45" t="s">
        <v>721</v>
      </c>
      <c r="I2797" t="s">
        <v>726</v>
      </c>
    </row>
    <row r="2798" spans="1:9" hidden="1" x14ac:dyDescent="0.3">
      <c r="A2798" t="s">
        <v>748</v>
      </c>
      <c r="B2798" s="46">
        <v>45383</v>
      </c>
      <c r="C2798" s="45">
        <v>11900</v>
      </c>
      <c r="D2798" t="s">
        <v>1047</v>
      </c>
      <c r="E2798" s="46">
        <v>45428</v>
      </c>
      <c r="F2798" s="45" t="s">
        <v>721</v>
      </c>
      <c r="I2798" t="s">
        <v>726</v>
      </c>
    </row>
    <row r="2799" spans="1:9" hidden="1" x14ac:dyDescent="0.3">
      <c r="A2799" t="s">
        <v>748</v>
      </c>
      <c r="B2799" s="46">
        <v>45390</v>
      </c>
      <c r="C2799" s="45">
        <v>11900</v>
      </c>
      <c r="D2799" t="s">
        <v>1047</v>
      </c>
      <c r="E2799" s="46">
        <v>45428</v>
      </c>
      <c r="F2799" s="45" t="s">
        <v>721</v>
      </c>
      <c r="I2799" t="s">
        <v>726</v>
      </c>
    </row>
    <row r="2800" spans="1:9" hidden="1" x14ac:dyDescent="0.3">
      <c r="A2800" t="s">
        <v>722</v>
      </c>
      <c r="B2800" s="46">
        <v>45356</v>
      </c>
      <c r="C2800" s="45">
        <v>11900</v>
      </c>
      <c r="D2800" t="s">
        <v>1309</v>
      </c>
      <c r="E2800" s="46">
        <v>45397</v>
      </c>
      <c r="F2800" s="45" t="s">
        <v>721</v>
      </c>
      <c r="I2800" t="s">
        <v>726</v>
      </c>
    </row>
    <row r="2801" spans="1:9" hidden="1" x14ac:dyDescent="0.3">
      <c r="A2801" t="s">
        <v>748</v>
      </c>
      <c r="B2801" s="46">
        <v>45355</v>
      </c>
      <c r="C2801" s="45">
        <v>11900</v>
      </c>
      <c r="D2801" t="s">
        <v>1047</v>
      </c>
      <c r="E2801" s="46">
        <v>45397</v>
      </c>
      <c r="F2801" s="45" t="s">
        <v>721</v>
      </c>
      <c r="I2801" t="s">
        <v>726</v>
      </c>
    </row>
    <row r="2802" spans="1:9" hidden="1" x14ac:dyDescent="0.3">
      <c r="A2802" t="s">
        <v>748</v>
      </c>
      <c r="B2802" s="46">
        <v>45356</v>
      </c>
      <c r="C2802" s="45">
        <v>11900</v>
      </c>
      <c r="D2802" t="s">
        <v>1047</v>
      </c>
      <c r="E2802" s="46">
        <v>45397</v>
      </c>
      <c r="F2802" s="45" t="s">
        <v>721</v>
      </c>
      <c r="I2802" t="s">
        <v>726</v>
      </c>
    </row>
    <row r="2803" spans="1:9" hidden="1" x14ac:dyDescent="0.3">
      <c r="A2803" t="s">
        <v>748</v>
      </c>
      <c r="B2803" s="46">
        <v>45359</v>
      </c>
      <c r="C2803" s="45">
        <v>11900</v>
      </c>
      <c r="D2803" t="s">
        <v>1047</v>
      </c>
      <c r="E2803" s="46">
        <v>45397</v>
      </c>
      <c r="F2803" s="45" t="s">
        <v>721</v>
      </c>
      <c r="I2803" t="s">
        <v>726</v>
      </c>
    </row>
    <row r="2804" spans="1:9" hidden="1" x14ac:dyDescent="0.3">
      <c r="A2804" t="s">
        <v>748</v>
      </c>
      <c r="B2804" s="46">
        <v>45380</v>
      </c>
      <c r="C2804" s="45">
        <v>11900</v>
      </c>
      <c r="D2804" t="s">
        <v>1047</v>
      </c>
      <c r="E2804" s="46">
        <v>45397</v>
      </c>
      <c r="F2804" s="45" t="s">
        <v>721</v>
      </c>
      <c r="I2804" t="s">
        <v>726</v>
      </c>
    </row>
    <row r="2805" spans="1:9" hidden="1" x14ac:dyDescent="0.3">
      <c r="A2805" t="s">
        <v>748</v>
      </c>
      <c r="B2805" s="46">
        <v>45376</v>
      </c>
      <c r="C2805" s="45">
        <v>11900</v>
      </c>
      <c r="D2805" t="s">
        <v>1047</v>
      </c>
      <c r="E2805" s="46">
        <v>45397</v>
      </c>
      <c r="F2805" s="45" t="s">
        <v>721</v>
      </c>
      <c r="I2805" t="s">
        <v>726</v>
      </c>
    </row>
    <row r="2806" spans="1:9" hidden="1" x14ac:dyDescent="0.3">
      <c r="A2806" t="s">
        <v>734</v>
      </c>
      <c r="B2806" s="46">
        <v>45370</v>
      </c>
      <c r="C2806" s="45">
        <v>11900</v>
      </c>
      <c r="D2806" t="s">
        <v>1081</v>
      </c>
      <c r="E2806" s="46">
        <v>45397</v>
      </c>
      <c r="F2806" s="45" t="s">
        <v>721</v>
      </c>
      <c r="I2806" t="s">
        <v>726</v>
      </c>
    </row>
    <row r="2807" spans="1:9" hidden="1" x14ac:dyDescent="0.3">
      <c r="A2807" t="s">
        <v>734</v>
      </c>
      <c r="B2807" s="46">
        <v>45232</v>
      </c>
      <c r="C2807" s="45">
        <v>11900</v>
      </c>
      <c r="D2807" t="s">
        <v>1081</v>
      </c>
      <c r="E2807" s="46">
        <v>45275</v>
      </c>
      <c r="F2807" s="45" t="s">
        <v>721</v>
      </c>
      <c r="I2807" t="s">
        <v>726</v>
      </c>
    </row>
    <row r="2808" spans="1:9" hidden="1" x14ac:dyDescent="0.3">
      <c r="A2808" t="s">
        <v>779</v>
      </c>
      <c r="B2808" s="46">
        <v>45216</v>
      </c>
      <c r="C2808" s="45">
        <v>11900</v>
      </c>
      <c r="D2808" t="s">
        <v>1310</v>
      </c>
      <c r="E2808" s="46">
        <v>45246</v>
      </c>
      <c r="F2808" s="45" t="s">
        <v>721</v>
      </c>
    </row>
    <row r="2809" spans="1:9" hidden="1" x14ac:dyDescent="0.3">
      <c r="A2809" t="s">
        <v>772</v>
      </c>
      <c r="B2809" s="46">
        <v>45219</v>
      </c>
      <c r="C2809" s="45">
        <v>11900</v>
      </c>
      <c r="D2809" t="s">
        <v>980</v>
      </c>
      <c r="E2809" s="46">
        <v>45256</v>
      </c>
      <c r="F2809" s="45" t="s">
        <v>721</v>
      </c>
      <c r="I2809" t="s">
        <v>726</v>
      </c>
    </row>
    <row r="2810" spans="1:9" hidden="1" x14ac:dyDescent="0.3">
      <c r="A2810" t="s">
        <v>767</v>
      </c>
      <c r="B2810" s="46">
        <v>45167</v>
      </c>
      <c r="C2810" s="45">
        <v>11900</v>
      </c>
      <c r="D2810" t="s">
        <v>1081</v>
      </c>
      <c r="E2810" s="46">
        <v>45184</v>
      </c>
      <c r="F2810" s="45" t="s">
        <v>721</v>
      </c>
      <c r="I2810" t="s">
        <v>726</v>
      </c>
    </row>
    <row r="2811" spans="1:9" hidden="1" x14ac:dyDescent="0.3">
      <c r="A2811" t="s">
        <v>779</v>
      </c>
      <c r="B2811" s="46">
        <v>45154</v>
      </c>
      <c r="C2811" s="45">
        <v>11800</v>
      </c>
      <c r="D2811" t="s">
        <v>1313</v>
      </c>
      <c r="E2811" s="46">
        <v>45184</v>
      </c>
      <c r="F2811" s="45" t="s">
        <v>721</v>
      </c>
      <c r="I2811" t="s">
        <v>726</v>
      </c>
    </row>
    <row r="2812" spans="1:9" hidden="1" x14ac:dyDescent="0.3">
      <c r="A2812" t="s">
        <v>772</v>
      </c>
      <c r="B2812" s="46">
        <v>45127</v>
      </c>
      <c r="C2812" s="45">
        <v>11800</v>
      </c>
      <c r="D2812" t="s">
        <v>789</v>
      </c>
      <c r="E2812" s="46">
        <v>45164</v>
      </c>
      <c r="F2812" s="45" t="s">
        <v>721</v>
      </c>
      <c r="I2812" t="s">
        <v>726</v>
      </c>
    </row>
    <row r="2813" spans="1:9" hidden="1" x14ac:dyDescent="0.3">
      <c r="A2813" t="s">
        <v>775</v>
      </c>
      <c r="B2813" s="46">
        <v>45189</v>
      </c>
      <c r="C2813" s="45">
        <v>11800</v>
      </c>
      <c r="D2813" t="s">
        <v>1311</v>
      </c>
      <c r="E2813" s="46">
        <v>45215</v>
      </c>
      <c r="F2813" s="45" t="s">
        <v>721</v>
      </c>
    </row>
    <row r="2814" spans="1:9" hidden="1" x14ac:dyDescent="0.3">
      <c r="A2814" t="s">
        <v>748</v>
      </c>
      <c r="B2814" s="46">
        <v>45321</v>
      </c>
      <c r="C2814" s="45">
        <v>11800</v>
      </c>
      <c r="D2814" t="s">
        <v>1312</v>
      </c>
      <c r="E2814" s="46">
        <v>45337</v>
      </c>
      <c r="F2814" s="45" t="s">
        <v>721</v>
      </c>
      <c r="I2814" t="s">
        <v>726</v>
      </c>
    </row>
    <row r="2815" spans="1:9" hidden="1" x14ac:dyDescent="0.3">
      <c r="A2815" t="s">
        <v>729</v>
      </c>
      <c r="B2815" s="46">
        <v>45419</v>
      </c>
      <c r="C2815" s="45">
        <v>11780</v>
      </c>
      <c r="D2815" t="s">
        <v>776</v>
      </c>
      <c r="E2815" s="46">
        <v>45458</v>
      </c>
      <c r="F2815" s="45" t="s">
        <v>721</v>
      </c>
      <c r="I2815" t="s">
        <v>762</v>
      </c>
    </row>
    <row r="2816" spans="1:9" hidden="1" x14ac:dyDescent="0.3">
      <c r="A2816" t="s">
        <v>748</v>
      </c>
      <c r="B2816" s="46">
        <v>45385</v>
      </c>
      <c r="C2816" s="45">
        <v>11700</v>
      </c>
      <c r="D2816" t="s">
        <v>1314</v>
      </c>
      <c r="E2816" s="46">
        <v>45428</v>
      </c>
      <c r="F2816" s="45" t="s">
        <v>721</v>
      </c>
      <c r="I2816" t="s">
        <v>899</v>
      </c>
    </row>
    <row r="2817" spans="1:9" hidden="1" x14ac:dyDescent="0.3">
      <c r="A2817" t="s">
        <v>748</v>
      </c>
      <c r="B2817" s="46">
        <v>45399</v>
      </c>
      <c r="C2817" s="45">
        <v>11700</v>
      </c>
      <c r="D2817" t="s">
        <v>1314</v>
      </c>
      <c r="E2817" s="46">
        <v>45428</v>
      </c>
      <c r="F2817" s="45" t="s">
        <v>721</v>
      </c>
      <c r="I2817" t="s">
        <v>899</v>
      </c>
    </row>
    <row r="2818" spans="1:9" hidden="1" x14ac:dyDescent="0.3">
      <c r="A2818" t="s">
        <v>748</v>
      </c>
      <c r="B2818" s="46">
        <v>45313</v>
      </c>
      <c r="C2818" s="45">
        <v>11700</v>
      </c>
      <c r="D2818" t="s">
        <v>1314</v>
      </c>
      <c r="E2818" s="46">
        <v>45337</v>
      </c>
      <c r="F2818" s="45" t="s">
        <v>721</v>
      </c>
      <c r="I2818" t="s">
        <v>899</v>
      </c>
    </row>
    <row r="2819" spans="1:9" hidden="1" x14ac:dyDescent="0.3">
      <c r="A2819" t="s">
        <v>748</v>
      </c>
      <c r="B2819" s="46">
        <v>45330</v>
      </c>
      <c r="C2819" s="45">
        <v>11700</v>
      </c>
      <c r="D2819" t="s">
        <v>1314</v>
      </c>
      <c r="E2819" s="46">
        <v>45366</v>
      </c>
      <c r="F2819" s="45" t="s">
        <v>721</v>
      </c>
      <c r="I2819" t="s">
        <v>899</v>
      </c>
    </row>
    <row r="2820" spans="1:9" hidden="1" x14ac:dyDescent="0.3">
      <c r="A2820" t="s">
        <v>772</v>
      </c>
      <c r="B2820" s="46">
        <v>45344</v>
      </c>
      <c r="C2820" s="45">
        <v>11700</v>
      </c>
      <c r="D2820" t="s">
        <v>1242</v>
      </c>
      <c r="E2820" s="46">
        <v>45377</v>
      </c>
      <c r="F2820" s="45" t="s">
        <v>721</v>
      </c>
      <c r="I2820" t="s">
        <v>726</v>
      </c>
    </row>
    <row r="2821" spans="1:9" hidden="1" x14ac:dyDescent="0.3">
      <c r="A2821" t="s">
        <v>748</v>
      </c>
      <c r="B2821" s="46">
        <v>45216</v>
      </c>
      <c r="C2821" s="45">
        <v>11700</v>
      </c>
      <c r="D2821" t="s">
        <v>1314</v>
      </c>
      <c r="E2821" s="46">
        <v>45245</v>
      </c>
      <c r="F2821" s="45" t="s">
        <v>721</v>
      </c>
      <c r="I2821" t="s">
        <v>899</v>
      </c>
    </row>
    <row r="2822" spans="1:9" hidden="1" x14ac:dyDescent="0.3">
      <c r="A2822" t="s">
        <v>748</v>
      </c>
      <c r="B2822" s="46">
        <v>45180</v>
      </c>
      <c r="C2822" s="45">
        <v>11700</v>
      </c>
      <c r="D2822" t="s">
        <v>1314</v>
      </c>
      <c r="E2822" s="46">
        <v>45215</v>
      </c>
      <c r="F2822" s="45" t="s">
        <v>721</v>
      </c>
      <c r="I2822" t="s">
        <v>899</v>
      </c>
    </row>
    <row r="2823" spans="1:9" hidden="1" x14ac:dyDescent="0.3">
      <c r="A2823" t="s">
        <v>821</v>
      </c>
      <c r="B2823" s="46">
        <v>45236</v>
      </c>
      <c r="C2823" s="45">
        <v>11700</v>
      </c>
      <c r="D2823" t="s">
        <v>1125</v>
      </c>
      <c r="E2823" s="46">
        <v>45275</v>
      </c>
      <c r="F2823" s="45" t="s">
        <v>721</v>
      </c>
      <c r="I2823" t="s">
        <v>726</v>
      </c>
    </row>
    <row r="2824" spans="1:9" hidden="1" x14ac:dyDescent="0.3">
      <c r="A2824" t="s">
        <v>767</v>
      </c>
      <c r="B2824" s="46">
        <v>45259</v>
      </c>
      <c r="C2824" s="45">
        <v>11700</v>
      </c>
      <c r="D2824" t="s">
        <v>1126</v>
      </c>
      <c r="E2824" s="46">
        <v>45275</v>
      </c>
      <c r="F2824" s="45" t="s">
        <v>721</v>
      </c>
      <c r="I2824" t="s">
        <v>726</v>
      </c>
    </row>
    <row r="2825" spans="1:9" hidden="1" x14ac:dyDescent="0.3">
      <c r="A2825" t="s">
        <v>729</v>
      </c>
      <c r="B2825" s="46">
        <v>45190</v>
      </c>
      <c r="C2825" s="45">
        <v>11600</v>
      </c>
      <c r="D2825" t="s">
        <v>1063</v>
      </c>
      <c r="E2825" s="46">
        <v>45215</v>
      </c>
      <c r="F2825" s="45" t="s">
        <v>721</v>
      </c>
      <c r="I2825" t="s">
        <v>726</v>
      </c>
    </row>
    <row r="2826" spans="1:9" hidden="1" x14ac:dyDescent="0.3">
      <c r="A2826" t="s">
        <v>1160</v>
      </c>
      <c r="B2826" s="46">
        <v>45414</v>
      </c>
      <c r="C2826" s="45">
        <v>11600</v>
      </c>
      <c r="D2826" t="s">
        <v>1229</v>
      </c>
      <c r="E2826" s="46">
        <v>45438</v>
      </c>
      <c r="F2826" s="45" t="s">
        <v>721</v>
      </c>
      <c r="I2826" t="s">
        <v>1162</v>
      </c>
    </row>
    <row r="2827" spans="1:9" hidden="1" x14ac:dyDescent="0.3">
      <c r="A2827" t="s">
        <v>767</v>
      </c>
      <c r="B2827" s="46">
        <v>45378</v>
      </c>
      <c r="C2827" s="45">
        <v>11500</v>
      </c>
      <c r="D2827" t="s">
        <v>1154</v>
      </c>
      <c r="E2827" s="46">
        <v>45397</v>
      </c>
      <c r="F2827" s="45" t="s">
        <v>721</v>
      </c>
      <c r="I2827" t="s">
        <v>726</v>
      </c>
    </row>
    <row r="2828" spans="1:9" hidden="1" x14ac:dyDescent="0.3">
      <c r="A2828" t="s">
        <v>748</v>
      </c>
      <c r="B2828" s="46">
        <v>45363</v>
      </c>
      <c r="C2828" s="45">
        <v>11500</v>
      </c>
      <c r="D2828" t="s">
        <v>1039</v>
      </c>
      <c r="E2828" s="46">
        <v>45397</v>
      </c>
      <c r="F2828" s="45" t="s">
        <v>721</v>
      </c>
      <c r="I2828" t="s">
        <v>726</v>
      </c>
    </row>
    <row r="2829" spans="1:9" hidden="1" x14ac:dyDescent="0.3">
      <c r="A2829" t="s">
        <v>724</v>
      </c>
      <c r="B2829" s="46">
        <v>45363</v>
      </c>
      <c r="C2829" s="45">
        <v>11500</v>
      </c>
      <c r="D2829" t="s">
        <v>1766</v>
      </c>
      <c r="E2829" s="46">
        <v>45408</v>
      </c>
      <c r="F2829" s="45" t="s">
        <v>721</v>
      </c>
      <c r="I2829" t="s">
        <v>726</v>
      </c>
    </row>
    <row r="2830" spans="1:9" hidden="1" x14ac:dyDescent="0.3">
      <c r="A2830" t="s">
        <v>748</v>
      </c>
      <c r="B2830" s="46">
        <v>45435</v>
      </c>
      <c r="C2830" s="45">
        <v>11500</v>
      </c>
      <c r="D2830" t="s">
        <v>1039</v>
      </c>
      <c r="E2830" s="46">
        <v>45458</v>
      </c>
      <c r="F2830" s="45" t="s">
        <v>721</v>
      </c>
      <c r="I2830" t="s">
        <v>726</v>
      </c>
    </row>
    <row r="2831" spans="1:9" hidden="1" x14ac:dyDescent="0.3">
      <c r="A2831" t="s">
        <v>775</v>
      </c>
      <c r="B2831" s="46">
        <v>45118</v>
      </c>
      <c r="C2831" s="45">
        <v>11500</v>
      </c>
      <c r="D2831" t="s">
        <v>1316</v>
      </c>
      <c r="E2831" s="46">
        <v>45154</v>
      </c>
      <c r="F2831" s="45" t="s">
        <v>721</v>
      </c>
      <c r="I2831" t="s">
        <v>726</v>
      </c>
    </row>
    <row r="2832" spans="1:9" hidden="1" x14ac:dyDescent="0.3">
      <c r="A2832" t="s">
        <v>772</v>
      </c>
      <c r="B2832" s="46">
        <v>45232</v>
      </c>
      <c r="C2832" s="45">
        <v>11500</v>
      </c>
      <c r="D2832" t="s">
        <v>1221</v>
      </c>
      <c r="E2832" s="46">
        <v>45256</v>
      </c>
      <c r="F2832" s="45" t="s">
        <v>721</v>
      </c>
      <c r="I2832" t="s">
        <v>760</v>
      </c>
    </row>
    <row r="2833" spans="1:9" hidden="1" x14ac:dyDescent="0.3">
      <c r="A2833" t="s">
        <v>1238</v>
      </c>
      <c r="B2833" s="46">
        <v>45229</v>
      </c>
      <c r="C2833" s="45">
        <v>11500</v>
      </c>
      <c r="D2833" t="s">
        <v>1315</v>
      </c>
      <c r="E2833" s="46">
        <v>45256</v>
      </c>
      <c r="F2833" s="45" t="s">
        <v>721</v>
      </c>
      <c r="I2833" t="s">
        <v>1162</v>
      </c>
    </row>
    <row r="2834" spans="1:9" hidden="1" x14ac:dyDescent="0.3">
      <c r="A2834" t="s">
        <v>767</v>
      </c>
      <c r="B2834" s="46">
        <v>45204</v>
      </c>
      <c r="C2834" s="45">
        <v>11500</v>
      </c>
      <c r="D2834" t="s">
        <v>1289</v>
      </c>
      <c r="E2834" s="46">
        <v>45245</v>
      </c>
      <c r="F2834" s="45" t="s">
        <v>721</v>
      </c>
      <c r="I2834" t="s">
        <v>726</v>
      </c>
    </row>
    <row r="2835" spans="1:9" hidden="1" x14ac:dyDescent="0.3">
      <c r="A2835" t="s">
        <v>767</v>
      </c>
      <c r="B2835" s="46">
        <v>45225</v>
      </c>
      <c r="C2835" s="45">
        <v>11400</v>
      </c>
      <c r="D2835" t="s">
        <v>1265</v>
      </c>
      <c r="E2835" s="46">
        <v>45245</v>
      </c>
      <c r="F2835" s="45" t="s">
        <v>721</v>
      </c>
      <c r="I2835" t="s">
        <v>726</v>
      </c>
    </row>
    <row r="2836" spans="1:9" hidden="1" x14ac:dyDescent="0.3">
      <c r="A2836" t="s">
        <v>777</v>
      </c>
      <c r="B2836" s="46">
        <v>45224</v>
      </c>
      <c r="C2836" s="45">
        <v>11400</v>
      </c>
      <c r="D2836" t="s">
        <v>1318</v>
      </c>
      <c r="E2836" s="46">
        <v>45275</v>
      </c>
      <c r="F2836" s="45" t="s">
        <v>721</v>
      </c>
    </row>
    <row r="2837" spans="1:9" hidden="1" x14ac:dyDescent="0.3">
      <c r="A2837" t="s">
        <v>821</v>
      </c>
      <c r="B2837" s="46">
        <v>45133</v>
      </c>
      <c r="C2837" s="45">
        <v>11400</v>
      </c>
      <c r="D2837" t="s">
        <v>1317</v>
      </c>
      <c r="E2837" s="46">
        <v>45154</v>
      </c>
      <c r="F2837" s="45" t="s">
        <v>721</v>
      </c>
      <c r="I2837" t="s">
        <v>760</v>
      </c>
    </row>
    <row r="2838" spans="1:9" hidden="1" x14ac:dyDescent="0.3">
      <c r="A2838" t="s">
        <v>1281</v>
      </c>
      <c r="B2838" s="46">
        <v>45376</v>
      </c>
      <c r="C2838" s="45">
        <v>11400</v>
      </c>
      <c r="D2838" t="s">
        <v>1181</v>
      </c>
      <c r="E2838" s="46">
        <v>45408</v>
      </c>
      <c r="F2838" s="45" t="s">
        <v>721</v>
      </c>
      <c r="I2838" t="s">
        <v>1162</v>
      </c>
    </row>
    <row r="2839" spans="1:9" hidden="1" x14ac:dyDescent="0.3">
      <c r="A2839" t="s">
        <v>775</v>
      </c>
      <c r="B2839" s="46">
        <v>45303</v>
      </c>
      <c r="C2839" s="45">
        <v>11300</v>
      </c>
      <c r="D2839" t="s">
        <v>1319</v>
      </c>
      <c r="E2839" s="46">
        <v>45338</v>
      </c>
      <c r="F2839" s="45" t="s">
        <v>721</v>
      </c>
      <c r="I2839" t="s">
        <v>726</v>
      </c>
    </row>
    <row r="2840" spans="1:9" hidden="1" x14ac:dyDescent="0.3">
      <c r="A2840" t="s">
        <v>779</v>
      </c>
      <c r="B2840" s="46">
        <v>45316</v>
      </c>
      <c r="C2840" s="45">
        <v>11300</v>
      </c>
      <c r="D2840" t="s">
        <v>1320</v>
      </c>
      <c r="E2840" s="46">
        <v>45338</v>
      </c>
      <c r="F2840" s="45" t="s">
        <v>721</v>
      </c>
      <c r="I2840" t="s">
        <v>726</v>
      </c>
    </row>
    <row r="2841" spans="1:9" hidden="1" x14ac:dyDescent="0.3">
      <c r="A2841" t="s">
        <v>734</v>
      </c>
      <c r="B2841" s="46">
        <v>45127</v>
      </c>
      <c r="C2841" s="45">
        <v>11300</v>
      </c>
      <c r="D2841" t="s">
        <v>1262</v>
      </c>
      <c r="E2841" s="46">
        <v>45154</v>
      </c>
      <c r="F2841" s="45" t="s">
        <v>721</v>
      </c>
      <c r="I2841" t="s">
        <v>760</v>
      </c>
    </row>
    <row r="2842" spans="1:9" hidden="1" x14ac:dyDescent="0.3">
      <c r="A2842" t="s">
        <v>1160</v>
      </c>
      <c r="B2842" s="46">
        <v>45229</v>
      </c>
      <c r="C2842" s="45">
        <v>11200</v>
      </c>
      <c r="D2842" t="s">
        <v>1286</v>
      </c>
      <c r="E2842" s="46">
        <v>45256</v>
      </c>
      <c r="F2842" s="45" t="s">
        <v>721</v>
      </c>
      <c r="I2842" t="s">
        <v>1162</v>
      </c>
    </row>
    <row r="2843" spans="1:9" hidden="1" x14ac:dyDescent="0.3">
      <c r="A2843" t="s">
        <v>722</v>
      </c>
      <c r="B2843" s="46">
        <v>45324</v>
      </c>
      <c r="C2843" s="45">
        <v>11200</v>
      </c>
      <c r="D2843" t="s">
        <v>735</v>
      </c>
      <c r="E2843" s="46">
        <v>45366</v>
      </c>
      <c r="F2843" s="45" t="s">
        <v>721</v>
      </c>
      <c r="I2843" t="s">
        <v>782</v>
      </c>
    </row>
    <row r="2844" spans="1:9" hidden="1" x14ac:dyDescent="0.3">
      <c r="A2844" t="s">
        <v>772</v>
      </c>
      <c r="B2844" s="46">
        <v>45364</v>
      </c>
      <c r="C2844" s="45">
        <v>11100</v>
      </c>
      <c r="D2844" t="s">
        <v>1768</v>
      </c>
      <c r="E2844" s="46">
        <v>45408</v>
      </c>
      <c r="F2844" s="45" t="s">
        <v>721</v>
      </c>
      <c r="I2844" t="s">
        <v>726</v>
      </c>
    </row>
    <row r="2845" spans="1:9" hidden="1" x14ac:dyDescent="0.3">
      <c r="A2845" t="s">
        <v>772</v>
      </c>
      <c r="B2845" s="46">
        <v>45343</v>
      </c>
      <c r="C2845" s="45">
        <v>11000</v>
      </c>
      <c r="D2845" t="s">
        <v>807</v>
      </c>
      <c r="E2845" s="46">
        <v>45377</v>
      </c>
      <c r="F2845" s="45" t="s">
        <v>721</v>
      </c>
      <c r="I2845" t="s">
        <v>750</v>
      </c>
    </row>
    <row r="2846" spans="1:9" hidden="1" x14ac:dyDescent="0.3">
      <c r="A2846" t="s">
        <v>779</v>
      </c>
      <c r="B2846" s="46">
        <v>45329</v>
      </c>
      <c r="C2846" s="45">
        <v>11000</v>
      </c>
      <c r="D2846" t="s">
        <v>1189</v>
      </c>
      <c r="E2846" s="46">
        <v>45369</v>
      </c>
      <c r="F2846" s="45" t="s">
        <v>721</v>
      </c>
      <c r="G2846">
        <v>0</v>
      </c>
      <c r="I2846" t="s">
        <v>726</v>
      </c>
    </row>
    <row r="2847" spans="1:9" hidden="1" x14ac:dyDescent="0.3">
      <c r="A2847" t="s">
        <v>748</v>
      </c>
      <c r="B2847" s="46">
        <v>45357</v>
      </c>
      <c r="C2847" s="45">
        <v>11000</v>
      </c>
      <c r="D2847" t="s">
        <v>1030</v>
      </c>
      <c r="E2847" s="46">
        <v>45397</v>
      </c>
      <c r="F2847" s="45" t="s">
        <v>721</v>
      </c>
      <c r="I2847" t="s">
        <v>726</v>
      </c>
    </row>
    <row r="2848" spans="1:9" hidden="1" x14ac:dyDescent="0.3">
      <c r="A2848" t="s">
        <v>779</v>
      </c>
      <c r="B2848" s="46">
        <v>45357</v>
      </c>
      <c r="C2848" s="45">
        <v>11000</v>
      </c>
      <c r="D2848" t="s">
        <v>1324</v>
      </c>
      <c r="E2848" s="46">
        <v>45398</v>
      </c>
      <c r="F2848" s="45" t="s">
        <v>721</v>
      </c>
      <c r="G2848">
        <v>0</v>
      </c>
      <c r="I2848" t="s">
        <v>726</v>
      </c>
    </row>
    <row r="2849" spans="1:9" hidden="1" x14ac:dyDescent="0.3">
      <c r="A2849" t="s">
        <v>779</v>
      </c>
      <c r="B2849" s="46">
        <v>45411</v>
      </c>
      <c r="C2849" s="45">
        <v>11000</v>
      </c>
      <c r="D2849" t="s">
        <v>1094</v>
      </c>
      <c r="E2849" s="46">
        <v>45428</v>
      </c>
      <c r="F2849" s="45" t="s">
        <v>721</v>
      </c>
      <c r="G2849">
        <v>0</v>
      </c>
      <c r="I2849" t="s">
        <v>726</v>
      </c>
    </row>
    <row r="2850" spans="1:9" hidden="1" x14ac:dyDescent="0.3">
      <c r="A2850" t="s">
        <v>767</v>
      </c>
      <c r="B2850" s="46">
        <v>45355</v>
      </c>
      <c r="C2850" s="45">
        <v>11000</v>
      </c>
      <c r="D2850" t="s">
        <v>2133</v>
      </c>
      <c r="E2850" s="46">
        <v>45397</v>
      </c>
      <c r="F2850" s="45" t="s">
        <v>721</v>
      </c>
      <c r="I2850" t="s">
        <v>726</v>
      </c>
    </row>
    <row r="2851" spans="1:9" hidden="1" x14ac:dyDescent="0.3">
      <c r="A2851" t="s">
        <v>779</v>
      </c>
      <c r="B2851" s="46">
        <v>45299</v>
      </c>
      <c r="C2851" s="45">
        <v>11000</v>
      </c>
      <c r="D2851" t="s">
        <v>1324</v>
      </c>
      <c r="E2851" s="46">
        <v>45338</v>
      </c>
      <c r="F2851" s="45" t="s">
        <v>721</v>
      </c>
      <c r="I2851" t="s">
        <v>726</v>
      </c>
    </row>
    <row r="2852" spans="1:9" hidden="1" x14ac:dyDescent="0.3">
      <c r="A2852" t="s">
        <v>734</v>
      </c>
      <c r="B2852" s="46">
        <v>45316</v>
      </c>
      <c r="C2852" s="45">
        <v>11000</v>
      </c>
      <c r="D2852" t="s">
        <v>788</v>
      </c>
      <c r="E2852" s="46">
        <v>45337</v>
      </c>
      <c r="F2852" s="45" t="s">
        <v>721</v>
      </c>
      <c r="I2852" t="s">
        <v>726</v>
      </c>
    </row>
    <row r="2853" spans="1:9" hidden="1" x14ac:dyDescent="0.3">
      <c r="A2853" t="s">
        <v>727</v>
      </c>
      <c r="B2853" s="46">
        <v>45441</v>
      </c>
      <c r="C2853" s="45">
        <v>11000</v>
      </c>
      <c r="D2853" t="s">
        <v>1008</v>
      </c>
      <c r="E2853" s="46">
        <v>45458</v>
      </c>
      <c r="F2853" s="45" t="s">
        <v>721</v>
      </c>
      <c r="I2853" t="s">
        <v>726</v>
      </c>
    </row>
    <row r="2854" spans="1:9" hidden="1" x14ac:dyDescent="0.3">
      <c r="A2854" t="s">
        <v>724</v>
      </c>
      <c r="B2854" s="46">
        <v>45408</v>
      </c>
      <c r="C2854" s="45">
        <v>11000</v>
      </c>
      <c r="D2854" t="s">
        <v>1138</v>
      </c>
      <c r="E2854" s="46">
        <v>45438</v>
      </c>
      <c r="F2854" s="45" t="s">
        <v>721</v>
      </c>
      <c r="I2854" t="s">
        <v>726</v>
      </c>
    </row>
    <row r="2855" spans="1:9" hidden="1" x14ac:dyDescent="0.3">
      <c r="A2855" t="s">
        <v>1160</v>
      </c>
      <c r="B2855" s="46">
        <v>45212</v>
      </c>
      <c r="C2855" s="45">
        <v>11000</v>
      </c>
      <c r="D2855" t="s">
        <v>1286</v>
      </c>
      <c r="E2855" s="46">
        <v>45256</v>
      </c>
      <c r="F2855" s="45" t="s">
        <v>721</v>
      </c>
      <c r="I2855" t="s">
        <v>1162</v>
      </c>
    </row>
    <row r="2856" spans="1:9" hidden="1" x14ac:dyDescent="0.3">
      <c r="A2856" t="s">
        <v>777</v>
      </c>
      <c r="B2856" s="46">
        <v>45194</v>
      </c>
      <c r="C2856" s="45">
        <v>11000</v>
      </c>
      <c r="D2856" t="s">
        <v>974</v>
      </c>
      <c r="E2856" s="46">
        <v>45245</v>
      </c>
      <c r="F2856" s="45" t="s">
        <v>721</v>
      </c>
    </row>
    <row r="2857" spans="1:9" hidden="1" x14ac:dyDescent="0.3">
      <c r="A2857" t="s">
        <v>821</v>
      </c>
      <c r="B2857" s="46">
        <v>45196</v>
      </c>
      <c r="C2857" s="45">
        <v>11000</v>
      </c>
      <c r="D2857" t="s">
        <v>1125</v>
      </c>
      <c r="E2857" s="46">
        <v>45245</v>
      </c>
      <c r="F2857" s="45" t="s">
        <v>721</v>
      </c>
      <c r="I2857" t="s">
        <v>726</v>
      </c>
    </row>
    <row r="2858" spans="1:9" hidden="1" x14ac:dyDescent="0.3">
      <c r="A2858" t="s">
        <v>794</v>
      </c>
      <c r="B2858" s="46">
        <v>45237</v>
      </c>
      <c r="C2858" s="45">
        <v>11000</v>
      </c>
      <c r="D2858" t="s">
        <v>1107</v>
      </c>
      <c r="E2858" s="46">
        <v>45276</v>
      </c>
      <c r="F2858" s="45" t="s">
        <v>721</v>
      </c>
      <c r="G2858">
        <v>0</v>
      </c>
    </row>
    <row r="2859" spans="1:9" hidden="1" x14ac:dyDescent="0.3">
      <c r="A2859" t="s">
        <v>779</v>
      </c>
      <c r="B2859" s="46">
        <v>45260</v>
      </c>
      <c r="C2859" s="45">
        <v>11000</v>
      </c>
      <c r="D2859" t="s">
        <v>1324</v>
      </c>
      <c r="E2859" s="46">
        <v>45276</v>
      </c>
      <c r="F2859" s="45" t="s">
        <v>721</v>
      </c>
      <c r="G2859">
        <v>0</v>
      </c>
      <c r="I2859" t="s">
        <v>726</v>
      </c>
    </row>
    <row r="2860" spans="1:9" hidden="1" x14ac:dyDescent="0.3">
      <c r="A2860" t="s">
        <v>724</v>
      </c>
      <c r="B2860" s="46">
        <v>45239</v>
      </c>
      <c r="C2860" s="45">
        <v>11000</v>
      </c>
      <c r="D2860" t="s">
        <v>888</v>
      </c>
      <c r="E2860" s="46">
        <v>45286</v>
      </c>
      <c r="F2860" s="45" t="s">
        <v>721</v>
      </c>
      <c r="I2860" t="s">
        <v>726</v>
      </c>
    </row>
    <row r="2861" spans="1:9" hidden="1" x14ac:dyDescent="0.3">
      <c r="A2861" t="s">
        <v>779</v>
      </c>
      <c r="B2861" s="46">
        <v>45260</v>
      </c>
      <c r="C2861" s="45">
        <v>11000</v>
      </c>
      <c r="D2861" t="s">
        <v>1324</v>
      </c>
      <c r="E2861" s="46">
        <v>45278</v>
      </c>
      <c r="F2861" s="45" t="s">
        <v>721</v>
      </c>
      <c r="I2861" t="s">
        <v>726</v>
      </c>
    </row>
    <row r="2862" spans="1:9" hidden="1" x14ac:dyDescent="0.3">
      <c r="A2862" t="s">
        <v>794</v>
      </c>
      <c r="B2862" s="46">
        <v>45237</v>
      </c>
      <c r="C2862" s="45">
        <v>11000</v>
      </c>
      <c r="D2862" t="s">
        <v>1107</v>
      </c>
      <c r="E2862" s="46">
        <v>45278</v>
      </c>
      <c r="F2862" s="45" t="s">
        <v>721</v>
      </c>
      <c r="I2862" t="s">
        <v>750</v>
      </c>
    </row>
    <row r="2863" spans="1:9" hidden="1" x14ac:dyDescent="0.3">
      <c r="A2863" t="s">
        <v>761</v>
      </c>
      <c r="B2863" s="46">
        <v>45285</v>
      </c>
      <c r="C2863" s="45">
        <v>11000</v>
      </c>
      <c r="D2863" t="s">
        <v>1104</v>
      </c>
      <c r="E2863" s="46">
        <v>45317</v>
      </c>
      <c r="F2863" s="45" t="s">
        <v>721</v>
      </c>
      <c r="I2863" t="s">
        <v>738</v>
      </c>
    </row>
    <row r="2864" spans="1:9" hidden="1" x14ac:dyDescent="0.3">
      <c r="A2864" t="s">
        <v>779</v>
      </c>
      <c r="B2864" s="46">
        <v>45124</v>
      </c>
      <c r="C2864" s="45">
        <v>11000</v>
      </c>
      <c r="D2864" t="s">
        <v>1305</v>
      </c>
      <c r="E2864" s="46">
        <v>45154</v>
      </c>
      <c r="F2864" s="45" t="s">
        <v>721</v>
      </c>
    </row>
    <row r="2865" spans="1:9" hidden="1" x14ac:dyDescent="0.3">
      <c r="A2865" t="s">
        <v>777</v>
      </c>
      <c r="B2865" s="46">
        <v>45127</v>
      </c>
      <c r="C2865" s="45">
        <v>11000</v>
      </c>
      <c r="D2865" t="s">
        <v>1323</v>
      </c>
      <c r="E2865" s="46">
        <v>45154</v>
      </c>
      <c r="F2865" s="45" t="s">
        <v>721</v>
      </c>
    </row>
    <row r="2866" spans="1:9" hidden="1" x14ac:dyDescent="0.3">
      <c r="A2866" t="s">
        <v>734</v>
      </c>
      <c r="B2866" s="46">
        <v>45141</v>
      </c>
      <c r="C2866" s="45">
        <v>11000</v>
      </c>
      <c r="D2866" t="s">
        <v>1016</v>
      </c>
      <c r="E2866" s="46">
        <v>45184</v>
      </c>
      <c r="F2866" s="45" t="s">
        <v>721</v>
      </c>
      <c r="I2866" t="s">
        <v>726</v>
      </c>
    </row>
    <row r="2867" spans="1:9" hidden="1" x14ac:dyDescent="0.3">
      <c r="A2867" t="s">
        <v>779</v>
      </c>
      <c r="B2867" s="46">
        <v>45190</v>
      </c>
      <c r="C2867" s="45">
        <v>11000</v>
      </c>
      <c r="D2867" t="s">
        <v>1305</v>
      </c>
      <c r="E2867" s="46">
        <v>45215</v>
      </c>
      <c r="F2867" s="45" t="s">
        <v>721</v>
      </c>
    </row>
    <row r="2868" spans="1:9" hidden="1" x14ac:dyDescent="0.3">
      <c r="A2868" t="s">
        <v>724</v>
      </c>
      <c r="B2868" s="46">
        <v>45182</v>
      </c>
      <c r="C2868" s="45">
        <v>11000</v>
      </c>
      <c r="D2868" t="s">
        <v>1232</v>
      </c>
      <c r="E2868" s="46">
        <v>45225</v>
      </c>
      <c r="F2868" s="45" t="s">
        <v>721</v>
      </c>
      <c r="I2868" t="s">
        <v>726</v>
      </c>
    </row>
    <row r="2869" spans="1:9" hidden="1" x14ac:dyDescent="0.3">
      <c r="A2869" t="s">
        <v>1160</v>
      </c>
      <c r="B2869" s="46">
        <v>45173</v>
      </c>
      <c r="C2869" s="45">
        <v>11000</v>
      </c>
      <c r="D2869" t="s">
        <v>1239</v>
      </c>
      <c r="E2869" s="46">
        <v>45225</v>
      </c>
      <c r="F2869" s="45" t="s">
        <v>721</v>
      </c>
      <c r="I2869" t="s">
        <v>1162</v>
      </c>
    </row>
    <row r="2870" spans="1:9" hidden="1" x14ac:dyDescent="0.3">
      <c r="A2870" t="s">
        <v>729</v>
      </c>
      <c r="B2870" s="46">
        <v>45337</v>
      </c>
      <c r="C2870" s="45">
        <v>10900</v>
      </c>
      <c r="D2870" t="s">
        <v>776</v>
      </c>
      <c r="E2870" s="46">
        <v>45366</v>
      </c>
      <c r="F2870" s="45" t="s">
        <v>721</v>
      </c>
      <c r="I2870" t="s">
        <v>762</v>
      </c>
    </row>
    <row r="2871" spans="1:9" hidden="1" x14ac:dyDescent="0.3">
      <c r="A2871" t="s">
        <v>748</v>
      </c>
      <c r="B2871" s="46">
        <v>45238</v>
      </c>
      <c r="C2871" s="45">
        <v>10860</v>
      </c>
      <c r="D2871" t="s">
        <v>815</v>
      </c>
      <c r="E2871" s="46">
        <v>45275</v>
      </c>
      <c r="F2871" s="45" t="s">
        <v>721</v>
      </c>
      <c r="I2871" t="s">
        <v>782</v>
      </c>
    </row>
    <row r="2872" spans="1:9" hidden="1" x14ac:dyDescent="0.3">
      <c r="A2872" t="s">
        <v>775</v>
      </c>
      <c r="B2872" s="46">
        <v>45174</v>
      </c>
      <c r="C2872" s="45">
        <v>10800</v>
      </c>
      <c r="D2872" t="s">
        <v>1325</v>
      </c>
      <c r="E2872" s="46">
        <v>45215</v>
      </c>
      <c r="F2872" s="45" t="s">
        <v>721</v>
      </c>
    </row>
    <row r="2873" spans="1:9" hidden="1" x14ac:dyDescent="0.3">
      <c r="A2873" t="s">
        <v>775</v>
      </c>
      <c r="B2873" s="46">
        <v>45187</v>
      </c>
      <c r="C2873" s="45">
        <v>10600</v>
      </c>
      <c r="D2873" t="s">
        <v>884</v>
      </c>
      <c r="E2873" s="46">
        <v>45215</v>
      </c>
      <c r="F2873" s="45" t="s">
        <v>721</v>
      </c>
    </row>
    <row r="2874" spans="1:9" hidden="1" x14ac:dyDescent="0.3">
      <c r="A2874" t="s">
        <v>727</v>
      </c>
      <c r="B2874" s="46">
        <v>45166</v>
      </c>
      <c r="C2874" s="45">
        <v>10600</v>
      </c>
      <c r="D2874" t="s">
        <v>1101</v>
      </c>
      <c r="E2874" s="46">
        <v>45184</v>
      </c>
      <c r="F2874" s="45" t="s">
        <v>721</v>
      </c>
      <c r="I2874" t="s">
        <v>762</v>
      </c>
    </row>
    <row r="2875" spans="1:9" hidden="1" x14ac:dyDescent="0.3">
      <c r="A2875" t="s">
        <v>1169</v>
      </c>
      <c r="B2875" s="46">
        <v>45226</v>
      </c>
      <c r="C2875" s="45">
        <v>10600</v>
      </c>
      <c r="D2875" t="s">
        <v>1286</v>
      </c>
      <c r="E2875" s="46">
        <v>45256</v>
      </c>
      <c r="F2875" s="45" t="s">
        <v>721</v>
      </c>
      <c r="I2875" t="s">
        <v>1162</v>
      </c>
    </row>
    <row r="2876" spans="1:9" hidden="1" x14ac:dyDescent="0.3">
      <c r="A2876" t="s">
        <v>1160</v>
      </c>
      <c r="B2876" s="46">
        <v>45296</v>
      </c>
      <c r="C2876" s="45">
        <v>10600</v>
      </c>
      <c r="D2876" t="s">
        <v>1170</v>
      </c>
      <c r="E2876" s="46">
        <v>45348</v>
      </c>
      <c r="F2876" s="45" t="s">
        <v>721</v>
      </c>
      <c r="I2876" t="s">
        <v>1162</v>
      </c>
    </row>
    <row r="2877" spans="1:9" hidden="1" x14ac:dyDescent="0.3">
      <c r="A2877" t="s">
        <v>1160</v>
      </c>
      <c r="B2877" s="46">
        <v>45366</v>
      </c>
      <c r="C2877" s="45">
        <v>10600</v>
      </c>
      <c r="D2877" t="s">
        <v>1170</v>
      </c>
      <c r="E2877" s="46">
        <v>45408</v>
      </c>
      <c r="F2877" s="45" t="s">
        <v>721</v>
      </c>
      <c r="I2877" t="s">
        <v>1162</v>
      </c>
    </row>
    <row r="2878" spans="1:9" hidden="1" x14ac:dyDescent="0.3">
      <c r="A2878" t="s">
        <v>1338</v>
      </c>
      <c r="B2878" s="46">
        <v>45435</v>
      </c>
      <c r="C2878" s="45">
        <v>10600</v>
      </c>
      <c r="D2878" t="s">
        <v>1229</v>
      </c>
      <c r="E2878" s="46">
        <v>45469</v>
      </c>
      <c r="F2878" s="45" t="s">
        <v>721</v>
      </c>
      <c r="I2878" t="s">
        <v>1162</v>
      </c>
    </row>
    <row r="2879" spans="1:9" hidden="1" x14ac:dyDescent="0.3">
      <c r="A2879" t="s">
        <v>724</v>
      </c>
      <c r="B2879" s="46">
        <v>45433</v>
      </c>
      <c r="C2879" s="45">
        <v>10500</v>
      </c>
      <c r="D2879" t="s">
        <v>1232</v>
      </c>
      <c r="E2879" s="46">
        <v>45469</v>
      </c>
      <c r="F2879" s="45" t="s">
        <v>721</v>
      </c>
      <c r="I2879" t="s">
        <v>726</v>
      </c>
    </row>
    <row r="2880" spans="1:9" hidden="1" x14ac:dyDescent="0.3">
      <c r="A2880" t="s">
        <v>724</v>
      </c>
      <c r="B2880" s="46">
        <v>45425</v>
      </c>
      <c r="C2880" s="45">
        <v>10500</v>
      </c>
      <c r="D2880" t="s">
        <v>1232</v>
      </c>
      <c r="E2880" s="46">
        <v>45469</v>
      </c>
      <c r="F2880" s="45" t="s">
        <v>721</v>
      </c>
      <c r="I2880" t="s">
        <v>726</v>
      </c>
    </row>
    <row r="2881" spans="1:9" hidden="1" x14ac:dyDescent="0.3">
      <c r="A2881" t="s">
        <v>722</v>
      </c>
      <c r="B2881" s="46">
        <v>45432</v>
      </c>
      <c r="C2881" s="45">
        <v>10500</v>
      </c>
      <c r="D2881" t="s">
        <v>1232</v>
      </c>
      <c r="E2881" s="46">
        <v>45458</v>
      </c>
      <c r="F2881" s="45" t="s">
        <v>721</v>
      </c>
      <c r="I2881" t="s">
        <v>726</v>
      </c>
    </row>
    <row r="2882" spans="1:9" hidden="1" x14ac:dyDescent="0.3">
      <c r="A2882" t="s">
        <v>724</v>
      </c>
      <c r="B2882" s="46">
        <v>45394</v>
      </c>
      <c r="C2882" s="45">
        <v>10500</v>
      </c>
      <c r="D2882" t="s">
        <v>1232</v>
      </c>
      <c r="E2882" s="46">
        <v>45438</v>
      </c>
      <c r="F2882" s="45" t="s">
        <v>721</v>
      </c>
      <c r="I2882" t="s">
        <v>726</v>
      </c>
    </row>
    <row r="2883" spans="1:9" hidden="1" x14ac:dyDescent="0.3">
      <c r="A2883" t="s">
        <v>724</v>
      </c>
      <c r="B2883" s="46">
        <v>45387</v>
      </c>
      <c r="C2883" s="45">
        <v>10500</v>
      </c>
      <c r="D2883" t="s">
        <v>1232</v>
      </c>
      <c r="E2883" s="46">
        <v>45438</v>
      </c>
      <c r="F2883" s="45" t="s">
        <v>721</v>
      </c>
      <c r="I2883" t="s">
        <v>726</v>
      </c>
    </row>
    <row r="2884" spans="1:9" hidden="1" x14ac:dyDescent="0.3">
      <c r="A2884" t="s">
        <v>722</v>
      </c>
      <c r="B2884" s="46">
        <v>45412</v>
      </c>
      <c r="C2884" s="45">
        <v>10500</v>
      </c>
      <c r="D2884" t="s">
        <v>1232</v>
      </c>
      <c r="E2884" s="46">
        <v>45428</v>
      </c>
      <c r="F2884" s="45" t="s">
        <v>721</v>
      </c>
      <c r="I2884" t="s">
        <v>726</v>
      </c>
    </row>
    <row r="2885" spans="1:9" hidden="1" x14ac:dyDescent="0.3">
      <c r="A2885" t="s">
        <v>724</v>
      </c>
      <c r="B2885" s="46">
        <v>45349</v>
      </c>
      <c r="C2885" s="45">
        <v>10500</v>
      </c>
      <c r="D2885" t="s">
        <v>1232</v>
      </c>
      <c r="E2885" s="46">
        <v>45377</v>
      </c>
      <c r="F2885" s="45" t="s">
        <v>721</v>
      </c>
      <c r="I2885" t="s">
        <v>726</v>
      </c>
    </row>
    <row r="2886" spans="1:9" hidden="1" x14ac:dyDescent="0.3">
      <c r="A2886" t="s">
        <v>724</v>
      </c>
      <c r="B2886" s="46">
        <v>45338</v>
      </c>
      <c r="C2886" s="45">
        <v>10500</v>
      </c>
      <c r="D2886" t="s">
        <v>1232</v>
      </c>
      <c r="E2886" s="46">
        <v>45377</v>
      </c>
      <c r="F2886" s="45" t="s">
        <v>721</v>
      </c>
      <c r="I2886" t="s">
        <v>726</v>
      </c>
    </row>
    <row r="2887" spans="1:9" hidden="1" x14ac:dyDescent="0.3">
      <c r="A2887" t="s">
        <v>779</v>
      </c>
      <c r="B2887" s="46">
        <v>45383</v>
      </c>
      <c r="C2887" s="45">
        <v>10500</v>
      </c>
      <c r="D2887" t="s">
        <v>2134</v>
      </c>
      <c r="E2887" s="46">
        <v>45428</v>
      </c>
      <c r="F2887" s="45" t="s">
        <v>721</v>
      </c>
      <c r="G2887">
        <v>0</v>
      </c>
      <c r="I2887" t="s">
        <v>726</v>
      </c>
    </row>
    <row r="2888" spans="1:9" hidden="1" x14ac:dyDescent="0.3">
      <c r="A2888" t="s">
        <v>724</v>
      </c>
      <c r="B2888" s="46">
        <v>45303</v>
      </c>
      <c r="C2888" s="45">
        <v>10500</v>
      </c>
      <c r="D2888" t="s">
        <v>1232</v>
      </c>
      <c r="E2888" s="46">
        <v>45348</v>
      </c>
      <c r="F2888" s="45" t="s">
        <v>721</v>
      </c>
      <c r="I2888" t="s">
        <v>726</v>
      </c>
    </row>
    <row r="2889" spans="1:9" hidden="1" x14ac:dyDescent="0.3">
      <c r="A2889" t="s">
        <v>724</v>
      </c>
      <c r="B2889" s="46">
        <v>45320</v>
      </c>
      <c r="C2889" s="45">
        <v>10500</v>
      </c>
      <c r="D2889" t="s">
        <v>1232</v>
      </c>
      <c r="E2889" s="46">
        <v>45348</v>
      </c>
      <c r="F2889" s="45" t="s">
        <v>721</v>
      </c>
      <c r="I2889" t="s">
        <v>726</v>
      </c>
    </row>
    <row r="2890" spans="1:9" hidden="1" x14ac:dyDescent="0.3">
      <c r="A2890" t="s">
        <v>821</v>
      </c>
      <c r="B2890" s="46">
        <v>45323</v>
      </c>
      <c r="C2890" s="45">
        <v>10500</v>
      </c>
      <c r="D2890" t="s">
        <v>1326</v>
      </c>
      <c r="E2890" s="46">
        <v>45366</v>
      </c>
      <c r="F2890" s="45" t="s">
        <v>721</v>
      </c>
      <c r="I2890" t="s">
        <v>760</v>
      </c>
    </row>
    <row r="2891" spans="1:9" hidden="1" x14ac:dyDescent="0.3">
      <c r="A2891" t="s">
        <v>734</v>
      </c>
      <c r="B2891" s="46">
        <v>45295</v>
      </c>
      <c r="C2891" s="45">
        <v>10500</v>
      </c>
      <c r="D2891" t="s">
        <v>1327</v>
      </c>
      <c r="E2891" s="46">
        <v>45337</v>
      </c>
      <c r="F2891" s="45" t="s">
        <v>721</v>
      </c>
      <c r="I2891" t="s">
        <v>726</v>
      </c>
    </row>
    <row r="2892" spans="1:9" hidden="1" x14ac:dyDescent="0.3">
      <c r="A2892" t="s">
        <v>734</v>
      </c>
      <c r="B2892" s="46">
        <v>45294</v>
      </c>
      <c r="C2892" s="45">
        <v>10500</v>
      </c>
      <c r="D2892" t="s">
        <v>1127</v>
      </c>
      <c r="E2892" s="46">
        <v>45337</v>
      </c>
      <c r="F2892" s="45" t="s">
        <v>721</v>
      </c>
      <c r="I2892" t="s">
        <v>726</v>
      </c>
    </row>
    <row r="2893" spans="1:9" hidden="1" x14ac:dyDescent="0.3">
      <c r="A2893" t="s">
        <v>775</v>
      </c>
      <c r="B2893" s="46">
        <v>45227</v>
      </c>
      <c r="C2893" s="45">
        <v>10500</v>
      </c>
      <c r="D2893" t="s">
        <v>1328</v>
      </c>
      <c r="E2893" s="46">
        <v>45246</v>
      </c>
      <c r="F2893" s="45" t="s">
        <v>721</v>
      </c>
    </row>
    <row r="2894" spans="1:9" hidden="1" x14ac:dyDescent="0.3">
      <c r="A2894" t="s">
        <v>724</v>
      </c>
      <c r="B2894" s="46">
        <v>45261</v>
      </c>
      <c r="C2894" s="45">
        <v>10500</v>
      </c>
      <c r="D2894" t="s">
        <v>1232</v>
      </c>
      <c r="E2894" s="46">
        <v>45286</v>
      </c>
      <c r="F2894" s="45" t="s">
        <v>721</v>
      </c>
      <c r="I2894" t="s">
        <v>726</v>
      </c>
    </row>
    <row r="2895" spans="1:9" hidden="1" x14ac:dyDescent="0.3">
      <c r="A2895" t="s">
        <v>724</v>
      </c>
      <c r="B2895" s="46">
        <v>45258</v>
      </c>
      <c r="C2895" s="45">
        <v>10500</v>
      </c>
      <c r="D2895" t="s">
        <v>1232</v>
      </c>
      <c r="E2895" s="46">
        <v>45286</v>
      </c>
      <c r="F2895" s="45" t="s">
        <v>721</v>
      </c>
      <c r="I2895" t="s">
        <v>726</v>
      </c>
    </row>
    <row r="2896" spans="1:9" hidden="1" x14ac:dyDescent="0.3">
      <c r="A2896" t="s">
        <v>724</v>
      </c>
      <c r="B2896" s="46">
        <v>45273</v>
      </c>
      <c r="C2896" s="45">
        <v>10500</v>
      </c>
      <c r="D2896" t="s">
        <v>1232</v>
      </c>
      <c r="E2896" s="46">
        <v>45317</v>
      </c>
      <c r="F2896" s="45" t="s">
        <v>721</v>
      </c>
      <c r="I2896" t="s">
        <v>726</v>
      </c>
    </row>
    <row r="2897" spans="1:9" hidden="1" x14ac:dyDescent="0.3">
      <c r="A2897" t="s">
        <v>724</v>
      </c>
      <c r="B2897" s="46">
        <v>45266</v>
      </c>
      <c r="C2897" s="45">
        <v>10500</v>
      </c>
      <c r="D2897" t="s">
        <v>1232</v>
      </c>
      <c r="E2897" s="46">
        <v>45317</v>
      </c>
      <c r="F2897" s="45" t="s">
        <v>721</v>
      </c>
      <c r="I2897" t="s">
        <v>726</v>
      </c>
    </row>
    <row r="2898" spans="1:9" hidden="1" x14ac:dyDescent="0.3">
      <c r="A2898" t="s">
        <v>724</v>
      </c>
      <c r="B2898" s="46">
        <v>45265</v>
      </c>
      <c r="C2898" s="45">
        <v>10500</v>
      </c>
      <c r="D2898" t="s">
        <v>1232</v>
      </c>
      <c r="E2898" s="46">
        <v>45317</v>
      </c>
      <c r="F2898" s="45" t="s">
        <v>721</v>
      </c>
      <c r="I2898" t="s">
        <v>726</v>
      </c>
    </row>
    <row r="2899" spans="1:9" hidden="1" x14ac:dyDescent="0.3">
      <c r="A2899" t="s">
        <v>724</v>
      </c>
      <c r="B2899" s="46">
        <v>45287</v>
      </c>
      <c r="C2899" s="45">
        <v>10500</v>
      </c>
      <c r="D2899" t="s">
        <v>1232</v>
      </c>
      <c r="E2899" s="46">
        <v>45317</v>
      </c>
      <c r="F2899" s="45" t="s">
        <v>721</v>
      </c>
      <c r="I2899" t="s">
        <v>726</v>
      </c>
    </row>
    <row r="2900" spans="1:9" hidden="1" x14ac:dyDescent="0.3">
      <c r="A2900" t="s">
        <v>724</v>
      </c>
      <c r="B2900" s="46">
        <v>45254</v>
      </c>
      <c r="C2900" s="45">
        <v>10500</v>
      </c>
      <c r="D2900" t="s">
        <v>1232</v>
      </c>
      <c r="E2900" s="46">
        <v>45286</v>
      </c>
      <c r="F2900" s="45" t="s">
        <v>721</v>
      </c>
      <c r="I2900" t="s">
        <v>726</v>
      </c>
    </row>
    <row r="2901" spans="1:9" hidden="1" x14ac:dyDescent="0.3">
      <c r="A2901" t="s">
        <v>729</v>
      </c>
      <c r="B2901" s="46">
        <v>45154</v>
      </c>
      <c r="C2901" s="45">
        <v>10500</v>
      </c>
      <c r="D2901" t="s">
        <v>1154</v>
      </c>
      <c r="E2901" s="46">
        <v>45184</v>
      </c>
      <c r="F2901" s="45" t="s">
        <v>721</v>
      </c>
      <c r="I2901" t="s">
        <v>726</v>
      </c>
    </row>
    <row r="2902" spans="1:9" hidden="1" x14ac:dyDescent="0.3">
      <c r="A2902" t="s">
        <v>729</v>
      </c>
      <c r="B2902" s="46">
        <v>45156</v>
      </c>
      <c r="C2902" s="45">
        <v>10500</v>
      </c>
      <c r="D2902" t="s">
        <v>1154</v>
      </c>
      <c r="E2902" s="46">
        <v>45184</v>
      </c>
      <c r="F2902" s="45" t="s">
        <v>721</v>
      </c>
      <c r="I2902" t="s">
        <v>726</v>
      </c>
    </row>
    <row r="2903" spans="1:9" hidden="1" x14ac:dyDescent="0.3">
      <c r="A2903" t="s">
        <v>821</v>
      </c>
      <c r="B2903" s="46">
        <v>45124</v>
      </c>
      <c r="C2903" s="45">
        <v>10500</v>
      </c>
      <c r="D2903" t="s">
        <v>1154</v>
      </c>
      <c r="E2903" s="46">
        <v>45154</v>
      </c>
      <c r="F2903" s="45" t="s">
        <v>721</v>
      </c>
      <c r="I2903" t="s">
        <v>726</v>
      </c>
    </row>
    <row r="2904" spans="1:9" hidden="1" x14ac:dyDescent="0.3">
      <c r="A2904" t="s">
        <v>724</v>
      </c>
      <c r="B2904" s="46">
        <v>45147</v>
      </c>
      <c r="C2904" s="45">
        <v>10500</v>
      </c>
      <c r="D2904" t="s">
        <v>1232</v>
      </c>
      <c r="E2904" s="46">
        <v>45195</v>
      </c>
      <c r="F2904" s="45" t="s">
        <v>721</v>
      </c>
      <c r="I2904" t="s">
        <v>726</v>
      </c>
    </row>
    <row r="2905" spans="1:9" hidden="1" x14ac:dyDescent="0.3">
      <c r="A2905" t="s">
        <v>722</v>
      </c>
      <c r="B2905" s="46">
        <v>45218</v>
      </c>
      <c r="C2905" s="45">
        <v>10400</v>
      </c>
      <c r="D2905" t="s">
        <v>1167</v>
      </c>
      <c r="E2905" s="46">
        <v>45245</v>
      </c>
      <c r="F2905" s="45" t="s">
        <v>721</v>
      </c>
      <c r="I2905" t="s">
        <v>726</v>
      </c>
    </row>
    <row r="2906" spans="1:9" hidden="1" x14ac:dyDescent="0.3">
      <c r="A2906" t="s">
        <v>1169</v>
      </c>
      <c r="B2906" s="46">
        <v>45390</v>
      </c>
      <c r="C2906" s="45">
        <v>10300</v>
      </c>
      <c r="D2906" t="s">
        <v>1239</v>
      </c>
      <c r="E2906" s="46">
        <v>45438</v>
      </c>
      <c r="F2906" s="45" t="s">
        <v>721</v>
      </c>
      <c r="I2906" t="s">
        <v>1162</v>
      </c>
    </row>
    <row r="2907" spans="1:9" hidden="1" x14ac:dyDescent="0.3">
      <c r="A2907" t="s">
        <v>1160</v>
      </c>
      <c r="B2907" s="46">
        <v>45406</v>
      </c>
      <c r="C2907" s="45">
        <v>10300</v>
      </c>
      <c r="D2907" t="s">
        <v>1170</v>
      </c>
      <c r="E2907" s="46">
        <v>45438</v>
      </c>
      <c r="F2907" s="45" t="s">
        <v>721</v>
      </c>
      <c r="I2907" t="s">
        <v>1162</v>
      </c>
    </row>
    <row r="2908" spans="1:9" hidden="1" x14ac:dyDescent="0.3">
      <c r="A2908" t="s">
        <v>722</v>
      </c>
      <c r="B2908" s="46">
        <v>45307</v>
      </c>
      <c r="C2908" s="45">
        <v>10290</v>
      </c>
      <c r="D2908" t="s">
        <v>776</v>
      </c>
      <c r="E2908" s="46">
        <v>45337</v>
      </c>
      <c r="F2908" s="45" t="s">
        <v>721</v>
      </c>
      <c r="I2908" t="s">
        <v>762</v>
      </c>
    </row>
    <row r="2909" spans="1:9" hidden="1" x14ac:dyDescent="0.3">
      <c r="A2909" t="s">
        <v>722</v>
      </c>
      <c r="B2909" s="46">
        <v>45217</v>
      </c>
      <c r="C2909" s="45">
        <v>10200</v>
      </c>
      <c r="D2909" t="s">
        <v>1084</v>
      </c>
      <c r="E2909" s="46">
        <v>45245</v>
      </c>
      <c r="F2909" s="45" t="s">
        <v>721</v>
      </c>
      <c r="I2909" t="s">
        <v>834</v>
      </c>
    </row>
    <row r="2910" spans="1:9" hidden="1" x14ac:dyDescent="0.3">
      <c r="A2910" t="s">
        <v>748</v>
      </c>
      <c r="B2910" s="46">
        <v>45251</v>
      </c>
      <c r="C2910" s="45">
        <v>10100</v>
      </c>
      <c r="D2910" t="s">
        <v>735</v>
      </c>
      <c r="E2910" s="46">
        <v>45275</v>
      </c>
      <c r="F2910" s="45" t="s">
        <v>721</v>
      </c>
      <c r="I2910" t="s">
        <v>782</v>
      </c>
    </row>
    <row r="2911" spans="1:9" hidden="1" x14ac:dyDescent="0.3">
      <c r="A2911" t="s">
        <v>775</v>
      </c>
      <c r="B2911" s="46">
        <v>45149</v>
      </c>
      <c r="C2911" s="45">
        <v>10080</v>
      </c>
      <c r="D2911" t="s">
        <v>1031</v>
      </c>
      <c r="E2911" s="46">
        <v>45184</v>
      </c>
      <c r="F2911" s="45" t="s">
        <v>721</v>
      </c>
      <c r="I2911" t="s">
        <v>726</v>
      </c>
    </row>
    <row r="2912" spans="1:9" hidden="1" x14ac:dyDescent="0.3">
      <c r="A2912" t="s">
        <v>821</v>
      </c>
      <c r="B2912" s="46">
        <v>45152</v>
      </c>
      <c r="C2912" s="45">
        <v>10000</v>
      </c>
      <c r="D2912" t="s">
        <v>1118</v>
      </c>
      <c r="E2912" s="46">
        <v>45184</v>
      </c>
      <c r="F2912" s="45" t="s">
        <v>721</v>
      </c>
      <c r="I2912" t="s">
        <v>726</v>
      </c>
    </row>
    <row r="2913" spans="1:9" hidden="1" x14ac:dyDescent="0.3">
      <c r="A2913" t="s">
        <v>748</v>
      </c>
      <c r="B2913" s="46">
        <v>45132</v>
      </c>
      <c r="C2913" s="45">
        <v>10000</v>
      </c>
      <c r="D2913" t="s">
        <v>735</v>
      </c>
      <c r="E2913" s="46">
        <v>45154</v>
      </c>
      <c r="F2913" s="45" t="s">
        <v>721</v>
      </c>
      <c r="I2913" t="s">
        <v>762</v>
      </c>
    </row>
    <row r="2914" spans="1:9" hidden="1" x14ac:dyDescent="0.3">
      <c r="A2914" t="s">
        <v>1331</v>
      </c>
      <c r="B2914" s="46">
        <v>45133</v>
      </c>
      <c r="C2914" s="45">
        <v>10000</v>
      </c>
      <c r="D2914" t="s">
        <v>1332</v>
      </c>
      <c r="E2914" s="46">
        <v>45133</v>
      </c>
      <c r="F2914" s="45" t="s">
        <v>721</v>
      </c>
      <c r="I2914" t="s">
        <v>854</v>
      </c>
    </row>
    <row r="2915" spans="1:9" hidden="1" x14ac:dyDescent="0.3">
      <c r="A2915" t="s">
        <v>757</v>
      </c>
      <c r="B2915" s="46">
        <v>45133</v>
      </c>
      <c r="C2915" s="45">
        <v>10000</v>
      </c>
      <c r="D2915" t="s">
        <v>1332</v>
      </c>
      <c r="E2915" s="46">
        <v>45133</v>
      </c>
      <c r="F2915" s="45" t="s">
        <v>721</v>
      </c>
      <c r="I2915" t="s">
        <v>854</v>
      </c>
    </row>
    <row r="2916" spans="1:9" hidden="1" x14ac:dyDescent="0.3">
      <c r="A2916" t="s">
        <v>743</v>
      </c>
      <c r="B2916" s="46">
        <v>45133</v>
      </c>
      <c r="C2916" s="45">
        <v>10000</v>
      </c>
      <c r="D2916" t="s">
        <v>1332</v>
      </c>
      <c r="E2916" s="46">
        <v>45133</v>
      </c>
      <c r="F2916" s="45" t="s">
        <v>721</v>
      </c>
      <c r="I2916" t="s">
        <v>854</v>
      </c>
    </row>
    <row r="2917" spans="1:9" hidden="1" x14ac:dyDescent="0.3">
      <c r="A2917" t="s">
        <v>777</v>
      </c>
      <c r="B2917" s="46">
        <v>45125</v>
      </c>
      <c r="C2917" s="45">
        <v>10000</v>
      </c>
      <c r="D2917" t="s">
        <v>1329</v>
      </c>
      <c r="E2917" s="46">
        <v>45154</v>
      </c>
      <c r="F2917" s="45" t="s">
        <v>721</v>
      </c>
    </row>
    <row r="2918" spans="1:9" hidden="1" x14ac:dyDescent="0.3">
      <c r="A2918" t="s">
        <v>779</v>
      </c>
      <c r="B2918" s="46">
        <v>45126</v>
      </c>
      <c r="C2918" s="45">
        <v>10000</v>
      </c>
      <c r="D2918" t="s">
        <v>1090</v>
      </c>
      <c r="E2918" s="46">
        <v>45154</v>
      </c>
      <c r="F2918" s="45" t="s">
        <v>721</v>
      </c>
    </row>
    <row r="2919" spans="1:9" hidden="1" x14ac:dyDescent="0.3">
      <c r="A2919" t="s">
        <v>779</v>
      </c>
      <c r="B2919" s="46">
        <v>45128</v>
      </c>
      <c r="C2919" s="45">
        <v>10000</v>
      </c>
      <c r="D2919" t="s">
        <v>1330</v>
      </c>
      <c r="E2919" s="46">
        <v>45154</v>
      </c>
      <c r="F2919" s="45" t="s">
        <v>721</v>
      </c>
    </row>
    <row r="2920" spans="1:9" hidden="1" x14ac:dyDescent="0.3">
      <c r="A2920" t="s">
        <v>779</v>
      </c>
      <c r="B2920" s="46">
        <v>45134</v>
      </c>
      <c r="C2920" s="45">
        <v>10000</v>
      </c>
      <c r="D2920" t="s">
        <v>1090</v>
      </c>
      <c r="E2920" s="46">
        <v>45154</v>
      </c>
      <c r="F2920" s="45" t="s">
        <v>721</v>
      </c>
    </row>
    <row r="2921" spans="1:9" hidden="1" x14ac:dyDescent="0.3">
      <c r="A2921" t="s">
        <v>821</v>
      </c>
      <c r="B2921" s="46">
        <v>45190</v>
      </c>
      <c r="C2921" s="45">
        <v>10000</v>
      </c>
      <c r="D2921" t="s">
        <v>1335</v>
      </c>
      <c r="E2921" s="46">
        <v>45215</v>
      </c>
      <c r="F2921" s="45" t="s">
        <v>721</v>
      </c>
      <c r="I2921" t="s">
        <v>726</v>
      </c>
    </row>
    <row r="2922" spans="1:9" hidden="1" x14ac:dyDescent="0.3">
      <c r="A2922" t="s">
        <v>729</v>
      </c>
      <c r="B2922" s="46">
        <v>45209</v>
      </c>
      <c r="C2922" s="45">
        <v>10000</v>
      </c>
      <c r="D2922" t="s">
        <v>1336</v>
      </c>
      <c r="E2922" s="46">
        <v>45245</v>
      </c>
      <c r="F2922" s="45" t="s">
        <v>721</v>
      </c>
      <c r="I2922" t="s">
        <v>726</v>
      </c>
    </row>
    <row r="2923" spans="1:9" hidden="1" x14ac:dyDescent="0.3">
      <c r="A2923" t="s">
        <v>821</v>
      </c>
      <c r="B2923" s="46">
        <v>45247</v>
      </c>
      <c r="C2923" s="45">
        <v>10000</v>
      </c>
      <c r="D2923" t="s">
        <v>1095</v>
      </c>
      <c r="E2923" s="46">
        <v>45275</v>
      </c>
      <c r="F2923" s="45" t="s">
        <v>721</v>
      </c>
      <c r="I2923" t="s">
        <v>726</v>
      </c>
    </row>
    <row r="2924" spans="1:9" hidden="1" x14ac:dyDescent="0.3">
      <c r="A2924" t="s">
        <v>779</v>
      </c>
      <c r="B2924" s="46">
        <v>45215</v>
      </c>
      <c r="C2924" s="45">
        <v>10000</v>
      </c>
      <c r="D2924" t="s">
        <v>1334</v>
      </c>
      <c r="E2924" s="46">
        <v>45246</v>
      </c>
      <c r="F2924" s="45" t="s">
        <v>721</v>
      </c>
    </row>
    <row r="2925" spans="1:9" hidden="1" x14ac:dyDescent="0.3">
      <c r="A2925" t="s">
        <v>734</v>
      </c>
      <c r="B2925" s="46">
        <v>45225</v>
      </c>
      <c r="C2925" s="45">
        <v>10000</v>
      </c>
      <c r="D2925" t="s">
        <v>1275</v>
      </c>
      <c r="E2925" s="46">
        <v>45245</v>
      </c>
      <c r="F2925" s="45" t="s">
        <v>721</v>
      </c>
      <c r="I2925" t="s">
        <v>726</v>
      </c>
    </row>
    <row r="2926" spans="1:9" hidden="1" x14ac:dyDescent="0.3">
      <c r="A2926" t="s">
        <v>777</v>
      </c>
      <c r="B2926" s="46">
        <v>45222</v>
      </c>
      <c r="C2926" s="45">
        <v>10000</v>
      </c>
      <c r="D2926" t="s">
        <v>1337</v>
      </c>
      <c r="E2926" s="46">
        <v>45275</v>
      </c>
      <c r="F2926" s="45" t="s">
        <v>721</v>
      </c>
      <c r="I2926" t="s">
        <v>726</v>
      </c>
    </row>
    <row r="2927" spans="1:9" hidden="1" x14ac:dyDescent="0.3">
      <c r="A2927" t="s">
        <v>775</v>
      </c>
      <c r="B2927" s="46">
        <v>45267</v>
      </c>
      <c r="C2927" s="45">
        <v>10000</v>
      </c>
      <c r="D2927" t="s">
        <v>991</v>
      </c>
      <c r="E2927" s="46">
        <v>45307</v>
      </c>
      <c r="F2927" s="45" t="s">
        <v>721</v>
      </c>
      <c r="I2927" t="s">
        <v>726</v>
      </c>
    </row>
    <row r="2928" spans="1:9" hidden="1" x14ac:dyDescent="0.3">
      <c r="A2928" t="s">
        <v>821</v>
      </c>
      <c r="B2928" s="46">
        <v>45308</v>
      </c>
      <c r="C2928" s="45">
        <v>10000</v>
      </c>
      <c r="D2928" t="s">
        <v>1095</v>
      </c>
      <c r="E2928" s="46">
        <v>45337</v>
      </c>
      <c r="F2928" s="45" t="s">
        <v>721</v>
      </c>
      <c r="I2928" t="s">
        <v>726</v>
      </c>
    </row>
    <row r="2929" spans="1:9" hidden="1" x14ac:dyDescent="0.3">
      <c r="A2929" t="s">
        <v>779</v>
      </c>
      <c r="B2929" s="46">
        <v>45288</v>
      </c>
      <c r="C2929" s="45">
        <v>10000</v>
      </c>
      <c r="D2929" t="s">
        <v>1334</v>
      </c>
      <c r="E2929" s="46">
        <v>45307</v>
      </c>
      <c r="F2929" s="45" t="s">
        <v>721</v>
      </c>
      <c r="I2929" t="s">
        <v>726</v>
      </c>
    </row>
    <row r="2930" spans="1:9" hidden="1" x14ac:dyDescent="0.3">
      <c r="A2930" t="s">
        <v>748</v>
      </c>
      <c r="B2930" s="46">
        <v>45299</v>
      </c>
      <c r="C2930" s="45">
        <v>10000</v>
      </c>
      <c r="D2930" t="s">
        <v>1095</v>
      </c>
      <c r="E2930" s="46">
        <v>45337</v>
      </c>
      <c r="F2930" s="45" t="s">
        <v>721</v>
      </c>
      <c r="I2930" t="s">
        <v>726</v>
      </c>
    </row>
    <row r="2931" spans="1:9" hidden="1" x14ac:dyDescent="0.3">
      <c r="A2931" t="s">
        <v>779</v>
      </c>
      <c r="B2931" s="46">
        <v>45397</v>
      </c>
      <c r="C2931" s="45">
        <v>10000</v>
      </c>
      <c r="D2931" t="s">
        <v>2135</v>
      </c>
      <c r="E2931" s="46">
        <v>45428</v>
      </c>
      <c r="F2931" s="45" t="s">
        <v>721</v>
      </c>
      <c r="G2931">
        <v>0</v>
      </c>
      <c r="I2931" t="s">
        <v>726</v>
      </c>
    </row>
    <row r="2932" spans="1:9" hidden="1" x14ac:dyDescent="0.3">
      <c r="A2932" t="s">
        <v>727</v>
      </c>
      <c r="B2932" s="46">
        <v>45365</v>
      </c>
      <c r="C2932" s="45">
        <v>10000</v>
      </c>
      <c r="D2932" t="s">
        <v>1057</v>
      </c>
      <c r="E2932" s="46">
        <v>45397</v>
      </c>
      <c r="F2932" s="45" t="s">
        <v>721</v>
      </c>
      <c r="I2932" t="s">
        <v>726</v>
      </c>
    </row>
    <row r="2933" spans="1:9" hidden="1" x14ac:dyDescent="0.3">
      <c r="A2933" t="s">
        <v>727</v>
      </c>
      <c r="B2933" s="46">
        <v>45373</v>
      </c>
      <c r="C2933" s="45">
        <v>10000</v>
      </c>
      <c r="D2933" t="s">
        <v>991</v>
      </c>
      <c r="E2933" s="46">
        <v>45397</v>
      </c>
      <c r="F2933" s="45" t="s">
        <v>721</v>
      </c>
      <c r="I2933" t="s">
        <v>726</v>
      </c>
    </row>
    <row r="2934" spans="1:9" hidden="1" x14ac:dyDescent="0.3">
      <c r="A2934" t="s">
        <v>727</v>
      </c>
      <c r="B2934" s="46">
        <v>45373</v>
      </c>
      <c r="C2934" s="45">
        <v>10000</v>
      </c>
      <c r="D2934" t="s">
        <v>991</v>
      </c>
      <c r="E2934" s="46">
        <v>45397</v>
      </c>
      <c r="F2934" s="45" t="s">
        <v>721</v>
      </c>
      <c r="I2934" t="s">
        <v>726</v>
      </c>
    </row>
    <row r="2935" spans="1:9" hidden="1" x14ac:dyDescent="0.3">
      <c r="A2935" t="s">
        <v>748</v>
      </c>
      <c r="B2935" s="46">
        <v>45362</v>
      </c>
      <c r="C2935" s="45">
        <v>10000</v>
      </c>
      <c r="D2935" t="s">
        <v>991</v>
      </c>
      <c r="E2935" s="46">
        <v>45397</v>
      </c>
      <c r="F2935" s="45" t="s">
        <v>721</v>
      </c>
      <c r="I2935" t="s">
        <v>726</v>
      </c>
    </row>
    <row r="2936" spans="1:9" hidden="1" x14ac:dyDescent="0.3">
      <c r="A2936" t="s">
        <v>722</v>
      </c>
      <c r="B2936" s="46">
        <v>45401</v>
      </c>
      <c r="C2936" s="45">
        <v>10000</v>
      </c>
      <c r="D2936" t="s">
        <v>2136</v>
      </c>
      <c r="E2936" s="46">
        <v>45428</v>
      </c>
      <c r="F2936" s="45" t="s">
        <v>721</v>
      </c>
      <c r="I2936" t="s">
        <v>750</v>
      </c>
    </row>
    <row r="2937" spans="1:9" hidden="1" x14ac:dyDescent="0.3">
      <c r="A2937" t="s">
        <v>720</v>
      </c>
      <c r="B2937" s="46">
        <v>45469</v>
      </c>
      <c r="C2937" s="45">
        <v>10000</v>
      </c>
      <c r="D2937" t="s">
        <v>1332</v>
      </c>
      <c r="E2937" s="46">
        <v>45469</v>
      </c>
      <c r="F2937" s="45" t="s">
        <v>721</v>
      </c>
      <c r="I2937" t="s">
        <v>854</v>
      </c>
    </row>
    <row r="2938" spans="1:9" hidden="1" x14ac:dyDescent="0.3">
      <c r="A2938" t="s">
        <v>779</v>
      </c>
      <c r="B2938" s="46">
        <v>45428</v>
      </c>
      <c r="C2938" s="45">
        <v>10000</v>
      </c>
      <c r="D2938" t="s">
        <v>977</v>
      </c>
      <c r="E2938" s="46">
        <v>45459</v>
      </c>
      <c r="F2938" s="45" t="s">
        <v>721</v>
      </c>
      <c r="I2938" t="s">
        <v>726</v>
      </c>
    </row>
    <row r="2939" spans="1:9" hidden="1" x14ac:dyDescent="0.3">
      <c r="A2939" t="s">
        <v>724</v>
      </c>
      <c r="B2939" s="46">
        <v>45406</v>
      </c>
      <c r="C2939" s="45">
        <v>9990</v>
      </c>
      <c r="D2939" t="s">
        <v>755</v>
      </c>
      <c r="E2939" s="46">
        <v>45438</v>
      </c>
      <c r="F2939" s="45" t="s">
        <v>721</v>
      </c>
      <c r="I2939" t="s">
        <v>726</v>
      </c>
    </row>
    <row r="2940" spans="1:9" hidden="1" x14ac:dyDescent="0.3">
      <c r="A2940" t="s">
        <v>729</v>
      </c>
      <c r="B2940" s="46">
        <v>45189</v>
      </c>
      <c r="C2940" s="45">
        <v>9950</v>
      </c>
      <c r="D2940" t="s">
        <v>790</v>
      </c>
      <c r="E2940" s="46">
        <v>45215</v>
      </c>
      <c r="F2940" s="45" t="s">
        <v>721</v>
      </c>
      <c r="I2940" t="s">
        <v>756</v>
      </c>
    </row>
    <row r="2941" spans="1:9" hidden="1" x14ac:dyDescent="0.3">
      <c r="A2941" t="s">
        <v>729</v>
      </c>
      <c r="B2941" s="46">
        <v>45195</v>
      </c>
      <c r="C2941" s="45">
        <v>9940</v>
      </c>
      <c r="D2941" t="s">
        <v>790</v>
      </c>
      <c r="E2941" s="46">
        <v>45215</v>
      </c>
      <c r="F2941" s="45" t="s">
        <v>721</v>
      </c>
      <c r="I2941" t="s">
        <v>756</v>
      </c>
    </row>
    <row r="2942" spans="1:9" hidden="1" x14ac:dyDescent="0.3">
      <c r="A2942" t="s">
        <v>724</v>
      </c>
      <c r="B2942" s="46">
        <v>45142</v>
      </c>
      <c r="C2942" s="45">
        <v>9900</v>
      </c>
      <c r="D2942" t="s">
        <v>1194</v>
      </c>
      <c r="E2942" s="46">
        <v>45195</v>
      </c>
      <c r="F2942" s="45" t="s">
        <v>721</v>
      </c>
      <c r="I2942" t="s">
        <v>726</v>
      </c>
    </row>
    <row r="2943" spans="1:9" hidden="1" x14ac:dyDescent="0.3">
      <c r="A2943" t="s">
        <v>1169</v>
      </c>
      <c r="B2943" s="46">
        <v>45196</v>
      </c>
      <c r="C2943" s="45">
        <v>9900</v>
      </c>
      <c r="D2943" t="s">
        <v>1229</v>
      </c>
      <c r="E2943" s="46">
        <v>45225</v>
      </c>
      <c r="F2943" s="45" t="s">
        <v>721</v>
      </c>
      <c r="I2943" t="s">
        <v>1162</v>
      </c>
    </row>
    <row r="2944" spans="1:9" hidden="1" x14ac:dyDescent="0.3">
      <c r="A2944" t="s">
        <v>724</v>
      </c>
      <c r="B2944" s="46">
        <v>45233</v>
      </c>
      <c r="C2944" s="45">
        <v>9900</v>
      </c>
      <c r="D2944" t="s">
        <v>1194</v>
      </c>
      <c r="E2944" s="46">
        <v>45256</v>
      </c>
      <c r="F2944" s="45" t="s">
        <v>721</v>
      </c>
      <c r="I2944" t="s">
        <v>726</v>
      </c>
    </row>
    <row r="2945" spans="1:9" hidden="1" x14ac:dyDescent="0.3">
      <c r="A2945" t="s">
        <v>724</v>
      </c>
      <c r="B2945" s="46">
        <v>45203</v>
      </c>
      <c r="C2945" s="45">
        <v>9900</v>
      </c>
      <c r="D2945" t="s">
        <v>1194</v>
      </c>
      <c r="E2945" s="46">
        <v>45256</v>
      </c>
      <c r="F2945" s="45" t="s">
        <v>721</v>
      </c>
      <c r="I2945" t="s">
        <v>726</v>
      </c>
    </row>
    <row r="2946" spans="1:9" hidden="1" x14ac:dyDescent="0.3">
      <c r="A2946" t="s">
        <v>1160</v>
      </c>
      <c r="B2946" s="46">
        <v>45397</v>
      </c>
      <c r="C2946" s="45">
        <v>9900</v>
      </c>
      <c r="D2946" t="s">
        <v>1229</v>
      </c>
      <c r="E2946" s="46">
        <v>45438</v>
      </c>
      <c r="F2946" s="45" t="s">
        <v>721</v>
      </c>
      <c r="I2946" t="s">
        <v>1162</v>
      </c>
    </row>
    <row r="2947" spans="1:9" hidden="1" x14ac:dyDescent="0.3">
      <c r="A2947" t="s">
        <v>1160</v>
      </c>
      <c r="B2947" s="46">
        <v>45393</v>
      </c>
      <c r="C2947" s="45">
        <v>9900</v>
      </c>
      <c r="D2947" t="s">
        <v>1229</v>
      </c>
      <c r="E2947" s="46">
        <v>45438</v>
      </c>
      <c r="F2947" s="45" t="s">
        <v>721</v>
      </c>
      <c r="I2947" t="s">
        <v>1162</v>
      </c>
    </row>
    <row r="2948" spans="1:9" hidden="1" x14ac:dyDescent="0.3">
      <c r="A2948" t="s">
        <v>748</v>
      </c>
      <c r="B2948" s="46">
        <v>45387</v>
      </c>
      <c r="C2948" s="45">
        <v>9900</v>
      </c>
      <c r="D2948" t="s">
        <v>735</v>
      </c>
      <c r="E2948" s="46">
        <v>45428</v>
      </c>
      <c r="F2948" s="45" t="s">
        <v>721</v>
      </c>
      <c r="I2948" t="s">
        <v>782</v>
      </c>
    </row>
    <row r="2949" spans="1:9" hidden="1" x14ac:dyDescent="0.3">
      <c r="A2949" t="s">
        <v>1160</v>
      </c>
      <c r="B2949" s="46">
        <v>45428</v>
      </c>
      <c r="C2949" s="45">
        <v>9900</v>
      </c>
      <c r="D2949" t="s">
        <v>1229</v>
      </c>
      <c r="E2949" s="46">
        <v>45469</v>
      </c>
      <c r="F2949" s="45" t="s">
        <v>721</v>
      </c>
      <c r="I2949" t="s">
        <v>1162</v>
      </c>
    </row>
    <row r="2950" spans="1:9" hidden="1" x14ac:dyDescent="0.3">
      <c r="A2950" t="s">
        <v>1160</v>
      </c>
      <c r="B2950" s="46">
        <v>45432</v>
      </c>
      <c r="C2950" s="45">
        <v>9900</v>
      </c>
      <c r="D2950" t="s">
        <v>1229</v>
      </c>
      <c r="E2950" s="46">
        <v>45469</v>
      </c>
      <c r="F2950" s="45" t="s">
        <v>721</v>
      </c>
      <c r="I2950" t="s">
        <v>1162</v>
      </c>
    </row>
    <row r="2951" spans="1:9" hidden="1" x14ac:dyDescent="0.3">
      <c r="A2951" t="s">
        <v>1160</v>
      </c>
      <c r="B2951" s="46">
        <v>45419</v>
      </c>
      <c r="C2951" s="45">
        <v>9900</v>
      </c>
      <c r="D2951" t="s">
        <v>1229</v>
      </c>
      <c r="E2951" s="46">
        <v>45469</v>
      </c>
      <c r="F2951" s="45" t="s">
        <v>721</v>
      </c>
      <c r="I2951" t="s">
        <v>1162</v>
      </c>
    </row>
    <row r="2952" spans="1:9" hidden="1" x14ac:dyDescent="0.3">
      <c r="A2952" t="s">
        <v>767</v>
      </c>
      <c r="B2952" s="46">
        <v>45341</v>
      </c>
      <c r="C2952" s="45">
        <v>9900</v>
      </c>
      <c r="D2952" t="s">
        <v>1081</v>
      </c>
      <c r="E2952" s="46">
        <v>45366</v>
      </c>
      <c r="F2952" s="45" t="s">
        <v>721</v>
      </c>
      <c r="I2952" t="s">
        <v>726</v>
      </c>
    </row>
    <row r="2953" spans="1:9" hidden="1" x14ac:dyDescent="0.3">
      <c r="A2953" t="s">
        <v>767</v>
      </c>
      <c r="B2953" s="46">
        <v>45350</v>
      </c>
      <c r="C2953" s="45">
        <v>9900</v>
      </c>
      <c r="D2953" t="s">
        <v>1081</v>
      </c>
      <c r="E2953" s="46">
        <v>45366</v>
      </c>
      <c r="F2953" s="45" t="s">
        <v>721</v>
      </c>
      <c r="I2953" t="s">
        <v>726</v>
      </c>
    </row>
    <row r="2954" spans="1:9" hidden="1" x14ac:dyDescent="0.3">
      <c r="A2954" t="s">
        <v>729</v>
      </c>
      <c r="B2954" s="46">
        <v>45348</v>
      </c>
      <c r="C2954" s="45">
        <v>9890</v>
      </c>
      <c r="D2954" t="s">
        <v>790</v>
      </c>
      <c r="E2954" s="46">
        <v>45366</v>
      </c>
      <c r="F2954" s="45" t="s">
        <v>721</v>
      </c>
      <c r="I2954" t="s">
        <v>834</v>
      </c>
    </row>
    <row r="2955" spans="1:9" hidden="1" x14ac:dyDescent="0.3">
      <c r="A2955" t="s">
        <v>729</v>
      </c>
      <c r="B2955" s="46">
        <v>45439</v>
      </c>
      <c r="C2955" s="45">
        <v>9890</v>
      </c>
      <c r="D2955" t="s">
        <v>2078</v>
      </c>
      <c r="E2955" s="46">
        <v>45458</v>
      </c>
      <c r="F2955" s="45" t="s">
        <v>721</v>
      </c>
      <c r="I2955" t="s">
        <v>834</v>
      </c>
    </row>
    <row r="2956" spans="1:9" hidden="1" x14ac:dyDescent="0.3">
      <c r="A2956" t="s">
        <v>729</v>
      </c>
      <c r="B2956" s="46">
        <v>45404</v>
      </c>
      <c r="C2956" s="45">
        <v>9890</v>
      </c>
      <c r="D2956" t="s">
        <v>2078</v>
      </c>
      <c r="E2956" s="46">
        <v>45428</v>
      </c>
      <c r="F2956" s="45" t="s">
        <v>721</v>
      </c>
      <c r="I2956" t="s">
        <v>834</v>
      </c>
    </row>
    <row r="2957" spans="1:9" hidden="1" x14ac:dyDescent="0.3">
      <c r="A2957" t="s">
        <v>1169</v>
      </c>
      <c r="B2957" s="46">
        <v>45211</v>
      </c>
      <c r="C2957" s="45">
        <v>9800</v>
      </c>
      <c r="D2957" t="s">
        <v>1181</v>
      </c>
      <c r="E2957" s="46">
        <v>45256</v>
      </c>
      <c r="F2957" s="45" t="s">
        <v>721</v>
      </c>
      <c r="I2957" t="s">
        <v>1162</v>
      </c>
    </row>
    <row r="2958" spans="1:9" hidden="1" x14ac:dyDescent="0.3">
      <c r="A2958" t="s">
        <v>761</v>
      </c>
      <c r="B2958" s="46">
        <v>45160</v>
      </c>
      <c r="C2958" s="45">
        <v>9800</v>
      </c>
      <c r="D2958" t="s">
        <v>1234</v>
      </c>
      <c r="E2958" s="46">
        <v>45195</v>
      </c>
      <c r="F2958" s="45" t="s">
        <v>721</v>
      </c>
      <c r="I2958" t="s">
        <v>801</v>
      </c>
    </row>
    <row r="2959" spans="1:9" hidden="1" x14ac:dyDescent="0.3">
      <c r="A2959" t="s">
        <v>729</v>
      </c>
      <c r="B2959" s="46">
        <v>45272</v>
      </c>
      <c r="C2959" s="45">
        <v>9780</v>
      </c>
      <c r="D2959" t="s">
        <v>776</v>
      </c>
      <c r="E2959" s="46">
        <v>45306</v>
      </c>
      <c r="F2959" s="45" t="s">
        <v>721</v>
      </c>
      <c r="I2959" t="s">
        <v>762</v>
      </c>
    </row>
    <row r="2960" spans="1:9" hidden="1" x14ac:dyDescent="0.3">
      <c r="A2960" t="s">
        <v>1160</v>
      </c>
      <c r="B2960" s="46">
        <v>45131</v>
      </c>
      <c r="C2960" s="45">
        <v>9700</v>
      </c>
      <c r="D2960" t="s">
        <v>1181</v>
      </c>
      <c r="E2960" s="46">
        <v>45164</v>
      </c>
      <c r="F2960" s="45" t="s">
        <v>721</v>
      </c>
      <c r="I2960" t="s">
        <v>1162</v>
      </c>
    </row>
    <row r="2961" spans="1:9" hidden="1" x14ac:dyDescent="0.3">
      <c r="A2961" t="s">
        <v>1160</v>
      </c>
      <c r="B2961" s="46">
        <v>45383</v>
      </c>
      <c r="C2961" s="45">
        <v>9700</v>
      </c>
      <c r="D2961" t="s">
        <v>1342</v>
      </c>
      <c r="E2961" s="46">
        <v>45408</v>
      </c>
      <c r="F2961" s="45" t="s">
        <v>721</v>
      </c>
      <c r="I2961" t="s">
        <v>1162</v>
      </c>
    </row>
    <row r="2962" spans="1:9" hidden="1" x14ac:dyDescent="0.3">
      <c r="A2962" t="s">
        <v>1160</v>
      </c>
      <c r="B2962" s="46">
        <v>45362</v>
      </c>
      <c r="C2962" s="45">
        <v>9600</v>
      </c>
      <c r="D2962" t="s">
        <v>1229</v>
      </c>
      <c r="E2962" s="46">
        <v>45408</v>
      </c>
      <c r="F2962" s="45" t="s">
        <v>721</v>
      </c>
      <c r="I2962" t="s">
        <v>1162</v>
      </c>
    </row>
    <row r="2963" spans="1:9" hidden="1" x14ac:dyDescent="0.3">
      <c r="A2963" t="s">
        <v>1281</v>
      </c>
      <c r="B2963" s="46">
        <v>45355</v>
      </c>
      <c r="C2963" s="45">
        <v>9600</v>
      </c>
      <c r="D2963" t="s">
        <v>1161</v>
      </c>
      <c r="E2963" s="46">
        <v>45408</v>
      </c>
      <c r="F2963" s="45" t="s">
        <v>721</v>
      </c>
      <c r="I2963" t="s">
        <v>1162</v>
      </c>
    </row>
    <row r="2964" spans="1:9" hidden="1" x14ac:dyDescent="0.3">
      <c r="A2964" t="s">
        <v>724</v>
      </c>
      <c r="B2964" s="46">
        <v>45317</v>
      </c>
      <c r="C2964" s="45">
        <v>9600</v>
      </c>
      <c r="D2964" t="s">
        <v>1339</v>
      </c>
      <c r="E2964" s="46">
        <v>45348</v>
      </c>
      <c r="F2964" s="45" t="s">
        <v>721</v>
      </c>
      <c r="I2964" t="s">
        <v>726</v>
      </c>
    </row>
    <row r="2965" spans="1:9" hidden="1" x14ac:dyDescent="0.3">
      <c r="A2965" t="s">
        <v>748</v>
      </c>
      <c r="B2965" s="46">
        <v>45176</v>
      </c>
      <c r="C2965" s="45">
        <v>9600</v>
      </c>
      <c r="D2965" t="s">
        <v>1340</v>
      </c>
      <c r="E2965" s="46">
        <v>45215</v>
      </c>
      <c r="F2965" s="45" t="s">
        <v>721</v>
      </c>
      <c r="I2965" t="s">
        <v>726</v>
      </c>
    </row>
    <row r="2966" spans="1:9" hidden="1" x14ac:dyDescent="0.3">
      <c r="A2966" t="s">
        <v>1281</v>
      </c>
      <c r="B2966" s="46">
        <v>45236</v>
      </c>
      <c r="C2966" s="45">
        <v>9600</v>
      </c>
      <c r="D2966" t="s">
        <v>1315</v>
      </c>
      <c r="E2966" s="46">
        <v>45286</v>
      </c>
      <c r="F2966" s="45" t="s">
        <v>721</v>
      </c>
      <c r="I2966" t="s">
        <v>1162</v>
      </c>
    </row>
    <row r="2967" spans="1:9" hidden="1" x14ac:dyDescent="0.3">
      <c r="A2967" t="s">
        <v>729</v>
      </c>
      <c r="B2967" s="46">
        <v>45287</v>
      </c>
      <c r="C2967" s="45">
        <v>9580</v>
      </c>
      <c r="D2967" t="s">
        <v>790</v>
      </c>
      <c r="E2967" s="46">
        <v>45306</v>
      </c>
      <c r="F2967" s="45" t="s">
        <v>721</v>
      </c>
      <c r="I2967" t="s">
        <v>834</v>
      </c>
    </row>
    <row r="2968" spans="1:9" hidden="1" x14ac:dyDescent="0.3">
      <c r="A2968" t="s">
        <v>729</v>
      </c>
      <c r="B2968" s="46">
        <v>45230</v>
      </c>
      <c r="C2968" s="45">
        <v>9580</v>
      </c>
      <c r="D2968" t="s">
        <v>790</v>
      </c>
      <c r="E2968" s="46">
        <v>45245</v>
      </c>
      <c r="F2968" s="45" t="s">
        <v>721</v>
      </c>
      <c r="I2968" t="s">
        <v>834</v>
      </c>
    </row>
    <row r="2969" spans="1:9" hidden="1" x14ac:dyDescent="0.3">
      <c r="A2969" t="s">
        <v>729</v>
      </c>
      <c r="B2969" s="46">
        <v>45294</v>
      </c>
      <c r="C2969" s="45">
        <v>9580</v>
      </c>
      <c r="D2969" t="s">
        <v>790</v>
      </c>
      <c r="E2969" s="46">
        <v>45337</v>
      </c>
      <c r="F2969" s="45" t="s">
        <v>721</v>
      </c>
      <c r="I2969" t="s">
        <v>834</v>
      </c>
    </row>
    <row r="2970" spans="1:9" hidden="1" x14ac:dyDescent="0.3">
      <c r="A2970" t="s">
        <v>767</v>
      </c>
      <c r="B2970" s="46">
        <v>45170</v>
      </c>
      <c r="C2970" s="45">
        <v>9500</v>
      </c>
      <c r="D2970" t="s">
        <v>1341</v>
      </c>
      <c r="E2970" s="46">
        <v>45215</v>
      </c>
      <c r="F2970" s="45" t="s">
        <v>721</v>
      </c>
      <c r="I2970" t="s">
        <v>726</v>
      </c>
    </row>
    <row r="2971" spans="1:9" hidden="1" x14ac:dyDescent="0.3">
      <c r="A2971" t="s">
        <v>722</v>
      </c>
      <c r="B2971" s="46">
        <v>45134</v>
      </c>
      <c r="C2971" s="45">
        <v>9500</v>
      </c>
      <c r="D2971" t="s">
        <v>735</v>
      </c>
      <c r="E2971" s="46">
        <v>45154</v>
      </c>
      <c r="F2971" s="45" t="s">
        <v>721</v>
      </c>
      <c r="I2971" t="s">
        <v>762</v>
      </c>
    </row>
    <row r="2972" spans="1:9" hidden="1" x14ac:dyDescent="0.3">
      <c r="A2972" t="s">
        <v>727</v>
      </c>
      <c r="B2972" s="46">
        <v>45161</v>
      </c>
      <c r="C2972" s="45">
        <v>9500</v>
      </c>
      <c r="D2972" t="s">
        <v>980</v>
      </c>
      <c r="E2972" s="46">
        <v>45184</v>
      </c>
      <c r="F2972" s="45" t="s">
        <v>721</v>
      </c>
      <c r="I2972" t="s">
        <v>726</v>
      </c>
    </row>
    <row r="2973" spans="1:9" hidden="1" x14ac:dyDescent="0.3">
      <c r="A2973" t="s">
        <v>1338</v>
      </c>
      <c r="B2973" s="46">
        <v>45135</v>
      </c>
      <c r="C2973" s="45">
        <v>9400</v>
      </c>
      <c r="D2973" t="s">
        <v>1342</v>
      </c>
      <c r="E2973" s="46">
        <v>45164</v>
      </c>
      <c r="F2973" s="45" t="s">
        <v>721</v>
      </c>
      <c r="I2973" t="s">
        <v>1162</v>
      </c>
    </row>
    <row r="2974" spans="1:9" hidden="1" x14ac:dyDescent="0.3">
      <c r="A2974" t="s">
        <v>777</v>
      </c>
      <c r="B2974" s="46">
        <v>45126</v>
      </c>
      <c r="C2974" s="45">
        <v>9400</v>
      </c>
      <c r="D2974" t="s">
        <v>1174</v>
      </c>
      <c r="E2974" s="46">
        <v>45154</v>
      </c>
      <c r="F2974" s="45" t="s">
        <v>721</v>
      </c>
    </row>
    <row r="2975" spans="1:9" hidden="1" x14ac:dyDescent="0.3">
      <c r="A2975" t="s">
        <v>1160</v>
      </c>
      <c r="B2975" s="46">
        <v>45215</v>
      </c>
      <c r="C2975" s="45">
        <v>9400</v>
      </c>
      <c r="D2975" t="s">
        <v>1170</v>
      </c>
      <c r="E2975" s="46">
        <v>45256</v>
      </c>
      <c r="F2975" s="45" t="s">
        <v>721</v>
      </c>
      <c r="I2975" t="s">
        <v>1162</v>
      </c>
    </row>
    <row r="2976" spans="1:9" hidden="1" x14ac:dyDescent="0.3">
      <c r="A2976" t="s">
        <v>727</v>
      </c>
      <c r="B2976" s="46">
        <v>45433</v>
      </c>
      <c r="C2976" s="45">
        <v>9400</v>
      </c>
      <c r="D2976" t="s">
        <v>735</v>
      </c>
      <c r="E2976" s="46">
        <v>45458</v>
      </c>
      <c r="F2976" s="45" t="s">
        <v>721</v>
      </c>
      <c r="I2976" t="s">
        <v>736</v>
      </c>
    </row>
    <row r="2977" spans="1:9" hidden="1" x14ac:dyDescent="0.3">
      <c r="A2977" t="s">
        <v>722</v>
      </c>
      <c r="B2977" s="46">
        <v>45253</v>
      </c>
      <c r="C2977" s="45">
        <v>9320</v>
      </c>
      <c r="D2977" t="s">
        <v>771</v>
      </c>
      <c r="E2977" s="46">
        <v>45275</v>
      </c>
      <c r="F2977" s="45" t="s">
        <v>721</v>
      </c>
    </row>
    <row r="2978" spans="1:9" hidden="1" x14ac:dyDescent="0.3">
      <c r="A2978" t="s">
        <v>775</v>
      </c>
      <c r="B2978" s="46">
        <v>45118</v>
      </c>
      <c r="C2978" s="45">
        <v>9300</v>
      </c>
      <c r="D2978" t="s">
        <v>1344</v>
      </c>
      <c r="E2978" s="46">
        <v>45154</v>
      </c>
      <c r="F2978" s="45" t="s">
        <v>721</v>
      </c>
      <c r="I2978" t="s">
        <v>726</v>
      </c>
    </row>
    <row r="2979" spans="1:9" hidden="1" x14ac:dyDescent="0.3">
      <c r="A2979" t="s">
        <v>779</v>
      </c>
      <c r="B2979" s="46">
        <v>45434</v>
      </c>
      <c r="C2979" s="45">
        <v>9300</v>
      </c>
      <c r="D2979" t="s">
        <v>991</v>
      </c>
      <c r="E2979" s="46">
        <v>45459</v>
      </c>
      <c r="F2979" s="45" t="s">
        <v>721</v>
      </c>
      <c r="I2979" t="s">
        <v>726</v>
      </c>
    </row>
    <row r="2980" spans="1:9" hidden="1" x14ac:dyDescent="0.3">
      <c r="A2980" t="s">
        <v>1281</v>
      </c>
      <c r="B2980" s="46">
        <v>45313</v>
      </c>
      <c r="C2980" s="45">
        <v>9200</v>
      </c>
      <c r="D2980" t="s">
        <v>1181</v>
      </c>
      <c r="E2980" s="46">
        <v>45348</v>
      </c>
      <c r="F2980" s="45" t="s">
        <v>721</v>
      </c>
      <c r="I2980" t="s">
        <v>1162</v>
      </c>
    </row>
    <row r="2981" spans="1:9" hidden="1" x14ac:dyDescent="0.3">
      <c r="A2981" t="s">
        <v>1169</v>
      </c>
      <c r="B2981" s="46">
        <v>45359</v>
      </c>
      <c r="C2981" s="45">
        <v>9200</v>
      </c>
      <c r="D2981" t="s">
        <v>1229</v>
      </c>
      <c r="E2981" s="46">
        <v>45408</v>
      </c>
      <c r="F2981" s="45" t="s">
        <v>721</v>
      </c>
      <c r="I2981" t="s">
        <v>1162</v>
      </c>
    </row>
    <row r="2982" spans="1:9" hidden="1" x14ac:dyDescent="0.3">
      <c r="A2982" t="s">
        <v>1238</v>
      </c>
      <c r="B2982" s="46">
        <v>45359</v>
      </c>
      <c r="C2982" s="45">
        <v>9200</v>
      </c>
      <c r="D2982" t="s">
        <v>1229</v>
      </c>
      <c r="E2982" s="46">
        <v>45408</v>
      </c>
      <c r="F2982" s="45" t="s">
        <v>721</v>
      </c>
      <c r="I2982" t="s">
        <v>1162</v>
      </c>
    </row>
    <row r="2983" spans="1:9" hidden="1" x14ac:dyDescent="0.3">
      <c r="A2983" t="s">
        <v>1281</v>
      </c>
      <c r="B2983" s="46">
        <v>45327</v>
      </c>
      <c r="C2983" s="45">
        <v>9200</v>
      </c>
      <c r="D2983" t="s">
        <v>1181</v>
      </c>
      <c r="E2983" s="46">
        <v>45377</v>
      </c>
      <c r="F2983" s="45" t="s">
        <v>721</v>
      </c>
      <c r="I2983" t="s">
        <v>1162</v>
      </c>
    </row>
    <row r="2984" spans="1:9" hidden="1" x14ac:dyDescent="0.3">
      <c r="A2984" t="s">
        <v>1169</v>
      </c>
      <c r="B2984" s="46">
        <v>45142</v>
      </c>
      <c r="C2984" s="45">
        <v>9200</v>
      </c>
      <c r="D2984" t="s">
        <v>1229</v>
      </c>
      <c r="E2984" s="46">
        <v>45195</v>
      </c>
      <c r="F2984" s="45" t="s">
        <v>721</v>
      </c>
      <c r="I2984" t="s">
        <v>1162</v>
      </c>
    </row>
    <row r="2985" spans="1:9" hidden="1" x14ac:dyDescent="0.3">
      <c r="A2985" t="s">
        <v>748</v>
      </c>
      <c r="B2985" s="46">
        <v>45259</v>
      </c>
      <c r="C2985" s="45">
        <v>9200</v>
      </c>
      <c r="D2985" t="s">
        <v>1345</v>
      </c>
      <c r="E2985" s="46">
        <v>45275</v>
      </c>
      <c r="F2985" s="45" t="s">
        <v>721</v>
      </c>
      <c r="I2985" t="s">
        <v>726</v>
      </c>
    </row>
    <row r="2986" spans="1:9" hidden="1" x14ac:dyDescent="0.3">
      <c r="A2986" t="s">
        <v>1160</v>
      </c>
      <c r="B2986" s="46">
        <v>45243</v>
      </c>
      <c r="C2986" s="45">
        <v>9100</v>
      </c>
      <c r="D2986" t="s">
        <v>1229</v>
      </c>
      <c r="E2986" s="46">
        <v>45286</v>
      </c>
      <c r="F2986" s="45" t="s">
        <v>721</v>
      </c>
      <c r="I2986" t="s">
        <v>1162</v>
      </c>
    </row>
    <row r="2987" spans="1:9" hidden="1" x14ac:dyDescent="0.3">
      <c r="A2987" t="s">
        <v>775</v>
      </c>
      <c r="B2987" s="46">
        <v>45133</v>
      </c>
      <c r="C2987" s="45">
        <v>9050</v>
      </c>
      <c r="D2987" t="s">
        <v>1031</v>
      </c>
      <c r="E2987" s="46">
        <v>45154</v>
      </c>
      <c r="F2987" s="45" t="s">
        <v>721</v>
      </c>
      <c r="I2987" t="s">
        <v>726</v>
      </c>
    </row>
    <row r="2988" spans="1:9" hidden="1" x14ac:dyDescent="0.3">
      <c r="A2988" t="s">
        <v>777</v>
      </c>
      <c r="B2988" s="46">
        <v>45127</v>
      </c>
      <c r="C2988" s="45">
        <v>9000</v>
      </c>
      <c r="D2988" t="s">
        <v>1347</v>
      </c>
      <c r="E2988" s="46">
        <v>45154</v>
      </c>
      <c r="F2988" s="45" t="s">
        <v>721</v>
      </c>
    </row>
    <row r="2989" spans="1:9" hidden="1" x14ac:dyDescent="0.3">
      <c r="A2989" t="s">
        <v>775</v>
      </c>
      <c r="B2989" s="46">
        <v>45131</v>
      </c>
      <c r="C2989" s="45">
        <v>9000</v>
      </c>
      <c r="D2989" t="s">
        <v>1346</v>
      </c>
      <c r="E2989" s="46">
        <v>45154</v>
      </c>
      <c r="F2989" s="45" t="s">
        <v>721</v>
      </c>
      <c r="I2989" t="s">
        <v>726</v>
      </c>
    </row>
    <row r="2990" spans="1:9" hidden="1" x14ac:dyDescent="0.3">
      <c r="A2990" t="s">
        <v>767</v>
      </c>
      <c r="B2990" s="46">
        <v>45121</v>
      </c>
      <c r="C2990" s="45">
        <v>9000</v>
      </c>
      <c r="D2990" t="s">
        <v>1095</v>
      </c>
      <c r="E2990" s="46">
        <v>45154</v>
      </c>
      <c r="F2990" s="45" t="s">
        <v>721</v>
      </c>
      <c r="I2990" t="s">
        <v>726</v>
      </c>
    </row>
    <row r="2991" spans="1:9" hidden="1" x14ac:dyDescent="0.3">
      <c r="A2991" t="s">
        <v>777</v>
      </c>
      <c r="B2991" s="46">
        <v>45128</v>
      </c>
      <c r="C2991" s="45">
        <v>9000</v>
      </c>
      <c r="D2991" t="s">
        <v>1277</v>
      </c>
      <c r="E2991" s="46">
        <v>45154</v>
      </c>
      <c r="F2991" s="45" t="s">
        <v>721</v>
      </c>
    </row>
    <row r="2992" spans="1:9" hidden="1" x14ac:dyDescent="0.3">
      <c r="A2992" t="s">
        <v>1281</v>
      </c>
      <c r="B2992" s="46">
        <v>45131</v>
      </c>
      <c r="C2992" s="45">
        <v>9000</v>
      </c>
      <c r="D2992" t="s">
        <v>1342</v>
      </c>
      <c r="E2992" s="46">
        <v>45164</v>
      </c>
      <c r="F2992" s="45" t="s">
        <v>721</v>
      </c>
      <c r="I2992" t="s">
        <v>1162</v>
      </c>
    </row>
    <row r="2993" spans="1:9" hidden="1" x14ac:dyDescent="0.3">
      <c r="A2993" t="s">
        <v>1281</v>
      </c>
      <c r="B2993" s="46">
        <v>45128</v>
      </c>
      <c r="C2993" s="45">
        <v>9000</v>
      </c>
      <c r="D2993" t="s">
        <v>1342</v>
      </c>
      <c r="E2993" s="46">
        <v>45164</v>
      </c>
      <c r="F2993" s="45" t="s">
        <v>721</v>
      </c>
      <c r="I2993" t="s">
        <v>1162</v>
      </c>
    </row>
    <row r="2994" spans="1:9" hidden="1" x14ac:dyDescent="0.3">
      <c r="A2994" t="s">
        <v>727</v>
      </c>
      <c r="B2994" s="46">
        <v>45125</v>
      </c>
      <c r="C2994" s="45">
        <v>9000</v>
      </c>
      <c r="D2994" t="s">
        <v>980</v>
      </c>
      <c r="E2994" s="46">
        <v>45154</v>
      </c>
      <c r="F2994" s="45" t="s">
        <v>721</v>
      </c>
      <c r="I2994" t="s">
        <v>726</v>
      </c>
    </row>
    <row r="2995" spans="1:9" hidden="1" x14ac:dyDescent="0.3">
      <c r="A2995" t="s">
        <v>821</v>
      </c>
      <c r="B2995" s="46">
        <v>45168</v>
      </c>
      <c r="C2995" s="45">
        <v>9000</v>
      </c>
      <c r="D2995" t="s">
        <v>1095</v>
      </c>
      <c r="E2995" s="46">
        <v>45184</v>
      </c>
      <c r="F2995" s="45" t="s">
        <v>721</v>
      </c>
      <c r="I2995" t="s">
        <v>726</v>
      </c>
    </row>
    <row r="2996" spans="1:9" hidden="1" x14ac:dyDescent="0.3">
      <c r="A2996" t="s">
        <v>767</v>
      </c>
      <c r="B2996" s="46">
        <v>45166</v>
      </c>
      <c r="C2996" s="45">
        <v>9000</v>
      </c>
      <c r="D2996" t="s">
        <v>1095</v>
      </c>
      <c r="E2996" s="46">
        <v>45184</v>
      </c>
      <c r="F2996" s="45" t="s">
        <v>721</v>
      </c>
      <c r="I2996" t="s">
        <v>726</v>
      </c>
    </row>
    <row r="2997" spans="1:9" hidden="1" x14ac:dyDescent="0.3">
      <c r="A2997" t="s">
        <v>777</v>
      </c>
      <c r="B2997" s="46">
        <v>45131</v>
      </c>
      <c r="C2997" s="45">
        <v>9000</v>
      </c>
      <c r="D2997" t="s">
        <v>1105</v>
      </c>
      <c r="E2997" s="46">
        <v>45184</v>
      </c>
      <c r="F2997" s="45" t="s">
        <v>721</v>
      </c>
      <c r="I2997" t="s">
        <v>726</v>
      </c>
    </row>
    <row r="2998" spans="1:9" hidden="1" x14ac:dyDescent="0.3">
      <c r="A2998" t="s">
        <v>1281</v>
      </c>
      <c r="B2998" s="46">
        <v>45124</v>
      </c>
      <c r="C2998" s="45">
        <v>9000</v>
      </c>
      <c r="D2998" t="s">
        <v>1342</v>
      </c>
      <c r="E2998" s="46">
        <v>45164</v>
      </c>
      <c r="F2998" s="45" t="s">
        <v>721</v>
      </c>
      <c r="I2998" t="s">
        <v>1162</v>
      </c>
    </row>
    <row r="2999" spans="1:9" hidden="1" x14ac:dyDescent="0.3">
      <c r="A2999" t="s">
        <v>748</v>
      </c>
      <c r="B2999" s="46">
        <v>45176</v>
      </c>
      <c r="C2999" s="45">
        <v>9000</v>
      </c>
      <c r="D2999" t="s">
        <v>1340</v>
      </c>
      <c r="E2999" s="46">
        <v>45215</v>
      </c>
      <c r="F2999" s="45" t="s">
        <v>721</v>
      </c>
      <c r="I2999" t="s">
        <v>726</v>
      </c>
    </row>
    <row r="3000" spans="1:9" hidden="1" x14ac:dyDescent="0.3">
      <c r="A3000" t="s">
        <v>1281</v>
      </c>
      <c r="B3000" s="46">
        <v>45145</v>
      </c>
      <c r="C3000" s="45">
        <v>9000</v>
      </c>
      <c r="D3000" t="s">
        <v>1342</v>
      </c>
      <c r="E3000" s="46">
        <v>45195</v>
      </c>
      <c r="F3000" s="45" t="s">
        <v>721</v>
      </c>
      <c r="I3000" t="s">
        <v>1162</v>
      </c>
    </row>
    <row r="3001" spans="1:9" hidden="1" x14ac:dyDescent="0.3">
      <c r="A3001" t="s">
        <v>724</v>
      </c>
      <c r="B3001" s="46">
        <v>45251</v>
      </c>
      <c r="C3001" s="45">
        <v>9000</v>
      </c>
      <c r="D3001" t="s">
        <v>1101</v>
      </c>
      <c r="E3001" s="46">
        <v>45286</v>
      </c>
      <c r="F3001" s="45" t="s">
        <v>721</v>
      </c>
      <c r="I3001" t="s">
        <v>762</v>
      </c>
    </row>
    <row r="3002" spans="1:9" hidden="1" x14ac:dyDescent="0.3">
      <c r="A3002" t="s">
        <v>1281</v>
      </c>
      <c r="B3002" s="46">
        <v>45293</v>
      </c>
      <c r="C3002" s="45">
        <v>9000</v>
      </c>
      <c r="D3002" t="s">
        <v>1342</v>
      </c>
      <c r="E3002" s="46">
        <v>45317</v>
      </c>
      <c r="F3002" s="45" t="s">
        <v>721</v>
      </c>
      <c r="I3002" t="s">
        <v>1162</v>
      </c>
    </row>
    <row r="3003" spans="1:9" hidden="1" x14ac:dyDescent="0.3">
      <c r="A3003" t="s">
        <v>1281</v>
      </c>
      <c r="B3003" s="46">
        <v>45209</v>
      </c>
      <c r="C3003" s="45">
        <v>9000</v>
      </c>
      <c r="D3003" t="s">
        <v>1342</v>
      </c>
      <c r="E3003" s="46">
        <v>45256</v>
      </c>
      <c r="F3003" s="45" t="s">
        <v>721</v>
      </c>
      <c r="I3003" t="s">
        <v>1162</v>
      </c>
    </row>
    <row r="3004" spans="1:9" hidden="1" x14ac:dyDescent="0.3">
      <c r="A3004" t="s">
        <v>1169</v>
      </c>
      <c r="B3004" s="46">
        <v>45229</v>
      </c>
      <c r="C3004" s="45">
        <v>9000</v>
      </c>
      <c r="D3004" t="s">
        <v>1342</v>
      </c>
      <c r="E3004" s="46">
        <v>45256</v>
      </c>
      <c r="F3004" s="45" t="s">
        <v>721</v>
      </c>
      <c r="I3004" t="s">
        <v>1162</v>
      </c>
    </row>
    <row r="3005" spans="1:9" hidden="1" x14ac:dyDescent="0.3">
      <c r="A3005" t="s">
        <v>734</v>
      </c>
      <c r="B3005" s="46">
        <v>45205</v>
      </c>
      <c r="C3005" s="45">
        <v>9000</v>
      </c>
      <c r="D3005" t="s">
        <v>980</v>
      </c>
      <c r="E3005" s="46">
        <v>45245</v>
      </c>
      <c r="F3005" s="45" t="s">
        <v>721</v>
      </c>
      <c r="I3005" t="s">
        <v>726</v>
      </c>
    </row>
    <row r="3006" spans="1:9" hidden="1" x14ac:dyDescent="0.3">
      <c r="A3006" t="s">
        <v>727</v>
      </c>
      <c r="B3006" s="46">
        <v>45203</v>
      </c>
      <c r="C3006" s="45">
        <v>9000</v>
      </c>
      <c r="D3006" t="s">
        <v>980</v>
      </c>
      <c r="E3006" s="46">
        <v>45245</v>
      </c>
      <c r="F3006" s="45" t="s">
        <v>721</v>
      </c>
      <c r="I3006" t="s">
        <v>726</v>
      </c>
    </row>
    <row r="3007" spans="1:9" hidden="1" x14ac:dyDescent="0.3">
      <c r="A3007" t="s">
        <v>1160</v>
      </c>
      <c r="B3007" s="46">
        <v>45343</v>
      </c>
      <c r="C3007" s="45">
        <v>9000</v>
      </c>
      <c r="D3007" t="s">
        <v>1286</v>
      </c>
      <c r="E3007" s="46">
        <v>45377</v>
      </c>
      <c r="F3007" s="45" t="s">
        <v>721</v>
      </c>
      <c r="I3007" t="s">
        <v>1162</v>
      </c>
    </row>
    <row r="3008" spans="1:9" hidden="1" x14ac:dyDescent="0.3">
      <c r="A3008" t="s">
        <v>779</v>
      </c>
      <c r="B3008" s="46">
        <v>45343</v>
      </c>
      <c r="C3008" s="45">
        <v>9000</v>
      </c>
      <c r="D3008" t="s">
        <v>1031</v>
      </c>
      <c r="E3008" s="46">
        <v>45369</v>
      </c>
      <c r="F3008" s="45" t="s">
        <v>721</v>
      </c>
      <c r="G3008">
        <v>0</v>
      </c>
      <c r="I3008" t="s">
        <v>726</v>
      </c>
    </row>
    <row r="3009" spans="1:9" hidden="1" x14ac:dyDescent="0.3">
      <c r="A3009" t="s">
        <v>779</v>
      </c>
      <c r="B3009" s="46">
        <v>45363</v>
      </c>
      <c r="C3009" s="45">
        <v>9000</v>
      </c>
      <c r="D3009" t="s">
        <v>949</v>
      </c>
      <c r="E3009" s="46">
        <v>45398</v>
      </c>
      <c r="F3009" s="45" t="s">
        <v>721</v>
      </c>
      <c r="G3009">
        <v>0</v>
      </c>
      <c r="I3009" t="s">
        <v>726</v>
      </c>
    </row>
    <row r="3010" spans="1:9" hidden="1" x14ac:dyDescent="0.3">
      <c r="A3010" t="s">
        <v>775</v>
      </c>
      <c r="B3010" s="46">
        <v>45357</v>
      </c>
      <c r="C3010" s="45">
        <v>9000</v>
      </c>
      <c r="D3010" t="s">
        <v>2099</v>
      </c>
      <c r="E3010" s="46">
        <v>45398</v>
      </c>
      <c r="F3010" s="45" t="s">
        <v>721</v>
      </c>
      <c r="G3010">
        <v>0</v>
      </c>
      <c r="I3010" t="s">
        <v>726</v>
      </c>
    </row>
    <row r="3011" spans="1:9" hidden="1" x14ac:dyDescent="0.3">
      <c r="A3011" t="s">
        <v>767</v>
      </c>
      <c r="B3011" s="46">
        <v>45371</v>
      </c>
      <c r="C3011" s="45">
        <v>9000</v>
      </c>
      <c r="D3011" t="s">
        <v>1095</v>
      </c>
      <c r="E3011" s="46">
        <v>45397</v>
      </c>
      <c r="F3011" s="45" t="s">
        <v>721</v>
      </c>
      <c r="I3011" t="s">
        <v>726</v>
      </c>
    </row>
    <row r="3012" spans="1:9" hidden="1" x14ac:dyDescent="0.3">
      <c r="A3012" t="s">
        <v>729</v>
      </c>
      <c r="B3012" s="46">
        <v>45348</v>
      </c>
      <c r="C3012" s="45">
        <v>9000</v>
      </c>
      <c r="D3012" t="s">
        <v>735</v>
      </c>
      <c r="E3012" s="46">
        <v>45366</v>
      </c>
      <c r="F3012" s="45" t="s">
        <v>721</v>
      </c>
      <c r="I3012" t="s">
        <v>782</v>
      </c>
    </row>
    <row r="3013" spans="1:9" hidden="1" x14ac:dyDescent="0.3">
      <c r="A3013" t="s">
        <v>767</v>
      </c>
      <c r="B3013" s="46">
        <v>45338</v>
      </c>
      <c r="C3013" s="45">
        <v>9000</v>
      </c>
      <c r="D3013" t="s">
        <v>1095</v>
      </c>
      <c r="E3013" s="46">
        <v>45366</v>
      </c>
      <c r="F3013" s="45" t="s">
        <v>721</v>
      </c>
      <c r="I3013" t="s">
        <v>726</v>
      </c>
    </row>
    <row r="3014" spans="1:9" hidden="1" x14ac:dyDescent="0.3">
      <c r="A3014" t="s">
        <v>727</v>
      </c>
      <c r="B3014" s="46">
        <v>45328</v>
      </c>
      <c r="C3014" s="45">
        <v>9000</v>
      </c>
      <c r="D3014" t="s">
        <v>893</v>
      </c>
      <c r="E3014" s="46">
        <v>45366</v>
      </c>
      <c r="F3014" s="45" t="s">
        <v>721</v>
      </c>
      <c r="I3014" t="s">
        <v>726</v>
      </c>
    </row>
    <row r="3015" spans="1:9" hidden="1" x14ac:dyDescent="0.3">
      <c r="A3015" t="s">
        <v>727</v>
      </c>
      <c r="B3015" s="46">
        <v>45294</v>
      </c>
      <c r="C3015" s="45">
        <v>9000</v>
      </c>
      <c r="D3015" t="s">
        <v>938</v>
      </c>
      <c r="E3015" s="46">
        <v>45337</v>
      </c>
      <c r="F3015" s="45" t="s">
        <v>721</v>
      </c>
      <c r="I3015" t="s">
        <v>726</v>
      </c>
    </row>
    <row r="3016" spans="1:9" hidden="1" x14ac:dyDescent="0.3">
      <c r="A3016" t="s">
        <v>724</v>
      </c>
      <c r="B3016" s="46">
        <v>45446</v>
      </c>
      <c r="C3016" s="45">
        <v>9000</v>
      </c>
      <c r="D3016" t="s">
        <v>1730</v>
      </c>
      <c r="E3016" s="46">
        <v>45469</v>
      </c>
      <c r="F3016" s="45" t="s">
        <v>721</v>
      </c>
      <c r="I3016" t="s">
        <v>726</v>
      </c>
    </row>
    <row r="3017" spans="1:9" hidden="1" x14ac:dyDescent="0.3">
      <c r="A3017" t="s">
        <v>1281</v>
      </c>
      <c r="B3017" s="46">
        <v>45425</v>
      </c>
      <c r="C3017" s="45">
        <v>9000</v>
      </c>
      <c r="D3017" t="s">
        <v>1342</v>
      </c>
      <c r="E3017" s="46">
        <v>45469</v>
      </c>
      <c r="F3017" s="45" t="s">
        <v>721</v>
      </c>
      <c r="I3017" t="s">
        <v>1162</v>
      </c>
    </row>
    <row r="3018" spans="1:9" hidden="1" x14ac:dyDescent="0.3">
      <c r="A3018" t="s">
        <v>724</v>
      </c>
      <c r="B3018" s="46">
        <v>45407</v>
      </c>
      <c r="C3018" s="45">
        <v>9000</v>
      </c>
      <c r="D3018" t="s">
        <v>2137</v>
      </c>
      <c r="E3018" s="46">
        <v>45438</v>
      </c>
      <c r="F3018" s="45" t="s">
        <v>721</v>
      </c>
      <c r="I3018" t="s">
        <v>726</v>
      </c>
    </row>
    <row r="3019" spans="1:9" hidden="1" x14ac:dyDescent="0.3">
      <c r="A3019" t="s">
        <v>1238</v>
      </c>
      <c r="B3019" s="46">
        <v>45327</v>
      </c>
      <c r="C3019" s="45">
        <v>8900</v>
      </c>
      <c r="D3019" t="s">
        <v>1161</v>
      </c>
      <c r="E3019" s="46">
        <v>45377</v>
      </c>
      <c r="F3019" s="45" t="s">
        <v>721</v>
      </c>
      <c r="I3019" t="s">
        <v>1162</v>
      </c>
    </row>
    <row r="3020" spans="1:9" hidden="1" x14ac:dyDescent="0.3">
      <c r="A3020" t="s">
        <v>1338</v>
      </c>
      <c r="B3020" s="46">
        <v>45366</v>
      </c>
      <c r="C3020" s="45">
        <v>8900</v>
      </c>
      <c r="D3020" t="s">
        <v>1229</v>
      </c>
      <c r="E3020" s="46">
        <v>45408</v>
      </c>
      <c r="F3020" s="45" t="s">
        <v>721</v>
      </c>
      <c r="I3020" t="s">
        <v>1162</v>
      </c>
    </row>
    <row r="3021" spans="1:9" hidden="1" x14ac:dyDescent="0.3">
      <c r="A3021" t="s">
        <v>1281</v>
      </c>
      <c r="B3021" s="46">
        <v>45278</v>
      </c>
      <c r="C3021" s="45">
        <v>8900</v>
      </c>
      <c r="D3021" t="s">
        <v>1315</v>
      </c>
      <c r="E3021" s="46">
        <v>45317</v>
      </c>
      <c r="F3021" s="45" t="s">
        <v>721</v>
      </c>
      <c r="I3021" t="s">
        <v>1162</v>
      </c>
    </row>
    <row r="3022" spans="1:9" hidden="1" x14ac:dyDescent="0.3">
      <c r="A3022" t="s">
        <v>1169</v>
      </c>
      <c r="B3022" s="46">
        <v>45181</v>
      </c>
      <c r="C3022" s="45">
        <v>8900</v>
      </c>
      <c r="D3022" t="s">
        <v>1229</v>
      </c>
      <c r="E3022" s="46">
        <v>45225</v>
      </c>
      <c r="F3022" s="45" t="s">
        <v>721</v>
      </c>
      <c r="I3022" t="s">
        <v>1162</v>
      </c>
    </row>
    <row r="3023" spans="1:9" hidden="1" x14ac:dyDescent="0.3">
      <c r="A3023" t="s">
        <v>775</v>
      </c>
      <c r="B3023" s="46">
        <v>45183</v>
      </c>
      <c r="C3023" s="45">
        <v>8820</v>
      </c>
      <c r="D3023" t="s">
        <v>1031</v>
      </c>
      <c r="E3023" s="46">
        <v>45215</v>
      </c>
      <c r="F3023" s="45" t="s">
        <v>721</v>
      </c>
      <c r="I3023" t="s">
        <v>726</v>
      </c>
    </row>
    <row r="3024" spans="1:9" hidden="1" x14ac:dyDescent="0.3">
      <c r="A3024" t="s">
        <v>775</v>
      </c>
      <c r="B3024" s="46">
        <v>45148</v>
      </c>
      <c r="C3024" s="45">
        <v>8820</v>
      </c>
      <c r="D3024" t="s">
        <v>1031</v>
      </c>
      <c r="E3024" s="46">
        <v>45184</v>
      </c>
      <c r="F3024" s="45" t="s">
        <v>721</v>
      </c>
      <c r="I3024" t="s">
        <v>726</v>
      </c>
    </row>
    <row r="3025" spans="1:9" hidden="1" x14ac:dyDescent="0.3">
      <c r="A3025" t="s">
        <v>775</v>
      </c>
      <c r="B3025" s="46">
        <v>45166</v>
      </c>
      <c r="C3025" s="45">
        <v>8820</v>
      </c>
      <c r="D3025" t="s">
        <v>1031</v>
      </c>
      <c r="E3025" s="46">
        <v>45184</v>
      </c>
      <c r="F3025" s="45" t="s">
        <v>721</v>
      </c>
      <c r="I3025" t="s">
        <v>726</v>
      </c>
    </row>
    <row r="3026" spans="1:9" hidden="1" x14ac:dyDescent="0.3">
      <c r="A3026" t="s">
        <v>775</v>
      </c>
      <c r="B3026" s="46">
        <v>45152</v>
      </c>
      <c r="C3026" s="45">
        <v>8820</v>
      </c>
      <c r="D3026" t="s">
        <v>1031</v>
      </c>
      <c r="E3026" s="46">
        <v>45184</v>
      </c>
      <c r="F3026" s="45" t="s">
        <v>721</v>
      </c>
      <c r="I3026" t="s">
        <v>726</v>
      </c>
    </row>
    <row r="3027" spans="1:9" hidden="1" x14ac:dyDescent="0.3">
      <c r="A3027" t="s">
        <v>724</v>
      </c>
      <c r="B3027" s="46">
        <v>45127</v>
      </c>
      <c r="C3027" s="45">
        <v>8820</v>
      </c>
      <c r="D3027" t="s">
        <v>755</v>
      </c>
      <c r="E3027" s="46">
        <v>45164</v>
      </c>
      <c r="F3027" s="45" t="s">
        <v>721</v>
      </c>
      <c r="I3027" t="s">
        <v>726</v>
      </c>
    </row>
    <row r="3028" spans="1:9" hidden="1" x14ac:dyDescent="0.3">
      <c r="A3028" t="s">
        <v>761</v>
      </c>
      <c r="B3028" s="46">
        <v>45141</v>
      </c>
      <c r="C3028" s="45">
        <v>8820</v>
      </c>
      <c r="D3028" t="s">
        <v>755</v>
      </c>
      <c r="E3028" s="46">
        <v>45164</v>
      </c>
      <c r="F3028" s="45" t="s">
        <v>721</v>
      </c>
      <c r="I3028" t="s">
        <v>726</v>
      </c>
    </row>
    <row r="3029" spans="1:9" hidden="1" x14ac:dyDescent="0.3">
      <c r="A3029" t="s">
        <v>775</v>
      </c>
      <c r="B3029" s="46">
        <v>45127</v>
      </c>
      <c r="C3029" s="45">
        <v>8820</v>
      </c>
      <c r="D3029" t="s">
        <v>1031</v>
      </c>
      <c r="E3029" s="46">
        <v>45154</v>
      </c>
      <c r="F3029" s="45" t="s">
        <v>721</v>
      </c>
      <c r="I3029" t="s">
        <v>726</v>
      </c>
    </row>
    <row r="3030" spans="1:9" hidden="1" x14ac:dyDescent="0.3">
      <c r="A3030" t="s">
        <v>724</v>
      </c>
      <c r="B3030" s="46">
        <v>45279</v>
      </c>
      <c r="C3030" s="45">
        <v>8820</v>
      </c>
      <c r="D3030" t="s">
        <v>755</v>
      </c>
      <c r="E3030" s="46">
        <v>45317</v>
      </c>
      <c r="F3030" s="45" t="s">
        <v>721</v>
      </c>
      <c r="I3030" t="s">
        <v>726</v>
      </c>
    </row>
    <row r="3031" spans="1:9" hidden="1" x14ac:dyDescent="0.3">
      <c r="A3031" t="s">
        <v>724</v>
      </c>
      <c r="B3031" s="46">
        <v>45267</v>
      </c>
      <c r="C3031" s="45">
        <v>8820</v>
      </c>
      <c r="D3031" t="s">
        <v>755</v>
      </c>
      <c r="E3031" s="46">
        <v>45317</v>
      </c>
      <c r="F3031" s="45" t="s">
        <v>721</v>
      </c>
      <c r="I3031" t="s">
        <v>726</v>
      </c>
    </row>
    <row r="3032" spans="1:9" hidden="1" x14ac:dyDescent="0.3">
      <c r="A3032" t="s">
        <v>724</v>
      </c>
      <c r="B3032" s="46">
        <v>45288</v>
      </c>
      <c r="C3032" s="45">
        <v>8820</v>
      </c>
      <c r="D3032" t="s">
        <v>755</v>
      </c>
      <c r="E3032" s="46">
        <v>45317</v>
      </c>
      <c r="F3032" s="45" t="s">
        <v>721</v>
      </c>
      <c r="I3032" t="s">
        <v>726</v>
      </c>
    </row>
    <row r="3033" spans="1:9" hidden="1" x14ac:dyDescent="0.3">
      <c r="A3033" t="s">
        <v>724</v>
      </c>
      <c r="B3033" s="46">
        <v>45282</v>
      </c>
      <c r="C3033" s="45">
        <v>8820</v>
      </c>
      <c r="D3033" t="s">
        <v>755</v>
      </c>
      <c r="E3033" s="46">
        <v>45317</v>
      </c>
      <c r="F3033" s="45" t="s">
        <v>721</v>
      </c>
      <c r="I3033" t="s">
        <v>726</v>
      </c>
    </row>
    <row r="3034" spans="1:9" hidden="1" x14ac:dyDescent="0.3">
      <c r="A3034" t="s">
        <v>724</v>
      </c>
      <c r="B3034" s="46">
        <v>45245</v>
      </c>
      <c r="C3034" s="45">
        <v>8820</v>
      </c>
      <c r="D3034" t="s">
        <v>755</v>
      </c>
      <c r="E3034" s="46">
        <v>45286</v>
      </c>
      <c r="F3034" s="45" t="s">
        <v>721</v>
      </c>
      <c r="I3034" t="s">
        <v>726</v>
      </c>
    </row>
    <row r="3035" spans="1:9" hidden="1" x14ac:dyDescent="0.3">
      <c r="A3035" t="s">
        <v>724</v>
      </c>
      <c r="B3035" s="46">
        <v>45238</v>
      </c>
      <c r="C3035" s="45">
        <v>8820</v>
      </c>
      <c r="D3035" t="s">
        <v>755</v>
      </c>
      <c r="E3035" s="46">
        <v>45286</v>
      </c>
      <c r="F3035" s="45" t="s">
        <v>721</v>
      </c>
      <c r="I3035" t="s">
        <v>726</v>
      </c>
    </row>
    <row r="3036" spans="1:9" hidden="1" x14ac:dyDescent="0.3">
      <c r="A3036" t="s">
        <v>724</v>
      </c>
      <c r="B3036" s="46">
        <v>45240</v>
      </c>
      <c r="C3036" s="45">
        <v>8820</v>
      </c>
      <c r="D3036" t="s">
        <v>755</v>
      </c>
      <c r="E3036" s="46">
        <v>45286</v>
      </c>
      <c r="F3036" s="45" t="s">
        <v>721</v>
      </c>
      <c r="I3036" t="s">
        <v>726</v>
      </c>
    </row>
    <row r="3037" spans="1:9" hidden="1" x14ac:dyDescent="0.3">
      <c r="A3037" t="s">
        <v>724</v>
      </c>
      <c r="B3037" s="46">
        <v>45229</v>
      </c>
      <c r="C3037" s="45">
        <v>8820</v>
      </c>
      <c r="D3037" t="s">
        <v>755</v>
      </c>
      <c r="E3037" s="46">
        <v>45256</v>
      </c>
      <c r="F3037" s="45" t="s">
        <v>721</v>
      </c>
      <c r="I3037" t="s">
        <v>726</v>
      </c>
    </row>
    <row r="3038" spans="1:9" hidden="1" x14ac:dyDescent="0.3">
      <c r="A3038" t="s">
        <v>775</v>
      </c>
      <c r="B3038" s="46">
        <v>45225</v>
      </c>
      <c r="C3038" s="45">
        <v>8820</v>
      </c>
      <c r="D3038" t="s">
        <v>1031</v>
      </c>
      <c r="E3038" s="46">
        <v>45246</v>
      </c>
      <c r="F3038" s="45" t="s">
        <v>721</v>
      </c>
      <c r="I3038" t="s">
        <v>726</v>
      </c>
    </row>
    <row r="3039" spans="1:9" hidden="1" x14ac:dyDescent="0.3">
      <c r="A3039" t="s">
        <v>724</v>
      </c>
      <c r="B3039" s="46">
        <v>45215</v>
      </c>
      <c r="C3039" s="45">
        <v>8820</v>
      </c>
      <c r="D3039" t="s">
        <v>755</v>
      </c>
      <c r="E3039" s="46">
        <v>45256</v>
      </c>
      <c r="F3039" s="45" t="s">
        <v>721</v>
      </c>
      <c r="I3039" t="s">
        <v>726</v>
      </c>
    </row>
    <row r="3040" spans="1:9" hidden="1" x14ac:dyDescent="0.3">
      <c r="A3040" t="s">
        <v>724</v>
      </c>
      <c r="B3040" s="46">
        <v>45222</v>
      </c>
      <c r="C3040" s="45">
        <v>8820</v>
      </c>
      <c r="D3040" t="s">
        <v>755</v>
      </c>
      <c r="E3040" s="46">
        <v>45256</v>
      </c>
      <c r="F3040" s="45" t="s">
        <v>721</v>
      </c>
      <c r="I3040" t="s">
        <v>726</v>
      </c>
    </row>
    <row r="3041" spans="1:9" hidden="1" x14ac:dyDescent="0.3">
      <c r="A3041" t="s">
        <v>724</v>
      </c>
      <c r="B3041" s="46">
        <v>45209</v>
      </c>
      <c r="C3041" s="45">
        <v>8820</v>
      </c>
      <c r="D3041" t="s">
        <v>755</v>
      </c>
      <c r="E3041" s="46">
        <v>45256</v>
      </c>
      <c r="F3041" s="45" t="s">
        <v>721</v>
      </c>
      <c r="I3041" t="s">
        <v>726</v>
      </c>
    </row>
    <row r="3042" spans="1:9" hidden="1" x14ac:dyDescent="0.3">
      <c r="A3042" t="s">
        <v>724</v>
      </c>
      <c r="B3042" s="46">
        <v>45257</v>
      </c>
      <c r="C3042" s="45">
        <v>8820</v>
      </c>
      <c r="D3042" t="s">
        <v>755</v>
      </c>
      <c r="E3042" s="46">
        <v>45286</v>
      </c>
      <c r="F3042" s="45" t="s">
        <v>721</v>
      </c>
      <c r="I3042" t="s">
        <v>726</v>
      </c>
    </row>
    <row r="3043" spans="1:9" hidden="1" x14ac:dyDescent="0.3">
      <c r="A3043" t="s">
        <v>724</v>
      </c>
      <c r="B3043" s="46">
        <v>45345</v>
      </c>
      <c r="C3043" s="45">
        <v>8820</v>
      </c>
      <c r="D3043" t="s">
        <v>755</v>
      </c>
      <c r="E3043" s="46">
        <v>45377</v>
      </c>
      <c r="F3043" s="45" t="s">
        <v>721</v>
      </c>
      <c r="I3043" t="s">
        <v>726</v>
      </c>
    </row>
    <row r="3044" spans="1:9" hidden="1" x14ac:dyDescent="0.3">
      <c r="A3044" t="s">
        <v>775</v>
      </c>
      <c r="B3044" s="46">
        <v>45379</v>
      </c>
      <c r="C3044" s="45">
        <v>8820</v>
      </c>
      <c r="D3044" t="s">
        <v>1031</v>
      </c>
      <c r="E3044" s="46">
        <v>45398</v>
      </c>
      <c r="F3044" s="45" t="s">
        <v>721</v>
      </c>
      <c r="G3044">
        <v>0</v>
      </c>
      <c r="I3044" t="s">
        <v>726</v>
      </c>
    </row>
    <row r="3045" spans="1:9" hidden="1" x14ac:dyDescent="0.3">
      <c r="A3045" t="s">
        <v>724</v>
      </c>
      <c r="B3045" s="46">
        <v>45310</v>
      </c>
      <c r="C3045" s="45">
        <v>8820</v>
      </c>
      <c r="D3045" t="s">
        <v>755</v>
      </c>
      <c r="E3045" s="46">
        <v>45348</v>
      </c>
      <c r="F3045" s="45" t="s">
        <v>721</v>
      </c>
      <c r="I3045" t="s">
        <v>726</v>
      </c>
    </row>
    <row r="3046" spans="1:9" hidden="1" x14ac:dyDescent="0.3">
      <c r="A3046" t="s">
        <v>724</v>
      </c>
      <c r="B3046" s="46">
        <v>45301</v>
      </c>
      <c r="C3046" s="45">
        <v>8820</v>
      </c>
      <c r="D3046" t="s">
        <v>755</v>
      </c>
      <c r="E3046" s="46">
        <v>45348</v>
      </c>
      <c r="F3046" s="45" t="s">
        <v>721</v>
      </c>
      <c r="I3046" t="s">
        <v>726</v>
      </c>
    </row>
    <row r="3047" spans="1:9" hidden="1" x14ac:dyDescent="0.3">
      <c r="A3047" t="s">
        <v>724</v>
      </c>
      <c r="B3047" s="46">
        <v>45399</v>
      </c>
      <c r="C3047" s="45">
        <v>8820</v>
      </c>
      <c r="D3047" t="s">
        <v>755</v>
      </c>
      <c r="E3047" s="46">
        <v>45438</v>
      </c>
      <c r="F3047" s="45" t="s">
        <v>721</v>
      </c>
      <c r="I3047" t="s">
        <v>726</v>
      </c>
    </row>
    <row r="3048" spans="1:9" hidden="1" x14ac:dyDescent="0.3">
      <c r="A3048" t="s">
        <v>724</v>
      </c>
      <c r="B3048" s="46">
        <v>45422</v>
      </c>
      <c r="C3048" s="45">
        <v>8820</v>
      </c>
      <c r="D3048" t="s">
        <v>755</v>
      </c>
      <c r="E3048" s="46">
        <v>45469</v>
      </c>
      <c r="F3048" s="45" t="s">
        <v>721</v>
      </c>
      <c r="I3048" t="s">
        <v>726</v>
      </c>
    </row>
    <row r="3049" spans="1:9" hidden="1" x14ac:dyDescent="0.3">
      <c r="A3049" t="s">
        <v>772</v>
      </c>
      <c r="B3049" s="46">
        <v>45302</v>
      </c>
      <c r="C3049" s="45">
        <v>8800</v>
      </c>
      <c r="D3049" t="s">
        <v>789</v>
      </c>
      <c r="E3049" s="46">
        <v>45348</v>
      </c>
      <c r="F3049" s="45" t="s">
        <v>721</v>
      </c>
      <c r="I3049" t="s">
        <v>726</v>
      </c>
    </row>
    <row r="3050" spans="1:9" hidden="1" x14ac:dyDescent="0.3">
      <c r="A3050" t="s">
        <v>1269</v>
      </c>
      <c r="B3050" s="46">
        <v>45343</v>
      </c>
      <c r="C3050" s="45">
        <v>8800</v>
      </c>
      <c r="D3050" t="s">
        <v>1181</v>
      </c>
      <c r="E3050" s="46">
        <v>45377</v>
      </c>
      <c r="F3050" s="45" t="s">
        <v>721</v>
      </c>
      <c r="I3050" t="s">
        <v>1162</v>
      </c>
    </row>
    <row r="3051" spans="1:9" hidden="1" x14ac:dyDescent="0.3">
      <c r="A3051" t="s">
        <v>775</v>
      </c>
      <c r="B3051" s="46">
        <v>45219</v>
      </c>
      <c r="C3051" s="45">
        <v>8800</v>
      </c>
      <c r="D3051" t="s">
        <v>1348</v>
      </c>
      <c r="E3051" s="46">
        <v>45246</v>
      </c>
      <c r="F3051" s="45" t="s">
        <v>721</v>
      </c>
    </row>
    <row r="3052" spans="1:9" hidden="1" x14ac:dyDescent="0.3">
      <c r="A3052" t="s">
        <v>734</v>
      </c>
      <c r="B3052" s="46">
        <v>45196</v>
      </c>
      <c r="C3052" s="45">
        <v>8800</v>
      </c>
      <c r="D3052" t="s">
        <v>1349</v>
      </c>
      <c r="E3052" s="46">
        <v>45245</v>
      </c>
      <c r="F3052" s="45" t="s">
        <v>721</v>
      </c>
      <c r="I3052" t="s">
        <v>736</v>
      </c>
    </row>
    <row r="3053" spans="1:9" hidden="1" x14ac:dyDescent="0.3">
      <c r="A3053" t="s">
        <v>748</v>
      </c>
      <c r="B3053" s="46">
        <v>45183</v>
      </c>
      <c r="C3053" s="45">
        <v>8700</v>
      </c>
      <c r="D3053" t="s">
        <v>788</v>
      </c>
      <c r="E3053" s="46">
        <v>45215</v>
      </c>
      <c r="F3053" s="45" t="s">
        <v>721</v>
      </c>
      <c r="I3053" t="s">
        <v>726</v>
      </c>
    </row>
    <row r="3054" spans="1:9" hidden="1" x14ac:dyDescent="0.3">
      <c r="A3054" t="s">
        <v>1160</v>
      </c>
      <c r="B3054" s="46">
        <v>45407</v>
      </c>
      <c r="C3054" s="45">
        <v>8700</v>
      </c>
      <c r="D3054" t="s">
        <v>1315</v>
      </c>
      <c r="E3054" s="46">
        <v>45438</v>
      </c>
      <c r="F3054" s="45" t="s">
        <v>721</v>
      </c>
      <c r="I3054" t="s">
        <v>1162</v>
      </c>
    </row>
    <row r="3055" spans="1:9" hidden="1" x14ac:dyDescent="0.3">
      <c r="A3055" t="s">
        <v>775</v>
      </c>
      <c r="B3055" s="46">
        <v>45131</v>
      </c>
      <c r="C3055" s="45">
        <v>8600</v>
      </c>
      <c r="D3055" t="s">
        <v>1350</v>
      </c>
      <c r="E3055" s="46">
        <v>45154</v>
      </c>
      <c r="F3055" s="45" t="s">
        <v>721</v>
      </c>
      <c r="I3055" t="s">
        <v>726</v>
      </c>
    </row>
    <row r="3056" spans="1:9" hidden="1" x14ac:dyDescent="0.3">
      <c r="A3056" t="s">
        <v>1160</v>
      </c>
      <c r="B3056" s="46">
        <v>45211</v>
      </c>
      <c r="C3056" s="45">
        <v>8600</v>
      </c>
      <c r="D3056" t="s">
        <v>1286</v>
      </c>
      <c r="E3056" s="46">
        <v>45256</v>
      </c>
      <c r="F3056" s="45" t="s">
        <v>721</v>
      </c>
      <c r="I3056" t="s">
        <v>1162</v>
      </c>
    </row>
    <row r="3057" spans="1:9" hidden="1" x14ac:dyDescent="0.3">
      <c r="A3057" t="s">
        <v>722</v>
      </c>
      <c r="B3057" s="46">
        <v>45167</v>
      </c>
      <c r="C3057" s="45">
        <v>8590</v>
      </c>
      <c r="D3057" t="s">
        <v>771</v>
      </c>
      <c r="E3057" s="46">
        <v>45184</v>
      </c>
      <c r="F3057" s="45" t="s">
        <v>721</v>
      </c>
      <c r="I3057" t="s">
        <v>762</v>
      </c>
    </row>
    <row r="3058" spans="1:9" hidden="1" x14ac:dyDescent="0.3">
      <c r="A3058" t="s">
        <v>722</v>
      </c>
      <c r="B3058" s="46">
        <v>45145</v>
      </c>
      <c r="C3058" s="45">
        <v>8590</v>
      </c>
      <c r="D3058" t="s">
        <v>771</v>
      </c>
      <c r="E3058" s="46">
        <v>45184</v>
      </c>
      <c r="F3058" s="45" t="s">
        <v>721</v>
      </c>
      <c r="I3058" t="s">
        <v>762</v>
      </c>
    </row>
    <row r="3059" spans="1:9" hidden="1" x14ac:dyDescent="0.3">
      <c r="A3059" t="s">
        <v>734</v>
      </c>
      <c r="B3059" s="46">
        <v>45146</v>
      </c>
      <c r="C3059" s="45">
        <v>8500</v>
      </c>
      <c r="D3059" t="s">
        <v>1079</v>
      </c>
      <c r="E3059" s="46">
        <v>45184</v>
      </c>
      <c r="F3059" s="45" t="s">
        <v>721</v>
      </c>
      <c r="I3059" t="s">
        <v>760</v>
      </c>
    </row>
    <row r="3060" spans="1:9" hidden="1" x14ac:dyDescent="0.3">
      <c r="A3060" t="s">
        <v>734</v>
      </c>
      <c r="B3060" s="46">
        <v>45147</v>
      </c>
      <c r="C3060" s="45">
        <v>8500</v>
      </c>
      <c r="D3060" t="s">
        <v>1079</v>
      </c>
      <c r="E3060" s="46">
        <v>45184</v>
      </c>
      <c r="F3060" s="45" t="s">
        <v>721</v>
      </c>
      <c r="I3060" t="s">
        <v>760</v>
      </c>
    </row>
    <row r="3061" spans="1:9" hidden="1" x14ac:dyDescent="0.3">
      <c r="A3061" t="s">
        <v>734</v>
      </c>
      <c r="B3061" s="46">
        <v>45125</v>
      </c>
      <c r="C3061" s="45">
        <v>8500</v>
      </c>
      <c r="D3061" t="s">
        <v>1079</v>
      </c>
      <c r="E3061" s="46">
        <v>45154</v>
      </c>
      <c r="F3061" s="45" t="s">
        <v>721</v>
      </c>
      <c r="I3061" t="s">
        <v>760</v>
      </c>
    </row>
    <row r="3062" spans="1:9" hidden="1" x14ac:dyDescent="0.3">
      <c r="A3062" t="s">
        <v>734</v>
      </c>
      <c r="B3062" s="46">
        <v>45236</v>
      </c>
      <c r="C3062" s="45">
        <v>8500</v>
      </c>
      <c r="D3062" t="s">
        <v>893</v>
      </c>
      <c r="E3062" s="46">
        <v>45275</v>
      </c>
      <c r="F3062" s="45" t="s">
        <v>721</v>
      </c>
      <c r="I3062" t="s">
        <v>726</v>
      </c>
    </row>
    <row r="3063" spans="1:9" hidden="1" x14ac:dyDescent="0.3">
      <c r="A3063" t="s">
        <v>767</v>
      </c>
      <c r="B3063" s="46">
        <v>45380</v>
      </c>
      <c r="C3063" s="45">
        <v>8500</v>
      </c>
      <c r="D3063" t="s">
        <v>2138</v>
      </c>
      <c r="E3063" s="46">
        <v>45397</v>
      </c>
      <c r="F3063" s="45" t="s">
        <v>721</v>
      </c>
      <c r="I3063" t="s">
        <v>726</v>
      </c>
    </row>
    <row r="3064" spans="1:9" hidden="1" x14ac:dyDescent="0.3">
      <c r="A3064" t="s">
        <v>734</v>
      </c>
      <c r="B3064" s="46">
        <v>45167</v>
      </c>
      <c r="C3064" s="45">
        <v>8470</v>
      </c>
      <c r="D3064" t="s">
        <v>991</v>
      </c>
      <c r="E3064" s="46">
        <v>45184</v>
      </c>
      <c r="F3064" s="45" t="s">
        <v>721</v>
      </c>
      <c r="I3064" t="s">
        <v>726</v>
      </c>
    </row>
    <row r="3065" spans="1:9" hidden="1" x14ac:dyDescent="0.3">
      <c r="A3065" t="s">
        <v>724</v>
      </c>
      <c r="B3065" s="46">
        <v>45145</v>
      </c>
      <c r="C3065" s="45">
        <v>8400</v>
      </c>
      <c r="D3065" t="s">
        <v>1321</v>
      </c>
      <c r="E3065" s="46">
        <v>45195</v>
      </c>
      <c r="F3065" s="45" t="s">
        <v>721</v>
      </c>
      <c r="I3065" t="s">
        <v>726</v>
      </c>
    </row>
    <row r="3066" spans="1:9" hidden="1" x14ac:dyDescent="0.3">
      <c r="A3066" t="s">
        <v>724</v>
      </c>
      <c r="B3066" s="46">
        <v>45149</v>
      </c>
      <c r="C3066" s="45">
        <v>8400</v>
      </c>
      <c r="D3066" t="s">
        <v>1321</v>
      </c>
      <c r="E3066" s="46">
        <v>45195</v>
      </c>
      <c r="F3066" s="45" t="s">
        <v>721</v>
      </c>
      <c r="I3066" t="s">
        <v>726</v>
      </c>
    </row>
    <row r="3067" spans="1:9" hidden="1" x14ac:dyDescent="0.3">
      <c r="A3067" t="s">
        <v>724</v>
      </c>
      <c r="B3067" s="46">
        <v>45209</v>
      </c>
      <c r="C3067" s="45">
        <v>8400</v>
      </c>
      <c r="D3067" t="s">
        <v>1321</v>
      </c>
      <c r="E3067" s="46">
        <v>45256</v>
      </c>
      <c r="F3067" s="45" t="s">
        <v>721</v>
      </c>
      <c r="I3067" t="s">
        <v>726</v>
      </c>
    </row>
    <row r="3068" spans="1:9" hidden="1" x14ac:dyDescent="0.3">
      <c r="A3068" t="s">
        <v>724</v>
      </c>
      <c r="B3068" s="46">
        <v>45229</v>
      </c>
      <c r="C3068" s="45">
        <v>8400</v>
      </c>
      <c r="D3068" t="s">
        <v>1321</v>
      </c>
      <c r="E3068" s="46">
        <v>45256</v>
      </c>
      <c r="F3068" s="45" t="s">
        <v>721</v>
      </c>
      <c r="I3068" t="s">
        <v>726</v>
      </c>
    </row>
    <row r="3069" spans="1:9" hidden="1" x14ac:dyDescent="0.3">
      <c r="A3069" t="s">
        <v>724</v>
      </c>
      <c r="B3069" s="46">
        <v>45231</v>
      </c>
      <c r="C3069" s="45">
        <v>8400</v>
      </c>
      <c r="D3069" t="s">
        <v>1321</v>
      </c>
      <c r="E3069" s="46">
        <v>45256</v>
      </c>
      <c r="F3069" s="45" t="s">
        <v>721</v>
      </c>
      <c r="I3069" t="s">
        <v>726</v>
      </c>
    </row>
    <row r="3070" spans="1:9" hidden="1" x14ac:dyDescent="0.3">
      <c r="A3070" t="s">
        <v>724</v>
      </c>
      <c r="B3070" s="46">
        <v>45223</v>
      </c>
      <c r="C3070" s="45">
        <v>8400</v>
      </c>
      <c r="D3070" t="s">
        <v>1321</v>
      </c>
      <c r="E3070" s="46">
        <v>45256</v>
      </c>
      <c r="F3070" s="45" t="s">
        <v>721</v>
      </c>
      <c r="I3070" t="s">
        <v>726</v>
      </c>
    </row>
    <row r="3071" spans="1:9" hidden="1" x14ac:dyDescent="0.3">
      <c r="A3071" t="s">
        <v>724</v>
      </c>
      <c r="B3071" s="46">
        <v>45244</v>
      </c>
      <c r="C3071" s="45">
        <v>8400</v>
      </c>
      <c r="D3071" t="s">
        <v>1321</v>
      </c>
      <c r="E3071" s="46">
        <v>45286</v>
      </c>
      <c r="F3071" s="45" t="s">
        <v>721</v>
      </c>
      <c r="I3071" t="s">
        <v>726</v>
      </c>
    </row>
    <row r="3072" spans="1:9" hidden="1" x14ac:dyDescent="0.3">
      <c r="A3072" t="s">
        <v>724</v>
      </c>
      <c r="B3072" s="46">
        <v>45286</v>
      </c>
      <c r="C3072" s="45">
        <v>8400</v>
      </c>
      <c r="D3072" t="s">
        <v>1321</v>
      </c>
      <c r="E3072" s="46">
        <v>45317</v>
      </c>
      <c r="F3072" s="45" t="s">
        <v>721</v>
      </c>
      <c r="I3072" t="s">
        <v>726</v>
      </c>
    </row>
    <row r="3073" spans="1:9" hidden="1" x14ac:dyDescent="0.3">
      <c r="A3073" t="s">
        <v>724</v>
      </c>
      <c r="B3073" s="46">
        <v>45264</v>
      </c>
      <c r="C3073" s="45">
        <v>8400</v>
      </c>
      <c r="D3073" t="s">
        <v>1321</v>
      </c>
      <c r="E3073" s="46">
        <v>45317</v>
      </c>
      <c r="F3073" s="45" t="s">
        <v>721</v>
      </c>
      <c r="I3073" t="s">
        <v>726</v>
      </c>
    </row>
    <row r="3074" spans="1:9" hidden="1" x14ac:dyDescent="0.3">
      <c r="A3074" t="s">
        <v>724</v>
      </c>
      <c r="B3074" s="46">
        <v>45350</v>
      </c>
      <c r="C3074" s="45">
        <v>8400</v>
      </c>
      <c r="D3074" t="s">
        <v>1321</v>
      </c>
      <c r="E3074" s="46">
        <v>45377</v>
      </c>
      <c r="F3074" s="45" t="s">
        <v>721</v>
      </c>
      <c r="I3074" t="s">
        <v>726</v>
      </c>
    </row>
    <row r="3075" spans="1:9" hidden="1" x14ac:dyDescent="0.3">
      <c r="A3075" t="s">
        <v>1281</v>
      </c>
      <c r="B3075" s="46">
        <v>45348</v>
      </c>
      <c r="C3075" s="45">
        <v>8400</v>
      </c>
      <c r="D3075" t="s">
        <v>1342</v>
      </c>
      <c r="E3075" s="46">
        <v>45377</v>
      </c>
      <c r="F3075" s="45" t="s">
        <v>721</v>
      </c>
      <c r="I3075" t="s">
        <v>1162</v>
      </c>
    </row>
    <row r="3076" spans="1:9" hidden="1" x14ac:dyDescent="0.3">
      <c r="A3076" t="s">
        <v>724</v>
      </c>
      <c r="B3076" s="46">
        <v>45329</v>
      </c>
      <c r="C3076" s="45">
        <v>8400</v>
      </c>
      <c r="D3076" t="s">
        <v>1321</v>
      </c>
      <c r="E3076" s="46">
        <v>45377</v>
      </c>
      <c r="F3076" s="45" t="s">
        <v>721</v>
      </c>
      <c r="I3076" t="s">
        <v>726</v>
      </c>
    </row>
    <row r="3077" spans="1:9" hidden="1" x14ac:dyDescent="0.3">
      <c r="A3077" t="s">
        <v>724</v>
      </c>
      <c r="B3077" s="46">
        <v>45335</v>
      </c>
      <c r="C3077" s="45">
        <v>8400</v>
      </c>
      <c r="D3077" t="s">
        <v>1321</v>
      </c>
      <c r="E3077" s="46">
        <v>45377</v>
      </c>
      <c r="F3077" s="45" t="s">
        <v>721</v>
      </c>
      <c r="I3077" t="s">
        <v>726</v>
      </c>
    </row>
    <row r="3078" spans="1:9" hidden="1" x14ac:dyDescent="0.3">
      <c r="A3078" t="s">
        <v>724</v>
      </c>
      <c r="B3078" s="46">
        <v>45366</v>
      </c>
      <c r="C3078" s="45">
        <v>8400</v>
      </c>
      <c r="D3078" t="s">
        <v>1321</v>
      </c>
      <c r="E3078" s="46">
        <v>45408</v>
      </c>
      <c r="F3078" s="45" t="s">
        <v>721</v>
      </c>
      <c r="I3078" t="s">
        <v>726</v>
      </c>
    </row>
    <row r="3079" spans="1:9" hidden="1" x14ac:dyDescent="0.3">
      <c r="A3079" t="s">
        <v>724</v>
      </c>
      <c r="B3079" s="46">
        <v>45370</v>
      </c>
      <c r="C3079" s="45">
        <v>8400</v>
      </c>
      <c r="D3079" t="s">
        <v>1321</v>
      </c>
      <c r="E3079" s="46">
        <v>45408</v>
      </c>
      <c r="F3079" s="45" t="s">
        <v>721</v>
      </c>
      <c r="I3079" t="s">
        <v>726</v>
      </c>
    </row>
    <row r="3080" spans="1:9" hidden="1" x14ac:dyDescent="0.3">
      <c r="A3080" t="s">
        <v>724</v>
      </c>
      <c r="B3080" s="46">
        <v>45376</v>
      </c>
      <c r="C3080" s="45">
        <v>8400</v>
      </c>
      <c r="D3080" t="s">
        <v>1321</v>
      </c>
      <c r="E3080" s="46">
        <v>45408</v>
      </c>
      <c r="F3080" s="45" t="s">
        <v>721</v>
      </c>
      <c r="I3080" t="s">
        <v>726</v>
      </c>
    </row>
    <row r="3081" spans="1:9" hidden="1" x14ac:dyDescent="0.3">
      <c r="A3081" t="s">
        <v>724</v>
      </c>
      <c r="B3081" s="46">
        <v>45306</v>
      </c>
      <c r="C3081" s="45">
        <v>8400</v>
      </c>
      <c r="D3081" t="s">
        <v>1321</v>
      </c>
      <c r="E3081" s="46">
        <v>45348</v>
      </c>
      <c r="F3081" s="45" t="s">
        <v>721</v>
      </c>
      <c r="I3081" t="s">
        <v>726</v>
      </c>
    </row>
    <row r="3082" spans="1:9" hidden="1" x14ac:dyDescent="0.3">
      <c r="A3082" t="s">
        <v>1281</v>
      </c>
      <c r="B3082" s="46">
        <v>45320</v>
      </c>
      <c r="C3082" s="45">
        <v>8400</v>
      </c>
      <c r="D3082" t="s">
        <v>1342</v>
      </c>
      <c r="E3082" s="46">
        <v>45348</v>
      </c>
      <c r="F3082" s="45" t="s">
        <v>721</v>
      </c>
      <c r="I3082" t="s">
        <v>1162</v>
      </c>
    </row>
    <row r="3083" spans="1:9" hidden="1" x14ac:dyDescent="0.3">
      <c r="A3083" t="s">
        <v>724</v>
      </c>
      <c r="B3083" s="46">
        <v>45315</v>
      </c>
      <c r="C3083" s="45">
        <v>8400</v>
      </c>
      <c r="D3083" t="s">
        <v>1321</v>
      </c>
      <c r="E3083" s="46">
        <v>45348</v>
      </c>
      <c r="F3083" s="45" t="s">
        <v>721</v>
      </c>
      <c r="I3083" t="s">
        <v>726</v>
      </c>
    </row>
    <row r="3084" spans="1:9" hidden="1" x14ac:dyDescent="0.3">
      <c r="A3084" t="s">
        <v>724</v>
      </c>
      <c r="B3084" s="46">
        <v>45324</v>
      </c>
      <c r="C3084" s="45">
        <v>8400</v>
      </c>
      <c r="D3084" t="s">
        <v>1321</v>
      </c>
      <c r="E3084" s="46">
        <v>45348</v>
      </c>
      <c r="F3084" s="45" t="s">
        <v>721</v>
      </c>
      <c r="I3084" t="s">
        <v>726</v>
      </c>
    </row>
    <row r="3085" spans="1:9" hidden="1" x14ac:dyDescent="0.3">
      <c r="A3085" t="s">
        <v>761</v>
      </c>
      <c r="B3085" s="46">
        <v>45398</v>
      </c>
      <c r="C3085" s="45">
        <v>8400</v>
      </c>
      <c r="D3085" t="s">
        <v>1220</v>
      </c>
      <c r="E3085" s="46">
        <v>45438</v>
      </c>
      <c r="F3085" s="45" t="s">
        <v>721</v>
      </c>
      <c r="I3085" t="s">
        <v>1148</v>
      </c>
    </row>
    <row r="3086" spans="1:9" hidden="1" x14ac:dyDescent="0.3">
      <c r="A3086" t="s">
        <v>724</v>
      </c>
      <c r="B3086" s="46">
        <v>45422</v>
      </c>
      <c r="C3086" s="45">
        <v>8400</v>
      </c>
      <c r="D3086" t="s">
        <v>1321</v>
      </c>
      <c r="E3086" s="46">
        <v>45469</v>
      </c>
      <c r="F3086" s="45" t="s">
        <v>721</v>
      </c>
      <c r="I3086" t="s">
        <v>726</v>
      </c>
    </row>
    <row r="3087" spans="1:9" hidden="1" x14ac:dyDescent="0.3">
      <c r="A3087" t="s">
        <v>724</v>
      </c>
      <c r="B3087" s="46">
        <v>45434</v>
      </c>
      <c r="C3087" s="45">
        <v>8400</v>
      </c>
      <c r="D3087" t="s">
        <v>1321</v>
      </c>
      <c r="E3087" s="46">
        <v>45469</v>
      </c>
      <c r="F3087" s="45" t="s">
        <v>721</v>
      </c>
      <c r="I3087" t="s">
        <v>726</v>
      </c>
    </row>
    <row r="3088" spans="1:9" hidden="1" x14ac:dyDescent="0.3">
      <c r="A3088" t="s">
        <v>722</v>
      </c>
      <c r="B3088" s="46">
        <v>45426</v>
      </c>
      <c r="C3088" s="45">
        <v>8400</v>
      </c>
      <c r="D3088" t="s">
        <v>1343</v>
      </c>
      <c r="E3088" s="46">
        <v>45458</v>
      </c>
      <c r="F3088" s="45" t="s">
        <v>721</v>
      </c>
      <c r="I3088" t="s">
        <v>726</v>
      </c>
    </row>
    <row r="3089" spans="1:9" hidden="1" x14ac:dyDescent="0.3">
      <c r="A3089" t="s">
        <v>775</v>
      </c>
      <c r="B3089" s="46">
        <v>45178</v>
      </c>
      <c r="C3089" s="45">
        <v>8370</v>
      </c>
      <c r="D3089" t="s">
        <v>1031</v>
      </c>
      <c r="E3089" s="46">
        <v>45215</v>
      </c>
      <c r="F3089" s="45" t="s">
        <v>721</v>
      </c>
      <c r="I3089" t="s">
        <v>726</v>
      </c>
    </row>
    <row r="3090" spans="1:9" hidden="1" x14ac:dyDescent="0.3">
      <c r="A3090" t="s">
        <v>779</v>
      </c>
      <c r="B3090" s="46">
        <v>45170</v>
      </c>
      <c r="C3090" s="45">
        <v>8300</v>
      </c>
      <c r="D3090" t="s">
        <v>1351</v>
      </c>
      <c r="E3090" s="46">
        <v>45215</v>
      </c>
      <c r="F3090" s="45" t="s">
        <v>721</v>
      </c>
    </row>
    <row r="3091" spans="1:9" hidden="1" x14ac:dyDescent="0.3">
      <c r="A3091" t="s">
        <v>1238</v>
      </c>
      <c r="B3091" s="46">
        <v>45139</v>
      </c>
      <c r="C3091" s="45">
        <v>8300</v>
      </c>
      <c r="D3091" t="s">
        <v>1342</v>
      </c>
      <c r="E3091" s="46">
        <v>45164</v>
      </c>
      <c r="F3091" s="45" t="s">
        <v>721</v>
      </c>
      <c r="I3091" t="s">
        <v>1162</v>
      </c>
    </row>
    <row r="3092" spans="1:9" hidden="1" x14ac:dyDescent="0.3">
      <c r="A3092" t="s">
        <v>727</v>
      </c>
      <c r="B3092" s="46">
        <v>45224</v>
      </c>
      <c r="C3092" s="45">
        <v>8300</v>
      </c>
      <c r="D3092" t="s">
        <v>980</v>
      </c>
      <c r="E3092" s="46">
        <v>45245</v>
      </c>
      <c r="F3092" s="45" t="s">
        <v>721</v>
      </c>
      <c r="I3092" t="s">
        <v>726</v>
      </c>
    </row>
    <row r="3093" spans="1:9" hidden="1" x14ac:dyDescent="0.3">
      <c r="A3093" t="s">
        <v>727</v>
      </c>
      <c r="B3093" s="46">
        <v>45236</v>
      </c>
      <c r="C3093" s="45">
        <v>8300</v>
      </c>
      <c r="D3093" t="s">
        <v>980</v>
      </c>
      <c r="E3093" s="46">
        <v>45275</v>
      </c>
      <c r="F3093" s="45" t="s">
        <v>721</v>
      </c>
      <c r="I3093" t="s">
        <v>726</v>
      </c>
    </row>
    <row r="3094" spans="1:9" hidden="1" x14ac:dyDescent="0.3">
      <c r="A3094" t="s">
        <v>1338</v>
      </c>
      <c r="B3094" s="46">
        <v>45432</v>
      </c>
      <c r="C3094" s="45">
        <v>8210</v>
      </c>
      <c r="D3094" t="s">
        <v>1315</v>
      </c>
      <c r="E3094" s="46">
        <v>45469</v>
      </c>
      <c r="F3094" s="45" t="s">
        <v>721</v>
      </c>
      <c r="I3094" t="s">
        <v>1162</v>
      </c>
    </row>
    <row r="3095" spans="1:9" hidden="1" x14ac:dyDescent="0.3">
      <c r="A3095" t="s">
        <v>1281</v>
      </c>
      <c r="B3095" s="46">
        <v>45428</v>
      </c>
      <c r="C3095" s="45">
        <v>8200</v>
      </c>
      <c r="D3095" t="s">
        <v>1342</v>
      </c>
      <c r="E3095" s="46">
        <v>45469</v>
      </c>
      <c r="F3095" s="45" t="s">
        <v>721</v>
      </c>
      <c r="I3095" t="s">
        <v>1162</v>
      </c>
    </row>
    <row r="3096" spans="1:9" hidden="1" x14ac:dyDescent="0.3">
      <c r="A3096" t="s">
        <v>1281</v>
      </c>
      <c r="B3096" s="46">
        <v>45341</v>
      </c>
      <c r="C3096" s="45">
        <v>8200</v>
      </c>
      <c r="D3096" t="s">
        <v>1342</v>
      </c>
      <c r="E3096" s="46">
        <v>45377</v>
      </c>
      <c r="F3096" s="45" t="s">
        <v>721</v>
      </c>
      <c r="I3096" t="s">
        <v>1162</v>
      </c>
    </row>
    <row r="3097" spans="1:9" hidden="1" x14ac:dyDescent="0.3">
      <c r="A3097" t="s">
        <v>1281</v>
      </c>
      <c r="B3097" s="46">
        <v>45350</v>
      </c>
      <c r="C3097" s="45">
        <v>8200</v>
      </c>
      <c r="D3097" t="s">
        <v>1161</v>
      </c>
      <c r="E3097" s="46">
        <v>45377</v>
      </c>
      <c r="F3097" s="45" t="s">
        <v>721</v>
      </c>
      <c r="I3097" t="s">
        <v>1162</v>
      </c>
    </row>
    <row r="3098" spans="1:9" hidden="1" x14ac:dyDescent="0.3">
      <c r="A3098" t="s">
        <v>1281</v>
      </c>
      <c r="B3098" s="46">
        <v>45222</v>
      </c>
      <c r="C3098" s="45">
        <v>8200</v>
      </c>
      <c r="D3098" t="s">
        <v>1342</v>
      </c>
      <c r="E3098" s="46">
        <v>45256</v>
      </c>
      <c r="F3098" s="45" t="s">
        <v>721</v>
      </c>
      <c r="I3098" t="s">
        <v>1162</v>
      </c>
    </row>
    <row r="3099" spans="1:9" hidden="1" x14ac:dyDescent="0.3">
      <c r="A3099" t="s">
        <v>1281</v>
      </c>
      <c r="B3099" s="46">
        <v>45264</v>
      </c>
      <c r="C3099" s="45">
        <v>8200</v>
      </c>
      <c r="D3099" t="s">
        <v>1342</v>
      </c>
      <c r="E3099" s="46">
        <v>45317</v>
      </c>
      <c r="F3099" s="45" t="s">
        <v>721</v>
      </c>
      <c r="I3099" t="s">
        <v>1162</v>
      </c>
    </row>
    <row r="3100" spans="1:9" hidden="1" x14ac:dyDescent="0.3">
      <c r="A3100" t="s">
        <v>1281</v>
      </c>
      <c r="B3100" s="46">
        <v>45286</v>
      </c>
      <c r="C3100" s="45">
        <v>8200</v>
      </c>
      <c r="D3100" t="s">
        <v>1342</v>
      </c>
      <c r="E3100" s="46">
        <v>45317</v>
      </c>
      <c r="F3100" s="45" t="s">
        <v>721</v>
      </c>
      <c r="I3100" t="s">
        <v>1162</v>
      </c>
    </row>
    <row r="3101" spans="1:9" hidden="1" x14ac:dyDescent="0.3">
      <c r="A3101" t="s">
        <v>1281</v>
      </c>
      <c r="B3101" s="46">
        <v>45243</v>
      </c>
      <c r="C3101" s="45">
        <v>8200</v>
      </c>
      <c r="D3101" t="s">
        <v>1342</v>
      </c>
      <c r="E3101" s="46">
        <v>45286</v>
      </c>
      <c r="F3101" s="45" t="s">
        <v>721</v>
      </c>
      <c r="I3101" t="s">
        <v>1162</v>
      </c>
    </row>
    <row r="3102" spans="1:9" hidden="1" x14ac:dyDescent="0.3">
      <c r="A3102" t="s">
        <v>1281</v>
      </c>
      <c r="B3102" s="46">
        <v>45250</v>
      </c>
      <c r="C3102" s="45">
        <v>8200</v>
      </c>
      <c r="D3102" t="s">
        <v>1342</v>
      </c>
      <c r="E3102" s="46">
        <v>45286</v>
      </c>
      <c r="F3102" s="45" t="s">
        <v>721</v>
      </c>
      <c r="I3102" t="s">
        <v>1162</v>
      </c>
    </row>
    <row r="3103" spans="1:9" hidden="1" x14ac:dyDescent="0.3">
      <c r="A3103" t="s">
        <v>1281</v>
      </c>
      <c r="B3103" s="46">
        <v>45173</v>
      </c>
      <c r="C3103" s="45">
        <v>8200</v>
      </c>
      <c r="D3103" t="s">
        <v>1342</v>
      </c>
      <c r="E3103" s="46">
        <v>45225</v>
      </c>
      <c r="F3103" s="45" t="s">
        <v>721</v>
      </c>
      <c r="I3103" t="s">
        <v>1162</v>
      </c>
    </row>
    <row r="3104" spans="1:9" hidden="1" x14ac:dyDescent="0.3">
      <c r="A3104" t="s">
        <v>1169</v>
      </c>
      <c r="B3104" s="46">
        <v>45195</v>
      </c>
      <c r="C3104" s="45">
        <v>8200</v>
      </c>
      <c r="D3104" t="s">
        <v>1286</v>
      </c>
      <c r="E3104" s="46">
        <v>45225</v>
      </c>
      <c r="F3104" s="45" t="s">
        <v>721</v>
      </c>
      <c r="I3104" t="s">
        <v>1162</v>
      </c>
    </row>
    <row r="3105" spans="1:9" hidden="1" x14ac:dyDescent="0.3">
      <c r="A3105" t="s">
        <v>1281</v>
      </c>
      <c r="B3105" s="46">
        <v>45187</v>
      </c>
      <c r="C3105" s="45">
        <v>8200</v>
      </c>
      <c r="D3105" t="s">
        <v>1342</v>
      </c>
      <c r="E3105" s="46">
        <v>45225</v>
      </c>
      <c r="F3105" s="45" t="s">
        <v>721</v>
      </c>
      <c r="I3105" t="s">
        <v>1162</v>
      </c>
    </row>
    <row r="3106" spans="1:9" hidden="1" x14ac:dyDescent="0.3">
      <c r="A3106" t="s">
        <v>1281</v>
      </c>
      <c r="B3106" s="46">
        <v>45166</v>
      </c>
      <c r="C3106" s="45">
        <v>8200</v>
      </c>
      <c r="D3106" t="s">
        <v>1342</v>
      </c>
      <c r="E3106" s="46">
        <v>45195</v>
      </c>
      <c r="F3106" s="45" t="s">
        <v>721</v>
      </c>
      <c r="I3106" t="s">
        <v>1162</v>
      </c>
    </row>
    <row r="3107" spans="1:9" hidden="1" x14ac:dyDescent="0.3">
      <c r="A3107" t="s">
        <v>724</v>
      </c>
      <c r="B3107" s="46">
        <v>45159</v>
      </c>
      <c r="C3107" s="45">
        <v>8100</v>
      </c>
      <c r="D3107" t="s">
        <v>755</v>
      </c>
      <c r="E3107" s="46">
        <v>45195</v>
      </c>
      <c r="F3107" s="45" t="s">
        <v>721</v>
      </c>
      <c r="I3107" t="s">
        <v>726</v>
      </c>
    </row>
    <row r="3108" spans="1:9" hidden="1" x14ac:dyDescent="0.3">
      <c r="A3108" t="s">
        <v>724</v>
      </c>
      <c r="B3108" s="46">
        <v>45184</v>
      </c>
      <c r="C3108" s="45">
        <v>8100</v>
      </c>
      <c r="D3108" t="s">
        <v>755</v>
      </c>
      <c r="E3108" s="46">
        <v>45225</v>
      </c>
      <c r="F3108" s="45" t="s">
        <v>721</v>
      </c>
      <c r="I3108" t="s">
        <v>726</v>
      </c>
    </row>
    <row r="3109" spans="1:9" hidden="1" x14ac:dyDescent="0.3">
      <c r="A3109" t="s">
        <v>777</v>
      </c>
      <c r="B3109" s="46">
        <v>45189</v>
      </c>
      <c r="C3109" s="45">
        <v>8100</v>
      </c>
      <c r="D3109" t="s">
        <v>755</v>
      </c>
      <c r="E3109" s="46">
        <v>45215</v>
      </c>
      <c r="F3109" s="45" t="s">
        <v>721</v>
      </c>
      <c r="I3109" t="s">
        <v>726</v>
      </c>
    </row>
    <row r="3110" spans="1:9" hidden="1" x14ac:dyDescent="0.3">
      <c r="A3110" t="s">
        <v>775</v>
      </c>
      <c r="B3110" s="46">
        <v>45180</v>
      </c>
      <c r="C3110" s="45">
        <v>8100</v>
      </c>
      <c r="D3110" t="s">
        <v>1031</v>
      </c>
      <c r="E3110" s="46">
        <v>45215</v>
      </c>
      <c r="F3110" s="45" t="s">
        <v>721</v>
      </c>
      <c r="I3110" t="s">
        <v>726</v>
      </c>
    </row>
    <row r="3111" spans="1:9" hidden="1" x14ac:dyDescent="0.3">
      <c r="A3111" t="s">
        <v>775</v>
      </c>
      <c r="B3111" s="46">
        <v>45196</v>
      </c>
      <c r="C3111" s="45">
        <v>8100</v>
      </c>
      <c r="D3111" t="s">
        <v>1031</v>
      </c>
      <c r="E3111" s="46">
        <v>45215</v>
      </c>
      <c r="F3111" s="45" t="s">
        <v>721</v>
      </c>
      <c r="I3111" t="s">
        <v>726</v>
      </c>
    </row>
    <row r="3112" spans="1:9" hidden="1" x14ac:dyDescent="0.3">
      <c r="A3112" t="s">
        <v>775</v>
      </c>
      <c r="B3112" s="46">
        <v>45125</v>
      </c>
      <c r="C3112" s="45">
        <v>8100</v>
      </c>
      <c r="D3112" t="s">
        <v>1031</v>
      </c>
      <c r="E3112" s="46">
        <v>45154</v>
      </c>
      <c r="F3112" s="45" t="s">
        <v>721</v>
      </c>
      <c r="I3112" t="s">
        <v>726</v>
      </c>
    </row>
    <row r="3113" spans="1:9" hidden="1" x14ac:dyDescent="0.3">
      <c r="A3113" t="s">
        <v>777</v>
      </c>
      <c r="B3113" s="46">
        <v>45133</v>
      </c>
      <c r="C3113" s="45">
        <v>8100</v>
      </c>
      <c r="D3113" t="s">
        <v>755</v>
      </c>
      <c r="E3113" s="46">
        <v>45184</v>
      </c>
      <c r="F3113" s="45" t="s">
        <v>721</v>
      </c>
      <c r="I3113" t="s">
        <v>726</v>
      </c>
    </row>
    <row r="3114" spans="1:9" hidden="1" x14ac:dyDescent="0.3">
      <c r="A3114" t="s">
        <v>724</v>
      </c>
      <c r="B3114" s="46">
        <v>45118</v>
      </c>
      <c r="C3114" s="45">
        <v>8100</v>
      </c>
      <c r="D3114" t="s">
        <v>755</v>
      </c>
      <c r="E3114" s="46">
        <v>45164</v>
      </c>
      <c r="F3114" s="45" t="s">
        <v>721</v>
      </c>
      <c r="I3114" t="s">
        <v>726</v>
      </c>
    </row>
    <row r="3115" spans="1:9" hidden="1" x14ac:dyDescent="0.3">
      <c r="A3115" t="s">
        <v>724</v>
      </c>
      <c r="B3115" s="46">
        <v>45243</v>
      </c>
      <c r="C3115" s="45">
        <v>8100</v>
      </c>
      <c r="D3115" t="s">
        <v>1321</v>
      </c>
      <c r="E3115" s="46">
        <v>45286</v>
      </c>
      <c r="F3115" s="45" t="s">
        <v>721</v>
      </c>
      <c r="I3115" t="s">
        <v>726</v>
      </c>
    </row>
    <row r="3116" spans="1:9" hidden="1" x14ac:dyDescent="0.3">
      <c r="A3116" t="s">
        <v>775</v>
      </c>
      <c r="B3116" s="46">
        <v>45251</v>
      </c>
      <c r="C3116" s="45">
        <v>8100</v>
      </c>
      <c r="D3116" t="s">
        <v>1031</v>
      </c>
      <c r="E3116" s="46">
        <v>45278</v>
      </c>
      <c r="F3116" s="45" t="s">
        <v>721</v>
      </c>
      <c r="I3116" t="s">
        <v>726</v>
      </c>
    </row>
    <row r="3117" spans="1:9" hidden="1" x14ac:dyDescent="0.3">
      <c r="A3117" t="s">
        <v>724</v>
      </c>
      <c r="B3117" s="46">
        <v>45289</v>
      </c>
      <c r="C3117" s="45">
        <v>8100</v>
      </c>
      <c r="D3117" t="s">
        <v>755</v>
      </c>
      <c r="E3117" s="46">
        <v>45317</v>
      </c>
      <c r="F3117" s="45" t="s">
        <v>721</v>
      </c>
      <c r="I3117" t="s">
        <v>726</v>
      </c>
    </row>
    <row r="3118" spans="1:9" hidden="1" x14ac:dyDescent="0.3">
      <c r="A3118" t="s">
        <v>775</v>
      </c>
      <c r="B3118" s="46">
        <v>45282</v>
      </c>
      <c r="C3118" s="45">
        <v>8100</v>
      </c>
      <c r="D3118" t="s">
        <v>1031</v>
      </c>
      <c r="E3118" s="46">
        <v>45307</v>
      </c>
      <c r="F3118" s="45" t="s">
        <v>721</v>
      </c>
      <c r="I3118" t="s">
        <v>726</v>
      </c>
    </row>
    <row r="3119" spans="1:9" hidden="1" x14ac:dyDescent="0.3">
      <c r="A3119" t="s">
        <v>775</v>
      </c>
      <c r="B3119" s="46">
        <v>45215</v>
      </c>
      <c r="C3119" s="45">
        <v>8100</v>
      </c>
      <c r="D3119" t="s">
        <v>1031</v>
      </c>
      <c r="E3119" s="46">
        <v>45246</v>
      </c>
      <c r="F3119" s="45" t="s">
        <v>721</v>
      </c>
      <c r="I3119" t="s">
        <v>726</v>
      </c>
    </row>
    <row r="3120" spans="1:9" hidden="1" x14ac:dyDescent="0.3">
      <c r="A3120" t="s">
        <v>775</v>
      </c>
      <c r="B3120" s="46">
        <v>45216</v>
      </c>
      <c r="C3120" s="45">
        <v>8100</v>
      </c>
      <c r="D3120" t="s">
        <v>1031</v>
      </c>
      <c r="E3120" s="46">
        <v>45246</v>
      </c>
      <c r="F3120" s="45" t="s">
        <v>721</v>
      </c>
      <c r="I3120" t="s">
        <v>726</v>
      </c>
    </row>
    <row r="3121" spans="1:9" hidden="1" x14ac:dyDescent="0.3">
      <c r="A3121" t="s">
        <v>775</v>
      </c>
      <c r="B3121" s="46">
        <v>45224</v>
      </c>
      <c r="C3121" s="45">
        <v>8100</v>
      </c>
      <c r="D3121" t="s">
        <v>1031</v>
      </c>
      <c r="E3121" s="46">
        <v>45246</v>
      </c>
      <c r="F3121" s="45" t="s">
        <v>721</v>
      </c>
      <c r="I3121" t="s">
        <v>726</v>
      </c>
    </row>
    <row r="3122" spans="1:9" hidden="1" x14ac:dyDescent="0.3">
      <c r="A3122" t="s">
        <v>1238</v>
      </c>
      <c r="B3122" s="46">
        <v>45212</v>
      </c>
      <c r="C3122" s="45">
        <v>8100</v>
      </c>
      <c r="D3122" t="s">
        <v>1161</v>
      </c>
      <c r="E3122" s="46">
        <v>45256</v>
      </c>
      <c r="F3122" s="45" t="s">
        <v>721</v>
      </c>
      <c r="I3122" t="s">
        <v>1162</v>
      </c>
    </row>
    <row r="3123" spans="1:9" hidden="1" x14ac:dyDescent="0.3">
      <c r="A3123" t="s">
        <v>779</v>
      </c>
      <c r="B3123" s="46">
        <v>45342</v>
      </c>
      <c r="C3123" s="45">
        <v>8100</v>
      </c>
      <c r="D3123" t="s">
        <v>1031</v>
      </c>
      <c r="E3123" s="46">
        <v>45369</v>
      </c>
      <c r="F3123" s="45" t="s">
        <v>721</v>
      </c>
      <c r="G3123">
        <v>0</v>
      </c>
      <c r="I3123" t="s">
        <v>726</v>
      </c>
    </row>
    <row r="3124" spans="1:9" hidden="1" x14ac:dyDescent="0.3">
      <c r="A3124" t="s">
        <v>724</v>
      </c>
      <c r="B3124" s="46">
        <v>45348</v>
      </c>
      <c r="C3124" s="45">
        <v>8100</v>
      </c>
      <c r="D3124" t="s">
        <v>755</v>
      </c>
      <c r="E3124" s="46">
        <v>45377</v>
      </c>
      <c r="F3124" s="45" t="s">
        <v>721</v>
      </c>
      <c r="I3124" t="s">
        <v>726</v>
      </c>
    </row>
    <row r="3125" spans="1:9" hidden="1" x14ac:dyDescent="0.3">
      <c r="A3125" t="s">
        <v>761</v>
      </c>
      <c r="B3125" s="46">
        <v>45341</v>
      </c>
      <c r="C3125" s="45">
        <v>8100</v>
      </c>
      <c r="D3125" t="s">
        <v>755</v>
      </c>
      <c r="E3125" s="46">
        <v>45377</v>
      </c>
      <c r="F3125" s="45" t="s">
        <v>721</v>
      </c>
      <c r="I3125" t="s">
        <v>726</v>
      </c>
    </row>
    <row r="3126" spans="1:9" hidden="1" x14ac:dyDescent="0.3">
      <c r="A3126" t="s">
        <v>724</v>
      </c>
      <c r="B3126" s="46">
        <v>45327</v>
      </c>
      <c r="C3126" s="45">
        <v>8100</v>
      </c>
      <c r="D3126" t="s">
        <v>755</v>
      </c>
      <c r="E3126" s="46">
        <v>45377</v>
      </c>
      <c r="F3126" s="45" t="s">
        <v>721</v>
      </c>
      <c r="I3126" t="s">
        <v>726</v>
      </c>
    </row>
    <row r="3127" spans="1:9" hidden="1" x14ac:dyDescent="0.3">
      <c r="A3127" t="s">
        <v>1160</v>
      </c>
      <c r="B3127" s="46">
        <v>45355</v>
      </c>
      <c r="C3127" s="45">
        <v>8100</v>
      </c>
      <c r="D3127" t="s">
        <v>1170</v>
      </c>
      <c r="E3127" s="46">
        <v>45408</v>
      </c>
      <c r="F3127" s="45" t="s">
        <v>721</v>
      </c>
      <c r="I3127" t="s">
        <v>1162</v>
      </c>
    </row>
    <row r="3128" spans="1:9" hidden="1" x14ac:dyDescent="0.3">
      <c r="A3128" t="s">
        <v>775</v>
      </c>
      <c r="B3128" s="46">
        <v>45406</v>
      </c>
      <c r="C3128" s="45">
        <v>8100</v>
      </c>
      <c r="D3128" t="s">
        <v>1031</v>
      </c>
      <c r="E3128" s="46">
        <v>45428</v>
      </c>
      <c r="F3128" s="45" t="s">
        <v>721</v>
      </c>
      <c r="G3128">
        <v>0</v>
      </c>
      <c r="I3128" t="s">
        <v>726</v>
      </c>
    </row>
    <row r="3129" spans="1:9" hidden="1" x14ac:dyDescent="0.3">
      <c r="A3129" t="s">
        <v>775</v>
      </c>
      <c r="B3129" s="46">
        <v>45400</v>
      </c>
      <c r="C3129" s="45">
        <v>8100</v>
      </c>
      <c r="D3129" t="s">
        <v>1031</v>
      </c>
      <c r="E3129" s="46">
        <v>45428</v>
      </c>
      <c r="F3129" s="45" t="s">
        <v>721</v>
      </c>
      <c r="G3129">
        <v>0</v>
      </c>
      <c r="I3129" t="s">
        <v>726</v>
      </c>
    </row>
    <row r="3130" spans="1:9" hidden="1" x14ac:dyDescent="0.3">
      <c r="A3130" t="s">
        <v>775</v>
      </c>
      <c r="B3130" s="46">
        <v>45401</v>
      </c>
      <c r="C3130" s="45">
        <v>8100</v>
      </c>
      <c r="D3130" t="s">
        <v>1031</v>
      </c>
      <c r="E3130" s="46">
        <v>45428</v>
      </c>
      <c r="F3130" s="45" t="s">
        <v>721</v>
      </c>
      <c r="G3130">
        <v>0</v>
      </c>
      <c r="I3130" t="s">
        <v>726</v>
      </c>
    </row>
    <row r="3131" spans="1:9" hidden="1" x14ac:dyDescent="0.3">
      <c r="A3131" t="s">
        <v>775</v>
      </c>
      <c r="B3131" s="46">
        <v>45302</v>
      </c>
      <c r="C3131" s="45">
        <v>8100</v>
      </c>
      <c r="D3131" t="s">
        <v>1031</v>
      </c>
      <c r="E3131" s="46">
        <v>45338</v>
      </c>
      <c r="F3131" s="45" t="s">
        <v>721</v>
      </c>
      <c r="I3131" t="s">
        <v>726</v>
      </c>
    </row>
    <row r="3132" spans="1:9" hidden="1" x14ac:dyDescent="0.3">
      <c r="A3132" t="s">
        <v>775</v>
      </c>
      <c r="B3132" s="46">
        <v>45293</v>
      </c>
      <c r="C3132" s="45">
        <v>8100</v>
      </c>
      <c r="D3132" t="s">
        <v>1031</v>
      </c>
      <c r="E3132" s="46">
        <v>45338</v>
      </c>
      <c r="F3132" s="45" t="s">
        <v>721</v>
      </c>
      <c r="I3132" t="s">
        <v>726</v>
      </c>
    </row>
    <row r="3133" spans="1:9" hidden="1" x14ac:dyDescent="0.3">
      <c r="A3133" t="s">
        <v>748</v>
      </c>
      <c r="B3133" s="46">
        <v>45322</v>
      </c>
      <c r="C3133" s="45">
        <v>8000</v>
      </c>
      <c r="D3133" t="s">
        <v>1354</v>
      </c>
      <c r="E3133" s="46">
        <v>45337</v>
      </c>
      <c r="F3133" s="45" t="s">
        <v>721</v>
      </c>
      <c r="I3133" t="s">
        <v>750</v>
      </c>
    </row>
    <row r="3134" spans="1:9" hidden="1" x14ac:dyDescent="0.3">
      <c r="A3134" t="s">
        <v>724</v>
      </c>
      <c r="B3134" s="46">
        <v>45308</v>
      </c>
      <c r="C3134" s="45">
        <v>8000</v>
      </c>
      <c r="D3134" t="s">
        <v>1303</v>
      </c>
      <c r="E3134" s="46">
        <v>45348</v>
      </c>
      <c r="F3134" s="45" t="s">
        <v>721</v>
      </c>
      <c r="I3134" t="s">
        <v>726</v>
      </c>
    </row>
    <row r="3135" spans="1:9" hidden="1" x14ac:dyDescent="0.3">
      <c r="A3135" t="s">
        <v>1281</v>
      </c>
      <c r="B3135" s="46">
        <v>45299</v>
      </c>
      <c r="C3135" s="45">
        <v>8000</v>
      </c>
      <c r="D3135" t="s">
        <v>1161</v>
      </c>
      <c r="E3135" s="46">
        <v>45348</v>
      </c>
      <c r="F3135" s="45" t="s">
        <v>721</v>
      </c>
      <c r="I3135" t="s">
        <v>1162</v>
      </c>
    </row>
    <row r="3136" spans="1:9" hidden="1" x14ac:dyDescent="0.3">
      <c r="A3136" t="s">
        <v>1160</v>
      </c>
      <c r="B3136" s="46">
        <v>45369</v>
      </c>
      <c r="C3136" s="45">
        <v>8000</v>
      </c>
      <c r="D3136" t="s">
        <v>1286</v>
      </c>
      <c r="E3136" s="46">
        <v>45408</v>
      </c>
      <c r="F3136" s="45" t="s">
        <v>721</v>
      </c>
      <c r="I3136" t="s">
        <v>1162</v>
      </c>
    </row>
    <row r="3137" spans="1:9" hidden="1" x14ac:dyDescent="0.3">
      <c r="A3137" t="s">
        <v>1169</v>
      </c>
      <c r="B3137" s="46">
        <v>45341</v>
      </c>
      <c r="C3137" s="45">
        <v>8000</v>
      </c>
      <c r="D3137" t="s">
        <v>1286</v>
      </c>
      <c r="E3137" s="46">
        <v>45377</v>
      </c>
      <c r="F3137" s="45" t="s">
        <v>721</v>
      </c>
      <c r="I3137" t="s">
        <v>1162</v>
      </c>
    </row>
    <row r="3138" spans="1:9" hidden="1" x14ac:dyDescent="0.3">
      <c r="A3138" t="s">
        <v>1281</v>
      </c>
      <c r="B3138" s="46">
        <v>45401</v>
      </c>
      <c r="C3138" s="45">
        <v>8000</v>
      </c>
      <c r="D3138" t="s">
        <v>1161</v>
      </c>
      <c r="E3138" s="46">
        <v>45438</v>
      </c>
      <c r="F3138" s="45" t="s">
        <v>721</v>
      </c>
      <c r="I3138" t="s">
        <v>1162</v>
      </c>
    </row>
    <row r="3139" spans="1:9" hidden="1" x14ac:dyDescent="0.3">
      <c r="A3139" t="s">
        <v>775</v>
      </c>
      <c r="B3139" s="46">
        <v>45142</v>
      </c>
      <c r="C3139" s="45">
        <v>8000</v>
      </c>
      <c r="D3139" t="s">
        <v>1352</v>
      </c>
      <c r="E3139" s="46">
        <v>45184</v>
      </c>
      <c r="F3139" s="45" t="s">
        <v>721</v>
      </c>
      <c r="I3139" t="s">
        <v>726</v>
      </c>
    </row>
    <row r="3140" spans="1:9" hidden="1" x14ac:dyDescent="0.3">
      <c r="A3140" t="s">
        <v>779</v>
      </c>
      <c r="B3140" s="46">
        <v>45140</v>
      </c>
      <c r="C3140" s="45">
        <v>8000</v>
      </c>
      <c r="D3140" t="s">
        <v>1353</v>
      </c>
      <c r="E3140" s="46">
        <v>45184</v>
      </c>
      <c r="F3140" s="45" t="s">
        <v>721</v>
      </c>
      <c r="I3140" t="s">
        <v>726</v>
      </c>
    </row>
    <row r="3141" spans="1:9" hidden="1" x14ac:dyDescent="0.3">
      <c r="A3141" t="s">
        <v>1169</v>
      </c>
      <c r="B3141" s="46">
        <v>45131</v>
      </c>
      <c r="C3141" s="45">
        <v>8000</v>
      </c>
      <c r="D3141" t="s">
        <v>1286</v>
      </c>
      <c r="E3141" s="46">
        <v>45164</v>
      </c>
      <c r="F3141" s="45" t="s">
        <v>721</v>
      </c>
      <c r="I3141" t="s">
        <v>1162</v>
      </c>
    </row>
    <row r="3142" spans="1:9" hidden="1" x14ac:dyDescent="0.3">
      <c r="A3142" t="s">
        <v>1281</v>
      </c>
      <c r="B3142" s="46">
        <v>45152</v>
      </c>
      <c r="C3142" s="45">
        <v>8000</v>
      </c>
      <c r="D3142" t="s">
        <v>1161</v>
      </c>
      <c r="E3142" s="46">
        <v>45195</v>
      </c>
      <c r="F3142" s="45" t="s">
        <v>721</v>
      </c>
      <c r="I3142" t="s">
        <v>1162</v>
      </c>
    </row>
    <row r="3143" spans="1:9" hidden="1" x14ac:dyDescent="0.3">
      <c r="A3143" t="s">
        <v>772</v>
      </c>
      <c r="B3143" s="46">
        <v>45232</v>
      </c>
      <c r="C3143" s="45">
        <v>7900</v>
      </c>
      <c r="D3143" t="s">
        <v>789</v>
      </c>
      <c r="E3143" s="46">
        <v>45256</v>
      </c>
      <c r="F3143" s="45" t="s">
        <v>721</v>
      </c>
      <c r="I3143" t="s">
        <v>726</v>
      </c>
    </row>
    <row r="3144" spans="1:9" hidden="1" x14ac:dyDescent="0.3">
      <c r="A3144" t="s">
        <v>1169</v>
      </c>
      <c r="B3144" s="46">
        <v>45223</v>
      </c>
      <c r="C3144" s="45">
        <v>7800</v>
      </c>
      <c r="D3144" t="s">
        <v>1286</v>
      </c>
      <c r="E3144" s="46">
        <v>45256</v>
      </c>
      <c r="F3144" s="45" t="s">
        <v>721</v>
      </c>
      <c r="I3144" t="s">
        <v>1162</v>
      </c>
    </row>
    <row r="3145" spans="1:9" hidden="1" x14ac:dyDescent="0.3">
      <c r="A3145" t="s">
        <v>1169</v>
      </c>
      <c r="B3145" s="46">
        <v>45215</v>
      </c>
      <c r="C3145" s="45">
        <v>7800</v>
      </c>
      <c r="D3145" t="s">
        <v>1342</v>
      </c>
      <c r="E3145" s="46">
        <v>45256</v>
      </c>
      <c r="F3145" s="45" t="s">
        <v>721</v>
      </c>
      <c r="I3145" t="s">
        <v>1162</v>
      </c>
    </row>
    <row r="3146" spans="1:9" hidden="1" x14ac:dyDescent="0.3">
      <c r="A3146" t="s">
        <v>722</v>
      </c>
      <c r="B3146" s="46">
        <v>45407</v>
      </c>
      <c r="C3146" s="45">
        <v>7800</v>
      </c>
      <c r="D3146" t="s">
        <v>771</v>
      </c>
      <c r="E3146" s="46">
        <v>45428</v>
      </c>
      <c r="F3146" s="45" t="s">
        <v>721</v>
      </c>
      <c r="I3146" t="s">
        <v>782</v>
      </c>
    </row>
    <row r="3147" spans="1:9" hidden="1" x14ac:dyDescent="0.3">
      <c r="A3147" t="s">
        <v>1338</v>
      </c>
      <c r="B3147" s="46">
        <v>45383</v>
      </c>
      <c r="C3147" s="45">
        <v>7800</v>
      </c>
      <c r="D3147" t="s">
        <v>1274</v>
      </c>
      <c r="E3147" s="46">
        <v>45408</v>
      </c>
      <c r="F3147" s="45" t="s">
        <v>721</v>
      </c>
      <c r="I3147" t="s">
        <v>1162</v>
      </c>
    </row>
    <row r="3148" spans="1:9" hidden="1" x14ac:dyDescent="0.3">
      <c r="A3148" t="s">
        <v>1160</v>
      </c>
      <c r="B3148" s="46">
        <v>45405</v>
      </c>
      <c r="C3148" s="45">
        <v>7700</v>
      </c>
      <c r="D3148" t="s">
        <v>1170</v>
      </c>
      <c r="E3148" s="46">
        <v>45438</v>
      </c>
      <c r="F3148" s="45" t="s">
        <v>721</v>
      </c>
      <c r="I3148" t="s">
        <v>1162</v>
      </c>
    </row>
    <row r="3149" spans="1:9" hidden="1" x14ac:dyDescent="0.3">
      <c r="A3149" t="s">
        <v>775</v>
      </c>
      <c r="B3149" s="46">
        <v>45240</v>
      </c>
      <c r="C3149" s="45">
        <v>7700</v>
      </c>
      <c r="D3149" t="s">
        <v>1355</v>
      </c>
      <c r="E3149" s="46">
        <v>45278</v>
      </c>
      <c r="F3149" s="45" t="s">
        <v>721</v>
      </c>
      <c r="I3149" t="s">
        <v>726</v>
      </c>
    </row>
    <row r="3150" spans="1:9" hidden="1" x14ac:dyDescent="0.3">
      <c r="A3150" t="s">
        <v>748</v>
      </c>
      <c r="B3150" s="46">
        <v>45119</v>
      </c>
      <c r="C3150" s="45">
        <v>7650</v>
      </c>
      <c r="D3150" t="s">
        <v>735</v>
      </c>
      <c r="E3150" s="46">
        <v>45154</v>
      </c>
      <c r="F3150" s="45" t="s">
        <v>721</v>
      </c>
      <c r="I3150" t="s">
        <v>782</v>
      </c>
    </row>
    <row r="3151" spans="1:9" hidden="1" x14ac:dyDescent="0.3">
      <c r="A3151" t="s">
        <v>775</v>
      </c>
      <c r="B3151" s="46">
        <v>45118</v>
      </c>
      <c r="C3151" s="45">
        <v>7600</v>
      </c>
      <c r="D3151" t="s">
        <v>1356</v>
      </c>
      <c r="E3151" s="46">
        <v>45154</v>
      </c>
      <c r="F3151" s="45" t="s">
        <v>721</v>
      </c>
      <c r="I3151" t="s">
        <v>726</v>
      </c>
    </row>
    <row r="3152" spans="1:9" hidden="1" x14ac:dyDescent="0.3">
      <c r="A3152" t="s">
        <v>1238</v>
      </c>
      <c r="B3152" s="46">
        <v>45170</v>
      </c>
      <c r="C3152" s="45">
        <v>7600</v>
      </c>
      <c r="D3152" t="s">
        <v>1170</v>
      </c>
      <c r="E3152" s="46">
        <v>45195</v>
      </c>
      <c r="F3152" s="45" t="s">
        <v>721</v>
      </c>
      <c r="I3152" t="s">
        <v>1162</v>
      </c>
    </row>
    <row r="3153" spans="1:9" hidden="1" x14ac:dyDescent="0.3">
      <c r="A3153" t="s">
        <v>1281</v>
      </c>
      <c r="B3153" s="46">
        <v>45229</v>
      </c>
      <c r="C3153" s="45">
        <v>7600</v>
      </c>
      <c r="D3153" t="s">
        <v>1342</v>
      </c>
      <c r="E3153" s="46">
        <v>45256</v>
      </c>
      <c r="F3153" s="45" t="s">
        <v>721</v>
      </c>
      <c r="I3153" t="s">
        <v>1162</v>
      </c>
    </row>
    <row r="3154" spans="1:9" hidden="1" x14ac:dyDescent="0.3">
      <c r="A3154" t="s">
        <v>1238</v>
      </c>
      <c r="B3154" s="46">
        <v>45177</v>
      </c>
      <c r="C3154" s="45">
        <v>7510</v>
      </c>
      <c r="D3154" t="s">
        <v>1342</v>
      </c>
      <c r="E3154" s="46">
        <v>45225</v>
      </c>
      <c r="F3154" s="45" t="s">
        <v>721</v>
      </c>
      <c r="I3154" t="s">
        <v>1162</v>
      </c>
    </row>
    <row r="3155" spans="1:9" hidden="1" x14ac:dyDescent="0.3">
      <c r="A3155" t="s">
        <v>748</v>
      </c>
      <c r="B3155" s="46">
        <v>45159</v>
      </c>
      <c r="C3155" s="45">
        <v>7500</v>
      </c>
      <c r="D3155" t="s">
        <v>893</v>
      </c>
      <c r="E3155" s="46">
        <v>45184</v>
      </c>
      <c r="F3155" s="45" t="s">
        <v>721</v>
      </c>
      <c r="I3155" t="s">
        <v>726</v>
      </c>
    </row>
    <row r="3156" spans="1:9" hidden="1" x14ac:dyDescent="0.3">
      <c r="A3156" t="s">
        <v>1269</v>
      </c>
      <c r="B3156" s="46">
        <v>45127</v>
      </c>
      <c r="C3156" s="45">
        <v>7500</v>
      </c>
      <c r="D3156" t="s">
        <v>1274</v>
      </c>
      <c r="E3156" s="46">
        <v>45164</v>
      </c>
      <c r="F3156" s="45" t="s">
        <v>721</v>
      </c>
      <c r="I3156" t="s">
        <v>1162</v>
      </c>
    </row>
    <row r="3157" spans="1:9" hidden="1" x14ac:dyDescent="0.3">
      <c r="A3157" t="s">
        <v>727</v>
      </c>
      <c r="B3157" s="46">
        <v>45128</v>
      </c>
      <c r="C3157" s="45">
        <v>7500</v>
      </c>
      <c r="D3157" t="s">
        <v>980</v>
      </c>
      <c r="E3157" s="46">
        <v>45154</v>
      </c>
      <c r="F3157" s="45" t="s">
        <v>721</v>
      </c>
      <c r="I3157" t="s">
        <v>726</v>
      </c>
    </row>
    <row r="3158" spans="1:9" hidden="1" x14ac:dyDescent="0.3">
      <c r="A3158" t="s">
        <v>724</v>
      </c>
      <c r="B3158" s="46">
        <v>45429</v>
      </c>
      <c r="C3158" s="45">
        <v>7500</v>
      </c>
      <c r="D3158" t="s">
        <v>1730</v>
      </c>
      <c r="E3158" s="46">
        <v>45469</v>
      </c>
      <c r="F3158" s="45" t="s">
        <v>721</v>
      </c>
      <c r="I3158" t="s">
        <v>726</v>
      </c>
    </row>
    <row r="3159" spans="1:9" hidden="1" x14ac:dyDescent="0.3">
      <c r="A3159" t="s">
        <v>724</v>
      </c>
      <c r="B3159" s="46">
        <v>45439</v>
      </c>
      <c r="C3159" s="45">
        <v>7500</v>
      </c>
      <c r="D3159" t="s">
        <v>1730</v>
      </c>
      <c r="E3159" s="46">
        <v>45469</v>
      </c>
      <c r="F3159" s="45" t="s">
        <v>721</v>
      </c>
      <c r="I3159" t="s">
        <v>726</v>
      </c>
    </row>
    <row r="3160" spans="1:9" hidden="1" x14ac:dyDescent="0.3">
      <c r="A3160" t="s">
        <v>724</v>
      </c>
      <c r="B3160" s="46">
        <v>45385</v>
      </c>
      <c r="C3160" s="45">
        <v>7500</v>
      </c>
      <c r="D3160" t="s">
        <v>1730</v>
      </c>
      <c r="E3160" s="46">
        <v>45408</v>
      </c>
      <c r="F3160" s="45" t="s">
        <v>721</v>
      </c>
      <c r="I3160" t="s">
        <v>726</v>
      </c>
    </row>
    <row r="3161" spans="1:9" hidden="1" x14ac:dyDescent="0.3">
      <c r="A3161" t="s">
        <v>724</v>
      </c>
      <c r="B3161" s="46">
        <v>45355</v>
      </c>
      <c r="C3161" s="45">
        <v>7500</v>
      </c>
      <c r="D3161" t="s">
        <v>1730</v>
      </c>
      <c r="E3161" s="46">
        <v>45408</v>
      </c>
      <c r="F3161" s="45" t="s">
        <v>721</v>
      </c>
      <c r="I3161" t="s">
        <v>726</v>
      </c>
    </row>
    <row r="3162" spans="1:9" hidden="1" x14ac:dyDescent="0.3">
      <c r="A3162" t="s">
        <v>724</v>
      </c>
      <c r="B3162" s="46">
        <v>45356</v>
      </c>
      <c r="C3162" s="45">
        <v>7500</v>
      </c>
      <c r="D3162" t="s">
        <v>1730</v>
      </c>
      <c r="E3162" s="46">
        <v>45408</v>
      </c>
      <c r="F3162" s="45" t="s">
        <v>721</v>
      </c>
      <c r="I3162" t="s">
        <v>726</v>
      </c>
    </row>
    <row r="3163" spans="1:9" hidden="1" x14ac:dyDescent="0.3">
      <c r="A3163" t="s">
        <v>724</v>
      </c>
      <c r="B3163" s="46">
        <v>45415</v>
      </c>
      <c r="C3163" s="45">
        <v>7500</v>
      </c>
      <c r="D3163" t="s">
        <v>1730</v>
      </c>
      <c r="E3163" s="46">
        <v>45438</v>
      </c>
      <c r="F3163" s="45" t="s">
        <v>721</v>
      </c>
      <c r="I3163" t="s">
        <v>726</v>
      </c>
    </row>
    <row r="3164" spans="1:9" hidden="1" x14ac:dyDescent="0.3">
      <c r="A3164" t="s">
        <v>722</v>
      </c>
      <c r="B3164" s="46">
        <v>45363</v>
      </c>
      <c r="C3164" s="45">
        <v>7500</v>
      </c>
      <c r="D3164" t="s">
        <v>2121</v>
      </c>
      <c r="E3164" s="46">
        <v>45397</v>
      </c>
      <c r="F3164" s="45" t="s">
        <v>721</v>
      </c>
      <c r="I3164" t="s">
        <v>726</v>
      </c>
    </row>
    <row r="3165" spans="1:9" hidden="1" x14ac:dyDescent="0.3">
      <c r="A3165" t="s">
        <v>745</v>
      </c>
      <c r="B3165" s="46">
        <v>45362</v>
      </c>
      <c r="C3165" s="45">
        <v>7500</v>
      </c>
      <c r="D3165" t="s">
        <v>2121</v>
      </c>
      <c r="E3165" s="46">
        <v>45398</v>
      </c>
      <c r="F3165" s="45" t="s">
        <v>721</v>
      </c>
      <c r="G3165">
        <v>0</v>
      </c>
      <c r="I3165" t="s">
        <v>726</v>
      </c>
    </row>
    <row r="3166" spans="1:9" hidden="1" x14ac:dyDescent="0.3">
      <c r="A3166" t="s">
        <v>779</v>
      </c>
      <c r="B3166" s="46">
        <v>45309</v>
      </c>
      <c r="C3166" s="45">
        <v>7500</v>
      </c>
      <c r="D3166" t="s">
        <v>1088</v>
      </c>
      <c r="E3166" s="46">
        <v>45338</v>
      </c>
      <c r="F3166" s="45" t="s">
        <v>721</v>
      </c>
      <c r="I3166" t="s">
        <v>726</v>
      </c>
    </row>
    <row r="3167" spans="1:9" hidden="1" x14ac:dyDescent="0.3">
      <c r="A3167" t="s">
        <v>775</v>
      </c>
      <c r="B3167" s="46">
        <v>45357</v>
      </c>
      <c r="C3167" s="45">
        <v>7400</v>
      </c>
      <c r="D3167" t="s">
        <v>2139</v>
      </c>
      <c r="E3167" s="46">
        <v>45398</v>
      </c>
      <c r="F3167" s="45" t="s">
        <v>721</v>
      </c>
      <c r="G3167">
        <v>0</v>
      </c>
      <c r="I3167" t="s">
        <v>726</v>
      </c>
    </row>
    <row r="3168" spans="1:9" hidden="1" x14ac:dyDescent="0.3">
      <c r="A3168" t="s">
        <v>1269</v>
      </c>
      <c r="B3168" s="46">
        <v>45180</v>
      </c>
      <c r="C3168" s="45">
        <v>7370</v>
      </c>
      <c r="D3168" t="s">
        <v>1181</v>
      </c>
      <c r="E3168" s="46">
        <v>45225</v>
      </c>
      <c r="F3168" s="45" t="s">
        <v>721</v>
      </c>
      <c r="I3168" t="s">
        <v>1162</v>
      </c>
    </row>
    <row r="3169" spans="1:9" hidden="1" x14ac:dyDescent="0.3">
      <c r="A3169" t="s">
        <v>1338</v>
      </c>
      <c r="B3169" s="46">
        <v>45414</v>
      </c>
      <c r="C3169" s="45">
        <v>7300</v>
      </c>
      <c r="D3169" t="s">
        <v>1229</v>
      </c>
      <c r="E3169" s="46">
        <v>45438</v>
      </c>
      <c r="F3169" s="45" t="s">
        <v>721</v>
      </c>
      <c r="I3169" t="s">
        <v>1162</v>
      </c>
    </row>
    <row r="3170" spans="1:9" hidden="1" x14ac:dyDescent="0.3">
      <c r="A3170" t="s">
        <v>1160</v>
      </c>
      <c r="B3170" s="46">
        <v>45370</v>
      </c>
      <c r="C3170" s="45">
        <v>7300</v>
      </c>
      <c r="D3170" t="s">
        <v>1229</v>
      </c>
      <c r="E3170" s="46">
        <v>45408</v>
      </c>
      <c r="F3170" s="45" t="s">
        <v>721</v>
      </c>
      <c r="I3170" t="s">
        <v>1162</v>
      </c>
    </row>
    <row r="3171" spans="1:9" hidden="1" x14ac:dyDescent="0.3">
      <c r="A3171" t="s">
        <v>1281</v>
      </c>
      <c r="B3171" s="46">
        <v>45369</v>
      </c>
      <c r="C3171" s="45">
        <v>7200</v>
      </c>
      <c r="D3171" t="s">
        <v>1161</v>
      </c>
      <c r="E3171" s="46">
        <v>45408</v>
      </c>
      <c r="F3171" s="45" t="s">
        <v>721</v>
      </c>
      <c r="I3171" t="s">
        <v>1162</v>
      </c>
    </row>
    <row r="3172" spans="1:9" hidden="1" x14ac:dyDescent="0.3">
      <c r="A3172" t="s">
        <v>1281</v>
      </c>
      <c r="B3172" s="46">
        <v>45306</v>
      </c>
      <c r="C3172" s="45">
        <v>7200</v>
      </c>
      <c r="D3172" t="s">
        <v>1161</v>
      </c>
      <c r="E3172" s="46">
        <v>45348</v>
      </c>
      <c r="F3172" s="45" t="s">
        <v>721</v>
      </c>
      <c r="I3172" t="s">
        <v>1162</v>
      </c>
    </row>
    <row r="3173" spans="1:9" hidden="1" x14ac:dyDescent="0.3">
      <c r="A3173" t="s">
        <v>1281</v>
      </c>
      <c r="B3173" s="46">
        <v>45194</v>
      </c>
      <c r="C3173" s="45">
        <v>7200</v>
      </c>
      <c r="D3173" t="s">
        <v>1161</v>
      </c>
      <c r="E3173" s="46">
        <v>45225</v>
      </c>
      <c r="F3173" s="45" t="s">
        <v>721</v>
      </c>
      <c r="I3173" t="s">
        <v>1162</v>
      </c>
    </row>
    <row r="3174" spans="1:9" hidden="1" x14ac:dyDescent="0.3">
      <c r="A3174" t="s">
        <v>729</v>
      </c>
      <c r="B3174" s="46">
        <v>45184</v>
      </c>
      <c r="C3174" s="45">
        <v>7200</v>
      </c>
      <c r="D3174" t="s">
        <v>975</v>
      </c>
      <c r="E3174" s="46">
        <v>45215</v>
      </c>
      <c r="F3174" s="45" t="s">
        <v>721</v>
      </c>
    </row>
    <row r="3175" spans="1:9" hidden="1" x14ac:dyDescent="0.3">
      <c r="A3175" t="s">
        <v>1169</v>
      </c>
      <c r="B3175" s="46">
        <v>45243</v>
      </c>
      <c r="C3175" s="45">
        <v>7200</v>
      </c>
      <c r="D3175" t="s">
        <v>1286</v>
      </c>
      <c r="E3175" s="46">
        <v>45286</v>
      </c>
      <c r="F3175" s="45" t="s">
        <v>721</v>
      </c>
      <c r="I3175" t="s">
        <v>1162</v>
      </c>
    </row>
    <row r="3176" spans="1:9" hidden="1" x14ac:dyDescent="0.3">
      <c r="A3176" t="s">
        <v>1281</v>
      </c>
      <c r="B3176" s="46">
        <v>45271</v>
      </c>
      <c r="C3176" s="45">
        <v>7200</v>
      </c>
      <c r="D3176" t="s">
        <v>1161</v>
      </c>
      <c r="E3176" s="46">
        <v>45317</v>
      </c>
      <c r="F3176" s="45" t="s">
        <v>721</v>
      </c>
      <c r="I3176" t="s">
        <v>1162</v>
      </c>
    </row>
    <row r="3177" spans="1:9" hidden="1" x14ac:dyDescent="0.3">
      <c r="A3177" t="s">
        <v>1238</v>
      </c>
      <c r="B3177" s="46">
        <v>45279</v>
      </c>
      <c r="C3177" s="45">
        <v>7100</v>
      </c>
      <c r="D3177" t="s">
        <v>1229</v>
      </c>
      <c r="E3177" s="46">
        <v>45317</v>
      </c>
      <c r="F3177" s="45" t="s">
        <v>721</v>
      </c>
      <c r="I3177" t="s">
        <v>1162</v>
      </c>
    </row>
    <row r="3178" spans="1:9" hidden="1" x14ac:dyDescent="0.3">
      <c r="A3178" t="s">
        <v>727</v>
      </c>
      <c r="B3178" s="46">
        <v>45433</v>
      </c>
      <c r="C3178" s="45">
        <v>7090</v>
      </c>
      <c r="D3178" t="s">
        <v>735</v>
      </c>
      <c r="E3178" s="46">
        <v>45458</v>
      </c>
      <c r="F3178" s="45" t="s">
        <v>721</v>
      </c>
      <c r="I3178" t="s">
        <v>736</v>
      </c>
    </row>
    <row r="3179" spans="1:9" hidden="1" x14ac:dyDescent="0.3">
      <c r="A3179" t="s">
        <v>1281</v>
      </c>
      <c r="B3179" s="46">
        <v>45443</v>
      </c>
      <c r="C3179" s="45">
        <v>7000</v>
      </c>
      <c r="D3179" t="s">
        <v>1170</v>
      </c>
      <c r="E3179" s="46">
        <v>45469</v>
      </c>
      <c r="F3179" s="45" t="s">
        <v>721</v>
      </c>
      <c r="I3179" t="s">
        <v>1162</v>
      </c>
    </row>
    <row r="3180" spans="1:9" hidden="1" x14ac:dyDescent="0.3">
      <c r="A3180" t="s">
        <v>779</v>
      </c>
      <c r="B3180" s="46">
        <v>45425</v>
      </c>
      <c r="C3180" s="45">
        <v>7000</v>
      </c>
      <c r="D3180" t="s">
        <v>2140</v>
      </c>
      <c r="E3180" s="46">
        <v>45459</v>
      </c>
      <c r="F3180" s="45" t="s">
        <v>721</v>
      </c>
      <c r="I3180" t="s">
        <v>726</v>
      </c>
    </row>
    <row r="3181" spans="1:9" hidden="1" x14ac:dyDescent="0.3">
      <c r="A3181" t="s">
        <v>1281</v>
      </c>
      <c r="B3181" s="46">
        <v>45422</v>
      </c>
      <c r="C3181" s="45">
        <v>7000</v>
      </c>
      <c r="D3181" t="s">
        <v>1170</v>
      </c>
      <c r="E3181" s="46">
        <v>45469</v>
      </c>
      <c r="F3181" s="45" t="s">
        <v>721</v>
      </c>
      <c r="I3181" t="s">
        <v>1162</v>
      </c>
    </row>
    <row r="3182" spans="1:9" hidden="1" x14ac:dyDescent="0.3">
      <c r="A3182" t="s">
        <v>772</v>
      </c>
      <c r="B3182" s="46">
        <v>45401</v>
      </c>
      <c r="C3182" s="45">
        <v>7000</v>
      </c>
      <c r="D3182" t="s">
        <v>1354</v>
      </c>
      <c r="E3182" s="46">
        <v>45438</v>
      </c>
      <c r="F3182" s="45" t="s">
        <v>721</v>
      </c>
      <c r="I3182" t="s">
        <v>750</v>
      </c>
    </row>
    <row r="3183" spans="1:9" hidden="1" x14ac:dyDescent="0.3">
      <c r="A3183" t="s">
        <v>748</v>
      </c>
      <c r="B3183" s="46">
        <v>45401</v>
      </c>
      <c r="C3183" s="45">
        <v>7000</v>
      </c>
      <c r="D3183" t="s">
        <v>1354</v>
      </c>
      <c r="E3183" s="46">
        <v>45428</v>
      </c>
      <c r="F3183" s="45" t="s">
        <v>721</v>
      </c>
      <c r="I3183" t="s">
        <v>750</v>
      </c>
    </row>
    <row r="3184" spans="1:9" hidden="1" x14ac:dyDescent="0.3">
      <c r="A3184" t="s">
        <v>772</v>
      </c>
      <c r="B3184" s="46">
        <v>45306</v>
      </c>
      <c r="C3184" s="45">
        <v>7000</v>
      </c>
      <c r="D3184" t="s">
        <v>1354</v>
      </c>
      <c r="E3184" s="46">
        <v>45348</v>
      </c>
      <c r="F3184" s="45" t="s">
        <v>721</v>
      </c>
      <c r="I3184" t="s">
        <v>750</v>
      </c>
    </row>
    <row r="3185" spans="1:9" hidden="1" x14ac:dyDescent="0.3">
      <c r="A3185" t="s">
        <v>724</v>
      </c>
      <c r="B3185" s="46">
        <v>45321</v>
      </c>
      <c r="C3185" s="45">
        <v>7000</v>
      </c>
      <c r="D3185" t="s">
        <v>1232</v>
      </c>
      <c r="E3185" s="46">
        <v>45348</v>
      </c>
      <c r="F3185" s="45" t="s">
        <v>721</v>
      </c>
      <c r="I3185" t="s">
        <v>726</v>
      </c>
    </row>
    <row r="3186" spans="1:9" hidden="1" x14ac:dyDescent="0.3">
      <c r="A3186" t="s">
        <v>772</v>
      </c>
      <c r="B3186" s="46">
        <v>45322</v>
      </c>
      <c r="C3186" s="45">
        <v>7000</v>
      </c>
      <c r="D3186" t="s">
        <v>1354</v>
      </c>
      <c r="E3186" s="46">
        <v>45348</v>
      </c>
      <c r="F3186" s="45" t="s">
        <v>721</v>
      </c>
      <c r="I3186" t="s">
        <v>750</v>
      </c>
    </row>
    <row r="3187" spans="1:9" hidden="1" x14ac:dyDescent="0.3">
      <c r="A3187" t="s">
        <v>1281</v>
      </c>
      <c r="B3187" s="46">
        <v>45296</v>
      </c>
      <c r="C3187" s="45">
        <v>7000</v>
      </c>
      <c r="D3187" t="s">
        <v>1170</v>
      </c>
      <c r="E3187" s="46">
        <v>45348</v>
      </c>
      <c r="F3187" s="45" t="s">
        <v>721</v>
      </c>
      <c r="I3187" t="s">
        <v>1162</v>
      </c>
    </row>
    <row r="3188" spans="1:9" hidden="1" x14ac:dyDescent="0.3">
      <c r="A3188" t="s">
        <v>1281</v>
      </c>
      <c r="B3188" s="46">
        <v>45303</v>
      </c>
      <c r="C3188" s="45">
        <v>7000</v>
      </c>
      <c r="D3188" t="s">
        <v>1170</v>
      </c>
      <c r="E3188" s="46">
        <v>45348</v>
      </c>
      <c r="F3188" s="45" t="s">
        <v>721</v>
      </c>
      <c r="I3188" t="s">
        <v>1162</v>
      </c>
    </row>
    <row r="3189" spans="1:9" hidden="1" x14ac:dyDescent="0.3">
      <c r="A3189" t="s">
        <v>748</v>
      </c>
      <c r="B3189" s="46">
        <v>45329</v>
      </c>
      <c r="C3189" s="45">
        <v>7000</v>
      </c>
      <c r="D3189" t="s">
        <v>1235</v>
      </c>
      <c r="E3189" s="46">
        <v>45366</v>
      </c>
      <c r="F3189" s="45" t="s">
        <v>721</v>
      </c>
      <c r="I3189" t="s">
        <v>726</v>
      </c>
    </row>
    <row r="3190" spans="1:9" hidden="1" x14ac:dyDescent="0.3">
      <c r="A3190" t="s">
        <v>777</v>
      </c>
      <c r="B3190" s="46">
        <v>45317</v>
      </c>
      <c r="C3190" s="45">
        <v>7000</v>
      </c>
      <c r="D3190" t="s">
        <v>875</v>
      </c>
      <c r="E3190" s="46">
        <v>45366</v>
      </c>
      <c r="F3190" s="45" t="s">
        <v>721</v>
      </c>
      <c r="I3190" t="s">
        <v>818</v>
      </c>
    </row>
    <row r="3191" spans="1:9" hidden="1" x14ac:dyDescent="0.3">
      <c r="A3191" t="s">
        <v>1281</v>
      </c>
      <c r="B3191" s="46">
        <v>45324</v>
      </c>
      <c r="C3191" s="45">
        <v>7000</v>
      </c>
      <c r="D3191" t="s">
        <v>1170</v>
      </c>
      <c r="E3191" s="46">
        <v>45348</v>
      </c>
      <c r="F3191" s="45" t="s">
        <v>721</v>
      </c>
      <c r="I3191" t="s">
        <v>1162</v>
      </c>
    </row>
    <row r="3192" spans="1:9" hidden="1" x14ac:dyDescent="0.3">
      <c r="A3192" t="s">
        <v>727</v>
      </c>
      <c r="B3192" s="46">
        <v>45299</v>
      </c>
      <c r="C3192" s="45">
        <v>7000</v>
      </c>
      <c r="D3192" t="s">
        <v>1327</v>
      </c>
      <c r="E3192" s="46">
        <v>45337</v>
      </c>
      <c r="F3192" s="45" t="s">
        <v>721</v>
      </c>
      <c r="I3192" t="s">
        <v>726</v>
      </c>
    </row>
    <row r="3193" spans="1:9" hidden="1" x14ac:dyDescent="0.3">
      <c r="A3193" t="s">
        <v>1169</v>
      </c>
      <c r="B3193" s="46">
        <v>45383</v>
      </c>
      <c r="C3193" s="45">
        <v>7000</v>
      </c>
      <c r="D3193" t="s">
        <v>1239</v>
      </c>
      <c r="E3193" s="46">
        <v>45408</v>
      </c>
      <c r="F3193" s="45" t="s">
        <v>721</v>
      </c>
      <c r="I3193" t="s">
        <v>1162</v>
      </c>
    </row>
    <row r="3194" spans="1:9" hidden="1" x14ac:dyDescent="0.3">
      <c r="A3194" t="s">
        <v>775</v>
      </c>
      <c r="B3194" s="46">
        <v>45279</v>
      </c>
      <c r="C3194" s="45">
        <v>7000</v>
      </c>
      <c r="D3194" t="s">
        <v>1232</v>
      </c>
      <c r="E3194" s="46">
        <v>45307</v>
      </c>
      <c r="F3194" s="45" t="s">
        <v>721</v>
      </c>
      <c r="I3194" t="s">
        <v>726</v>
      </c>
    </row>
    <row r="3195" spans="1:9" hidden="1" x14ac:dyDescent="0.3">
      <c r="A3195" t="s">
        <v>1281</v>
      </c>
      <c r="B3195" s="46">
        <v>45288</v>
      </c>
      <c r="C3195" s="45">
        <v>7000</v>
      </c>
      <c r="D3195" t="s">
        <v>1170</v>
      </c>
      <c r="E3195" s="46">
        <v>45317</v>
      </c>
      <c r="F3195" s="45" t="s">
        <v>721</v>
      </c>
      <c r="I3195" t="s">
        <v>1162</v>
      </c>
    </row>
    <row r="3196" spans="1:9" hidden="1" x14ac:dyDescent="0.3">
      <c r="A3196" t="s">
        <v>1281</v>
      </c>
      <c r="B3196" s="46">
        <v>45282</v>
      </c>
      <c r="C3196" s="45">
        <v>7000</v>
      </c>
      <c r="D3196" t="s">
        <v>1170</v>
      </c>
      <c r="E3196" s="46">
        <v>45317</v>
      </c>
      <c r="F3196" s="45" t="s">
        <v>721</v>
      </c>
      <c r="I3196" t="s">
        <v>1162</v>
      </c>
    </row>
    <row r="3197" spans="1:9" hidden="1" x14ac:dyDescent="0.3">
      <c r="A3197" t="s">
        <v>761</v>
      </c>
      <c r="B3197" s="46">
        <v>45294</v>
      </c>
      <c r="C3197" s="45">
        <v>7000</v>
      </c>
      <c r="D3197" t="s">
        <v>1357</v>
      </c>
      <c r="E3197" s="46">
        <v>45317</v>
      </c>
      <c r="F3197" s="45" t="s">
        <v>721</v>
      </c>
      <c r="I3197" t="s">
        <v>2025</v>
      </c>
    </row>
    <row r="3198" spans="1:9" hidden="1" x14ac:dyDescent="0.3">
      <c r="A3198" t="s">
        <v>1281</v>
      </c>
      <c r="B3198" s="46">
        <v>45240</v>
      </c>
      <c r="C3198" s="45">
        <v>7000</v>
      </c>
      <c r="D3198" t="s">
        <v>1170</v>
      </c>
      <c r="E3198" s="46">
        <v>45286</v>
      </c>
      <c r="F3198" s="45" t="s">
        <v>721</v>
      </c>
      <c r="I3198" t="s">
        <v>1162</v>
      </c>
    </row>
    <row r="3199" spans="1:9" hidden="1" x14ac:dyDescent="0.3">
      <c r="A3199" t="s">
        <v>1281</v>
      </c>
      <c r="B3199" s="46">
        <v>45219</v>
      </c>
      <c r="C3199" s="45">
        <v>7000</v>
      </c>
      <c r="D3199" t="s">
        <v>1170</v>
      </c>
      <c r="E3199" s="46">
        <v>45256</v>
      </c>
      <c r="F3199" s="45" t="s">
        <v>721</v>
      </c>
      <c r="I3199" t="s">
        <v>1162</v>
      </c>
    </row>
    <row r="3200" spans="1:9" hidden="1" x14ac:dyDescent="0.3">
      <c r="A3200" t="s">
        <v>724</v>
      </c>
      <c r="B3200" s="46">
        <v>45222</v>
      </c>
      <c r="C3200" s="45">
        <v>7000</v>
      </c>
      <c r="D3200" t="s">
        <v>1232</v>
      </c>
      <c r="E3200" s="46">
        <v>45256</v>
      </c>
      <c r="F3200" s="45" t="s">
        <v>721</v>
      </c>
      <c r="I3200" t="s">
        <v>726</v>
      </c>
    </row>
    <row r="3201" spans="1:9" hidden="1" x14ac:dyDescent="0.3">
      <c r="A3201" t="s">
        <v>772</v>
      </c>
      <c r="B3201" s="46">
        <v>45225</v>
      </c>
      <c r="C3201" s="45">
        <v>7000</v>
      </c>
      <c r="D3201" t="s">
        <v>1055</v>
      </c>
      <c r="E3201" s="46">
        <v>45256</v>
      </c>
      <c r="F3201" s="45" t="s">
        <v>721</v>
      </c>
      <c r="I3201" t="s">
        <v>814</v>
      </c>
    </row>
    <row r="3202" spans="1:9" hidden="1" x14ac:dyDescent="0.3">
      <c r="A3202" t="s">
        <v>727</v>
      </c>
      <c r="B3202" s="46">
        <v>45218</v>
      </c>
      <c r="C3202" s="45">
        <v>7000</v>
      </c>
      <c r="D3202" t="s">
        <v>1000</v>
      </c>
      <c r="E3202" s="46">
        <v>45245</v>
      </c>
      <c r="F3202" s="45" t="s">
        <v>721</v>
      </c>
      <c r="I3202" t="s">
        <v>726</v>
      </c>
    </row>
    <row r="3203" spans="1:9" hidden="1" x14ac:dyDescent="0.3">
      <c r="A3203" t="s">
        <v>1281</v>
      </c>
      <c r="B3203" s="46">
        <v>45210</v>
      </c>
      <c r="C3203" s="45">
        <v>7000</v>
      </c>
      <c r="D3203" t="s">
        <v>1170</v>
      </c>
      <c r="E3203" s="46">
        <v>45256</v>
      </c>
      <c r="F3203" s="45" t="s">
        <v>721</v>
      </c>
      <c r="I3203" t="s">
        <v>1162</v>
      </c>
    </row>
    <row r="3204" spans="1:9" hidden="1" x14ac:dyDescent="0.3">
      <c r="A3204" t="s">
        <v>1281</v>
      </c>
      <c r="B3204" s="46">
        <v>45211</v>
      </c>
      <c r="C3204" s="45">
        <v>7000</v>
      </c>
      <c r="D3204" t="s">
        <v>1170</v>
      </c>
      <c r="E3204" s="46">
        <v>45256</v>
      </c>
      <c r="F3204" s="45" t="s">
        <v>721</v>
      </c>
      <c r="I3204" t="s">
        <v>1162</v>
      </c>
    </row>
    <row r="3205" spans="1:9" hidden="1" x14ac:dyDescent="0.3">
      <c r="A3205" t="s">
        <v>724</v>
      </c>
      <c r="B3205" s="46">
        <v>45152</v>
      </c>
      <c r="C3205" s="45">
        <v>7000</v>
      </c>
      <c r="D3205" t="s">
        <v>1232</v>
      </c>
      <c r="E3205" s="46">
        <v>45195</v>
      </c>
      <c r="F3205" s="45" t="s">
        <v>721</v>
      </c>
      <c r="I3205" t="s">
        <v>726</v>
      </c>
    </row>
    <row r="3206" spans="1:9" hidden="1" x14ac:dyDescent="0.3">
      <c r="A3206" t="s">
        <v>724</v>
      </c>
      <c r="B3206" s="46">
        <v>45154</v>
      </c>
      <c r="C3206" s="45">
        <v>7000</v>
      </c>
      <c r="D3206" t="s">
        <v>1232</v>
      </c>
      <c r="E3206" s="46">
        <v>45195</v>
      </c>
      <c r="F3206" s="45" t="s">
        <v>721</v>
      </c>
      <c r="I3206" t="s">
        <v>726</v>
      </c>
    </row>
    <row r="3207" spans="1:9" hidden="1" x14ac:dyDescent="0.3">
      <c r="A3207" t="s">
        <v>1281</v>
      </c>
      <c r="B3207" s="46">
        <v>45154</v>
      </c>
      <c r="C3207" s="45">
        <v>7000</v>
      </c>
      <c r="D3207" t="s">
        <v>1170</v>
      </c>
      <c r="E3207" s="46">
        <v>45195</v>
      </c>
      <c r="F3207" s="45" t="s">
        <v>721</v>
      </c>
      <c r="I3207" t="s">
        <v>1162</v>
      </c>
    </row>
    <row r="3208" spans="1:9" hidden="1" x14ac:dyDescent="0.3">
      <c r="A3208" t="s">
        <v>1281</v>
      </c>
      <c r="B3208" s="46">
        <v>45163</v>
      </c>
      <c r="C3208" s="45">
        <v>7000</v>
      </c>
      <c r="D3208" t="s">
        <v>1170</v>
      </c>
      <c r="E3208" s="46">
        <v>45195</v>
      </c>
      <c r="F3208" s="45" t="s">
        <v>721</v>
      </c>
      <c r="I3208" t="s">
        <v>1162</v>
      </c>
    </row>
    <row r="3209" spans="1:9" hidden="1" x14ac:dyDescent="0.3">
      <c r="A3209" t="s">
        <v>1281</v>
      </c>
      <c r="B3209" s="46">
        <v>45149</v>
      </c>
      <c r="C3209" s="45">
        <v>7000</v>
      </c>
      <c r="D3209" t="s">
        <v>1170</v>
      </c>
      <c r="E3209" s="46">
        <v>45195</v>
      </c>
      <c r="F3209" s="45" t="s">
        <v>721</v>
      </c>
      <c r="I3209" t="s">
        <v>1162</v>
      </c>
    </row>
    <row r="3210" spans="1:9" hidden="1" x14ac:dyDescent="0.3">
      <c r="A3210" t="s">
        <v>1281</v>
      </c>
      <c r="B3210" s="46">
        <v>45142</v>
      </c>
      <c r="C3210" s="45">
        <v>7000</v>
      </c>
      <c r="D3210" t="s">
        <v>1170</v>
      </c>
      <c r="E3210" s="46">
        <v>45195</v>
      </c>
      <c r="F3210" s="45" t="s">
        <v>721</v>
      </c>
      <c r="I3210" t="s">
        <v>1162</v>
      </c>
    </row>
    <row r="3211" spans="1:9" hidden="1" x14ac:dyDescent="0.3">
      <c r="A3211" t="s">
        <v>1281</v>
      </c>
      <c r="B3211" s="46">
        <v>45148</v>
      </c>
      <c r="C3211" s="45">
        <v>7000</v>
      </c>
      <c r="D3211" t="s">
        <v>1170</v>
      </c>
      <c r="E3211" s="46">
        <v>45195</v>
      </c>
      <c r="F3211" s="45" t="s">
        <v>721</v>
      </c>
      <c r="I3211" t="s">
        <v>1162</v>
      </c>
    </row>
    <row r="3212" spans="1:9" hidden="1" x14ac:dyDescent="0.3">
      <c r="A3212" t="s">
        <v>1281</v>
      </c>
      <c r="B3212" s="46">
        <v>45147</v>
      </c>
      <c r="C3212" s="45">
        <v>7000</v>
      </c>
      <c r="D3212" t="s">
        <v>1170</v>
      </c>
      <c r="E3212" s="46">
        <v>45195</v>
      </c>
      <c r="F3212" s="45" t="s">
        <v>721</v>
      </c>
      <c r="I3212" t="s">
        <v>1162</v>
      </c>
    </row>
    <row r="3213" spans="1:9" hidden="1" x14ac:dyDescent="0.3">
      <c r="A3213" t="s">
        <v>724</v>
      </c>
      <c r="B3213" s="46">
        <v>45225</v>
      </c>
      <c r="C3213" s="45">
        <v>7000</v>
      </c>
      <c r="D3213" t="s">
        <v>1332</v>
      </c>
      <c r="E3213" s="46">
        <v>45225</v>
      </c>
      <c r="F3213" s="45" t="s">
        <v>721</v>
      </c>
      <c r="I3213" t="s">
        <v>854</v>
      </c>
    </row>
    <row r="3214" spans="1:9" hidden="1" x14ac:dyDescent="0.3">
      <c r="A3214" t="s">
        <v>1281</v>
      </c>
      <c r="B3214" s="46">
        <v>45184</v>
      </c>
      <c r="C3214" s="45">
        <v>7000</v>
      </c>
      <c r="D3214" t="s">
        <v>1170</v>
      </c>
      <c r="E3214" s="46">
        <v>45225</v>
      </c>
      <c r="F3214" s="45" t="s">
        <v>721</v>
      </c>
      <c r="I3214" t="s">
        <v>1162</v>
      </c>
    </row>
    <row r="3215" spans="1:9" hidden="1" x14ac:dyDescent="0.3">
      <c r="A3215" t="s">
        <v>1281</v>
      </c>
      <c r="B3215" s="46">
        <v>45183</v>
      </c>
      <c r="C3215" s="45">
        <v>7000</v>
      </c>
      <c r="D3215" t="s">
        <v>1170</v>
      </c>
      <c r="E3215" s="46">
        <v>45225</v>
      </c>
      <c r="F3215" s="45" t="s">
        <v>721</v>
      </c>
      <c r="I3215" t="s">
        <v>1162</v>
      </c>
    </row>
    <row r="3216" spans="1:9" hidden="1" x14ac:dyDescent="0.3">
      <c r="A3216" t="s">
        <v>734</v>
      </c>
      <c r="B3216" s="46">
        <v>45127</v>
      </c>
      <c r="C3216" s="45">
        <v>7000</v>
      </c>
      <c r="D3216" t="s">
        <v>1359</v>
      </c>
      <c r="E3216" s="46">
        <v>45154</v>
      </c>
      <c r="F3216" s="45" t="s">
        <v>721</v>
      </c>
      <c r="I3216" t="s">
        <v>760</v>
      </c>
    </row>
    <row r="3217" spans="1:9" hidden="1" x14ac:dyDescent="0.3">
      <c r="A3217" t="s">
        <v>772</v>
      </c>
      <c r="B3217" s="46">
        <v>45133</v>
      </c>
      <c r="C3217" s="45">
        <v>7000</v>
      </c>
      <c r="D3217" t="s">
        <v>1332</v>
      </c>
      <c r="E3217" s="46">
        <v>45133</v>
      </c>
      <c r="F3217" s="45" t="s">
        <v>721</v>
      </c>
      <c r="I3217" t="s">
        <v>854</v>
      </c>
    </row>
    <row r="3218" spans="1:9" hidden="1" x14ac:dyDescent="0.3">
      <c r="A3218" t="s">
        <v>1281</v>
      </c>
      <c r="B3218" s="46">
        <v>45140</v>
      </c>
      <c r="C3218" s="45">
        <v>7000</v>
      </c>
      <c r="D3218" t="s">
        <v>1170</v>
      </c>
      <c r="E3218" s="46">
        <v>45164</v>
      </c>
      <c r="F3218" s="45" t="s">
        <v>721</v>
      </c>
      <c r="I3218" t="s">
        <v>1162</v>
      </c>
    </row>
    <row r="3219" spans="1:9" hidden="1" x14ac:dyDescent="0.3">
      <c r="A3219" t="s">
        <v>1281</v>
      </c>
      <c r="B3219" s="46">
        <v>45121</v>
      </c>
      <c r="C3219" s="45">
        <v>7000</v>
      </c>
      <c r="D3219" t="s">
        <v>1170</v>
      </c>
      <c r="E3219" s="46">
        <v>45164</v>
      </c>
      <c r="F3219" s="45" t="s">
        <v>721</v>
      </c>
      <c r="I3219" t="s">
        <v>1162</v>
      </c>
    </row>
    <row r="3220" spans="1:9" hidden="1" x14ac:dyDescent="0.3">
      <c r="A3220" t="s">
        <v>779</v>
      </c>
      <c r="B3220" s="46">
        <v>45146</v>
      </c>
      <c r="C3220" s="45">
        <v>7000</v>
      </c>
      <c r="D3220" t="s">
        <v>1353</v>
      </c>
      <c r="E3220" s="46">
        <v>45184</v>
      </c>
      <c r="F3220" s="45" t="s">
        <v>721</v>
      </c>
      <c r="I3220" t="s">
        <v>726</v>
      </c>
    </row>
    <row r="3221" spans="1:9" hidden="1" x14ac:dyDescent="0.3">
      <c r="A3221" t="s">
        <v>1338</v>
      </c>
      <c r="B3221" s="46">
        <v>45428</v>
      </c>
      <c r="C3221" s="45">
        <v>6980</v>
      </c>
      <c r="D3221" t="s">
        <v>1342</v>
      </c>
      <c r="E3221" s="46">
        <v>45469</v>
      </c>
      <c r="F3221" s="45" t="s">
        <v>721</v>
      </c>
      <c r="I3221" t="s">
        <v>1162</v>
      </c>
    </row>
    <row r="3222" spans="1:9" hidden="1" x14ac:dyDescent="0.3">
      <c r="A3222" t="s">
        <v>729</v>
      </c>
      <c r="B3222" s="46">
        <v>45126</v>
      </c>
      <c r="C3222" s="45">
        <v>6960</v>
      </c>
      <c r="D3222" t="s">
        <v>1360</v>
      </c>
      <c r="E3222" s="46">
        <v>45154</v>
      </c>
      <c r="F3222" s="45" t="s">
        <v>721</v>
      </c>
      <c r="I3222" t="s">
        <v>762</v>
      </c>
    </row>
    <row r="3223" spans="1:9" hidden="1" x14ac:dyDescent="0.3">
      <c r="A3223" t="s">
        <v>729</v>
      </c>
      <c r="B3223" s="46">
        <v>45240</v>
      </c>
      <c r="C3223" s="45">
        <v>6900</v>
      </c>
      <c r="D3223" t="s">
        <v>1231</v>
      </c>
      <c r="E3223" s="46">
        <v>45275</v>
      </c>
      <c r="F3223" s="45" t="s">
        <v>721</v>
      </c>
      <c r="I3223" t="s">
        <v>762</v>
      </c>
    </row>
    <row r="3224" spans="1:9" hidden="1" x14ac:dyDescent="0.3">
      <c r="A3224" t="s">
        <v>1238</v>
      </c>
      <c r="B3224" s="46">
        <v>45232</v>
      </c>
      <c r="C3224" s="45">
        <v>6800</v>
      </c>
      <c r="D3224" t="s">
        <v>1286</v>
      </c>
      <c r="E3224" s="46">
        <v>45256</v>
      </c>
      <c r="F3224" s="45" t="s">
        <v>721</v>
      </c>
      <c r="I3224" t="s">
        <v>1162</v>
      </c>
    </row>
    <row r="3225" spans="1:9" hidden="1" x14ac:dyDescent="0.3">
      <c r="A3225" t="s">
        <v>734</v>
      </c>
      <c r="B3225" s="46">
        <v>45323</v>
      </c>
      <c r="C3225" s="45">
        <v>6800</v>
      </c>
      <c r="D3225" t="s">
        <v>1225</v>
      </c>
      <c r="E3225" s="46">
        <v>45366</v>
      </c>
      <c r="F3225" s="45" t="s">
        <v>721</v>
      </c>
      <c r="I3225" t="s">
        <v>726</v>
      </c>
    </row>
    <row r="3226" spans="1:9" hidden="1" x14ac:dyDescent="0.3">
      <c r="A3226" t="s">
        <v>1238</v>
      </c>
      <c r="B3226" s="46">
        <v>45440</v>
      </c>
      <c r="C3226" s="45">
        <v>6700</v>
      </c>
      <c r="D3226" t="s">
        <v>1161</v>
      </c>
      <c r="E3226" s="46">
        <v>45469</v>
      </c>
      <c r="F3226" s="45" t="s">
        <v>721</v>
      </c>
      <c r="I3226" t="s">
        <v>1162</v>
      </c>
    </row>
    <row r="3227" spans="1:9" hidden="1" x14ac:dyDescent="0.3">
      <c r="A3227" t="s">
        <v>1160</v>
      </c>
      <c r="B3227" s="46">
        <v>45440</v>
      </c>
      <c r="C3227" s="45">
        <v>6700</v>
      </c>
      <c r="D3227" t="s">
        <v>1286</v>
      </c>
      <c r="E3227" s="46">
        <v>45469</v>
      </c>
      <c r="F3227" s="45" t="s">
        <v>721</v>
      </c>
      <c r="I3227" t="s">
        <v>1162</v>
      </c>
    </row>
    <row r="3228" spans="1:9" hidden="1" x14ac:dyDescent="0.3">
      <c r="A3228" t="s">
        <v>775</v>
      </c>
      <c r="B3228" s="46">
        <v>45154</v>
      </c>
      <c r="C3228" s="45">
        <v>6660</v>
      </c>
      <c r="D3228" t="s">
        <v>1031</v>
      </c>
      <c r="E3228" s="46">
        <v>45184</v>
      </c>
      <c r="F3228" s="45" t="s">
        <v>721</v>
      </c>
      <c r="I3228" t="s">
        <v>726</v>
      </c>
    </row>
    <row r="3229" spans="1:9" hidden="1" x14ac:dyDescent="0.3">
      <c r="A3229" t="s">
        <v>775</v>
      </c>
      <c r="B3229" s="46">
        <v>45186</v>
      </c>
      <c r="C3229" s="45">
        <v>6660</v>
      </c>
      <c r="D3229" t="s">
        <v>1031</v>
      </c>
      <c r="E3229" s="46">
        <v>45215</v>
      </c>
      <c r="F3229" s="45" t="s">
        <v>721</v>
      </c>
      <c r="I3229" t="s">
        <v>726</v>
      </c>
    </row>
    <row r="3230" spans="1:9" hidden="1" x14ac:dyDescent="0.3">
      <c r="A3230" t="s">
        <v>1338</v>
      </c>
      <c r="B3230" s="46">
        <v>45138</v>
      </c>
      <c r="C3230" s="45">
        <v>6600</v>
      </c>
      <c r="D3230" t="s">
        <v>1229</v>
      </c>
      <c r="E3230" s="46">
        <v>45164</v>
      </c>
      <c r="F3230" s="45" t="s">
        <v>721</v>
      </c>
      <c r="I3230" t="s">
        <v>1162</v>
      </c>
    </row>
    <row r="3231" spans="1:9" hidden="1" x14ac:dyDescent="0.3">
      <c r="A3231" t="s">
        <v>761</v>
      </c>
      <c r="B3231" s="46">
        <v>45138</v>
      </c>
      <c r="C3231" s="45">
        <v>6600</v>
      </c>
      <c r="D3231" t="s">
        <v>1194</v>
      </c>
      <c r="E3231" s="46">
        <v>45164</v>
      </c>
      <c r="F3231" s="45" t="s">
        <v>721</v>
      </c>
      <c r="I3231" t="s">
        <v>726</v>
      </c>
    </row>
    <row r="3232" spans="1:9" hidden="1" x14ac:dyDescent="0.3">
      <c r="A3232" t="s">
        <v>1281</v>
      </c>
      <c r="B3232" s="46">
        <v>45390</v>
      </c>
      <c r="C3232" s="45">
        <v>6600</v>
      </c>
      <c r="D3232" t="s">
        <v>1161</v>
      </c>
      <c r="E3232" s="46">
        <v>45438</v>
      </c>
      <c r="F3232" s="45" t="s">
        <v>721</v>
      </c>
      <c r="I3232" t="s">
        <v>1162</v>
      </c>
    </row>
    <row r="3233" spans="1:9" hidden="1" x14ac:dyDescent="0.3">
      <c r="A3233" t="s">
        <v>722</v>
      </c>
      <c r="B3233" s="46">
        <v>45344</v>
      </c>
      <c r="C3233" s="45">
        <v>6500</v>
      </c>
      <c r="D3233" t="s">
        <v>830</v>
      </c>
      <c r="E3233" s="46">
        <v>45366</v>
      </c>
      <c r="F3233" s="45" t="s">
        <v>721</v>
      </c>
      <c r="I3233" t="s">
        <v>726</v>
      </c>
    </row>
    <row r="3234" spans="1:9" hidden="1" x14ac:dyDescent="0.3">
      <c r="A3234" t="s">
        <v>724</v>
      </c>
      <c r="B3234" s="46">
        <v>45330</v>
      </c>
      <c r="C3234" s="45">
        <v>6500</v>
      </c>
      <c r="D3234" t="s">
        <v>1057</v>
      </c>
      <c r="E3234" s="46">
        <v>45377</v>
      </c>
      <c r="F3234" s="45" t="s">
        <v>721</v>
      </c>
      <c r="I3234" t="s">
        <v>726</v>
      </c>
    </row>
    <row r="3235" spans="1:9" hidden="1" x14ac:dyDescent="0.3">
      <c r="A3235" t="s">
        <v>1269</v>
      </c>
      <c r="B3235" s="46">
        <v>45350</v>
      </c>
      <c r="C3235" s="45">
        <v>6500</v>
      </c>
      <c r="D3235" t="s">
        <v>1342</v>
      </c>
      <c r="E3235" s="46">
        <v>45377</v>
      </c>
      <c r="F3235" s="45" t="s">
        <v>721</v>
      </c>
      <c r="I3235" t="s">
        <v>1162</v>
      </c>
    </row>
    <row r="3236" spans="1:9" hidden="1" x14ac:dyDescent="0.3">
      <c r="A3236" t="s">
        <v>779</v>
      </c>
      <c r="B3236" s="46">
        <v>45401</v>
      </c>
      <c r="C3236" s="45">
        <v>6500</v>
      </c>
      <c r="D3236" t="s">
        <v>2141</v>
      </c>
      <c r="E3236" s="46">
        <v>45428</v>
      </c>
      <c r="F3236" s="45" t="s">
        <v>721</v>
      </c>
      <c r="G3236">
        <v>0</v>
      </c>
      <c r="I3236" t="s">
        <v>2027</v>
      </c>
    </row>
    <row r="3237" spans="1:9" hidden="1" x14ac:dyDescent="0.3">
      <c r="A3237" t="s">
        <v>734</v>
      </c>
      <c r="B3237" s="46">
        <v>45156</v>
      </c>
      <c r="C3237" s="45">
        <v>6500</v>
      </c>
      <c r="D3237" t="s">
        <v>785</v>
      </c>
      <c r="E3237" s="46">
        <v>45184</v>
      </c>
      <c r="F3237" s="45" t="s">
        <v>721</v>
      </c>
      <c r="I3237" t="s">
        <v>760</v>
      </c>
    </row>
    <row r="3238" spans="1:9" hidden="1" x14ac:dyDescent="0.3">
      <c r="A3238" t="s">
        <v>748</v>
      </c>
      <c r="B3238" s="46">
        <v>45176</v>
      </c>
      <c r="C3238" s="45">
        <v>6500</v>
      </c>
      <c r="D3238" t="s">
        <v>1361</v>
      </c>
      <c r="E3238" s="46">
        <v>45215</v>
      </c>
      <c r="F3238" s="45" t="s">
        <v>721</v>
      </c>
      <c r="I3238" t="s">
        <v>1148</v>
      </c>
    </row>
    <row r="3239" spans="1:9" hidden="1" x14ac:dyDescent="0.3">
      <c r="A3239" t="s">
        <v>1160</v>
      </c>
      <c r="B3239" s="46">
        <v>45163</v>
      </c>
      <c r="C3239" s="45">
        <v>6500</v>
      </c>
      <c r="D3239" t="s">
        <v>1161</v>
      </c>
      <c r="E3239" s="46">
        <v>45195</v>
      </c>
      <c r="F3239" s="45" t="s">
        <v>721</v>
      </c>
      <c r="I3239" t="s">
        <v>1162</v>
      </c>
    </row>
    <row r="3240" spans="1:9" hidden="1" x14ac:dyDescent="0.3">
      <c r="A3240" t="s">
        <v>734</v>
      </c>
      <c r="B3240" s="46">
        <v>45286</v>
      </c>
      <c r="C3240" s="45">
        <v>6500</v>
      </c>
      <c r="D3240" t="s">
        <v>1064</v>
      </c>
      <c r="E3240" s="46">
        <v>45306</v>
      </c>
      <c r="F3240" s="45" t="s">
        <v>721</v>
      </c>
      <c r="I3240" t="s">
        <v>760</v>
      </c>
    </row>
    <row r="3241" spans="1:9" hidden="1" x14ac:dyDescent="0.3">
      <c r="A3241" t="s">
        <v>722</v>
      </c>
      <c r="B3241" s="46">
        <v>45118</v>
      </c>
      <c r="C3241" s="45">
        <v>6440</v>
      </c>
      <c r="D3241" t="s">
        <v>735</v>
      </c>
      <c r="E3241" s="46">
        <v>45154</v>
      </c>
      <c r="F3241" s="45" t="s">
        <v>721</v>
      </c>
      <c r="I3241" t="s">
        <v>782</v>
      </c>
    </row>
    <row r="3242" spans="1:9" hidden="1" x14ac:dyDescent="0.3">
      <c r="A3242" t="s">
        <v>722</v>
      </c>
      <c r="B3242" s="46">
        <v>45288</v>
      </c>
      <c r="C3242" s="45">
        <v>6410</v>
      </c>
      <c r="D3242" t="s">
        <v>771</v>
      </c>
      <c r="E3242" s="46">
        <v>45306</v>
      </c>
      <c r="F3242" s="45" t="s">
        <v>721</v>
      </c>
      <c r="I3242" t="s">
        <v>756</v>
      </c>
    </row>
    <row r="3243" spans="1:9" hidden="1" x14ac:dyDescent="0.3">
      <c r="A3243" t="s">
        <v>772</v>
      </c>
      <c r="B3243" s="46">
        <v>45169</v>
      </c>
      <c r="C3243" s="45">
        <v>6400</v>
      </c>
      <c r="D3243" t="s">
        <v>820</v>
      </c>
      <c r="E3243" s="46">
        <v>45195</v>
      </c>
      <c r="F3243" s="45" t="s">
        <v>721</v>
      </c>
      <c r="I3243" t="s">
        <v>726</v>
      </c>
    </row>
    <row r="3244" spans="1:9" hidden="1" x14ac:dyDescent="0.3">
      <c r="A3244" t="s">
        <v>1281</v>
      </c>
      <c r="B3244" s="46">
        <v>45345</v>
      </c>
      <c r="C3244" s="45">
        <v>6400</v>
      </c>
      <c r="D3244" t="s">
        <v>1170</v>
      </c>
      <c r="E3244" s="46">
        <v>45377</v>
      </c>
      <c r="F3244" s="45" t="s">
        <v>721</v>
      </c>
      <c r="I3244" t="s">
        <v>1162</v>
      </c>
    </row>
    <row r="3245" spans="1:9" hidden="1" x14ac:dyDescent="0.3">
      <c r="A3245" t="s">
        <v>1281</v>
      </c>
      <c r="B3245" s="46">
        <v>45335</v>
      </c>
      <c r="C3245" s="45">
        <v>6400</v>
      </c>
      <c r="D3245" t="s">
        <v>1170</v>
      </c>
      <c r="E3245" s="46">
        <v>45377</v>
      </c>
      <c r="F3245" s="45" t="s">
        <v>721</v>
      </c>
      <c r="I3245" t="s">
        <v>1162</v>
      </c>
    </row>
    <row r="3246" spans="1:9" hidden="1" x14ac:dyDescent="0.3">
      <c r="A3246" t="s">
        <v>1281</v>
      </c>
      <c r="B3246" s="46">
        <v>45373</v>
      </c>
      <c r="C3246" s="45">
        <v>6400</v>
      </c>
      <c r="D3246" t="s">
        <v>1161</v>
      </c>
      <c r="E3246" s="46">
        <v>45408</v>
      </c>
      <c r="F3246" s="45" t="s">
        <v>721</v>
      </c>
      <c r="I3246" t="s">
        <v>1162</v>
      </c>
    </row>
    <row r="3247" spans="1:9" hidden="1" x14ac:dyDescent="0.3">
      <c r="A3247" t="s">
        <v>1281</v>
      </c>
      <c r="B3247" s="46">
        <v>45387</v>
      </c>
      <c r="C3247" s="45">
        <v>6400</v>
      </c>
      <c r="D3247" t="s">
        <v>1170</v>
      </c>
      <c r="E3247" s="46">
        <v>45438</v>
      </c>
      <c r="F3247" s="45" t="s">
        <v>721</v>
      </c>
      <c r="I3247" t="s">
        <v>1162</v>
      </c>
    </row>
    <row r="3248" spans="1:9" hidden="1" x14ac:dyDescent="0.3">
      <c r="A3248" t="s">
        <v>1269</v>
      </c>
      <c r="B3248" s="46">
        <v>45412</v>
      </c>
      <c r="C3248" s="45">
        <v>6400</v>
      </c>
      <c r="D3248" t="s">
        <v>1342</v>
      </c>
      <c r="E3248" s="46">
        <v>45438</v>
      </c>
      <c r="F3248" s="45" t="s">
        <v>721</v>
      </c>
      <c r="I3248" t="s">
        <v>1162</v>
      </c>
    </row>
    <row r="3249" spans="1:9" hidden="1" x14ac:dyDescent="0.3">
      <c r="A3249" t="s">
        <v>1281</v>
      </c>
      <c r="B3249" s="46">
        <v>45411</v>
      </c>
      <c r="C3249" s="45">
        <v>6200</v>
      </c>
      <c r="D3249" t="s">
        <v>1170</v>
      </c>
      <c r="E3249" s="46">
        <v>45438</v>
      </c>
      <c r="F3249" s="45" t="s">
        <v>721</v>
      </c>
      <c r="I3249" t="s">
        <v>1162</v>
      </c>
    </row>
    <row r="3250" spans="1:9" hidden="1" x14ac:dyDescent="0.3">
      <c r="A3250" t="s">
        <v>1281</v>
      </c>
      <c r="B3250" s="46">
        <v>45408</v>
      </c>
      <c r="C3250" s="45">
        <v>6200</v>
      </c>
      <c r="D3250" t="s">
        <v>1170</v>
      </c>
      <c r="E3250" s="46">
        <v>45438</v>
      </c>
      <c r="F3250" s="45" t="s">
        <v>721</v>
      </c>
      <c r="I3250" t="s">
        <v>1162</v>
      </c>
    </row>
    <row r="3251" spans="1:9" hidden="1" x14ac:dyDescent="0.3">
      <c r="A3251" t="s">
        <v>1281</v>
      </c>
      <c r="B3251" s="46">
        <v>45404</v>
      </c>
      <c r="C3251" s="45">
        <v>6200</v>
      </c>
      <c r="D3251" t="s">
        <v>1170</v>
      </c>
      <c r="E3251" s="46">
        <v>45438</v>
      </c>
      <c r="F3251" s="45" t="s">
        <v>721</v>
      </c>
      <c r="I3251" t="s">
        <v>1162</v>
      </c>
    </row>
    <row r="3252" spans="1:9" hidden="1" x14ac:dyDescent="0.3">
      <c r="A3252" t="s">
        <v>1281</v>
      </c>
      <c r="B3252" s="46">
        <v>45421</v>
      </c>
      <c r="C3252" s="45">
        <v>6200</v>
      </c>
      <c r="D3252" t="s">
        <v>1170</v>
      </c>
      <c r="E3252" s="46">
        <v>45469</v>
      </c>
      <c r="F3252" s="45" t="s">
        <v>721</v>
      </c>
      <c r="I3252" t="s">
        <v>1162</v>
      </c>
    </row>
    <row r="3253" spans="1:9" hidden="1" x14ac:dyDescent="0.3">
      <c r="A3253" t="s">
        <v>1281</v>
      </c>
      <c r="B3253" s="46">
        <v>45434</v>
      </c>
      <c r="C3253" s="45">
        <v>6200</v>
      </c>
      <c r="D3253" t="s">
        <v>1170</v>
      </c>
      <c r="E3253" s="46">
        <v>45469</v>
      </c>
      <c r="F3253" s="45" t="s">
        <v>721</v>
      </c>
      <c r="I3253" t="s">
        <v>1162</v>
      </c>
    </row>
    <row r="3254" spans="1:9" hidden="1" x14ac:dyDescent="0.3">
      <c r="A3254" t="s">
        <v>1281</v>
      </c>
      <c r="B3254" s="46">
        <v>45371</v>
      </c>
      <c r="C3254" s="45">
        <v>6200</v>
      </c>
      <c r="D3254" t="s">
        <v>1170</v>
      </c>
      <c r="E3254" s="46">
        <v>45408</v>
      </c>
      <c r="F3254" s="45" t="s">
        <v>721</v>
      </c>
      <c r="I3254" t="s">
        <v>1162</v>
      </c>
    </row>
    <row r="3255" spans="1:9" hidden="1" x14ac:dyDescent="0.3">
      <c r="A3255" t="s">
        <v>1281</v>
      </c>
      <c r="B3255" s="46">
        <v>45366</v>
      </c>
      <c r="C3255" s="45">
        <v>6200</v>
      </c>
      <c r="D3255" t="s">
        <v>1170</v>
      </c>
      <c r="E3255" s="46">
        <v>45408</v>
      </c>
      <c r="F3255" s="45" t="s">
        <v>721</v>
      </c>
      <c r="I3255" t="s">
        <v>1162</v>
      </c>
    </row>
    <row r="3256" spans="1:9" hidden="1" x14ac:dyDescent="0.3">
      <c r="A3256" t="s">
        <v>1281</v>
      </c>
      <c r="B3256" s="46">
        <v>45364</v>
      </c>
      <c r="C3256" s="45">
        <v>6200</v>
      </c>
      <c r="D3256" t="s">
        <v>1170</v>
      </c>
      <c r="E3256" s="46">
        <v>45408</v>
      </c>
      <c r="F3256" s="45" t="s">
        <v>721</v>
      </c>
      <c r="I3256" t="s">
        <v>1162</v>
      </c>
    </row>
    <row r="3257" spans="1:9" hidden="1" x14ac:dyDescent="0.3">
      <c r="A3257" t="s">
        <v>1281</v>
      </c>
      <c r="B3257" s="46">
        <v>45357</v>
      </c>
      <c r="C3257" s="45">
        <v>6200</v>
      </c>
      <c r="D3257" t="s">
        <v>1170</v>
      </c>
      <c r="E3257" s="46">
        <v>45408</v>
      </c>
      <c r="F3257" s="45" t="s">
        <v>721</v>
      </c>
      <c r="I3257" t="s">
        <v>1162</v>
      </c>
    </row>
    <row r="3258" spans="1:9" hidden="1" x14ac:dyDescent="0.3">
      <c r="A3258" t="s">
        <v>1281</v>
      </c>
      <c r="B3258" s="46">
        <v>45329</v>
      </c>
      <c r="C3258" s="45">
        <v>6200</v>
      </c>
      <c r="D3258" t="s">
        <v>1170</v>
      </c>
      <c r="E3258" s="46">
        <v>45377</v>
      </c>
      <c r="F3258" s="45" t="s">
        <v>721</v>
      </c>
      <c r="I3258" t="s">
        <v>1162</v>
      </c>
    </row>
    <row r="3259" spans="1:9" hidden="1" x14ac:dyDescent="0.3">
      <c r="A3259" t="s">
        <v>1281</v>
      </c>
      <c r="B3259" s="46">
        <v>45344</v>
      </c>
      <c r="C3259" s="45">
        <v>6200</v>
      </c>
      <c r="D3259" t="s">
        <v>1170</v>
      </c>
      <c r="E3259" s="46">
        <v>45377</v>
      </c>
      <c r="F3259" s="45" t="s">
        <v>721</v>
      </c>
      <c r="I3259" t="s">
        <v>1162</v>
      </c>
    </row>
    <row r="3260" spans="1:9" hidden="1" x14ac:dyDescent="0.3">
      <c r="A3260" t="s">
        <v>1281</v>
      </c>
      <c r="B3260" s="46">
        <v>45414</v>
      </c>
      <c r="C3260" s="45">
        <v>6200</v>
      </c>
      <c r="D3260" t="s">
        <v>1170</v>
      </c>
      <c r="E3260" s="46">
        <v>45438</v>
      </c>
      <c r="F3260" s="45" t="s">
        <v>721</v>
      </c>
      <c r="I3260" t="s">
        <v>1162</v>
      </c>
    </row>
    <row r="3261" spans="1:9" hidden="1" x14ac:dyDescent="0.3">
      <c r="A3261" t="s">
        <v>1281</v>
      </c>
      <c r="B3261" s="46">
        <v>45295</v>
      </c>
      <c r="C3261" s="45">
        <v>6200</v>
      </c>
      <c r="D3261" t="s">
        <v>1170</v>
      </c>
      <c r="E3261" s="46">
        <v>45348</v>
      </c>
      <c r="F3261" s="45" t="s">
        <v>721</v>
      </c>
      <c r="I3261" t="s">
        <v>1162</v>
      </c>
    </row>
    <row r="3262" spans="1:9" hidden="1" x14ac:dyDescent="0.3">
      <c r="A3262" t="s">
        <v>1281</v>
      </c>
      <c r="B3262" s="46">
        <v>45302</v>
      </c>
      <c r="C3262" s="45">
        <v>6200</v>
      </c>
      <c r="D3262" t="s">
        <v>1170</v>
      </c>
      <c r="E3262" s="46">
        <v>45348</v>
      </c>
      <c r="F3262" s="45" t="s">
        <v>721</v>
      </c>
      <c r="I3262" t="s">
        <v>1162</v>
      </c>
    </row>
    <row r="3263" spans="1:9" hidden="1" x14ac:dyDescent="0.3">
      <c r="A3263" t="s">
        <v>1281</v>
      </c>
      <c r="B3263" s="46">
        <v>45301</v>
      </c>
      <c r="C3263" s="45">
        <v>6200</v>
      </c>
      <c r="D3263" t="s">
        <v>1170</v>
      </c>
      <c r="E3263" s="46">
        <v>45348</v>
      </c>
      <c r="F3263" s="45" t="s">
        <v>721</v>
      </c>
      <c r="I3263" t="s">
        <v>1162</v>
      </c>
    </row>
    <row r="3264" spans="1:9" hidden="1" x14ac:dyDescent="0.3">
      <c r="A3264" t="s">
        <v>1281</v>
      </c>
      <c r="B3264" s="46">
        <v>45317</v>
      </c>
      <c r="C3264" s="45">
        <v>6200</v>
      </c>
      <c r="D3264" t="s">
        <v>1170</v>
      </c>
      <c r="E3264" s="46">
        <v>45348</v>
      </c>
      <c r="F3264" s="45" t="s">
        <v>721</v>
      </c>
      <c r="I3264" t="s">
        <v>1162</v>
      </c>
    </row>
    <row r="3265" spans="1:9" hidden="1" x14ac:dyDescent="0.3">
      <c r="A3265" t="s">
        <v>1281</v>
      </c>
      <c r="B3265" s="46">
        <v>45315</v>
      </c>
      <c r="C3265" s="45">
        <v>6200</v>
      </c>
      <c r="D3265" t="s">
        <v>1170</v>
      </c>
      <c r="E3265" s="46">
        <v>45348</v>
      </c>
      <c r="F3265" s="45" t="s">
        <v>721</v>
      </c>
      <c r="I3265" t="s">
        <v>1162</v>
      </c>
    </row>
    <row r="3266" spans="1:9" hidden="1" x14ac:dyDescent="0.3">
      <c r="A3266" t="s">
        <v>1269</v>
      </c>
      <c r="B3266" s="46">
        <v>45313</v>
      </c>
      <c r="C3266" s="45">
        <v>6200</v>
      </c>
      <c r="D3266" t="s">
        <v>1181</v>
      </c>
      <c r="E3266" s="46">
        <v>45348</v>
      </c>
      <c r="F3266" s="45" t="s">
        <v>721</v>
      </c>
      <c r="I3266" t="s">
        <v>1162</v>
      </c>
    </row>
    <row r="3267" spans="1:9" hidden="1" x14ac:dyDescent="0.3">
      <c r="A3267" t="s">
        <v>1281</v>
      </c>
      <c r="B3267" s="46">
        <v>45309</v>
      </c>
      <c r="C3267" s="45">
        <v>6200</v>
      </c>
      <c r="D3267" t="s">
        <v>1170</v>
      </c>
      <c r="E3267" s="46">
        <v>45348</v>
      </c>
      <c r="F3267" s="45" t="s">
        <v>721</v>
      </c>
      <c r="I3267" t="s">
        <v>1162</v>
      </c>
    </row>
    <row r="3268" spans="1:9" hidden="1" x14ac:dyDescent="0.3">
      <c r="A3268" t="s">
        <v>1281</v>
      </c>
      <c r="B3268" s="46">
        <v>45308</v>
      </c>
      <c r="C3268" s="45">
        <v>6200</v>
      </c>
      <c r="D3268" t="s">
        <v>1170</v>
      </c>
      <c r="E3268" s="46">
        <v>45348</v>
      </c>
      <c r="F3268" s="45" t="s">
        <v>721</v>
      </c>
      <c r="I3268" t="s">
        <v>1162</v>
      </c>
    </row>
    <row r="3269" spans="1:9" hidden="1" x14ac:dyDescent="0.3">
      <c r="A3269" t="s">
        <v>1281</v>
      </c>
      <c r="B3269" s="46">
        <v>45322</v>
      </c>
      <c r="C3269" s="45">
        <v>6200</v>
      </c>
      <c r="D3269" t="s">
        <v>1170</v>
      </c>
      <c r="E3269" s="46">
        <v>45348</v>
      </c>
      <c r="F3269" s="45" t="s">
        <v>721</v>
      </c>
      <c r="I3269" t="s">
        <v>1162</v>
      </c>
    </row>
    <row r="3270" spans="1:9" hidden="1" x14ac:dyDescent="0.3">
      <c r="A3270" t="s">
        <v>767</v>
      </c>
      <c r="B3270" s="46">
        <v>45295</v>
      </c>
      <c r="C3270" s="45">
        <v>6200</v>
      </c>
      <c r="D3270" t="s">
        <v>1173</v>
      </c>
      <c r="E3270" s="46">
        <v>45337</v>
      </c>
      <c r="F3270" s="45" t="s">
        <v>721</v>
      </c>
      <c r="I3270" t="s">
        <v>726</v>
      </c>
    </row>
    <row r="3271" spans="1:9" hidden="1" x14ac:dyDescent="0.3">
      <c r="A3271" t="s">
        <v>1281</v>
      </c>
      <c r="B3271" s="46">
        <v>45168</v>
      </c>
      <c r="C3271" s="45">
        <v>6200</v>
      </c>
      <c r="D3271" t="s">
        <v>1170</v>
      </c>
      <c r="E3271" s="46">
        <v>45195</v>
      </c>
      <c r="F3271" s="45" t="s">
        <v>721</v>
      </c>
      <c r="I3271" t="s">
        <v>1162</v>
      </c>
    </row>
    <row r="3272" spans="1:9" hidden="1" x14ac:dyDescent="0.3">
      <c r="A3272" t="s">
        <v>1281</v>
      </c>
      <c r="B3272" s="46">
        <v>45126</v>
      </c>
      <c r="C3272" s="45">
        <v>6200</v>
      </c>
      <c r="D3272" t="s">
        <v>1170</v>
      </c>
      <c r="E3272" s="46">
        <v>45164</v>
      </c>
      <c r="F3272" s="45" t="s">
        <v>721</v>
      </c>
      <c r="I3272" t="s">
        <v>1162</v>
      </c>
    </row>
    <row r="3273" spans="1:9" hidden="1" x14ac:dyDescent="0.3">
      <c r="A3273" t="s">
        <v>1281</v>
      </c>
      <c r="B3273" s="46">
        <v>45161</v>
      </c>
      <c r="C3273" s="45">
        <v>6200</v>
      </c>
      <c r="D3273" t="s">
        <v>1170</v>
      </c>
      <c r="E3273" s="46">
        <v>45195</v>
      </c>
      <c r="F3273" s="45" t="s">
        <v>721</v>
      </c>
      <c r="I3273" t="s">
        <v>1162</v>
      </c>
    </row>
    <row r="3274" spans="1:9" hidden="1" x14ac:dyDescent="0.3">
      <c r="A3274" t="s">
        <v>1281</v>
      </c>
      <c r="B3274" s="46">
        <v>45156</v>
      </c>
      <c r="C3274" s="45">
        <v>6200</v>
      </c>
      <c r="D3274" t="s">
        <v>1170</v>
      </c>
      <c r="E3274" s="46">
        <v>45195</v>
      </c>
      <c r="F3274" s="45" t="s">
        <v>721</v>
      </c>
      <c r="I3274" t="s">
        <v>1162</v>
      </c>
    </row>
    <row r="3275" spans="1:9" hidden="1" x14ac:dyDescent="0.3">
      <c r="A3275" t="s">
        <v>1281</v>
      </c>
      <c r="B3275" s="46">
        <v>45175</v>
      </c>
      <c r="C3275" s="45">
        <v>6200</v>
      </c>
      <c r="D3275" t="s">
        <v>1170</v>
      </c>
      <c r="E3275" s="46">
        <v>45225</v>
      </c>
      <c r="F3275" s="45" t="s">
        <v>721</v>
      </c>
      <c r="I3275" t="s">
        <v>1162</v>
      </c>
    </row>
    <row r="3276" spans="1:9" hidden="1" x14ac:dyDescent="0.3">
      <c r="A3276" t="s">
        <v>1281</v>
      </c>
      <c r="B3276" s="46">
        <v>45191</v>
      </c>
      <c r="C3276" s="45">
        <v>6200</v>
      </c>
      <c r="D3276" t="s">
        <v>1170</v>
      </c>
      <c r="E3276" s="46">
        <v>45225</v>
      </c>
      <c r="F3276" s="45" t="s">
        <v>721</v>
      </c>
      <c r="I3276" t="s">
        <v>1162</v>
      </c>
    </row>
    <row r="3277" spans="1:9" hidden="1" x14ac:dyDescent="0.3">
      <c r="A3277" t="s">
        <v>1281</v>
      </c>
      <c r="B3277" s="46">
        <v>45189</v>
      </c>
      <c r="C3277" s="45">
        <v>6200</v>
      </c>
      <c r="D3277" t="s">
        <v>1170</v>
      </c>
      <c r="E3277" s="46">
        <v>45225</v>
      </c>
      <c r="F3277" s="45" t="s">
        <v>721</v>
      </c>
      <c r="I3277" t="s">
        <v>1162</v>
      </c>
    </row>
    <row r="3278" spans="1:9" hidden="1" x14ac:dyDescent="0.3">
      <c r="A3278" t="s">
        <v>1160</v>
      </c>
      <c r="B3278" s="46">
        <v>45287</v>
      </c>
      <c r="C3278" s="45">
        <v>6200</v>
      </c>
      <c r="D3278" t="s">
        <v>1286</v>
      </c>
      <c r="E3278" s="46">
        <v>45317</v>
      </c>
      <c r="F3278" s="45" t="s">
        <v>721</v>
      </c>
      <c r="I3278" t="s">
        <v>1162</v>
      </c>
    </row>
    <row r="3279" spans="1:9" hidden="1" x14ac:dyDescent="0.3">
      <c r="A3279" t="s">
        <v>1269</v>
      </c>
      <c r="B3279" s="46">
        <v>45293</v>
      </c>
      <c r="C3279" s="45">
        <v>6200</v>
      </c>
      <c r="D3279" t="s">
        <v>1181</v>
      </c>
      <c r="E3279" s="46">
        <v>45317</v>
      </c>
      <c r="F3279" s="45" t="s">
        <v>721</v>
      </c>
      <c r="I3279" t="s">
        <v>1162</v>
      </c>
    </row>
    <row r="3280" spans="1:9" hidden="1" x14ac:dyDescent="0.3">
      <c r="A3280" t="s">
        <v>1281</v>
      </c>
      <c r="B3280" s="46">
        <v>45266</v>
      </c>
      <c r="C3280" s="45">
        <v>6200</v>
      </c>
      <c r="D3280" t="s">
        <v>1170</v>
      </c>
      <c r="E3280" s="46">
        <v>45317</v>
      </c>
      <c r="F3280" s="45" t="s">
        <v>721</v>
      </c>
      <c r="I3280" t="s">
        <v>1162</v>
      </c>
    </row>
    <row r="3281" spans="1:9" hidden="1" x14ac:dyDescent="0.3">
      <c r="A3281" t="s">
        <v>1281</v>
      </c>
      <c r="B3281" s="46">
        <v>45280</v>
      </c>
      <c r="C3281" s="45">
        <v>6200</v>
      </c>
      <c r="D3281" t="s">
        <v>1170</v>
      </c>
      <c r="E3281" s="46">
        <v>45317</v>
      </c>
      <c r="F3281" s="45" t="s">
        <v>721</v>
      </c>
      <c r="I3281" t="s">
        <v>1162</v>
      </c>
    </row>
    <row r="3282" spans="1:9" hidden="1" x14ac:dyDescent="0.3">
      <c r="A3282" t="s">
        <v>1281</v>
      </c>
      <c r="B3282" s="46">
        <v>45273</v>
      </c>
      <c r="C3282" s="45">
        <v>6200</v>
      </c>
      <c r="D3282" t="s">
        <v>1170</v>
      </c>
      <c r="E3282" s="46">
        <v>45317</v>
      </c>
      <c r="F3282" s="45" t="s">
        <v>721</v>
      </c>
      <c r="I3282" t="s">
        <v>1162</v>
      </c>
    </row>
    <row r="3283" spans="1:9" hidden="1" x14ac:dyDescent="0.3">
      <c r="A3283" t="s">
        <v>1281</v>
      </c>
      <c r="B3283" s="46">
        <v>45238</v>
      </c>
      <c r="C3283" s="45">
        <v>6200</v>
      </c>
      <c r="D3283" t="s">
        <v>1170</v>
      </c>
      <c r="E3283" s="46">
        <v>45286</v>
      </c>
      <c r="F3283" s="45" t="s">
        <v>721</v>
      </c>
      <c r="I3283" t="s">
        <v>1162</v>
      </c>
    </row>
    <row r="3284" spans="1:9" hidden="1" x14ac:dyDescent="0.3">
      <c r="A3284" t="s">
        <v>1281</v>
      </c>
      <c r="B3284" s="46">
        <v>45247</v>
      </c>
      <c r="C3284" s="45">
        <v>6200</v>
      </c>
      <c r="D3284" t="s">
        <v>1170</v>
      </c>
      <c r="E3284" s="46">
        <v>45286</v>
      </c>
      <c r="F3284" s="45" t="s">
        <v>721</v>
      </c>
      <c r="I3284" t="s">
        <v>1162</v>
      </c>
    </row>
    <row r="3285" spans="1:9" hidden="1" x14ac:dyDescent="0.3">
      <c r="A3285" t="s">
        <v>1281</v>
      </c>
      <c r="B3285" s="46">
        <v>45245</v>
      </c>
      <c r="C3285" s="45">
        <v>6200</v>
      </c>
      <c r="D3285" t="s">
        <v>1170</v>
      </c>
      <c r="E3285" s="46">
        <v>45286</v>
      </c>
      <c r="F3285" s="45" t="s">
        <v>721</v>
      </c>
      <c r="I3285" t="s">
        <v>1162</v>
      </c>
    </row>
    <row r="3286" spans="1:9" hidden="1" x14ac:dyDescent="0.3">
      <c r="A3286" t="s">
        <v>1281</v>
      </c>
      <c r="B3286" s="46">
        <v>45254</v>
      </c>
      <c r="C3286" s="45">
        <v>6200</v>
      </c>
      <c r="D3286" t="s">
        <v>1170</v>
      </c>
      <c r="E3286" s="46">
        <v>45286</v>
      </c>
      <c r="F3286" s="45" t="s">
        <v>721</v>
      </c>
      <c r="I3286" t="s">
        <v>1162</v>
      </c>
    </row>
    <row r="3287" spans="1:9" hidden="1" x14ac:dyDescent="0.3">
      <c r="A3287" t="s">
        <v>1281</v>
      </c>
      <c r="B3287" s="46">
        <v>45232</v>
      </c>
      <c r="C3287" s="45">
        <v>6200</v>
      </c>
      <c r="D3287" t="s">
        <v>1170</v>
      </c>
      <c r="E3287" s="46">
        <v>45256</v>
      </c>
      <c r="F3287" s="45" t="s">
        <v>721</v>
      </c>
      <c r="I3287" t="s">
        <v>1162</v>
      </c>
    </row>
    <row r="3288" spans="1:9" hidden="1" x14ac:dyDescent="0.3">
      <c r="A3288" t="s">
        <v>1281</v>
      </c>
      <c r="B3288" s="46">
        <v>45212</v>
      </c>
      <c r="C3288" s="45">
        <v>6200</v>
      </c>
      <c r="D3288" t="s">
        <v>1170</v>
      </c>
      <c r="E3288" s="46">
        <v>45256</v>
      </c>
      <c r="F3288" s="45" t="s">
        <v>721</v>
      </c>
      <c r="I3288" t="s">
        <v>1162</v>
      </c>
    </row>
    <row r="3289" spans="1:9" hidden="1" x14ac:dyDescent="0.3">
      <c r="A3289" t="s">
        <v>1281</v>
      </c>
      <c r="B3289" s="46">
        <v>45215</v>
      </c>
      <c r="C3289" s="45">
        <v>6200</v>
      </c>
      <c r="D3289" t="s">
        <v>1315</v>
      </c>
      <c r="E3289" s="46">
        <v>45256</v>
      </c>
      <c r="F3289" s="45" t="s">
        <v>721</v>
      </c>
      <c r="I3289" t="s">
        <v>1162</v>
      </c>
    </row>
    <row r="3290" spans="1:9" hidden="1" x14ac:dyDescent="0.3">
      <c r="A3290" t="s">
        <v>1281</v>
      </c>
      <c r="B3290" s="46">
        <v>45205</v>
      </c>
      <c r="C3290" s="45">
        <v>6200</v>
      </c>
      <c r="D3290" t="s">
        <v>1170</v>
      </c>
      <c r="E3290" s="46">
        <v>45256</v>
      </c>
      <c r="F3290" s="45" t="s">
        <v>721</v>
      </c>
      <c r="I3290" t="s">
        <v>1162</v>
      </c>
    </row>
    <row r="3291" spans="1:9" hidden="1" x14ac:dyDescent="0.3">
      <c r="A3291" t="s">
        <v>1281</v>
      </c>
      <c r="B3291" s="46">
        <v>45259</v>
      </c>
      <c r="C3291" s="45">
        <v>6200</v>
      </c>
      <c r="D3291" t="s">
        <v>1170</v>
      </c>
      <c r="E3291" s="46">
        <v>45286</v>
      </c>
      <c r="F3291" s="45" t="s">
        <v>721</v>
      </c>
      <c r="I3291" t="s">
        <v>1162</v>
      </c>
    </row>
    <row r="3292" spans="1:9" hidden="1" x14ac:dyDescent="0.3">
      <c r="A3292" t="s">
        <v>1160</v>
      </c>
      <c r="B3292" s="46">
        <v>45259</v>
      </c>
      <c r="C3292" s="45">
        <v>6100</v>
      </c>
      <c r="D3292" t="s">
        <v>1286</v>
      </c>
      <c r="E3292" s="46">
        <v>45286</v>
      </c>
      <c r="F3292" s="45" t="s">
        <v>721</v>
      </c>
      <c r="I3292" t="s">
        <v>1162</v>
      </c>
    </row>
    <row r="3293" spans="1:9" hidden="1" x14ac:dyDescent="0.3">
      <c r="A3293" t="s">
        <v>1160</v>
      </c>
      <c r="B3293" s="46">
        <v>45217</v>
      </c>
      <c r="C3293" s="45">
        <v>6100</v>
      </c>
      <c r="D3293" t="s">
        <v>1286</v>
      </c>
      <c r="E3293" s="46">
        <v>45256</v>
      </c>
      <c r="F3293" s="45" t="s">
        <v>721</v>
      </c>
      <c r="I3293" t="s">
        <v>1162</v>
      </c>
    </row>
    <row r="3294" spans="1:9" hidden="1" x14ac:dyDescent="0.3">
      <c r="A3294" t="s">
        <v>1160</v>
      </c>
      <c r="B3294" s="46">
        <v>45231</v>
      </c>
      <c r="C3294" s="45">
        <v>6100</v>
      </c>
      <c r="D3294" t="s">
        <v>1286</v>
      </c>
      <c r="E3294" s="46">
        <v>45256</v>
      </c>
      <c r="F3294" s="45" t="s">
        <v>721</v>
      </c>
      <c r="I3294" t="s">
        <v>1162</v>
      </c>
    </row>
    <row r="3295" spans="1:9" hidden="1" x14ac:dyDescent="0.3">
      <c r="A3295" t="s">
        <v>1160</v>
      </c>
      <c r="B3295" s="46">
        <v>45252</v>
      </c>
      <c r="C3295" s="45">
        <v>6100</v>
      </c>
      <c r="D3295" t="s">
        <v>1286</v>
      </c>
      <c r="E3295" s="46">
        <v>45286</v>
      </c>
      <c r="F3295" s="45" t="s">
        <v>721</v>
      </c>
      <c r="I3295" t="s">
        <v>1162</v>
      </c>
    </row>
    <row r="3296" spans="1:9" hidden="1" x14ac:dyDescent="0.3">
      <c r="A3296" t="s">
        <v>1238</v>
      </c>
      <c r="B3296" s="46">
        <v>45250</v>
      </c>
      <c r="C3296" s="45">
        <v>6100</v>
      </c>
      <c r="D3296" t="s">
        <v>1286</v>
      </c>
      <c r="E3296" s="46">
        <v>45286</v>
      </c>
      <c r="F3296" s="45" t="s">
        <v>721</v>
      </c>
      <c r="I3296" t="s">
        <v>1162</v>
      </c>
    </row>
    <row r="3297" spans="1:9" hidden="1" x14ac:dyDescent="0.3">
      <c r="A3297" t="s">
        <v>1160</v>
      </c>
      <c r="B3297" s="46">
        <v>45238</v>
      </c>
      <c r="C3297" s="45">
        <v>6100</v>
      </c>
      <c r="D3297" t="s">
        <v>1286</v>
      </c>
      <c r="E3297" s="46">
        <v>45286</v>
      </c>
      <c r="F3297" s="45" t="s">
        <v>721</v>
      </c>
      <c r="I3297" t="s">
        <v>1162</v>
      </c>
    </row>
    <row r="3298" spans="1:9" hidden="1" x14ac:dyDescent="0.3">
      <c r="A3298" t="s">
        <v>1160</v>
      </c>
      <c r="B3298" s="46">
        <v>45245</v>
      </c>
      <c r="C3298" s="45">
        <v>6100</v>
      </c>
      <c r="D3298" t="s">
        <v>1286</v>
      </c>
      <c r="E3298" s="46">
        <v>45286</v>
      </c>
      <c r="F3298" s="45" t="s">
        <v>721</v>
      </c>
      <c r="I3298" t="s">
        <v>1162</v>
      </c>
    </row>
    <row r="3299" spans="1:9" hidden="1" x14ac:dyDescent="0.3">
      <c r="A3299" t="s">
        <v>1160</v>
      </c>
      <c r="B3299" s="46">
        <v>45273</v>
      </c>
      <c r="C3299" s="45">
        <v>6100</v>
      </c>
      <c r="D3299" t="s">
        <v>1286</v>
      </c>
      <c r="E3299" s="46">
        <v>45317</v>
      </c>
      <c r="F3299" s="45" t="s">
        <v>721</v>
      </c>
      <c r="I3299" t="s">
        <v>1162</v>
      </c>
    </row>
    <row r="3300" spans="1:9" hidden="1" x14ac:dyDescent="0.3">
      <c r="A3300" t="s">
        <v>1160</v>
      </c>
      <c r="B3300" s="46">
        <v>45280</v>
      </c>
      <c r="C3300" s="45">
        <v>6100</v>
      </c>
      <c r="D3300" t="s">
        <v>1286</v>
      </c>
      <c r="E3300" s="46">
        <v>45317</v>
      </c>
      <c r="F3300" s="45" t="s">
        <v>721</v>
      </c>
      <c r="I3300" t="s">
        <v>1162</v>
      </c>
    </row>
    <row r="3301" spans="1:9" hidden="1" x14ac:dyDescent="0.3">
      <c r="A3301" t="s">
        <v>1160</v>
      </c>
      <c r="B3301" s="46">
        <v>45266</v>
      </c>
      <c r="C3301" s="45">
        <v>6100</v>
      </c>
      <c r="D3301" t="s">
        <v>1286</v>
      </c>
      <c r="E3301" s="46">
        <v>45317</v>
      </c>
      <c r="F3301" s="45" t="s">
        <v>721</v>
      </c>
      <c r="I3301" t="s">
        <v>1162</v>
      </c>
    </row>
    <row r="3302" spans="1:9" hidden="1" x14ac:dyDescent="0.3">
      <c r="A3302" t="s">
        <v>1160</v>
      </c>
      <c r="B3302" s="46">
        <v>45288</v>
      </c>
      <c r="C3302" s="45">
        <v>6100</v>
      </c>
      <c r="D3302" t="s">
        <v>1286</v>
      </c>
      <c r="E3302" s="46">
        <v>45317</v>
      </c>
      <c r="F3302" s="45" t="s">
        <v>721</v>
      </c>
      <c r="I3302" t="s">
        <v>1162</v>
      </c>
    </row>
    <row r="3303" spans="1:9" hidden="1" x14ac:dyDescent="0.3">
      <c r="A3303" t="s">
        <v>1160</v>
      </c>
      <c r="B3303" s="46">
        <v>45191</v>
      </c>
      <c r="C3303" s="45">
        <v>6100</v>
      </c>
      <c r="D3303" t="s">
        <v>1286</v>
      </c>
      <c r="E3303" s="46">
        <v>45225</v>
      </c>
      <c r="F3303" s="45" t="s">
        <v>721</v>
      </c>
      <c r="I3303" t="s">
        <v>1162</v>
      </c>
    </row>
    <row r="3304" spans="1:9" hidden="1" x14ac:dyDescent="0.3">
      <c r="A3304" t="s">
        <v>1160</v>
      </c>
      <c r="B3304" s="46">
        <v>45175</v>
      </c>
      <c r="C3304" s="45">
        <v>6100</v>
      </c>
      <c r="D3304" t="s">
        <v>1286</v>
      </c>
      <c r="E3304" s="46">
        <v>45225</v>
      </c>
      <c r="F3304" s="45" t="s">
        <v>721</v>
      </c>
      <c r="I3304" t="s">
        <v>1162</v>
      </c>
    </row>
    <row r="3305" spans="1:9" hidden="1" x14ac:dyDescent="0.3">
      <c r="A3305" t="s">
        <v>1160</v>
      </c>
      <c r="B3305" s="46">
        <v>45322</v>
      </c>
      <c r="C3305" s="45">
        <v>6100</v>
      </c>
      <c r="D3305" t="s">
        <v>1286</v>
      </c>
      <c r="E3305" s="46">
        <v>45348</v>
      </c>
      <c r="F3305" s="45" t="s">
        <v>721</v>
      </c>
      <c r="I3305" t="s">
        <v>1162</v>
      </c>
    </row>
    <row r="3306" spans="1:9" hidden="1" x14ac:dyDescent="0.3">
      <c r="A3306" t="s">
        <v>1160</v>
      </c>
      <c r="B3306" s="46">
        <v>45308</v>
      </c>
      <c r="C3306" s="45">
        <v>6100</v>
      </c>
      <c r="D3306" t="s">
        <v>1286</v>
      </c>
      <c r="E3306" s="46">
        <v>45348</v>
      </c>
      <c r="F3306" s="45" t="s">
        <v>721</v>
      </c>
      <c r="I3306" t="s">
        <v>1162</v>
      </c>
    </row>
    <row r="3307" spans="1:9" hidden="1" x14ac:dyDescent="0.3">
      <c r="A3307" t="s">
        <v>1160</v>
      </c>
      <c r="B3307" s="46">
        <v>45315</v>
      </c>
      <c r="C3307" s="45">
        <v>6100</v>
      </c>
      <c r="D3307" t="s">
        <v>1286</v>
      </c>
      <c r="E3307" s="46">
        <v>45348</v>
      </c>
      <c r="F3307" s="45" t="s">
        <v>721</v>
      </c>
      <c r="I3307" t="s">
        <v>1162</v>
      </c>
    </row>
    <row r="3308" spans="1:9" hidden="1" x14ac:dyDescent="0.3">
      <c r="A3308" t="s">
        <v>1160</v>
      </c>
      <c r="B3308" s="46">
        <v>45301</v>
      </c>
      <c r="C3308" s="45">
        <v>6100</v>
      </c>
      <c r="D3308" t="s">
        <v>1286</v>
      </c>
      <c r="E3308" s="46">
        <v>45348</v>
      </c>
      <c r="F3308" s="45" t="s">
        <v>721</v>
      </c>
      <c r="I3308" t="s">
        <v>1162</v>
      </c>
    </row>
    <row r="3309" spans="1:9" hidden="1" x14ac:dyDescent="0.3">
      <c r="A3309" t="s">
        <v>1160</v>
      </c>
      <c r="B3309" s="46">
        <v>45295</v>
      </c>
      <c r="C3309" s="45">
        <v>6100</v>
      </c>
      <c r="D3309" t="s">
        <v>1286</v>
      </c>
      <c r="E3309" s="46">
        <v>45348</v>
      </c>
      <c r="F3309" s="45" t="s">
        <v>721</v>
      </c>
      <c r="I3309" t="s">
        <v>1162</v>
      </c>
    </row>
    <row r="3310" spans="1:9" hidden="1" x14ac:dyDescent="0.3">
      <c r="A3310" t="s">
        <v>1160</v>
      </c>
      <c r="B3310" s="46">
        <v>45344</v>
      </c>
      <c r="C3310" s="45">
        <v>6100</v>
      </c>
      <c r="D3310" t="s">
        <v>1286</v>
      </c>
      <c r="E3310" s="46">
        <v>45377</v>
      </c>
      <c r="F3310" s="45" t="s">
        <v>721</v>
      </c>
      <c r="I3310" t="s">
        <v>1162</v>
      </c>
    </row>
    <row r="3311" spans="1:9" hidden="1" x14ac:dyDescent="0.3">
      <c r="A3311" t="s">
        <v>1160</v>
      </c>
      <c r="B3311" s="46">
        <v>45329</v>
      </c>
      <c r="C3311" s="45">
        <v>6100</v>
      </c>
      <c r="D3311" t="s">
        <v>1286</v>
      </c>
      <c r="E3311" s="46">
        <v>45377</v>
      </c>
      <c r="F3311" s="45" t="s">
        <v>721</v>
      </c>
      <c r="I3311" t="s">
        <v>1162</v>
      </c>
    </row>
    <row r="3312" spans="1:9" hidden="1" x14ac:dyDescent="0.3">
      <c r="A3312" t="s">
        <v>1160</v>
      </c>
      <c r="B3312" s="46">
        <v>45357</v>
      </c>
      <c r="C3312" s="45">
        <v>6100</v>
      </c>
      <c r="D3312" t="s">
        <v>1286</v>
      </c>
      <c r="E3312" s="46">
        <v>45408</v>
      </c>
      <c r="F3312" s="45" t="s">
        <v>721</v>
      </c>
      <c r="I3312" t="s">
        <v>1162</v>
      </c>
    </row>
    <row r="3313" spans="1:9" hidden="1" x14ac:dyDescent="0.3">
      <c r="A3313" t="s">
        <v>1160</v>
      </c>
      <c r="B3313" s="46">
        <v>45364</v>
      </c>
      <c r="C3313" s="45">
        <v>6100</v>
      </c>
      <c r="D3313" t="s">
        <v>1286</v>
      </c>
      <c r="E3313" s="46">
        <v>45408</v>
      </c>
      <c r="F3313" s="45" t="s">
        <v>721</v>
      </c>
      <c r="I3313" t="s">
        <v>1162</v>
      </c>
    </row>
    <row r="3314" spans="1:9" hidden="1" x14ac:dyDescent="0.3">
      <c r="A3314" t="s">
        <v>1160</v>
      </c>
      <c r="B3314" s="46">
        <v>45372</v>
      </c>
      <c r="C3314" s="45">
        <v>6100</v>
      </c>
      <c r="D3314" t="s">
        <v>1286</v>
      </c>
      <c r="E3314" s="46">
        <v>45408</v>
      </c>
      <c r="F3314" s="45" t="s">
        <v>721</v>
      </c>
      <c r="I3314" t="s">
        <v>1162</v>
      </c>
    </row>
    <row r="3315" spans="1:9" hidden="1" x14ac:dyDescent="0.3">
      <c r="A3315" t="s">
        <v>1160</v>
      </c>
      <c r="B3315" s="46">
        <v>45378</v>
      </c>
      <c r="C3315" s="45">
        <v>6100</v>
      </c>
      <c r="D3315" t="s">
        <v>1286</v>
      </c>
      <c r="E3315" s="46">
        <v>45408</v>
      </c>
      <c r="F3315" s="45" t="s">
        <v>721</v>
      </c>
      <c r="I3315" t="s">
        <v>1162</v>
      </c>
    </row>
    <row r="3316" spans="1:9" hidden="1" x14ac:dyDescent="0.3">
      <c r="A3316" t="s">
        <v>1160</v>
      </c>
      <c r="B3316" s="46">
        <v>45421</v>
      </c>
      <c r="C3316" s="45">
        <v>6100</v>
      </c>
      <c r="D3316" t="s">
        <v>1286</v>
      </c>
      <c r="E3316" s="46">
        <v>45469</v>
      </c>
      <c r="F3316" s="45" t="s">
        <v>721</v>
      </c>
      <c r="I3316" t="s">
        <v>1162</v>
      </c>
    </row>
    <row r="3317" spans="1:9" hidden="1" x14ac:dyDescent="0.3">
      <c r="A3317" t="s">
        <v>1160</v>
      </c>
      <c r="B3317" s="46">
        <v>45441</v>
      </c>
      <c r="C3317" s="45">
        <v>6100</v>
      </c>
      <c r="D3317" t="s">
        <v>1286</v>
      </c>
      <c r="E3317" s="46">
        <v>45469</v>
      </c>
      <c r="F3317" s="45" t="s">
        <v>721</v>
      </c>
      <c r="I3317" t="s">
        <v>1162</v>
      </c>
    </row>
    <row r="3318" spans="1:9" hidden="1" x14ac:dyDescent="0.3">
      <c r="A3318" t="s">
        <v>1160</v>
      </c>
      <c r="B3318" s="46">
        <v>45399</v>
      </c>
      <c r="C3318" s="45">
        <v>6100</v>
      </c>
      <c r="D3318" t="s">
        <v>1286</v>
      </c>
      <c r="E3318" s="46">
        <v>45438</v>
      </c>
      <c r="F3318" s="45" t="s">
        <v>721</v>
      </c>
      <c r="I3318" t="s">
        <v>1162</v>
      </c>
    </row>
    <row r="3319" spans="1:9" hidden="1" x14ac:dyDescent="0.3">
      <c r="A3319" t="s">
        <v>724</v>
      </c>
      <c r="B3319" s="46">
        <v>45215</v>
      </c>
      <c r="C3319" s="45">
        <v>6030</v>
      </c>
      <c r="D3319" t="s">
        <v>755</v>
      </c>
      <c r="E3319" s="46">
        <v>45256</v>
      </c>
      <c r="F3319" s="45" t="s">
        <v>721</v>
      </c>
      <c r="I3319" t="s">
        <v>726</v>
      </c>
    </row>
    <row r="3320" spans="1:9" hidden="1" x14ac:dyDescent="0.3">
      <c r="A3320" t="s">
        <v>1160</v>
      </c>
      <c r="B3320" s="46">
        <v>45126</v>
      </c>
      <c r="C3320" s="45">
        <v>6010</v>
      </c>
      <c r="D3320" t="s">
        <v>1342</v>
      </c>
      <c r="E3320" s="46">
        <v>45164</v>
      </c>
      <c r="F3320" s="45" t="s">
        <v>721</v>
      </c>
      <c r="I3320" t="s">
        <v>1162</v>
      </c>
    </row>
    <row r="3321" spans="1:9" hidden="1" x14ac:dyDescent="0.3">
      <c r="A3321" t="s">
        <v>761</v>
      </c>
      <c r="B3321" s="46">
        <v>45126</v>
      </c>
      <c r="C3321" s="45">
        <v>6000</v>
      </c>
      <c r="D3321" t="s">
        <v>1333</v>
      </c>
      <c r="E3321" s="46">
        <v>45164</v>
      </c>
      <c r="F3321" s="45" t="s">
        <v>721</v>
      </c>
      <c r="I3321" t="s">
        <v>1148</v>
      </c>
    </row>
    <row r="3322" spans="1:9" hidden="1" x14ac:dyDescent="0.3">
      <c r="A3322" t="s">
        <v>777</v>
      </c>
      <c r="B3322" s="46">
        <v>45142</v>
      </c>
      <c r="C3322" s="45">
        <v>6000</v>
      </c>
      <c r="D3322" t="s">
        <v>875</v>
      </c>
      <c r="E3322" s="46">
        <v>45184</v>
      </c>
      <c r="F3322" s="45" t="s">
        <v>721</v>
      </c>
      <c r="I3322" t="s">
        <v>818</v>
      </c>
    </row>
    <row r="3323" spans="1:9" hidden="1" x14ac:dyDescent="0.3">
      <c r="A3323" t="s">
        <v>777</v>
      </c>
      <c r="B3323" s="46">
        <v>45135</v>
      </c>
      <c r="C3323" s="45">
        <v>6000</v>
      </c>
      <c r="D3323" t="s">
        <v>875</v>
      </c>
      <c r="E3323" s="46">
        <v>45184</v>
      </c>
      <c r="F3323" s="45" t="s">
        <v>721</v>
      </c>
      <c r="I3323" t="s">
        <v>818</v>
      </c>
    </row>
    <row r="3324" spans="1:9" hidden="1" x14ac:dyDescent="0.3">
      <c r="A3324" t="s">
        <v>777</v>
      </c>
      <c r="B3324" s="46">
        <v>45170</v>
      </c>
      <c r="C3324" s="45">
        <v>6000</v>
      </c>
      <c r="D3324" t="s">
        <v>875</v>
      </c>
      <c r="E3324" s="46">
        <v>45215</v>
      </c>
      <c r="F3324" s="45" t="s">
        <v>721</v>
      </c>
      <c r="I3324" t="s">
        <v>818</v>
      </c>
    </row>
    <row r="3325" spans="1:9" hidden="1" x14ac:dyDescent="0.3">
      <c r="A3325" t="s">
        <v>777</v>
      </c>
      <c r="B3325" s="46">
        <v>45163</v>
      </c>
      <c r="C3325" s="45">
        <v>6000</v>
      </c>
      <c r="D3325" t="s">
        <v>875</v>
      </c>
      <c r="E3325" s="46">
        <v>45215</v>
      </c>
      <c r="F3325" s="45" t="s">
        <v>721</v>
      </c>
      <c r="I3325" t="s">
        <v>818</v>
      </c>
    </row>
    <row r="3326" spans="1:9" hidden="1" x14ac:dyDescent="0.3">
      <c r="A3326" t="s">
        <v>777</v>
      </c>
      <c r="B3326" s="46">
        <v>45196</v>
      </c>
      <c r="C3326" s="45">
        <v>6000</v>
      </c>
      <c r="D3326" t="s">
        <v>875</v>
      </c>
      <c r="E3326" s="46">
        <v>45245</v>
      </c>
      <c r="F3326" s="45" t="s">
        <v>721</v>
      </c>
      <c r="I3326" t="s">
        <v>818</v>
      </c>
    </row>
    <row r="3327" spans="1:9" hidden="1" x14ac:dyDescent="0.3">
      <c r="A3327" t="s">
        <v>777</v>
      </c>
      <c r="B3327" s="46">
        <v>45205</v>
      </c>
      <c r="C3327" s="45">
        <v>6000</v>
      </c>
      <c r="D3327" t="s">
        <v>875</v>
      </c>
      <c r="E3327" s="46">
        <v>45245</v>
      </c>
      <c r="F3327" s="45" t="s">
        <v>721</v>
      </c>
      <c r="I3327" t="s">
        <v>818</v>
      </c>
    </row>
    <row r="3328" spans="1:9" hidden="1" x14ac:dyDescent="0.3">
      <c r="A3328" t="s">
        <v>777</v>
      </c>
      <c r="B3328" s="46">
        <v>45219</v>
      </c>
      <c r="C3328" s="45">
        <v>6000</v>
      </c>
      <c r="D3328" t="s">
        <v>875</v>
      </c>
      <c r="E3328" s="46">
        <v>45245</v>
      </c>
      <c r="F3328" s="45" t="s">
        <v>721</v>
      </c>
      <c r="I3328" t="s">
        <v>818</v>
      </c>
    </row>
    <row r="3329" spans="1:9" hidden="1" x14ac:dyDescent="0.3">
      <c r="A3329" t="s">
        <v>777</v>
      </c>
      <c r="B3329" s="46">
        <v>45211</v>
      </c>
      <c r="C3329" s="45">
        <v>6000</v>
      </c>
      <c r="D3329" t="s">
        <v>875</v>
      </c>
      <c r="E3329" s="46">
        <v>45245</v>
      </c>
      <c r="F3329" s="45" t="s">
        <v>721</v>
      </c>
      <c r="I3329" t="s">
        <v>818</v>
      </c>
    </row>
    <row r="3330" spans="1:9" hidden="1" x14ac:dyDescent="0.3">
      <c r="A3330" t="s">
        <v>767</v>
      </c>
      <c r="B3330" s="46">
        <v>45224</v>
      </c>
      <c r="C3330" s="45">
        <v>6000</v>
      </c>
      <c r="D3330" t="s">
        <v>1279</v>
      </c>
      <c r="E3330" s="46">
        <v>45245</v>
      </c>
      <c r="F3330" s="45" t="s">
        <v>721</v>
      </c>
      <c r="I3330" t="s">
        <v>726</v>
      </c>
    </row>
    <row r="3331" spans="1:9" hidden="1" x14ac:dyDescent="0.3">
      <c r="A3331" t="s">
        <v>777</v>
      </c>
      <c r="B3331" s="46">
        <v>45261</v>
      </c>
      <c r="C3331" s="45">
        <v>6000</v>
      </c>
      <c r="D3331" t="s">
        <v>875</v>
      </c>
      <c r="E3331" s="46">
        <v>45306</v>
      </c>
      <c r="F3331" s="45" t="s">
        <v>721</v>
      </c>
      <c r="I3331" t="s">
        <v>818</v>
      </c>
    </row>
    <row r="3332" spans="1:9" hidden="1" x14ac:dyDescent="0.3">
      <c r="A3332" t="s">
        <v>777</v>
      </c>
      <c r="B3332" s="46">
        <v>45282</v>
      </c>
      <c r="C3332" s="45">
        <v>6000</v>
      </c>
      <c r="D3332" t="s">
        <v>875</v>
      </c>
      <c r="E3332" s="46">
        <v>45306</v>
      </c>
      <c r="F3332" s="45" t="s">
        <v>721</v>
      </c>
      <c r="I3332" t="s">
        <v>818</v>
      </c>
    </row>
    <row r="3333" spans="1:9" hidden="1" x14ac:dyDescent="0.3">
      <c r="A3333" t="s">
        <v>777</v>
      </c>
      <c r="B3333" s="46">
        <v>45254</v>
      </c>
      <c r="C3333" s="45">
        <v>6000</v>
      </c>
      <c r="D3333" t="s">
        <v>875</v>
      </c>
      <c r="E3333" s="46">
        <v>45306</v>
      </c>
      <c r="F3333" s="45" t="s">
        <v>721</v>
      </c>
      <c r="I3333" t="s">
        <v>818</v>
      </c>
    </row>
    <row r="3334" spans="1:9" hidden="1" x14ac:dyDescent="0.3">
      <c r="A3334" t="s">
        <v>777</v>
      </c>
      <c r="B3334" s="46">
        <v>45223</v>
      </c>
      <c r="C3334" s="45">
        <v>6000</v>
      </c>
      <c r="D3334" t="s">
        <v>875</v>
      </c>
      <c r="E3334" s="46">
        <v>45275</v>
      </c>
      <c r="F3334" s="45" t="s">
        <v>721</v>
      </c>
      <c r="I3334" t="s">
        <v>818</v>
      </c>
    </row>
    <row r="3335" spans="1:9" hidden="1" x14ac:dyDescent="0.3">
      <c r="A3335" t="s">
        <v>777</v>
      </c>
      <c r="B3335" s="46">
        <v>45240</v>
      </c>
      <c r="C3335" s="45">
        <v>6000</v>
      </c>
      <c r="D3335" t="s">
        <v>875</v>
      </c>
      <c r="E3335" s="46">
        <v>45275</v>
      </c>
      <c r="F3335" s="45" t="s">
        <v>721</v>
      </c>
      <c r="I3335" t="s">
        <v>818</v>
      </c>
    </row>
    <row r="3336" spans="1:9" hidden="1" x14ac:dyDescent="0.3">
      <c r="A3336" t="s">
        <v>722</v>
      </c>
      <c r="B3336" s="46">
        <v>45407</v>
      </c>
      <c r="C3336" s="45">
        <v>6000</v>
      </c>
      <c r="D3336" t="s">
        <v>735</v>
      </c>
      <c r="E3336" s="46">
        <v>45428</v>
      </c>
      <c r="F3336" s="45" t="s">
        <v>721</v>
      </c>
      <c r="I3336" t="s">
        <v>782</v>
      </c>
    </row>
    <row r="3337" spans="1:9" hidden="1" x14ac:dyDescent="0.3">
      <c r="A3337" t="s">
        <v>772</v>
      </c>
      <c r="B3337" s="46">
        <v>45442</v>
      </c>
      <c r="C3337" s="45">
        <v>6000</v>
      </c>
      <c r="D3337" t="s">
        <v>1247</v>
      </c>
      <c r="E3337" s="46">
        <v>45469</v>
      </c>
      <c r="F3337" s="45" t="s">
        <v>721</v>
      </c>
      <c r="I3337" t="s">
        <v>726</v>
      </c>
    </row>
    <row r="3338" spans="1:9" hidden="1" x14ac:dyDescent="0.3">
      <c r="A3338" t="s">
        <v>777</v>
      </c>
      <c r="B3338" s="46">
        <v>45429</v>
      </c>
      <c r="C3338" s="45">
        <v>6000</v>
      </c>
      <c r="D3338" t="s">
        <v>875</v>
      </c>
      <c r="E3338" s="46">
        <v>45458</v>
      </c>
      <c r="F3338" s="45" t="s">
        <v>721</v>
      </c>
      <c r="I3338" t="s">
        <v>818</v>
      </c>
    </row>
    <row r="3339" spans="1:9" hidden="1" x14ac:dyDescent="0.3">
      <c r="A3339" t="s">
        <v>777</v>
      </c>
      <c r="B3339" s="46">
        <v>45408</v>
      </c>
      <c r="C3339" s="45">
        <v>6000</v>
      </c>
      <c r="D3339" t="s">
        <v>875</v>
      </c>
      <c r="E3339" s="46">
        <v>45458</v>
      </c>
      <c r="F3339" s="45" t="s">
        <v>721</v>
      </c>
      <c r="I3339" t="s">
        <v>818</v>
      </c>
    </row>
    <row r="3340" spans="1:9" hidden="1" x14ac:dyDescent="0.3">
      <c r="A3340" t="s">
        <v>777</v>
      </c>
      <c r="B3340" s="46">
        <v>45412</v>
      </c>
      <c r="C3340" s="45">
        <v>6000</v>
      </c>
      <c r="D3340" t="s">
        <v>875</v>
      </c>
      <c r="E3340" s="46">
        <v>45458</v>
      </c>
      <c r="F3340" s="45" t="s">
        <v>721</v>
      </c>
      <c r="I3340" t="s">
        <v>818</v>
      </c>
    </row>
    <row r="3341" spans="1:9" hidden="1" x14ac:dyDescent="0.3">
      <c r="A3341" t="s">
        <v>777</v>
      </c>
      <c r="B3341" s="46">
        <v>45420</v>
      </c>
      <c r="C3341" s="45">
        <v>6000</v>
      </c>
      <c r="D3341" t="s">
        <v>875</v>
      </c>
      <c r="E3341" s="46">
        <v>45458</v>
      </c>
      <c r="F3341" s="45" t="s">
        <v>721</v>
      </c>
      <c r="I3341" t="s">
        <v>818</v>
      </c>
    </row>
    <row r="3342" spans="1:9" hidden="1" x14ac:dyDescent="0.3">
      <c r="A3342" t="s">
        <v>777</v>
      </c>
      <c r="B3342" s="46">
        <v>45359</v>
      </c>
      <c r="C3342" s="45">
        <v>6000</v>
      </c>
      <c r="D3342" t="s">
        <v>875</v>
      </c>
      <c r="E3342" s="46">
        <v>45397</v>
      </c>
      <c r="F3342" s="45" t="s">
        <v>721</v>
      </c>
      <c r="I3342" t="s">
        <v>818</v>
      </c>
    </row>
    <row r="3343" spans="1:9" hidden="1" x14ac:dyDescent="0.3">
      <c r="A3343" t="s">
        <v>1169</v>
      </c>
      <c r="B3343" s="46">
        <v>45355</v>
      </c>
      <c r="C3343" s="45">
        <v>6000</v>
      </c>
      <c r="D3343" t="s">
        <v>1315</v>
      </c>
      <c r="E3343" s="46">
        <v>45408</v>
      </c>
      <c r="F3343" s="45" t="s">
        <v>721</v>
      </c>
      <c r="I3343" t="s">
        <v>1162</v>
      </c>
    </row>
    <row r="3344" spans="1:9" hidden="1" x14ac:dyDescent="0.3">
      <c r="A3344" t="s">
        <v>777</v>
      </c>
      <c r="B3344" s="46">
        <v>45345</v>
      </c>
      <c r="C3344" s="45">
        <v>6000</v>
      </c>
      <c r="D3344" t="s">
        <v>875</v>
      </c>
      <c r="E3344" s="46">
        <v>45397</v>
      </c>
      <c r="F3344" s="45" t="s">
        <v>721</v>
      </c>
      <c r="I3344" t="s">
        <v>818</v>
      </c>
    </row>
    <row r="3345" spans="1:9" hidden="1" x14ac:dyDescent="0.3">
      <c r="A3345" t="s">
        <v>745</v>
      </c>
      <c r="B3345" s="46">
        <v>45401</v>
      </c>
      <c r="C3345" s="45">
        <v>6000</v>
      </c>
      <c r="D3345" t="s">
        <v>2142</v>
      </c>
      <c r="E3345" s="46">
        <v>45428</v>
      </c>
      <c r="F3345" s="45" t="s">
        <v>721</v>
      </c>
      <c r="G3345">
        <v>0</v>
      </c>
      <c r="I3345" t="s">
        <v>1148</v>
      </c>
    </row>
    <row r="3346" spans="1:9" hidden="1" x14ac:dyDescent="0.3">
      <c r="A3346" t="s">
        <v>777</v>
      </c>
      <c r="B3346" s="46">
        <v>45387</v>
      </c>
      <c r="C3346" s="45">
        <v>6000</v>
      </c>
      <c r="D3346" t="s">
        <v>875</v>
      </c>
      <c r="E3346" s="46">
        <v>45428</v>
      </c>
      <c r="F3346" s="45" t="s">
        <v>721</v>
      </c>
      <c r="I3346" t="s">
        <v>818</v>
      </c>
    </row>
    <row r="3347" spans="1:9" hidden="1" x14ac:dyDescent="0.3">
      <c r="A3347" t="s">
        <v>777</v>
      </c>
      <c r="B3347" s="46">
        <v>45399</v>
      </c>
      <c r="C3347" s="45">
        <v>6000</v>
      </c>
      <c r="D3347" t="s">
        <v>875</v>
      </c>
      <c r="E3347" s="46">
        <v>45428</v>
      </c>
      <c r="F3347" s="45" t="s">
        <v>721</v>
      </c>
      <c r="I3347" t="s">
        <v>818</v>
      </c>
    </row>
    <row r="3348" spans="1:9" hidden="1" x14ac:dyDescent="0.3">
      <c r="A3348" t="s">
        <v>777</v>
      </c>
      <c r="B3348" s="46">
        <v>45394</v>
      </c>
      <c r="C3348" s="45">
        <v>6000</v>
      </c>
      <c r="D3348" t="s">
        <v>875</v>
      </c>
      <c r="E3348" s="46">
        <v>45428</v>
      </c>
      <c r="F3348" s="45" t="s">
        <v>721</v>
      </c>
      <c r="I3348" t="s">
        <v>818</v>
      </c>
    </row>
    <row r="3349" spans="1:9" hidden="1" x14ac:dyDescent="0.3">
      <c r="A3349" t="s">
        <v>777</v>
      </c>
      <c r="B3349" s="46">
        <v>45330</v>
      </c>
      <c r="C3349" s="45">
        <v>6000</v>
      </c>
      <c r="D3349" t="s">
        <v>875</v>
      </c>
      <c r="E3349" s="46">
        <v>45366</v>
      </c>
      <c r="F3349" s="45" t="s">
        <v>721</v>
      </c>
      <c r="I3349" t="s">
        <v>818</v>
      </c>
    </row>
    <row r="3350" spans="1:9" hidden="1" x14ac:dyDescent="0.3">
      <c r="A3350" t="s">
        <v>734</v>
      </c>
      <c r="B3350" s="46">
        <v>45306</v>
      </c>
      <c r="C3350" s="45">
        <v>6000</v>
      </c>
      <c r="D3350" t="s">
        <v>982</v>
      </c>
      <c r="E3350" s="46">
        <v>45337</v>
      </c>
      <c r="F3350" s="45" t="s">
        <v>721</v>
      </c>
      <c r="I3350" t="s">
        <v>726</v>
      </c>
    </row>
    <row r="3351" spans="1:9" hidden="1" x14ac:dyDescent="0.3">
      <c r="A3351" t="s">
        <v>779</v>
      </c>
      <c r="B3351" s="46">
        <v>45286</v>
      </c>
      <c r="C3351" s="45">
        <v>6000</v>
      </c>
      <c r="D3351" t="s">
        <v>1362</v>
      </c>
      <c r="E3351" s="46">
        <v>45307</v>
      </c>
      <c r="F3351" s="45" t="s">
        <v>721</v>
      </c>
      <c r="I3351" t="s">
        <v>760</v>
      </c>
    </row>
    <row r="3352" spans="1:9" hidden="1" x14ac:dyDescent="0.3">
      <c r="A3352" t="s">
        <v>777</v>
      </c>
      <c r="B3352" s="46">
        <v>45289</v>
      </c>
      <c r="C3352" s="45">
        <v>6000</v>
      </c>
      <c r="D3352" t="s">
        <v>875</v>
      </c>
      <c r="E3352" s="46">
        <v>45337</v>
      </c>
      <c r="F3352" s="45" t="s">
        <v>721</v>
      </c>
      <c r="I3352" t="s">
        <v>818</v>
      </c>
    </row>
    <row r="3353" spans="1:9" hidden="1" x14ac:dyDescent="0.3">
      <c r="A3353" t="s">
        <v>777</v>
      </c>
      <c r="B3353" s="46">
        <v>45303</v>
      </c>
      <c r="C3353" s="45">
        <v>6000</v>
      </c>
      <c r="D3353" t="s">
        <v>875</v>
      </c>
      <c r="E3353" s="46">
        <v>45337</v>
      </c>
      <c r="F3353" s="45" t="s">
        <v>721</v>
      </c>
      <c r="I3353" t="s">
        <v>818</v>
      </c>
    </row>
    <row r="3354" spans="1:9" hidden="1" x14ac:dyDescent="0.3">
      <c r="A3354" t="s">
        <v>777</v>
      </c>
      <c r="B3354" s="46">
        <v>45310</v>
      </c>
      <c r="C3354" s="45">
        <v>6000</v>
      </c>
      <c r="D3354" t="s">
        <v>875</v>
      </c>
      <c r="E3354" s="46">
        <v>45337</v>
      </c>
      <c r="F3354" s="45" t="s">
        <v>721</v>
      </c>
      <c r="I3354" t="s">
        <v>818</v>
      </c>
    </row>
    <row r="3355" spans="1:9" hidden="1" x14ac:dyDescent="0.3">
      <c r="A3355" t="s">
        <v>775</v>
      </c>
      <c r="B3355" s="46">
        <v>45137</v>
      </c>
      <c r="C3355" s="45">
        <v>5930</v>
      </c>
      <c r="D3355" t="s">
        <v>1031</v>
      </c>
      <c r="E3355" s="46">
        <v>45154</v>
      </c>
      <c r="F3355" s="45" t="s">
        <v>721</v>
      </c>
      <c r="I3355" t="s">
        <v>726</v>
      </c>
    </row>
    <row r="3356" spans="1:9" hidden="1" x14ac:dyDescent="0.3">
      <c r="A3356" t="s">
        <v>1281</v>
      </c>
      <c r="B3356" s="46">
        <v>45182</v>
      </c>
      <c r="C3356" s="45">
        <v>5900</v>
      </c>
      <c r="D3356" t="s">
        <v>1229</v>
      </c>
      <c r="E3356" s="46">
        <v>45225</v>
      </c>
      <c r="F3356" s="45" t="s">
        <v>721</v>
      </c>
      <c r="I3356" t="s">
        <v>1162</v>
      </c>
    </row>
    <row r="3357" spans="1:9" hidden="1" x14ac:dyDescent="0.3">
      <c r="A3357" t="s">
        <v>1169</v>
      </c>
      <c r="B3357" s="46">
        <v>45278</v>
      </c>
      <c r="C3357" s="45">
        <v>5900</v>
      </c>
      <c r="D3357" t="s">
        <v>1229</v>
      </c>
      <c r="E3357" s="46">
        <v>45317</v>
      </c>
      <c r="F3357" s="45" t="s">
        <v>721</v>
      </c>
      <c r="I3357" t="s">
        <v>1162</v>
      </c>
    </row>
    <row r="3358" spans="1:9" hidden="1" x14ac:dyDescent="0.3">
      <c r="A3358" t="s">
        <v>1281</v>
      </c>
      <c r="B3358" s="46">
        <v>45217</v>
      </c>
      <c r="C3358" s="45">
        <v>5900</v>
      </c>
      <c r="D3358" t="s">
        <v>1170</v>
      </c>
      <c r="E3358" s="46">
        <v>45256</v>
      </c>
      <c r="F3358" s="45" t="s">
        <v>721</v>
      </c>
      <c r="I3358" t="s">
        <v>1162</v>
      </c>
    </row>
    <row r="3359" spans="1:9" hidden="1" x14ac:dyDescent="0.3">
      <c r="A3359" t="s">
        <v>1238</v>
      </c>
      <c r="B3359" s="46">
        <v>45176</v>
      </c>
      <c r="C3359" s="45">
        <v>5800</v>
      </c>
      <c r="D3359" t="s">
        <v>1161</v>
      </c>
      <c r="E3359" s="46">
        <v>45225</v>
      </c>
      <c r="F3359" s="45" t="s">
        <v>721</v>
      </c>
      <c r="I3359" t="s">
        <v>1162</v>
      </c>
    </row>
    <row r="3360" spans="1:9" hidden="1" x14ac:dyDescent="0.3">
      <c r="A3360" t="s">
        <v>1169</v>
      </c>
      <c r="B3360" s="46">
        <v>45406</v>
      </c>
      <c r="C3360" s="45">
        <v>5800</v>
      </c>
      <c r="D3360" t="s">
        <v>1342</v>
      </c>
      <c r="E3360" s="46">
        <v>45438</v>
      </c>
      <c r="F3360" s="45" t="s">
        <v>721</v>
      </c>
      <c r="I3360" t="s">
        <v>1162</v>
      </c>
    </row>
    <row r="3361" spans="1:9" hidden="1" x14ac:dyDescent="0.3">
      <c r="A3361" t="s">
        <v>1281</v>
      </c>
      <c r="B3361" s="46">
        <v>45359</v>
      </c>
      <c r="C3361" s="45">
        <v>5700</v>
      </c>
      <c r="D3361" t="s">
        <v>1170</v>
      </c>
      <c r="E3361" s="46">
        <v>45408</v>
      </c>
      <c r="F3361" s="45" t="s">
        <v>721</v>
      </c>
      <c r="I3361" t="s">
        <v>1162</v>
      </c>
    </row>
    <row r="3362" spans="1:9" hidden="1" x14ac:dyDescent="0.3">
      <c r="A3362" t="s">
        <v>1281</v>
      </c>
      <c r="B3362" s="46">
        <v>45358</v>
      </c>
      <c r="C3362" s="45">
        <v>5600</v>
      </c>
      <c r="D3362" t="s">
        <v>1342</v>
      </c>
      <c r="E3362" s="46">
        <v>45408</v>
      </c>
      <c r="F3362" s="45" t="s">
        <v>721</v>
      </c>
      <c r="I3362" t="s">
        <v>1162</v>
      </c>
    </row>
    <row r="3363" spans="1:9" hidden="1" x14ac:dyDescent="0.3">
      <c r="A3363" t="s">
        <v>724</v>
      </c>
      <c r="B3363" s="46">
        <v>45369</v>
      </c>
      <c r="C3363" s="45">
        <v>5600</v>
      </c>
      <c r="D3363" t="s">
        <v>1321</v>
      </c>
      <c r="E3363" s="46">
        <v>45408</v>
      </c>
      <c r="F3363" s="45" t="s">
        <v>721</v>
      </c>
      <c r="I3363" t="s">
        <v>726</v>
      </c>
    </row>
    <row r="3364" spans="1:9" hidden="1" x14ac:dyDescent="0.3">
      <c r="A3364" t="s">
        <v>1281</v>
      </c>
      <c r="B3364" s="46">
        <v>45380</v>
      </c>
      <c r="C3364" s="45">
        <v>5600</v>
      </c>
      <c r="D3364" t="s">
        <v>1170</v>
      </c>
      <c r="E3364" s="46">
        <v>45408</v>
      </c>
      <c r="F3364" s="45" t="s">
        <v>721</v>
      </c>
      <c r="I3364" t="s">
        <v>1162</v>
      </c>
    </row>
    <row r="3365" spans="1:9" hidden="1" x14ac:dyDescent="0.3">
      <c r="A3365" t="s">
        <v>748</v>
      </c>
      <c r="B3365" s="46">
        <v>45393</v>
      </c>
      <c r="C3365" s="45">
        <v>5600</v>
      </c>
      <c r="D3365" t="s">
        <v>1063</v>
      </c>
      <c r="E3365" s="46">
        <v>45428</v>
      </c>
      <c r="F3365" s="45" t="s">
        <v>721</v>
      </c>
      <c r="I3365" t="s">
        <v>726</v>
      </c>
    </row>
    <row r="3366" spans="1:9" hidden="1" x14ac:dyDescent="0.3">
      <c r="A3366" t="s">
        <v>1281</v>
      </c>
      <c r="B3366" s="46">
        <v>45177</v>
      </c>
      <c r="C3366" s="45">
        <v>5600</v>
      </c>
      <c r="D3366" t="s">
        <v>1170</v>
      </c>
      <c r="E3366" s="46">
        <v>45225</v>
      </c>
      <c r="F3366" s="45" t="s">
        <v>721</v>
      </c>
      <c r="I3366" t="s">
        <v>1162</v>
      </c>
    </row>
    <row r="3367" spans="1:9" hidden="1" x14ac:dyDescent="0.3">
      <c r="A3367" t="s">
        <v>1169</v>
      </c>
      <c r="B3367" s="46">
        <v>45166</v>
      </c>
      <c r="C3367" s="45">
        <v>5600</v>
      </c>
      <c r="D3367" t="s">
        <v>1229</v>
      </c>
      <c r="E3367" s="46">
        <v>45195</v>
      </c>
      <c r="F3367" s="45" t="s">
        <v>721</v>
      </c>
      <c r="I3367" t="s">
        <v>1162</v>
      </c>
    </row>
    <row r="3368" spans="1:9" hidden="1" x14ac:dyDescent="0.3">
      <c r="A3368" t="s">
        <v>775</v>
      </c>
      <c r="B3368" s="46">
        <v>45135</v>
      </c>
      <c r="C3368" s="45">
        <v>5600</v>
      </c>
      <c r="D3368" t="s">
        <v>1068</v>
      </c>
      <c r="E3368" s="46">
        <v>45154</v>
      </c>
      <c r="F3368" s="45" t="s">
        <v>721</v>
      </c>
      <c r="I3368" t="s">
        <v>726</v>
      </c>
    </row>
    <row r="3369" spans="1:9" hidden="1" x14ac:dyDescent="0.3">
      <c r="A3369" t="s">
        <v>775</v>
      </c>
      <c r="B3369" s="46">
        <v>45132</v>
      </c>
      <c r="C3369" s="45">
        <v>5600</v>
      </c>
      <c r="D3369" t="s">
        <v>1068</v>
      </c>
      <c r="E3369" s="46">
        <v>45154</v>
      </c>
      <c r="F3369" s="45" t="s">
        <v>721</v>
      </c>
      <c r="I3369" t="s">
        <v>726</v>
      </c>
    </row>
    <row r="3370" spans="1:9" hidden="1" x14ac:dyDescent="0.3">
      <c r="A3370" t="s">
        <v>724</v>
      </c>
      <c r="B3370" s="46">
        <v>45126</v>
      </c>
      <c r="C3370" s="45">
        <v>5600</v>
      </c>
      <c r="D3370" t="s">
        <v>1321</v>
      </c>
      <c r="E3370" s="46">
        <v>45164</v>
      </c>
      <c r="F3370" s="45" t="s">
        <v>721</v>
      </c>
      <c r="I3370" t="s">
        <v>726</v>
      </c>
    </row>
    <row r="3371" spans="1:9" hidden="1" x14ac:dyDescent="0.3">
      <c r="A3371" t="s">
        <v>724</v>
      </c>
      <c r="B3371" s="46">
        <v>45128</v>
      </c>
      <c r="C3371" s="45">
        <v>5600</v>
      </c>
      <c r="D3371" t="s">
        <v>1321</v>
      </c>
      <c r="E3371" s="46">
        <v>45164</v>
      </c>
      <c r="F3371" s="45" t="s">
        <v>721</v>
      </c>
      <c r="I3371" t="s">
        <v>726</v>
      </c>
    </row>
    <row r="3372" spans="1:9" hidden="1" x14ac:dyDescent="0.3">
      <c r="A3372" t="s">
        <v>777</v>
      </c>
      <c r="B3372" s="46">
        <v>45131</v>
      </c>
      <c r="C3372" s="45">
        <v>5600</v>
      </c>
      <c r="D3372" t="s">
        <v>1343</v>
      </c>
      <c r="E3372" s="46">
        <v>45184</v>
      </c>
      <c r="F3372" s="45" t="s">
        <v>721</v>
      </c>
      <c r="I3372" t="s">
        <v>726</v>
      </c>
    </row>
    <row r="3373" spans="1:9" hidden="1" x14ac:dyDescent="0.3">
      <c r="A3373" t="s">
        <v>761</v>
      </c>
      <c r="B3373" s="46">
        <v>45124</v>
      </c>
      <c r="C3373" s="45">
        <v>5600</v>
      </c>
      <c r="D3373" t="s">
        <v>1321</v>
      </c>
      <c r="E3373" s="46">
        <v>45164</v>
      </c>
      <c r="F3373" s="45" t="s">
        <v>721</v>
      </c>
      <c r="I3373" t="s">
        <v>726</v>
      </c>
    </row>
    <row r="3374" spans="1:9" hidden="1" x14ac:dyDescent="0.3">
      <c r="A3374" t="s">
        <v>1281</v>
      </c>
      <c r="B3374" s="46">
        <v>45224</v>
      </c>
      <c r="C3374" s="45">
        <v>5600</v>
      </c>
      <c r="D3374" t="s">
        <v>1170</v>
      </c>
      <c r="E3374" s="46">
        <v>45256</v>
      </c>
      <c r="F3374" s="45" t="s">
        <v>721</v>
      </c>
      <c r="I3374" t="s">
        <v>1162</v>
      </c>
    </row>
    <row r="3375" spans="1:9" hidden="1" x14ac:dyDescent="0.3">
      <c r="A3375" t="s">
        <v>1160</v>
      </c>
      <c r="B3375" s="46">
        <v>45390</v>
      </c>
      <c r="C3375" s="45">
        <v>5500</v>
      </c>
      <c r="D3375" t="s">
        <v>1363</v>
      </c>
      <c r="E3375" s="46">
        <v>45438</v>
      </c>
      <c r="F3375" s="45" t="s">
        <v>721</v>
      </c>
      <c r="I3375" t="s">
        <v>1162</v>
      </c>
    </row>
    <row r="3376" spans="1:9" hidden="1" x14ac:dyDescent="0.3">
      <c r="A3376" t="s">
        <v>1281</v>
      </c>
      <c r="B3376" s="46">
        <v>45386</v>
      </c>
      <c r="C3376" s="45">
        <v>5400</v>
      </c>
      <c r="D3376" t="s">
        <v>1229</v>
      </c>
      <c r="E3376" s="46">
        <v>45438</v>
      </c>
      <c r="F3376" s="45" t="s">
        <v>721</v>
      </c>
      <c r="I3376" t="s">
        <v>1162</v>
      </c>
    </row>
    <row r="3377" spans="1:9" hidden="1" x14ac:dyDescent="0.3">
      <c r="A3377" t="s">
        <v>1281</v>
      </c>
      <c r="B3377" s="46">
        <v>45170</v>
      </c>
      <c r="C3377" s="45">
        <v>5400</v>
      </c>
      <c r="D3377" t="s">
        <v>1170</v>
      </c>
      <c r="E3377" s="46">
        <v>45195</v>
      </c>
      <c r="F3377" s="45" t="s">
        <v>721</v>
      </c>
      <c r="I3377" t="s">
        <v>1162</v>
      </c>
    </row>
    <row r="3378" spans="1:9" hidden="1" x14ac:dyDescent="0.3">
      <c r="A3378" t="s">
        <v>1281</v>
      </c>
      <c r="B3378" s="46">
        <v>45127</v>
      </c>
      <c r="C3378" s="45">
        <v>5400</v>
      </c>
      <c r="D3378" t="s">
        <v>1170</v>
      </c>
      <c r="E3378" s="46">
        <v>45164</v>
      </c>
      <c r="F3378" s="45" t="s">
        <v>721</v>
      </c>
      <c r="I3378" t="s">
        <v>1162</v>
      </c>
    </row>
    <row r="3379" spans="1:9" hidden="1" x14ac:dyDescent="0.3">
      <c r="A3379" t="s">
        <v>1160</v>
      </c>
      <c r="B3379" s="46">
        <v>45140</v>
      </c>
      <c r="C3379" s="45">
        <v>5400</v>
      </c>
      <c r="D3379" t="s">
        <v>1229</v>
      </c>
      <c r="E3379" s="46">
        <v>45164</v>
      </c>
      <c r="F3379" s="45" t="s">
        <v>721</v>
      </c>
      <c r="I3379" t="s">
        <v>1162</v>
      </c>
    </row>
    <row r="3380" spans="1:9" hidden="1" x14ac:dyDescent="0.3">
      <c r="A3380" t="s">
        <v>775</v>
      </c>
      <c r="B3380" s="46">
        <v>45154</v>
      </c>
      <c r="C3380" s="45">
        <v>5300</v>
      </c>
      <c r="D3380" t="s">
        <v>1364</v>
      </c>
      <c r="E3380" s="46">
        <v>45184</v>
      </c>
      <c r="F3380" s="45" t="s">
        <v>721</v>
      </c>
      <c r="I3380" t="s">
        <v>726</v>
      </c>
    </row>
    <row r="3381" spans="1:9" hidden="1" x14ac:dyDescent="0.3">
      <c r="A3381" t="s">
        <v>727</v>
      </c>
      <c r="B3381" s="46">
        <v>45176</v>
      </c>
      <c r="C3381" s="45">
        <v>5300</v>
      </c>
      <c r="D3381" t="s">
        <v>1163</v>
      </c>
      <c r="E3381" s="46">
        <v>45215</v>
      </c>
      <c r="F3381" s="45" t="s">
        <v>721</v>
      </c>
      <c r="I3381" t="s">
        <v>726</v>
      </c>
    </row>
    <row r="3382" spans="1:9" hidden="1" x14ac:dyDescent="0.3">
      <c r="A3382" t="s">
        <v>779</v>
      </c>
      <c r="B3382" s="46">
        <v>45317</v>
      </c>
      <c r="C3382" s="45">
        <v>5300</v>
      </c>
      <c r="D3382" t="s">
        <v>1068</v>
      </c>
      <c r="E3382" s="46">
        <v>45338</v>
      </c>
      <c r="F3382" s="45" t="s">
        <v>721</v>
      </c>
      <c r="I3382" t="s">
        <v>726</v>
      </c>
    </row>
    <row r="3383" spans="1:9" hidden="1" x14ac:dyDescent="0.3">
      <c r="A3383" t="s">
        <v>722</v>
      </c>
      <c r="B3383" s="46">
        <v>45341</v>
      </c>
      <c r="C3383" s="45">
        <v>5290</v>
      </c>
      <c r="D3383" t="s">
        <v>776</v>
      </c>
      <c r="E3383" s="46">
        <v>45366</v>
      </c>
      <c r="F3383" s="45" t="s">
        <v>721</v>
      </c>
      <c r="I3383" t="s">
        <v>762</v>
      </c>
    </row>
    <row r="3384" spans="1:9" hidden="1" x14ac:dyDescent="0.3">
      <c r="A3384" t="s">
        <v>1338</v>
      </c>
      <c r="B3384" s="46">
        <v>45355</v>
      </c>
      <c r="C3384" s="45">
        <v>5200</v>
      </c>
      <c r="D3384" t="s">
        <v>1286</v>
      </c>
      <c r="E3384" s="46">
        <v>45408</v>
      </c>
      <c r="F3384" s="45" t="s">
        <v>721</v>
      </c>
      <c r="I3384" t="s">
        <v>1162</v>
      </c>
    </row>
    <row r="3385" spans="1:9" hidden="1" x14ac:dyDescent="0.3">
      <c r="A3385" t="s">
        <v>1281</v>
      </c>
      <c r="B3385" s="46">
        <v>45343</v>
      </c>
      <c r="C3385" s="45">
        <v>5200</v>
      </c>
      <c r="D3385" t="s">
        <v>1161</v>
      </c>
      <c r="E3385" s="46">
        <v>45377</v>
      </c>
      <c r="F3385" s="45" t="s">
        <v>721</v>
      </c>
      <c r="I3385" t="s">
        <v>1162</v>
      </c>
    </row>
    <row r="3386" spans="1:9" hidden="1" x14ac:dyDescent="0.3">
      <c r="A3386" t="s">
        <v>1338</v>
      </c>
      <c r="B3386" s="46">
        <v>45397</v>
      </c>
      <c r="C3386" s="45">
        <v>5200</v>
      </c>
      <c r="D3386" t="s">
        <v>1286</v>
      </c>
      <c r="E3386" s="46">
        <v>45438</v>
      </c>
      <c r="F3386" s="45" t="s">
        <v>721</v>
      </c>
      <c r="I3386" t="s">
        <v>1162</v>
      </c>
    </row>
    <row r="3387" spans="1:9" hidden="1" x14ac:dyDescent="0.3">
      <c r="A3387" t="s">
        <v>1281</v>
      </c>
      <c r="B3387" s="46">
        <v>45393</v>
      </c>
      <c r="C3387" s="45">
        <v>5200</v>
      </c>
      <c r="D3387" t="s">
        <v>1229</v>
      </c>
      <c r="E3387" s="46">
        <v>45438</v>
      </c>
      <c r="F3387" s="45" t="s">
        <v>721</v>
      </c>
      <c r="I3387" t="s">
        <v>1162</v>
      </c>
    </row>
    <row r="3388" spans="1:9" hidden="1" x14ac:dyDescent="0.3">
      <c r="A3388" t="s">
        <v>1281</v>
      </c>
      <c r="B3388" s="46">
        <v>45441</v>
      </c>
      <c r="C3388" s="45">
        <v>5200</v>
      </c>
      <c r="D3388" t="s">
        <v>1229</v>
      </c>
      <c r="E3388" s="46">
        <v>45469</v>
      </c>
      <c r="F3388" s="45" t="s">
        <v>721</v>
      </c>
      <c r="I3388" t="s">
        <v>1162</v>
      </c>
    </row>
    <row r="3389" spans="1:9" hidden="1" x14ac:dyDescent="0.3">
      <c r="A3389" t="s">
        <v>1238</v>
      </c>
      <c r="B3389" s="46">
        <v>45422</v>
      </c>
      <c r="C3389" s="45">
        <v>5200</v>
      </c>
      <c r="D3389" t="s">
        <v>1286</v>
      </c>
      <c r="E3389" s="46">
        <v>45469</v>
      </c>
      <c r="F3389" s="45" t="s">
        <v>721</v>
      </c>
      <c r="I3389" t="s">
        <v>1162</v>
      </c>
    </row>
    <row r="3390" spans="1:9" hidden="1" x14ac:dyDescent="0.3">
      <c r="A3390" t="s">
        <v>1238</v>
      </c>
      <c r="B3390" s="46">
        <v>45180</v>
      </c>
      <c r="C3390" s="45">
        <v>5200</v>
      </c>
      <c r="D3390" t="s">
        <v>1229</v>
      </c>
      <c r="E3390" s="46">
        <v>45225</v>
      </c>
      <c r="F3390" s="45" t="s">
        <v>721</v>
      </c>
      <c r="I3390" t="s">
        <v>1162</v>
      </c>
    </row>
    <row r="3391" spans="1:9" hidden="1" x14ac:dyDescent="0.3">
      <c r="A3391" t="s">
        <v>775</v>
      </c>
      <c r="B3391" s="46">
        <v>45180</v>
      </c>
      <c r="C3391" s="45">
        <v>5200</v>
      </c>
      <c r="D3391" t="s">
        <v>1365</v>
      </c>
      <c r="E3391" s="46">
        <v>45215</v>
      </c>
      <c r="F3391" s="45" t="s">
        <v>721</v>
      </c>
    </row>
    <row r="3392" spans="1:9" hidden="1" x14ac:dyDescent="0.3">
      <c r="A3392" t="s">
        <v>1238</v>
      </c>
      <c r="B3392" s="46">
        <v>45215</v>
      </c>
      <c r="C3392" s="45">
        <v>5200</v>
      </c>
      <c r="D3392" t="s">
        <v>1229</v>
      </c>
      <c r="E3392" s="46">
        <v>45256</v>
      </c>
      <c r="F3392" s="45" t="s">
        <v>721</v>
      </c>
      <c r="I3392" t="s">
        <v>1162</v>
      </c>
    </row>
    <row r="3393" spans="1:9" hidden="1" x14ac:dyDescent="0.3">
      <c r="A3393" t="s">
        <v>1281</v>
      </c>
      <c r="B3393" s="46">
        <v>45231</v>
      </c>
      <c r="C3393" s="45">
        <v>5200</v>
      </c>
      <c r="D3393" t="s">
        <v>1229</v>
      </c>
      <c r="E3393" s="46">
        <v>45256</v>
      </c>
      <c r="F3393" s="45" t="s">
        <v>721</v>
      </c>
      <c r="I3393" t="s">
        <v>1162</v>
      </c>
    </row>
    <row r="3394" spans="1:9" hidden="1" x14ac:dyDescent="0.3">
      <c r="A3394" t="s">
        <v>1281</v>
      </c>
      <c r="B3394" s="46">
        <v>45261</v>
      </c>
      <c r="C3394" s="45">
        <v>5200</v>
      </c>
      <c r="D3394" t="s">
        <v>1229</v>
      </c>
      <c r="E3394" s="46">
        <v>45286</v>
      </c>
      <c r="F3394" s="45" t="s">
        <v>721</v>
      </c>
      <c r="I3394" t="s">
        <v>1162</v>
      </c>
    </row>
    <row r="3395" spans="1:9" hidden="1" x14ac:dyDescent="0.3">
      <c r="A3395" t="s">
        <v>1281</v>
      </c>
      <c r="B3395" s="46">
        <v>45268</v>
      </c>
      <c r="C3395" s="45">
        <v>5200</v>
      </c>
      <c r="D3395" t="s">
        <v>1229</v>
      </c>
      <c r="E3395" s="46">
        <v>45317</v>
      </c>
      <c r="F3395" s="45" t="s">
        <v>721</v>
      </c>
      <c r="I3395" t="s">
        <v>1162</v>
      </c>
    </row>
    <row r="3396" spans="1:9" hidden="1" x14ac:dyDescent="0.3">
      <c r="A3396" t="s">
        <v>1238</v>
      </c>
      <c r="B3396" s="46">
        <v>45252</v>
      </c>
      <c r="C3396" s="45">
        <v>5200</v>
      </c>
      <c r="D3396" t="s">
        <v>1363</v>
      </c>
      <c r="E3396" s="46">
        <v>45286</v>
      </c>
      <c r="F3396" s="45" t="s">
        <v>721</v>
      </c>
      <c r="I3396" t="s">
        <v>1162</v>
      </c>
    </row>
    <row r="3397" spans="1:9" hidden="1" x14ac:dyDescent="0.3">
      <c r="A3397" t="s">
        <v>1269</v>
      </c>
      <c r="B3397" s="46">
        <v>45181</v>
      </c>
      <c r="C3397" s="45">
        <v>5100</v>
      </c>
      <c r="D3397" t="s">
        <v>1229</v>
      </c>
      <c r="E3397" s="46">
        <v>45225</v>
      </c>
      <c r="F3397" s="45" t="s">
        <v>721</v>
      </c>
      <c r="I3397" t="s">
        <v>1162</v>
      </c>
    </row>
    <row r="3398" spans="1:9" hidden="1" x14ac:dyDescent="0.3">
      <c r="A3398" t="s">
        <v>722</v>
      </c>
      <c r="B3398" s="46">
        <v>45398</v>
      </c>
      <c r="C3398" s="45">
        <v>5100</v>
      </c>
      <c r="D3398" t="s">
        <v>771</v>
      </c>
      <c r="E3398" s="46">
        <v>45428</v>
      </c>
      <c r="F3398" s="45" t="s">
        <v>721</v>
      </c>
      <c r="I3398" t="s">
        <v>762</v>
      </c>
    </row>
    <row r="3399" spans="1:9" hidden="1" x14ac:dyDescent="0.3">
      <c r="A3399" t="s">
        <v>727</v>
      </c>
      <c r="B3399" s="46">
        <v>45400</v>
      </c>
      <c r="C3399" s="45">
        <v>5000</v>
      </c>
      <c r="D3399" t="s">
        <v>2143</v>
      </c>
      <c r="E3399" s="46">
        <v>45428</v>
      </c>
      <c r="F3399" s="45" t="s">
        <v>721</v>
      </c>
      <c r="I3399" t="s">
        <v>2027</v>
      </c>
    </row>
    <row r="3400" spans="1:9" hidden="1" x14ac:dyDescent="0.3">
      <c r="A3400" t="s">
        <v>727</v>
      </c>
      <c r="B3400" s="46">
        <v>45401</v>
      </c>
      <c r="C3400" s="45">
        <v>5000</v>
      </c>
      <c r="D3400" t="s">
        <v>2143</v>
      </c>
      <c r="E3400" s="46">
        <v>45428</v>
      </c>
      <c r="F3400" s="45" t="s">
        <v>721</v>
      </c>
      <c r="I3400" t="s">
        <v>2027</v>
      </c>
    </row>
    <row r="3401" spans="1:9" hidden="1" x14ac:dyDescent="0.3">
      <c r="A3401" t="s">
        <v>724</v>
      </c>
      <c r="B3401" s="46">
        <v>45401</v>
      </c>
      <c r="C3401" s="45">
        <v>5000</v>
      </c>
      <c r="D3401" t="s">
        <v>1730</v>
      </c>
      <c r="E3401" s="46">
        <v>45438</v>
      </c>
      <c r="F3401" s="45" t="s">
        <v>721</v>
      </c>
      <c r="I3401" t="s">
        <v>726</v>
      </c>
    </row>
    <row r="3402" spans="1:9" hidden="1" x14ac:dyDescent="0.3">
      <c r="A3402" t="s">
        <v>724</v>
      </c>
      <c r="B3402" s="46">
        <v>45411</v>
      </c>
      <c r="C3402" s="45">
        <v>5000</v>
      </c>
      <c r="D3402" t="s">
        <v>1730</v>
      </c>
      <c r="E3402" s="46">
        <v>45438</v>
      </c>
      <c r="F3402" s="45" t="s">
        <v>721</v>
      </c>
      <c r="I3402" t="s">
        <v>726</v>
      </c>
    </row>
    <row r="3403" spans="1:9" hidden="1" x14ac:dyDescent="0.3">
      <c r="A3403" t="s">
        <v>1269</v>
      </c>
      <c r="B3403" s="46">
        <v>45432</v>
      </c>
      <c r="C3403" s="45">
        <v>5000</v>
      </c>
      <c r="D3403" t="s">
        <v>1342</v>
      </c>
      <c r="E3403" s="46">
        <v>45469</v>
      </c>
      <c r="F3403" s="45" t="s">
        <v>721</v>
      </c>
      <c r="I3403" t="s">
        <v>1162</v>
      </c>
    </row>
    <row r="3404" spans="1:9" hidden="1" x14ac:dyDescent="0.3">
      <c r="A3404" t="s">
        <v>1281</v>
      </c>
      <c r="B3404" s="46">
        <v>45436</v>
      </c>
      <c r="C3404" s="45">
        <v>5000</v>
      </c>
      <c r="D3404" t="s">
        <v>1286</v>
      </c>
      <c r="E3404" s="46">
        <v>45469</v>
      </c>
      <c r="F3404" s="45" t="s">
        <v>721</v>
      </c>
      <c r="I3404" t="s">
        <v>1162</v>
      </c>
    </row>
    <row r="3405" spans="1:9" hidden="1" x14ac:dyDescent="0.3">
      <c r="A3405" t="s">
        <v>779</v>
      </c>
      <c r="B3405" s="46">
        <v>45443</v>
      </c>
      <c r="C3405" s="45">
        <v>5000</v>
      </c>
      <c r="D3405" t="s">
        <v>2121</v>
      </c>
      <c r="E3405" s="46">
        <v>45459</v>
      </c>
      <c r="F3405" s="45" t="s">
        <v>721</v>
      </c>
      <c r="I3405" t="s">
        <v>726</v>
      </c>
    </row>
    <row r="3406" spans="1:9" hidden="1" x14ac:dyDescent="0.3">
      <c r="A3406" t="s">
        <v>724</v>
      </c>
      <c r="B3406" s="46">
        <v>45383</v>
      </c>
      <c r="C3406" s="45">
        <v>5000</v>
      </c>
      <c r="D3406" t="s">
        <v>1730</v>
      </c>
      <c r="E3406" s="46">
        <v>45408</v>
      </c>
      <c r="F3406" s="45" t="s">
        <v>721</v>
      </c>
      <c r="I3406" t="s">
        <v>726</v>
      </c>
    </row>
    <row r="3407" spans="1:9" hidden="1" x14ac:dyDescent="0.3">
      <c r="A3407" t="s">
        <v>724</v>
      </c>
      <c r="B3407" s="46">
        <v>45377</v>
      </c>
      <c r="C3407" s="45">
        <v>5000</v>
      </c>
      <c r="D3407" t="s">
        <v>1730</v>
      </c>
      <c r="E3407" s="46">
        <v>45408</v>
      </c>
      <c r="F3407" s="45" t="s">
        <v>721</v>
      </c>
      <c r="I3407" t="s">
        <v>726</v>
      </c>
    </row>
    <row r="3408" spans="1:9" hidden="1" x14ac:dyDescent="0.3">
      <c r="A3408" t="s">
        <v>1169</v>
      </c>
      <c r="B3408" s="46">
        <v>45377</v>
      </c>
      <c r="C3408" s="45">
        <v>5000</v>
      </c>
      <c r="D3408" t="s">
        <v>1363</v>
      </c>
      <c r="E3408" s="46">
        <v>45408</v>
      </c>
      <c r="F3408" s="45" t="s">
        <v>721</v>
      </c>
      <c r="I3408" t="s">
        <v>1162</v>
      </c>
    </row>
    <row r="3409" spans="1:9" hidden="1" x14ac:dyDescent="0.3">
      <c r="A3409" t="s">
        <v>748</v>
      </c>
      <c r="B3409" s="46">
        <v>45358</v>
      </c>
      <c r="C3409" s="45">
        <v>5000</v>
      </c>
      <c r="D3409" t="s">
        <v>991</v>
      </c>
      <c r="E3409" s="46">
        <v>45397</v>
      </c>
      <c r="F3409" s="45" t="s">
        <v>721</v>
      </c>
      <c r="I3409" t="s">
        <v>726</v>
      </c>
    </row>
    <row r="3410" spans="1:9" hidden="1" x14ac:dyDescent="0.3">
      <c r="A3410" t="s">
        <v>729</v>
      </c>
      <c r="B3410" s="46">
        <v>45323</v>
      </c>
      <c r="C3410" s="45">
        <v>5000</v>
      </c>
      <c r="D3410" t="s">
        <v>790</v>
      </c>
      <c r="E3410" s="46">
        <v>45366</v>
      </c>
      <c r="F3410" s="45" t="s">
        <v>721</v>
      </c>
      <c r="I3410" t="s">
        <v>756</v>
      </c>
    </row>
    <row r="3411" spans="1:9" hidden="1" x14ac:dyDescent="0.3">
      <c r="A3411" t="s">
        <v>1338</v>
      </c>
      <c r="B3411" s="46">
        <v>45322</v>
      </c>
      <c r="C3411" s="45">
        <v>5000</v>
      </c>
      <c r="D3411" t="s">
        <v>1161</v>
      </c>
      <c r="E3411" s="46">
        <v>45348</v>
      </c>
      <c r="F3411" s="45" t="s">
        <v>721</v>
      </c>
      <c r="I3411" t="s">
        <v>1162</v>
      </c>
    </row>
    <row r="3412" spans="1:9" hidden="1" x14ac:dyDescent="0.3">
      <c r="A3412" t="s">
        <v>729</v>
      </c>
      <c r="B3412" s="46">
        <v>45317</v>
      </c>
      <c r="C3412" s="45">
        <v>5000</v>
      </c>
      <c r="D3412" t="s">
        <v>790</v>
      </c>
      <c r="E3412" s="46">
        <v>45337</v>
      </c>
      <c r="F3412" s="45" t="s">
        <v>721</v>
      </c>
      <c r="I3412" t="s">
        <v>756</v>
      </c>
    </row>
    <row r="3413" spans="1:9" hidden="1" x14ac:dyDescent="0.3">
      <c r="A3413" t="s">
        <v>1269</v>
      </c>
      <c r="B3413" s="46">
        <v>45196</v>
      </c>
      <c r="C3413" s="45">
        <v>5000</v>
      </c>
      <c r="D3413" t="s">
        <v>1286</v>
      </c>
      <c r="E3413" s="46">
        <v>45225</v>
      </c>
      <c r="F3413" s="45" t="s">
        <v>721</v>
      </c>
      <c r="I3413" t="s">
        <v>1162</v>
      </c>
    </row>
    <row r="3414" spans="1:9" hidden="1" x14ac:dyDescent="0.3">
      <c r="A3414" t="s">
        <v>1338</v>
      </c>
      <c r="B3414" s="46">
        <v>45159</v>
      </c>
      <c r="C3414" s="45">
        <v>5000</v>
      </c>
      <c r="D3414" t="s">
        <v>1286</v>
      </c>
      <c r="E3414" s="46">
        <v>45195</v>
      </c>
      <c r="F3414" s="45" t="s">
        <v>721</v>
      </c>
      <c r="I3414" t="s">
        <v>1162</v>
      </c>
    </row>
    <row r="3415" spans="1:9" hidden="1" x14ac:dyDescent="0.3">
      <c r="A3415" t="s">
        <v>1338</v>
      </c>
      <c r="B3415" s="46">
        <v>45169</v>
      </c>
      <c r="C3415" s="45">
        <v>5000</v>
      </c>
      <c r="D3415" t="s">
        <v>1286</v>
      </c>
      <c r="E3415" s="46">
        <v>45195</v>
      </c>
      <c r="F3415" s="45" t="s">
        <v>721</v>
      </c>
      <c r="I3415" t="s">
        <v>1162</v>
      </c>
    </row>
    <row r="3416" spans="1:9" hidden="1" x14ac:dyDescent="0.3">
      <c r="A3416" t="s">
        <v>775</v>
      </c>
      <c r="B3416" s="46">
        <v>45217</v>
      </c>
      <c r="C3416" s="45">
        <v>5000</v>
      </c>
      <c r="D3416" t="s">
        <v>1366</v>
      </c>
      <c r="E3416" s="46">
        <v>45246</v>
      </c>
      <c r="F3416" s="45" t="s">
        <v>721</v>
      </c>
    </row>
    <row r="3417" spans="1:9" hidden="1" x14ac:dyDescent="0.3">
      <c r="A3417" t="s">
        <v>779</v>
      </c>
      <c r="B3417" s="46">
        <v>45233</v>
      </c>
      <c r="C3417" s="45">
        <v>5000</v>
      </c>
      <c r="D3417" t="s">
        <v>1367</v>
      </c>
      <c r="E3417" s="46">
        <v>45246</v>
      </c>
      <c r="F3417" s="45" t="s">
        <v>721</v>
      </c>
    </row>
    <row r="3418" spans="1:9" hidden="1" x14ac:dyDescent="0.3">
      <c r="A3418" t="s">
        <v>729</v>
      </c>
      <c r="B3418" s="46">
        <v>45250</v>
      </c>
      <c r="C3418" s="45">
        <v>4970</v>
      </c>
      <c r="D3418" t="s">
        <v>790</v>
      </c>
      <c r="E3418" s="46">
        <v>45275</v>
      </c>
      <c r="F3418" s="45" t="s">
        <v>721</v>
      </c>
      <c r="I3418" t="s">
        <v>756</v>
      </c>
    </row>
    <row r="3419" spans="1:9" hidden="1" x14ac:dyDescent="0.3">
      <c r="A3419" t="s">
        <v>729</v>
      </c>
      <c r="B3419" s="46">
        <v>45257</v>
      </c>
      <c r="C3419" s="45">
        <v>4970</v>
      </c>
      <c r="D3419" t="s">
        <v>790</v>
      </c>
      <c r="E3419" s="46">
        <v>45275</v>
      </c>
      <c r="F3419" s="45" t="s">
        <v>721</v>
      </c>
      <c r="I3419" t="s">
        <v>756</v>
      </c>
    </row>
    <row r="3420" spans="1:9" hidden="1" x14ac:dyDescent="0.3">
      <c r="A3420" t="s">
        <v>748</v>
      </c>
      <c r="B3420" s="46">
        <v>45203</v>
      </c>
      <c r="C3420" s="45">
        <v>4950</v>
      </c>
      <c r="D3420" t="s">
        <v>1031</v>
      </c>
      <c r="E3420" s="46">
        <v>45245</v>
      </c>
      <c r="F3420" s="45" t="s">
        <v>721</v>
      </c>
      <c r="I3420" t="s">
        <v>726</v>
      </c>
    </row>
    <row r="3421" spans="1:9" hidden="1" x14ac:dyDescent="0.3">
      <c r="A3421" t="s">
        <v>1281</v>
      </c>
      <c r="B3421" s="46">
        <v>45119</v>
      </c>
      <c r="C3421" s="45">
        <v>4900</v>
      </c>
      <c r="D3421" t="s">
        <v>1229</v>
      </c>
      <c r="E3421" s="46">
        <v>45164</v>
      </c>
      <c r="F3421" s="45" t="s">
        <v>721</v>
      </c>
      <c r="I3421" t="s">
        <v>1162</v>
      </c>
    </row>
    <row r="3422" spans="1:9" hidden="1" x14ac:dyDescent="0.3">
      <c r="A3422" t="s">
        <v>729</v>
      </c>
      <c r="B3422" s="46">
        <v>45287</v>
      </c>
      <c r="C3422" s="45">
        <v>4900</v>
      </c>
      <c r="D3422" t="s">
        <v>790</v>
      </c>
      <c r="E3422" s="46">
        <v>45306</v>
      </c>
      <c r="F3422" s="45" t="s">
        <v>721</v>
      </c>
      <c r="I3422" t="s">
        <v>756</v>
      </c>
    </row>
    <row r="3423" spans="1:9" hidden="1" x14ac:dyDescent="0.3">
      <c r="A3423" t="s">
        <v>722</v>
      </c>
      <c r="B3423" s="46">
        <v>45176</v>
      </c>
      <c r="C3423" s="45">
        <v>4860</v>
      </c>
      <c r="D3423" t="s">
        <v>776</v>
      </c>
      <c r="E3423" s="46">
        <v>45215</v>
      </c>
      <c r="F3423" s="45" t="s">
        <v>721</v>
      </c>
      <c r="I3423" t="s">
        <v>762</v>
      </c>
    </row>
    <row r="3424" spans="1:9" hidden="1" x14ac:dyDescent="0.3">
      <c r="A3424" t="s">
        <v>1160</v>
      </c>
      <c r="B3424" s="46">
        <v>45196</v>
      </c>
      <c r="C3424" s="45">
        <v>4800</v>
      </c>
      <c r="D3424" t="s">
        <v>1363</v>
      </c>
      <c r="E3424" s="46">
        <v>45225</v>
      </c>
      <c r="F3424" s="45" t="s">
        <v>721</v>
      </c>
      <c r="I3424" t="s">
        <v>1162</v>
      </c>
    </row>
    <row r="3425" spans="1:9" hidden="1" x14ac:dyDescent="0.3">
      <c r="A3425" t="s">
        <v>1281</v>
      </c>
      <c r="B3425" s="46">
        <v>45169</v>
      </c>
      <c r="C3425" s="45">
        <v>4800</v>
      </c>
      <c r="D3425" t="s">
        <v>1161</v>
      </c>
      <c r="E3425" s="46">
        <v>45195</v>
      </c>
      <c r="F3425" s="45" t="s">
        <v>721</v>
      </c>
      <c r="I3425" t="s">
        <v>1162</v>
      </c>
    </row>
    <row r="3426" spans="1:9" hidden="1" x14ac:dyDescent="0.3">
      <c r="A3426" t="s">
        <v>1160</v>
      </c>
      <c r="B3426" s="46">
        <v>45278</v>
      </c>
      <c r="C3426" s="45">
        <v>4800</v>
      </c>
      <c r="D3426" t="s">
        <v>1229</v>
      </c>
      <c r="E3426" s="46">
        <v>45317</v>
      </c>
      <c r="F3426" s="45" t="s">
        <v>721</v>
      </c>
      <c r="I3426" t="s">
        <v>1162</v>
      </c>
    </row>
    <row r="3427" spans="1:9" hidden="1" x14ac:dyDescent="0.3">
      <c r="A3427" t="s">
        <v>1160</v>
      </c>
      <c r="B3427" s="46">
        <v>45286</v>
      </c>
      <c r="C3427" s="45">
        <v>4800</v>
      </c>
      <c r="D3427" t="s">
        <v>1229</v>
      </c>
      <c r="E3427" s="46">
        <v>45317</v>
      </c>
      <c r="F3427" s="45" t="s">
        <v>721</v>
      </c>
      <c r="I3427" t="s">
        <v>1162</v>
      </c>
    </row>
    <row r="3428" spans="1:9" hidden="1" x14ac:dyDescent="0.3">
      <c r="A3428" t="s">
        <v>1160</v>
      </c>
      <c r="B3428" s="46">
        <v>45385</v>
      </c>
      <c r="C3428" s="45">
        <v>4800</v>
      </c>
      <c r="D3428" t="s">
        <v>1363</v>
      </c>
      <c r="E3428" s="46">
        <v>45408</v>
      </c>
      <c r="F3428" s="45" t="s">
        <v>721</v>
      </c>
      <c r="I3428" t="s">
        <v>1162</v>
      </c>
    </row>
    <row r="3429" spans="1:9" hidden="1" x14ac:dyDescent="0.3">
      <c r="A3429" t="s">
        <v>1160</v>
      </c>
      <c r="B3429" s="46">
        <v>45341</v>
      </c>
      <c r="C3429" s="45">
        <v>4800</v>
      </c>
      <c r="D3429" t="s">
        <v>1229</v>
      </c>
      <c r="E3429" s="46">
        <v>45377</v>
      </c>
      <c r="F3429" s="45" t="s">
        <v>721</v>
      </c>
      <c r="I3429" t="s">
        <v>1162</v>
      </c>
    </row>
    <row r="3430" spans="1:9" hidden="1" x14ac:dyDescent="0.3">
      <c r="A3430" t="s">
        <v>1160</v>
      </c>
      <c r="B3430" s="46">
        <v>45434</v>
      </c>
      <c r="C3430" s="45">
        <v>4800</v>
      </c>
      <c r="D3430" t="s">
        <v>1363</v>
      </c>
      <c r="E3430" s="46">
        <v>45469</v>
      </c>
      <c r="F3430" s="45" t="s">
        <v>721</v>
      </c>
      <c r="I3430" t="s">
        <v>1162</v>
      </c>
    </row>
    <row r="3431" spans="1:9" hidden="1" x14ac:dyDescent="0.3">
      <c r="A3431" t="s">
        <v>724</v>
      </c>
      <c r="B3431" s="46">
        <v>45293</v>
      </c>
      <c r="C3431" s="45">
        <v>4770</v>
      </c>
      <c r="D3431" t="s">
        <v>755</v>
      </c>
      <c r="E3431" s="46">
        <v>45317</v>
      </c>
      <c r="F3431" s="45" t="s">
        <v>721</v>
      </c>
      <c r="I3431" t="s">
        <v>726</v>
      </c>
    </row>
    <row r="3432" spans="1:9" hidden="1" x14ac:dyDescent="0.3">
      <c r="A3432" t="s">
        <v>775</v>
      </c>
      <c r="B3432" s="46">
        <v>45196</v>
      </c>
      <c r="C3432" s="45">
        <v>4770</v>
      </c>
      <c r="D3432" t="s">
        <v>1031</v>
      </c>
      <c r="E3432" s="46">
        <v>45215</v>
      </c>
      <c r="F3432" s="45" t="s">
        <v>721</v>
      </c>
      <c r="I3432" t="s">
        <v>726</v>
      </c>
    </row>
    <row r="3433" spans="1:9" hidden="1" x14ac:dyDescent="0.3">
      <c r="A3433" t="s">
        <v>1169</v>
      </c>
      <c r="B3433" s="46">
        <v>45210</v>
      </c>
      <c r="C3433" s="45">
        <v>4700</v>
      </c>
      <c r="D3433" t="s">
        <v>1286</v>
      </c>
      <c r="E3433" s="46">
        <v>45256</v>
      </c>
      <c r="F3433" s="45" t="s">
        <v>721</v>
      </c>
      <c r="I3433" t="s">
        <v>1162</v>
      </c>
    </row>
    <row r="3434" spans="1:9" hidden="1" x14ac:dyDescent="0.3">
      <c r="A3434" t="s">
        <v>729</v>
      </c>
      <c r="B3434" s="46">
        <v>45317</v>
      </c>
      <c r="C3434" s="45">
        <v>4700</v>
      </c>
      <c r="D3434" t="s">
        <v>790</v>
      </c>
      <c r="E3434" s="46">
        <v>45337</v>
      </c>
      <c r="F3434" s="45" t="s">
        <v>721</v>
      </c>
      <c r="I3434" t="s">
        <v>756</v>
      </c>
    </row>
    <row r="3435" spans="1:9" hidden="1" x14ac:dyDescent="0.3">
      <c r="A3435" t="s">
        <v>1281</v>
      </c>
      <c r="B3435" s="46">
        <v>45378</v>
      </c>
      <c r="C3435" s="45">
        <v>4600</v>
      </c>
      <c r="D3435" t="s">
        <v>1229</v>
      </c>
      <c r="E3435" s="46">
        <v>45408</v>
      </c>
      <c r="F3435" s="45" t="s">
        <v>721</v>
      </c>
      <c r="I3435" t="s">
        <v>1162</v>
      </c>
    </row>
    <row r="3436" spans="1:9" hidden="1" x14ac:dyDescent="0.3">
      <c r="A3436" t="s">
        <v>1238</v>
      </c>
      <c r="B3436" s="46">
        <v>45124</v>
      </c>
      <c r="C3436" s="45">
        <v>4600</v>
      </c>
      <c r="D3436" t="s">
        <v>1286</v>
      </c>
      <c r="E3436" s="46">
        <v>45164</v>
      </c>
      <c r="F3436" s="45" t="s">
        <v>721</v>
      </c>
      <c r="I3436" t="s">
        <v>1162</v>
      </c>
    </row>
    <row r="3437" spans="1:9" hidden="1" x14ac:dyDescent="0.3">
      <c r="A3437" t="s">
        <v>1269</v>
      </c>
      <c r="B3437" s="46">
        <v>45215</v>
      </c>
      <c r="C3437" s="45">
        <v>4560</v>
      </c>
      <c r="D3437" t="s">
        <v>1229</v>
      </c>
      <c r="E3437" s="46">
        <v>45256</v>
      </c>
      <c r="F3437" s="45" t="s">
        <v>721</v>
      </c>
      <c r="I3437" t="s">
        <v>1162</v>
      </c>
    </row>
    <row r="3438" spans="1:9" hidden="1" x14ac:dyDescent="0.3">
      <c r="A3438" t="s">
        <v>724</v>
      </c>
      <c r="B3438" s="46">
        <v>45257</v>
      </c>
      <c r="C3438" s="45">
        <v>4500</v>
      </c>
      <c r="D3438" t="s">
        <v>1369</v>
      </c>
      <c r="E3438" s="46">
        <v>45286</v>
      </c>
      <c r="F3438" s="45" t="s">
        <v>721</v>
      </c>
      <c r="I3438" t="s">
        <v>726</v>
      </c>
    </row>
    <row r="3439" spans="1:9" hidden="1" x14ac:dyDescent="0.3">
      <c r="A3439" t="s">
        <v>727</v>
      </c>
      <c r="B3439" s="46">
        <v>45239</v>
      </c>
      <c r="C3439" s="45">
        <v>4500</v>
      </c>
      <c r="D3439" t="s">
        <v>1368</v>
      </c>
      <c r="E3439" s="46">
        <v>45275</v>
      </c>
      <c r="F3439" s="45" t="s">
        <v>721</v>
      </c>
      <c r="I3439" t="s">
        <v>1148</v>
      </c>
    </row>
    <row r="3440" spans="1:9" hidden="1" x14ac:dyDescent="0.3">
      <c r="A3440" t="s">
        <v>775</v>
      </c>
      <c r="B3440" s="46">
        <v>45272</v>
      </c>
      <c r="C3440" s="45">
        <v>4500</v>
      </c>
      <c r="D3440" t="s">
        <v>1370</v>
      </c>
      <c r="E3440" s="46">
        <v>45307</v>
      </c>
      <c r="F3440" s="45" t="s">
        <v>721</v>
      </c>
      <c r="I3440" t="s">
        <v>740</v>
      </c>
    </row>
    <row r="3441" spans="1:9" hidden="1" x14ac:dyDescent="0.3">
      <c r="A3441" t="s">
        <v>727</v>
      </c>
      <c r="B3441" s="46">
        <v>45170</v>
      </c>
      <c r="C3441" s="45">
        <v>4500</v>
      </c>
      <c r="D3441" t="s">
        <v>991</v>
      </c>
      <c r="E3441" s="46">
        <v>45215</v>
      </c>
      <c r="F3441" s="45" t="s">
        <v>721</v>
      </c>
      <c r="I3441" t="s">
        <v>726</v>
      </c>
    </row>
    <row r="3442" spans="1:9" hidden="1" x14ac:dyDescent="0.3">
      <c r="A3442" t="s">
        <v>745</v>
      </c>
      <c r="B3442" s="46">
        <v>45404</v>
      </c>
      <c r="C3442" s="45">
        <v>4500</v>
      </c>
      <c r="D3442" t="s">
        <v>2144</v>
      </c>
      <c r="E3442" s="46">
        <v>45428</v>
      </c>
      <c r="F3442" s="45" t="s">
        <v>721</v>
      </c>
      <c r="G3442">
        <v>0</v>
      </c>
      <c r="I3442" t="s">
        <v>726</v>
      </c>
    </row>
    <row r="3443" spans="1:9" hidden="1" x14ac:dyDescent="0.3">
      <c r="A3443" t="s">
        <v>767</v>
      </c>
      <c r="B3443" s="46">
        <v>45407</v>
      </c>
      <c r="C3443" s="45">
        <v>4500</v>
      </c>
      <c r="D3443" t="s">
        <v>830</v>
      </c>
      <c r="E3443" s="46">
        <v>45428</v>
      </c>
      <c r="F3443" s="45" t="s">
        <v>721</v>
      </c>
      <c r="I3443" t="s">
        <v>726</v>
      </c>
    </row>
    <row r="3444" spans="1:9" hidden="1" x14ac:dyDescent="0.3">
      <c r="A3444" t="s">
        <v>1269</v>
      </c>
      <c r="B3444" s="46">
        <v>45434</v>
      </c>
      <c r="C3444" s="45">
        <v>4400</v>
      </c>
      <c r="D3444" t="s">
        <v>1170</v>
      </c>
      <c r="E3444" s="46">
        <v>45469</v>
      </c>
      <c r="F3444" s="45" t="s">
        <v>721</v>
      </c>
      <c r="I3444" t="s">
        <v>1162</v>
      </c>
    </row>
    <row r="3445" spans="1:9" hidden="1" x14ac:dyDescent="0.3">
      <c r="A3445" t="s">
        <v>1269</v>
      </c>
      <c r="B3445" s="46">
        <v>45421</v>
      </c>
      <c r="C3445" s="45">
        <v>4400</v>
      </c>
      <c r="D3445" t="s">
        <v>1170</v>
      </c>
      <c r="E3445" s="46">
        <v>45469</v>
      </c>
      <c r="F3445" s="45" t="s">
        <v>721</v>
      </c>
      <c r="I3445" t="s">
        <v>1162</v>
      </c>
    </row>
    <row r="3446" spans="1:9" hidden="1" x14ac:dyDescent="0.3">
      <c r="A3446" t="s">
        <v>1269</v>
      </c>
      <c r="B3446" s="46">
        <v>45406</v>
      </c>
      <c r="C3446" s="45">
        <v>4400</v>
      </c>
      <c r="D3446" t="s">
        <v>1170</v>
      </c>
      <c r="E3446" s="46">
        <v>45438</v>
      </c>
      <c r="F3446" s="45" t="s">
        <v>721</v>
      </c>
      <c r="I3446" t="s">
        <v>1162</v>
      </c>
    </row>
    <row r="3447" spans="1:9" hidden="1" x14ac:dyDescent="0.3">
      <c r="A3447" t="s">
        <v>1269</v>
      </c>
      <c r="B3447" s="46">
        <v>45387</v>
      </c>
      <c r="C3447" s="45">
        <v>4400</v>
      </c>
      <c r="D3447" t="s">
        <v>1170</v>
      </c>
      <c r="E3447" s="46">
        <v>45438</v>
      </c>
      <c r="F3447" s="45" t="s">
        <v>721</v>
      </c>
      <c r="I3447" t="s">
        <v>1162</v>
      </c>
    </row>
    <row r="3448" spans="1:9" hidden="1" x14ac:dyDescent="0.3">
      <c r="A3448" t="s">
        <v>727</v>
      </c>
      <c r="B3448" s="46">
        <v>45400</v>
      </c>
      <c r="C3448" s="45">
        <v>4400</v>
      </c>
      <c r="D3448" t="s">
        <v>2145</v>
      </c>
      <c r="E3448" s="46">
        <v>45428</v>
      </c>
      <c r="F3448" s="45" t="s">
        <v>721</v>
      </c>
      <c r="I3448" t="s">
        <v>2027</v>
      </c>
    </row>
    <row r="3449" spans="1:9" hidden="1" x14ac:dyDescent="0.3">
      <c r="A3449" t="s">
        <v>1269</v>
      </c>
      <c r="B3449" s="46">
        <v>45414</v>
      </c>
      <c r="C3449" s="45">
        <v>4400</v>
      </c>
      <c r="D3449" t="s">
        <v>1170</v>
      </c>
      <c r="E3449" s="46">
        <v>45438</v>
      </c>
      <c r="F3449" s="45" t="s">
        <v>721</v>
      </c>
      <c r="I3449" t="s">
        <v>1162</v>
      </c>
    </row>
    <row r="3450" spans="1:9" hidden="1" x14ac:dyDescent="0.3">
      <c r="A3450" t="s">
        <v>1269</v>
      </c>
      <c r="B3450" s="46">
        <v>45357</v>
      </c>
      <c r="C3450" s="45">
        <v>4400</v>
      </c>
      <c r="D3450" t="s">
        <v>1170</v>
      </c>
      <c r="E3450" s="46">
        <v>45408</v>
      </c>
      <c r="F3450" s="45" t="s">
        <v>721</v>
      </c>
      <c r="I3450" t="s">
        <v>1162</v>
      </c>
    </row>
    <row r="3451" spans="1:9" hidden="1" x14ac:dyDescent="0.3">
      <c r="A3451" t="s">
        <v>1269</v>
      </c>
      <c r="B3451" s="46">
        <v>45371</v>
      </c>
      <c r="C3451" s="45">
        <v>4400</v>
      </c>
      <c r="D3451" t="s">
        <v>1170</v>
      </c>
      <c r="E3451" s="46">
        <v>45408</v>
      </c>
      <c r="F3451" s="45" t="s">
        <v>721</v>
      </c>
      <c r="I3451" t="s">
        <v>1162</v>
      </c>
    </row>
    <row r="3452" spans="1:9" hidden="1" x14ac:dyDescent="0.3">
      <c r="A3452" t="s">
        <v>1269</v>
      </c>
      <c r="B3452" s="46">
        <v>45329</v>
      </c>
      <c r="C3452" s="45">
        <v>4400</v>
      </c>
      <c r="D3452" t="s">
        <v>1170</v>
      </c>
      <c r="E3452" s="46">
        <v>45377</v>
      </c>
      <c r="F3452" s="45" t="s">
        <v>721</v>
      </c>
      <c r="I3452" t="s">
        <v>1162</v>
      </c>
    </row>
    <row r="3453" spans="1:9" hidden="1" x14ac:dyDescent="0.3">
      <c r="A3453" t="s">
        <v>1269</v>
      </c>
      <c r="B3453" s="46">
        <v>45322</v>
      </c>
      <c r="C3453" s="45">
        <v>4400</v>
      </c>
      <c r="D3453" t="s">
        <v>1170</v>
      </c>
      <c r="E3453" s="46">
        <v>45348</v>
      </c>
      <c r="F3453" s="45" t="s">
        <v>721</v>
      </c>
      <c r="I3453" t="s">
        <v>1162</v>
      </c>
    </row>
    <row r="3454" spans="1:9" hidden="1" x14ac:dyDescent="0.3">
      <c r="A3454" t="s">
        <v>1269</v>
      </c>
      <c r="B3454" s="46">
        <v>45317</v>
      </c>
      <c r="C3454" s="45">
        <v>4400</v>
      </c>
      <c r="D3454" t="s">
        <v>1170</v>
      </c>
      <c r="E3454" s="46">
        <v>45348</v>
      </c>
      <c r="F3454" s="45" t="s">
        <v>721</v>
      </c>
      <c r="I3454" t="s">
        <v>1162</v>
      </c>
    </row>
    <row r="3455" spans="1:9" hidden="1" x14ac:dyDescent="0.3">
      <c r="A3455" t="s">
        <v>1269</v>
      </c>
      <c r="B3455" s="46">
        <v>45315</v>
      </c>
      <c r="C3455" s="45">
        <v>4400</v>
      </c>
      <c r="D3455" t="s">
        <v>1170</v>
      </c>
      <c r="E3455" s="46">
        <v>45348</v>
      </c>
      <c r="F3455" s="45" t="s">
        <v>721</v>
      </c>
      <c r="I3455" t="s">
        <v>1162</v>
      </c>
    </row>
    <row r="3456" spans="1:9" hidden="1" x14ac:dyDescent="0.3">
      <c r="A3456" t="s">
        <v>1269</v>
      </c>
      <c r="B3456" s="46">
        <v>45309</v>
      </c>
      <c r="C3456" s="45">
        <v>4400</v>
      </c>
      <c r="D3456" t="s">
        <v>1170</v>
      </c>
      <c r="E3456" s="46">
        <v>45348</v>
      </c>
      <c r="F3456" s="45" t="s">
        <v>721</v>
      </c>
      <c r="I3456" t="s">
        <v>1162</v>
      </c>
    </row>
    <row r="3457" spans="1:9" hidden="1" x14ac:dyDescent="0.3">
      <c r="A3457" t="s">
        <v>1269</v>
      </c>
      <c r="B3457" s="46">
        <v>45303</v>
      </c>
      <c r="C3457" s="45">
        <v>4400</v>
      </c>
      <c r="D3457" t="s">
        <v>1170</v>
      </c>
      <c r="E3457" s="46">
        <v>45348</v>
      </c>
      <c r="F3457" s="45" t="s">
        <v>721</v>
      </c>
      <c r="I3457" t="s">
        <v>1162</v>
      </c>
    </row>
    <row r="3458" spans="1:9" hidden="1" x14ac:dyDescent="0.3">
      <c r="A3458" t="s">
        <v>1269</v>
      </c>
      <c r="B3458" s="46">
        <v>45189</v>
      </c>
      <c r="C3458" s="45">
        <v>4400</v>
      </c>
      <c r="D3458" t="s">
        <v>1170</v>
      </c>
      <c r="E3458" s="46">
        <v>45225</v>
      </c>
      <c r="F3458" s="45" t="s">
        <v>721</v>
      </c>
      <c r="I3458" t="s">
        <v>1162</v>
      </c>
    </row>
    <row r="3459" spans="1:9" hidden="1" x14ac:dyDescent="0.3">
      <c r="A3459" t="s">
        <v>1269</v>
      </c>
      <c r="B3459" s="46">
        <v>45266</v>
      </c>
      <c r="C3459" s="45">
        <v>4400</v>
      </c>
      <c r="D3459" t="s">
        <v>1170</v>
      </c>
      <c r="E3459" s="46">
        <v>45317</v>
      </c>
      <c r="F3459" s="45" t="s">
        <v>721</v>
      </c>
      <c r="I3459" t="s">
        <v>1162</v>
      </c>
    </row>
    <row r="3460" spans="1:9" hidden="1" x14ac:dyDescent="0.3">
      <c r="A3460" t="s">
        <v>1269</v>
      </c>
      <c r="B3460" s="46">
        <v>45273</v>
      </c>
      <c r="C3460" s="45">
        <v>4400</v>
      </c>
      <c r="D3460" t="s">
        <v>1170</v>
      </c>
      <c r="E3460" s="46">
        <v>45317</v>
      </c>
      <c r="F3460" s="45" t="s">
        <v>721</v>
      </c>
      <c r="I3460" t="s">
        <v>1162</v>
      </c>
    </row>
    <row r="3461" spans="1:9" hidden="1" x14ac:dyDescent="0.3">
      <c r="A3461" t="s">
        <v>1338</v>
      </c>
      <c r="B3461" s="46">
        <v>45247</v>
      </c>
      <c r="C3461" s="45">
        <v>4400</v>
      </c>
      <c r="D3461" t="s">
        <v>1170</v>
      </c>
      <c r="E3461" s="46">
        <v>45286</v>
      </c>
      <c r="F3461" s="45" t="s">
        <v>721</v>
      </c>
      <c r="I3461" t="s">
        <v>1162</v>
      </c>
    </row>
    <row r="3462" spans="1:9" hidden="1" x14ac:dyDescent="0.3">
      <c r="A3462" t="s">
        <v>1269</v>
      </c>
      <c r="B3462" s="46">
        <v>45245</v>
      </c>
      <c r="C3462" s="45">
        <v>4400</v>
      </c>
      <c r="D3462" t="s">
        <v>1170</v>
      </c>
      <c r="E3462" s="46">
        <v>45286</v>
      </c>
      <c r="F3462" s="45" t="s">
        <v>721</v>
      </c>
      <c r="I3462" t="s">
        <v>1162</v>
      </c>
    </row>
    <row r="3463" spans="1:9" hidden="1" x14ac:dyDescent="0.3">
      <c r="A3463" t="s">
        <v>1269</v>
      </c>
      <c r="B3463" s="46">
        <v>45238</v>
      </c>
      <c r="C3463" s="45">
        <v>4400</v>
      </c>
      <c r="D3463" t="s">
        <v>1170</v>
      </c>
      <c r="E3463" s="46">
        <v>45286</v>
      </c>
      <c r="F3463" s="45" t="s">
        <v>721</v>
      </c>
      <c r="I3463" t="s">
        <v>1162</v>
      </c>
    </row>
    <row r="3464" spans="1:9" hidden="1" x14ac:dyDescent="0.3">
      <c r="A3464" t="s">
        <v>1269</v>
      </c>
      <c r="B3464" s="46">
        <v>45259</v>
      </c>
      <c r="C3464" s="45">
        <v>4400</v>
      </c>
      <c r="D3464" t="s">
        <v>1170</v>
      </c>
      <c r="E3464" s="46">
        <v>45286</v>
      </c>
      <c r="F3464" s="45" t="s">
        <v>721</v>
      </c>
      <c r="I3464" t="s">
        <v>1162</v>
      </c>
    </row>
    <row r="3465" spans="1:9" hidden="1" x14ac:dyDescent="0.3">
      <c r="A3465" t="s">
        <v>1338</v>
      </c>
      <c r="B3465" s="46">
        <v>45212</v>
      </c>
      <c r="C3465" s="45">
        <v>4400</v>
      </c>
      <c r="D3465" t="s">
        <v>1170</v>
      </c>
      <c r="E3465" s="46">
        <v>45256</v>
      </c>
      <c r="F3465" s="45" t="s">
        <v>721</v>
      </c>
      <c r="I3465" t="s">
        <v>1162</v>
      </c>
    </row>
    <row r="3466" spans="1:9" hidden="1" x14ac:dyDescent="0.3">
      <c r="A3466" t="s">
        <v>1269</v>
      </c>
      <c r="B3466" s="46">
        <v>45217</v>
      </c>
      <c r="C3466" s="45">
        <v>4400</v>
      </c>
      <c r="D3466" t="s">
        <v>1170</v>
      </c>
      <c r="E3466" s="46">
        <v>45256</v>
      </c>
      <c r="F3466" s="45" t="s">
        <v>721</v>
      </c>
      <c r="I3466" t="s">
        <v>1162</v>
      </c>
    </row>
    <row r="3467" spans="1:9" hidden="1" x14ac:dyDescent="0.3">
      <c r="A3467" t="s">
        <v>1269</v>
      </c>
      <c r="B3467" s="46">
        <v>45224</v>
      </c>
      <c r="C3467" s="45">
        <v>4400</v>
      </c>
      <c r="D3467" t="s">
        <v>1170</v>
      </c>
      <c r="E3467" s="46">
        <v>45256</v>
      </c>
      <c r="F3467" s="45" t="s">
        <v>721</v>
      </c>
      <c r="I3467" t="s">
        <v>1162</v>
      </c>
    </row>
    <row r="3468" spans="1:9" hidden="1" x14ac:dyDescent="0.3">
      <c r="A3468" t="s">
        <v>1269</v>
      </c>
      <c r="B3468" s="46">
        <v>45212</v>
      </c>
      <c r="C3468" s="45">
        <v>4340</v>
      </c>
      <c r="D3468" t="s">
        <v>1170</v>
      </c>
      <c r="E3468" s="46">
        <v>45256</v>
      </c>
      <c r="F3468" s="45" t="s">
        <v>721</v>
      </c>
      <c r="I3468" t="s">
        <v>1162</v>
      </c>
    </row>
    <row r="3469" spans="1:9" hidden="1" x14ac:dyDescent="0.3">
      <c r="A3469" t="s">
        <v>1160</v>
      </c>
      <c r="B3469" s="46">
        <v>45152</v>
      </c>
      <c r="C3469" s="45">
        <v>4300</v>
      </c>
      <c r="D3469" t="s">
        <v>1363</v>
      </c>
      <c r="E3469" s="46">
        <v>45195</v>
      </c>
      <c r="F3469" s="45" t="s">
        <v>721</v>
      </c>
      <c r="I3469" t="s">
        <v>1162</v>
      </c>
    </row>
    <row r="3470" spans="1:9" hidden="1" x14ac:dyDescent="0.3">
      <c r="A3470" t="s">
        <v>1169</v>
      </c>
      <c r="B3470" s="46">
        <v>45327</v>
      </c>
      <c r="C3470" s="45">
        <v>4300</v>
      </c>
      <c r="D3470" t="s">
        <v>1161</v>
      </c>
      <c r="E3470" s="46">
        <v>45377</v>
      </c>
      <c r="F3470" s="45" t="s">
        <v>721</v>
      </c>
      <c r="I3470" t="s">
        <v>1162</v>
      </c>
    </row>
    <row r="3471" spans="1:9" hidden="1" x14ac:dyDescent="0.3">
      <c r="A3471" t="s">
        <v>722</v>
      </c>
      <c r="B3471" s="46">
        <v>45317</v>
      </c>
      <c r="C3471" s="45">
        <v>4280</v>
      </c>
      <c r="D3471" t="s">
        <v>776</v>
      </c>
      <c r="E3471" s="46">
        <v>45337</v>
      </c>
      <c r="F3471" s="45" t="s">
        <v>721</v>
      </c>
      <c r="I3471" t="s">
        <v>762</v>
      </c>
    </row>
    <row r="3472" spans="1:9" hidden="1" x14ac:dyDescent="0.3">
      <c r="A3472" t="s">
        <v>729</v>
      </c>
      <c r="B3472" s="46">
        <v>45341</v>
      </c>
      <c r="C3472" s="45">
        <v>4270</v>
      </c>
      <c r="D3472" t="s">
        <v>771</v>
      </c>
      <c r="E3472" s="46">
        <v>45366</v>
      </c>
      <c r="F3472" s="45" t="s">
        <v>721</v>
      </c>
      <c r="I3472" t="s">
        <v>762</v>
      </c>
    </row>
    <row r="3473" spans="1:9" hidden="1" x14ac:dyDescent="0.3">
      <c r="A3473" t="s">
        <v>1338</v>
      </c>
      <c r="B3473" s="46">
        <v>45343</v>
      </c>
      <c r="C3473" s="45">
        <v>4200</v>
      </c>
      <c r="D3473" t="s">
        <v>1286</v>
      </c>
      <c r="E3473" s="46">
        <v>45377</v>
      </c>
      <c r="F3473" s="45" t="s">
        <v>721</v>
      </c>
      <c r="I3473" t="s">
        <v>1162</v>
      </c>
    </row>
    <row r="3474" spans="1:9" hidden="1" x14ac:dyDescent="0.3">
      <c r="A3474" t="s">
        <v>1338</v>
      </c>
      <c r="B3474" s="46">
        <v>45350</v>
      </c>
      <c r="C3474" s="45">
        <v>4200</v>
      </c>
      <c r="D3474" t="s">
        <v>1286</v>
      </c>
      <c r="E3474" s="46">
        <v>45377</v>
      </c>
      <c r="F3474" s="45" t="s">
        <v>721</v>
      </c>
      <c r="I3474" t="s">
        <v>1162</v>
      </c>
    </row>
    <row r="3475" spans="1:9" hidden="1" x14ac:dyDescent="0.3">
      <c r="A3475" t="s">
        <v>1338</v>
      </c>
      <c r="B3475" s="46">
        <v>45386</v>
      </c>
      <c r="C3475" s="45">
        <v>4200</v>
      </c>
      <c r="D3475" t="s">
        <v>1342</v>
      </c>
      <c r="E3475" s="46">
        <v>45438</v>
      </c>
      <c r="F3475" s="45" t="s">
        <v>721</v>
      </c>
      <c r="I3475" t="s">
        <v>1162</v>
      </c>
    </row>
    <row r="3476" spans="1:9" hidden="1" x14ac:dyDescent="0.3">
      <c r="A3476" t="s">
        <v>1160</v>
      </c>
      <c r="B3476" s="46">
        <v>45439</v>
      </c>
      <c r="C3476" s="45">
        <v>4200</v>
      </c>
      <c r="D3476" t="s">
        <v>1363</v>
      </c>
      <c r="E3476" s="46">
        <v>45469</v>
      </c>
      <c r="F3476" s="45" t="s">
        <v>721</v>
      </c>
      <c r="I3476" t="s">
        <v>1162</v>
      </c>
    </row>
    <row r="3477" spans="1:9" hidden="1" x14ac:dyDescent="0.3">
      <c r="A3477" t="s">
        <v>1169</v>
      </c>
      <c r="B3477" s="46">
        <v>45118</v>
      </c>
      <c r="C3477" s="45">
        <v>4200</v>
      </c>
      <c r="D3477" t="s">
        <v>1342</v>
      </c>
      <c r="E3477" s="46">
        <v>45164</v>
      </c>
      <c r="F3477" s="45" t="s">
        <v>721</v>
      </c>
      <c r="I3477" t="s">
        <v>1162</v>
      </c>
    </row>
    <row r="3478" spans="1:9" hidden="1" x14ac:dyDescent="0.3">
      <c r="A3478" t="s">
        <v>1238</v>
      </c>
      <c r="B3478" s="46">
        <v>45118</v>
      </c>
      <c r="C3478" s="45">
        <v>4200</v>
      </c>
      <c r="D3478" t="s">
        <v>1229</v>
      </c>
      <c r="E3478" s="46">
        <v>45164</v>
      </c>
      <c r="F3478" s="45" t="s">
        <v>721</v>
      </c>
      <c r="I3478" t="s">
        <v>1162</v>
      </c>
    </row>
    <row r="3479" spans="1:9" hidden="1" x14ac:dyDescent="0.3">
      <c r="A3479" t="s">
        <v>1269</v>
      </c>
      <c r="B3479" s="46">
        <v>45134</v>
      </c>
      <c r="C3479" s="45">
        <v>4200</v>
      </c>
      <c r="D3479" t="s">
        <v>1342</v>
      </c>
      <c r="E3479" s="46">
        <v>45164</v>
      </c>
      <c r="F3479" s="45" t="s">
        <v>721</v>
      </c>
      <c r="I3479" t="s">
        <v>1162</v>
      </c>
    </row>
    <row r="3480" spans="1:9" hidden="1" x14ac:dyDescent="0.3">
      <c r="A3480" t="s">
        <v>1238</v>
      </c>
      <c r="B3480" s="46">
        <v>45133</v>
      </c>
      <c r="C3480" s="45">
        <v>4200</v>
      </c>
      <c r="D3480" t="s">
        <v>1286</v>
      </c>
      <c r="E3480" s="46">
        <v>45164</v>
      </c>
      <c r="F3480" s="45" t="s">
        <v>721</v>
      </c>
      <c r="I3480" t="s">
        <v>1162</v>
      </c>
    </row>
    <row r="3481" spans="1:9" hidden="1" x14ac:dyDescent="0.3">
      <c r="A3481" t="s">
        <v>1269</v>
      </c>
      <c r="B3481" s="46">
        <v>45257</v>
      </c>
      <c r="C3481" s="45">
        <v>4200</v>
      </c>
      <c r="D3481" t="s">
        <v>1286</v>
      </c>
      <c r="E3481" s="46">
        <v>45286</v>
      </c>
      <c r="F3481" s="45" t="s">
        <v>721</v>
      </c>
      <c r="I3481" t="s">
        <v>1162</v>
      </c>
    </row>
    <row r="3482" spans="1:9" hidden="1" x14ac:dyDescent="0.3">
      <c r="A3482" t="s">
        <v>777</v>
      </c>
      <c r="B3482" s="46">
        <v>45211</v>
      </c>
      <c r="C3482" s="45">
        <v>4200</v>
      </c>
      <c r="D3482" t="s">
        <v>1371</v>
      </c>
      <c r="E3482" s="46">
        <v>45245</v>
      </c>
      <c r="F3482" s="45" t="s">
        <v>721</v>
      </c>
      <c r="I3482" t="s">
        <v>1148</v>
      </c>
    </row>
    <row r="3483" spans="1:9" hidden="1" x14ac:dyDescent="0.3">
      <c r="A3483" t="s">
        <v>1169</v>
      </c>
      <c r="B3483" s="46">
        <v>45275</v>
      </c>
      <c r="C3483" s="45">
        <v>4200</v>
      </c>
      <c r="D3483" t="s">
        <v>1342</v>
      </c>
      <c r="E3483" s="46">
        <v>45317</v>
      </c>
      <c r="F3483" s="45" t="s">
        <v>721</v>
      </c>
      <c r="I3483" t="s">
        <v>1162</v>
      </c>
    </row>
    <row r="3484" spans="1:9" hidden="1" x14ac:dyDescent="0.3">
      <c r="A3484" t="s">
        <v>1160</v>
      </c>
      <c r="B3484" s="46">
        <v>45275</v>
      </c>
      <c r="C3484" s="45">
        <v>4200</v>
      </c>
      <c r="D3484" t="s">
        <v>1342</v>
      </c>
      <c r="E3484" s="46">
        <v>45317</v>
      </c>
      <c r="F3484" s="45" t="s">
        <v>721</v>
      </c>
      <c r="I3484" t="s">
        <v>1162</v>
      </c>
    </row>
    <row r="3485" spans="1:9" hidden="1" x14ac:dyDescent="0.3">
      <c r="A3485" t="s">
        <v>748</v>
      </c>
      <c r="B3485" s="46">
        <v>45231</v>
      </c>
      <c r="C3485" s="45">
        <v>4140</v>
      </c>
      <c r="D3485" t="s">
        <v>1031</v>
      </c>
      <c r="E3485" s="46">
        <v>45275</v>
      </c>
      <c r="F3485" s="45" t="s">
        <v>721</v>
      </c>
      <c r="I3485" t="s">
        <v>726</v>
      </c>
    </row>
    <row r="3486" spans="1:9" hidden="1" x14ac:dyDescent="0.3">
      <c r="A3486" t="s">
        <v>1269</v>
      </c>
      <c r="B3486" s="46">
        <v>45210</v>
      </c>
      <c r="C3486" s="45">
        <v>4100</v>
      </c>
      <c r="D3486" t="s">
        <v>1170</v>
      </c>
      <c r="E3486" s="46">
        <v>45256</v>
      </c>
      <c r="F3486" s="45" t="s">
        <v>721</v>
      </c>
      <c r="I3486" t="s">
        <v>1162</v>
      </c>
    </row>
    <row r="3487" spans="1:9" hidden="1" x14ac:dyDescent="0.3">
      <c r="A3487" t="s">
        <v>724</v>
      </c>
      <c r="B3487" s="46">
        <v>45257</v>
      </c>
      <c r="C3487" s="45">
        <v>4050</v>
      </c>
      <c r="D3487" t="s">
        <v>755</v>
      </c>
      <c r="E3487" s="46">
        <v>45286</v>
      </c>
      <c r="F3487" s="45" t="s">
        <v>721</v>
      </c>
      <c r="I3487" t="s">
        <v>726</v>
      </c>
    </row>
    <row r="3488" spans="1:9" hidden="1" x14ac:dyDescent="0.3">
      <c r="A3488" t="s">
        <v>724</v>
      </c>
      <c r="B3488" s="46">
        <v>45215</v>
      </c>
      <c r="C3488" s="45">
        <v>4050</v>
      </c>
      <c r="D3488" t="s">
        <v>755</v>
      </c>
      <c r="E3488" s="46">
        <v>45256</v>
      </c>
      <c r="F3488" s="45" t="s">
        <v>721</v>
      </c>
      <c r="I3488" t="s">
        <v>726</v>
      </c>
    </row>
    <row r="3489" spans="1:9" hidden="1" x14ac:dyDescent="0.3">
      <c r="A3489" t="s">
        <v>775</v>
      </c>
      <c r="B3489" s="46">
        <v>45275</v>
      </c>
      <c r="C3489" s="45">
        <v>4050</v>
      </c>
      <c r="D3489" t="s">
        <v>1031</v>
      </c>
      <c r="E3489" s="46">
        <v>45307</v>
      </c>
      <c r="F3489" s="45" t="s">
        <v>721</v>
      </c>
      <c r="I3489" t="s">
        <v>726</v>
      </c>
    </row>
    <row r="3490" spans="1:9" hidden="1" x14ac:dyDescent="0.3">
      <c r="A3490" t="s">
        <v>775</v>
      </c>
      <c r="B3490" s="46">
        <v>45237</v>
      </c>
      <c r="C3490" s="45">
        <v>4050</v>
      </c>
      <c r="D3490" t="s">
        <v>1031</v>
      </c>
      <c r="E3490" s="46">
        <v>45278</v>
      </c>
      <c r="F3490" s="45" t="s">
        <v>721</v>
      </c>
      <c r="I3490" t="s">
        <v>726</v>
      </c>
    </row>
    <row r="3491" spans="1:9" hidden="1" x14ac:dyDescent="0.3">
      <c r="A3491" t="s">
        <v>775</v>
      </c>
      <c r="B3491" s="46">
        <v>45138</v>
      </c>
      <c r="C3491" s="45">
        <v>4050</v>
      </c>
      <c r="D3491" t="s">
        <v>1031</v>
      </c>
      <c r="E3491" s="46">
        <v>45154</v>
      </c>
      <c r="F3491" s="45" t="s">
        <v>721</v>
      </c>
      <c r="I3491" t="s">
        <v>726</v>
      </c>
    </row>
    <row r="3492" spans="1:9" hidden="1" x14ac:dyDescent="0.3">
      <c r="A3492" t="s">
        <v>779</v>
      </c>
      <c r="B3492" s="46">
        <v>45149</v>
      </c>
      <c r="C3492" s="45">
        <v>4050</v>
      </c>
      <c r="D3492" t="s">
        <v>1031</v>
      </c>
      <c r="E3492" s="46">
        <v>45184</v>
      </c>
      <c r="F3492" s="45" t="s">
        <v>721</v>
      </c>
      <c r="I3492" t="s">
        <v>726</v>
      </c>
    </row>
    <row r="3493" spans="1:9" hidden="1" x14ac:dyDescent="0.3">
      <c r="A3493" t="s">
        <v>775</v>
      </c>
      <c r="B3493" s="46">
        <v>45152</v>
      </c>
      <c r="C3493" s="45">
        <v>4050</v>
      </c>
      <c r="D3493" t="s">
        <v>1031</v>
      </c>
      <c r="E3493" s="46">
        <v>45184</v>
      </c>
      <c r="F3493" s="45" t="s">
        <v>721</v>
      </c>
      <c r="I3493" t="s">
        <v>726</v>
      </c>
    </row>
    <row r="3494" spans="1:9" hidden="1" x14ac:dyDescent="0.3">
      <c r="A3494" t="s">
        <v>779</v>
      </c>
      <c r="B3494" s="46">
        <v>45408</v>
      </c>
      <c r="C3494" s="45">
        <v>4050</v>
      </c>
      <c r="D3494" t="s">
        <v>1031</v>
      </c>
      <c r="E3494" s="46">
        <v>45428</v>
      </c>
      <c r="F3494" s="45" t="s">
        <v>721</v>
      </c>
      <c r="G3494">
        <v>0</v>
      </c>
      <c r="I3494" t="s">
        <v>726</v>
      </c>
    </row>
    <row r="3495" spans="1:9" hidden="1" x14ac:dyDescent="0.3">
      <c r="A3495" t="s">
        <v>775</v>
      </c>
      <c r="B3495" s="46">
        <v>45373</v>
      </c>
      <c r="C3495" s="45">
        <v>4050</v>
      </c>
      <c r="D3495" t="s">
        <v>1031</v>
      </c>
      <c r="E3495" s="46">
        <v>45398</v>
      </c>
      <c r="F3495" s="45" t="s">
        <v>721</v>
      </c>
      <c r="G3495">
        <v>0</v>
      </c>
      <c r="I3495" t="s">
        <v>726</v>
      </c>
    </row>
    <row r="3496" spans="1:9" hidden="1" x14ac:dyDescent="0.3">
      <c r="A3496" t="s">
        <v>775</v>
      </c>
      <c r="B3496" s="46">
        <v>45302</v>
      </c>
      <c r="C3496" s="45">
        <v>4050</v>
      </c>
      <c r="D3496" t="s">
        <v>1031</v>
      </c>
      <c r="E3496" s="46">
        <v>45338</v>
      </c>
      <c r="F3496" s="45" t="s">
        <v>721</v>
      </c>
      <c r="I3496" t="s">
        <v>726</v>
      </c>
    </row>
    <row r="3497" spans="1:9" hidden="1" x14ac:dyDescent="0.3">
      <c r="A3497" t="s">
        <v>722</v>
      </c>
      <c r="B3497" s="46">
        <v>45350</v>
      </c>
      <c r="C3497" s="45">
        <v>4000</v>
      </c>
      <c r="D3497" t="s">
        <v>1358</v>
      </c>
      <c r="E3497" s="46">
        <v>45366</v>
      </c>
      <c r="F3497" s="45" t="s">
        <v>721</v>
      </c>
      <c r="I3497" t="s">
        <v>899</v>
      </c>
    </row>
    <row r="3498" spans="1:9" hidden="1" x14ac:dyDescent="0.3">
      <c r="A3498" t="s">
        <v>722</v>
      </c>
      <c r="B3498" s="46">
        <v>45350</v>
      </c>
      <c r="C3498" s="45">
        <v>4000</v>
      </c>
      <c r="D3498" t="s">
        <v>1358</v>
      </c>
      <c r="E3498" s="46">
        <v>45366</v>
      </c>
      <c r="F3498" s="45" t="s">
        <v>721</v>
      </c>
      <c r="I3498" t="s">
        <v>899</v>
      </c>
    </row>
    <row r="3499" spans="1:9" hidden="1" x14ac:dyDescent="0.3">
      <c r="A3499" t="s">
        <v>775</v>
      </c>
      <c r="B3499" s="46">
        <v>45407</v>
      </c>
      <c r="C3499" s="45">
        <v>4000</v>
      </c>
      <c r="D3499" t="s">
        <v>1355</v>
      </c>
      <c r="E3499" s="46">
        <v>45428</v>
      </c>
      <c r="F3499" s="45" t="s">
        <v>721</v>
      </c>
      <c r="G3499">
        <v>0</v>
      </c>
      <c r="I3499" t="s">
        <v>726</v>
      </c>
    </row>
    <row r="3500" spans="1:9" hidden="1" x14ac:dyDescent="0.3">
      <c r="A3500" t="s">
        <v>1269</v>
      </c>
      <c r="B3500" s="46">
        <v>45355</v>
      </c>
      <c r="C3500" s="45">
        <v>4000</v>
      </c>
      <c r="D3500" t="s">
        <v>1170</v>
      </c>
      <c r="E3500" s="46">
        <v>45408</v>
      </c>
      <c r="F3500" s="45" t="s">
        <v>721</v>
      </c>
      <c r="I3500" t="s">
        <v>1162</v>
      </c>
    </row>
    <row r="3501" spans="1:9" hidden="1" x14ac:dyDescent="0.3">
      <c r="A3501" t="s">
        <v>1269</v>
      </c>
      <c r="B3501" s="46">
        <v>45383</v>
      </c>
      <c r="C3501" s="45">
        <v>4000</v>
      </c>
      <c r="D3501" t="s">
        <v>1170</v>
      </c>
      <c r="E3501" s="46">
        <v>45408</v>
      </c>
      <c r="F3501" s="45" t="s">
        <v>721</v>
      </c>
      <c r="I3501" t="s">
        <v>1162</v>
      </c>
    </row>
    <row r="3502" spans="1:9" hidden="1" x14ac:dyDescent="0.3">
      <c r="A3502" t="s">
        <v>1269</v>
      </c>
      <c r="B3502" s="46">
        <v>45404</v>
      </c>
      <c r="C3502" s="45">
        <v>4000</v>
      </c>
      <c r="D3502" t="s">
        <v>1170</v>
      </c>
      <c r="E3502" s="46">
        <v>45438</v>
      </c>
      <c r="F3502" s="45" t="s">
        <v>721</v>
      </c>
      <c r="I3502" t="s">
        <v>1162</v>
      </c>
    </row>
    <row r="3503" spans="1:9" hidden="1" x14ac:dyDescent="0.3">
      <c r="A3503" t="s">
        <v>727</v>
      </c>
      <c r="B3503" s="46">
        <v>45399</v>
      </c>
      <c r="C3503" s="45">
        <v>4000</v>
      </c>
      <c r="D3503" t="s">
        <v>2143</v>
      </c>
      <c r="E3503" s="46">
        <v>45428</v>
      </c>
      <c r="F3503" s="45" t="s">
        <v>721</v>
      </c>
      <c r="I3503" t="s">
        <v>2027</v>
      </c>
    </row>
    <row r="3504" spans="1:9" hidden="1" x14ac:dyDescent="0.3">
      <c r="A3504" t="s">
        <v>722</v>
      </c>
      <c r="B3504" s="46">
        <v>45390</v>
      </c>
      <c r="C3504" s="45">
        <v>4000</v>
      </c>
      <c r="D3504" t="s">
        <v>1358</v>
      </c>
      <c r="E3504" s="46">
        <v>45428</v>
      </c>
      <c r="F3504" s="45" t="s">
        <v>721</v>
      </c>
      <c r="I3504" t="s">
        <v>899</v>
      </c>
    </row>
    <row r="3505" spans="1:9" hidden="1" x14ac:dyDescent="0.3">
      <c r="A3505" t="s">
        <v>767</v>
      </c>
      <c r="B3505" s="46">
        <v>45134</v>
      </c>
      <c r="C3505" s="45">
        <v>4000</v>
      </c>
      <c r="D3505" t="s">
        <v>1222</v>
      </c>
      <c r="E3505" s="46">
        <v>45154</v>
      </c>
      <c r="F3505" s="45" t="s">
        <v>721</v>
      </c>
      <c r="I3505" t="s">
        <v>726</v>
      </c>
    </row>
    <row r="3506" spans="1:9" hidden="1" x14ac:dyDescent="0.3">
      <c r="A3506" t="s">
        <v>1269</v>
      </c>
      <c r="B3506" s="46">
        <v>45126</v>
      </c>
      <c r="C3506" s="45">
        <v>4000</v>
      </c>
      <c r="D3506" t="s">
        <v>1170</v>
      </c>
      <c r="E3506" s="46">
        <v>45164</v>
      </c>
      <c r="F3506" s="45" t="s">
        <v>721</v>
      </c>
      <c r="I3506" t="s">
        <v>1162</v>
      </c>
    </row>
    <row r="3507" spans="1:9" hidden="1" x14ac:dyDescent="0.3">
      <c r="A3507" t="s">
        <v>1160</v>
      </c>
      <c r="B3507" s="46">
        <v>45125</v>
      </c>
      <c r="C3507" s="45">
        <v>4000</v>
      </c>
      <c r="D3507" t="s">
        <v>1363</v>
      </c>
      <c r="E3507" s="46">
        <v>45164</v>
      </c>
      <c r="F3507" s="45" t="s">
        <v>721</v>
      </c>
      <c r="I3507" t="s">
        <v>1162</v>
      </c>
    </row>
    <row r="3508" spans="1:9" hidden="1" x14ac:dyDescent="0.3">
      <c r="A3508" t="s">
        <v>1160</v>
      </c>
      <c r="B3508" s="46">
        <v>45159</v>
      </c>
      <c r="C3508" s="45">
        <v>4000</v>
      </c>
      <c r="D3508" t="s">
        <v>1363</v>
      </c>
      <c r="E3508" s="46">
        <v>45195</v>
      </c>
      <c r="F3508" s="45" t="s">
        <v>721</v>
      </c>
      <c r="I3508" t="s">
        <v>1162</v>
      </c>
    </row>
    <row r="3509" spans="1:9" hidden="1" x14ac:dyDescent="0.3">
      <c r="A3509" t="s">
        <v>1160</v>
      </c>
      <c r="B3509" s="46">
        <v>45194</v>
      </c>
      <c r="C3509" s="45">
        <v>4000</v>
      </c>
      <c r="D3509" t="s">
        <v>1363</v>
      </c>
      <c r="E3509" s="46">
        <v>45225</v>
      </c>
      <c r="F3509" s="45" t="s">
        <v>721</v>
      </c>
      <c r="I3509" t="s">
        <v>1162</v>
      </c>
    </row>
    <row r="3510" spans="1:9" hidden="1" x14ac:dyDescent="0.3">
      <c r="A3510" t="s">
        <v>724</v>
      </c>
      <c r="B3510" s="46">
        <v>45196</v>
      </c>
      <c r="C3510" s="45">
        <v>4000</v>
      </c>
      <c r="D3510" t="s">
        <v>1372</v>
      </c>
      <c r="E3510" s="46">
        <v>45225</v>
      </c>
      <c r="F3510" s="45" t="s">
        <v>721</v>
      </c>
      <c r="I3510" t="s">
        <v>1148</v>
      </c>
    </row>
    <row r="3511" spans="1:9" hidden="1" x14ac:dyDescent="0.3">
      <c r="A3511" t="s">
        <v>1281</v>
      </c>
      <c r="B3511" s="46">
        <v>45196</v>
      </c>
      <c r="C3511" s="45">
        <v>4000</v>
      </c>
      <c r="D3511" t="s">
        <v>1170</v>
      </c>
      <c r="E3511" s="46">
        <v>45225</v>
      </c>
      <c r="F3511" s="45" t="s">
        <v>721</v>
      </c>
      <c r="I3511" t="s">
        <v>1162</v>
      </c>
    </row>
    <row r="3512" spans="1:9" hidden="1" x14ac:dyDescent="0.3">
      <c r="A3512" t="s">
        <v>722</v>
      </c>
      <c r="B3512" s="46">
        <v>45230</v>
      </c>
      <c r="C3512" s="45">
        <v>4000</v>
      </c>
      <c r="D3512" t="s">
        <v>1358</v>
      </c>
      <c r="E3512" s="46">
        <v>45245</v>
      </c>
      <c r="F3512" s="45" t="s">
        <v>721</v>
      </c>
      <c r="I3512" t="s">
        <v>899</v>
      </c>
    </row>
    <row r="3513" spans="1:9" hidden="1" x14ac:dyDescent="0.3">
      <c r="A3513" t="s">
        <v>724</v>
      </c>
      <c r="B3513" s="46">
        <v>45274</v>
      </c>
      <c r="C3513" s="45">
        <v>3980</v>
      </c>
      <c r="D3513" t="s">
        <v>780</v>
      </c>
      <c r="E3513" s="46">
        <v>45317</v>
      </c>
      <c r="F3513" s="45" t="s">
        <v>721</v>
      </c>
      <c r="I3513" t="s">
        <v>1302</v>
      </c>
    </row>
    <row r="3514" spans="1:9" hidden="1" x14ac:dyDescent="0.3">
      <c r="A3514" t="s">
        <v>729</v>
      </c>
      <c r="B3514" s="46">
        <v>45270</v>
      </c>
      <c r="C3514" s="45">
        <v>3900</v>
      </c>
      <c r="D3514" t="s">
        <v>1297</v>
      </c>
      <c r="E3514" s="46">
        <v>45306</v>
      </c>
      <c r="F3514" s="45" t="s">
        <v>721</v>
      </c>
      <c r="I3514" t="s">
        <v>760</v>
      </c>
    </row>
    <row r="3515" spans="1:9" hidden="1" x14ac:dyDescent="0.3">
      <c r="A3515" t="s">
        <v>1160</v>
      </c>
      <c r="B3515" s="46">
        <v>45128</v>
      </c>
      <c r="C3515" s="45">
        <v>3900</v>
      </c>
      <c r="D3515" t="s">
        <v>1161</v>
      </c>
      <c r="E3515" s="46">
        <v>45164</v>
      </c>
      <c r="F3515" s="45" t="s">
        <v>721</v>
      </c>
      <c r="I3515" t="s">
        <v>1162</v>
      </c>
    </row>
    <row r="3516" spans="1:9" hidden="1" x14ac:dyDescent="0.3">
      <c r="A3516" t="s">
        <v>1169</v>
      </c>
      <c r="B3516" s="46">
        <v>45404</v>
      </c>
      <c r="C3516" s="45">
        <v>3900</v>
      </c>
      <c r="D3516" t="s">
        <v>1161</v>
      </c>
      <c r="E3516" s="46">
        <v>45438</v>
      </c>
      <c r="F3516" s="45" t="s">
        <v>721</v>
      </c>
      <c r="I3516" t="s">
        <v>1162</v>
      </c>
    </row>
    <row r="3517" spans="1:9" hidden="1" x14ac:dyDescent="0.3">
      <c r="A3517" t="s">
        <v>1338</v>
      </c>
      <c r="B3517" s="46">
        <v>45380</v>
      </c>
      <c r="C3517" s="45">
        <v>3900</v>
      </c>
      <c r="D3517" t="s">
        <v>1161</v>
      </c>
      <c r="E3517" s="46">
        <v>45408</v>
      </c>
      <c r="F3517" s="45" t="s">
        <v>721</v>
      </c>
      <c r="I3517" t="s">
        <v>1162</v>
      </c>
    </row>
    <row r="3518" spans="1:9" hidden="1" x14ac:dyDescent="0.3">
      <c r="A3518" t="s">
        <v>724</v>
      </c>
      <c r="B3518" s="46">
        <v>45335</v>
      </c>
      <c r="C3518" s="45">
        <v>3860</v>
      </c>
      <c r="D3518" t="s">
        <v>780</v>
      </c>
      <c r="E3518" s="46">
        <v>45377</v>
      </c>
      <c r="F3518" s="45" t="s">
        <v>721</v>
      </c>
      <c r="I3518" t="s">
        <v>1302</v>
      </c>
    </row>
    <row r="3519" spans="1:9" hidden="1" x14ac:dyDescent="0.3">
      <c r="A3519" t="s">
        <v>1160</v>
      </c>
      <c r="B3519" s="46">
        <v>45327</v>
      </c>
      <c r="C3519" s="45">
        <v>3800</v>
      </c>
      <c r="D3519" t="s">
        <v>1363</v>
      </c>
      <c r="E3519" s="46">
        <v>45377</v>
      </c>
      <c r="F3519" s="45" t="s">
        <v>721</v>
      </c>
      <c r="I3519" t="s">
        <v>1162</v>
      </c>
    </row>
    <row r="3520" spans="1:9" hidden="1" x14ac:dyDescent="0.3">
      <c r="A3520" t="s">
        <v>1160</v>
      </c>
      <c r="B3520" s="46">
        <v>45350</v>
      </c>
      <c r="C3520" s="45">
        <v>3800</v>
      </c>
      <c r="D3520" t="s">
        <v>1363</v>
      </c>
      <c r="E3520" s="46">
        <v>45377</v>
      </c>
      <c r="F3520" s="45" t="s">
        <v>721</v>
      </c>
      <c r="I3520" t="s">
        <v>1162</v>
      </c>
    </row>
    <row r="3521" spans="1:9" hidden="1" x14ac:dyDescent="0.3">
      <c r="A3521" t="s">
        <v>1160</v>
      </c>
      <c r="B3521" s="46">
        <v>45348</v>
      </c>
      <c r="C3521" s="45">
        <v>3800</v>
      </c>
      <c r="D3521" t="s">
        <v>1363</v>
      </c>
      <c r="E3521" s="46">
        <v>45377</v>
      </c>
      <c r="F3521" s="45" t="s">
        <v>721</v>
      </c>
      <c r="I3521" t="s">
        <v>1162</v>
      </c>
    </row>
    <row r="3522" spans="1:9" hidden="1" x14ac:dyDescent="0.3">
      <c r="A3522" t="s">
        <v>1160</v>
      </c>
      <c r="B3522" s="46">
        <v>45376</v>
      </c>
      <c r="C3522" s="45">
        <v>3800</v>
      </c>
      <c r="D3522" t="s">
        <v>1363</v>
      </c>
      <c r="E3522" s="46">
        <v>45408</v>
      </c>
      <c r="F3522" s="45" t="s">
        <v>721</v>
      </c>
      <c r="I3522" t="s">
        <v>1162</v>
      </c>
    </row>
    <row r="3523" spans="1:9" hidden="1" x14ac:dyDescent="0.3">
      <c r="A3523" t="s">
        <v>1160</v>
      </c>
      <c r="B3523" s="46">
        <v>45306</v>
      </c>
      <c r="C3523" s="45">
        <v>3800</v>
      </c>
      <c r="D3523" t="s">
        <v>1363</v>
      </c>
      <c r="E3523" s="46">
        <v>45348</v>
      </c>
      <c r="F3523" s="45" t="s">
        <v>721</v>
      </c>
      <c r="I3523" t="s">
        <v>1162</v>
      </c>
    </row>
    <row r="3524" spans="1:9" hidden="1" x14ac:dyDescent="0.3">
      <c r="A3524" t="s">
        <v>1160</v>
      </c>
      <c r="B3524" s="46">
        <v>45320</v>
      </c>
      <c r="C3524" s="45">
        <v>3800</v>
      </c>
      <c r="D3524" t="s">
        <v>1363</v>
      </c>
      <c r="E3524" s="46">
        <v>45348</v>
      </c>
      <c r="F3524" s="45" t="s">
        <v>721</v>
      </c>
      <c r="I3524" t="s">
        <v>1162</v>
      </c>
    </row>
    <row r="3525" spans="1:9" hidden="1" x14ac:dyDescent="0.3">
      <c r="A3525" t="s">
        <v>779</v>
      </c>
      <c r="B3525" s="46">
        <v>45308</v>
      </c>
      <c r="C3525" s="45">
        <v>3800</v>
      </c>
      <c r="D3525" t="s">
        <v>1313</v>
      </c>
      <c r="E3525" s="46">
        <v>45338</v>
      </c>
      <c r="F3525" s="45" t="s">
        <v>721</v>
      </c>
      <c r="I3525" t="s">
        <v>726</v>
      </c>
    </row>
    <row r="3526" spans="1:9" hidden="1" x14ac:dyDescent="0.3">
      <c r="A3526" t="s">
        <v>1160</v>
      </c>
      <c r="B3526" s="46">
        <v>45446</v>
      </c>
      <c r="C3526" s="45">
        <v>3800</v>
      </c>
      <c r="D3526" t="s">
        <v>1363</v>
      </c>
      <c r="E3526" s="46">
        <v>45469</v>
      </c>
      <c r="F3526" s="45" t="s">
        <v>721</v>
      </c>
      <c r="I3526" t="s">
        <v>1162</v>
      </c>
    </row>
    <row r="3527" spans="1:9" hidden="1" x14ac:dyDescent="0.3">
      <c r="A3527" t="s">
        <v>1160</v>
      </c>
      <c r="B3527" s="46">
        <v>45425</v>
      </c>
      <c r="C3527" s="45">
        <v>3800</v>
      </c>
      <c r="D3527" t="s">
        <v>1363</v>
      </c>
      <c r="E3527" s="46">
        <v>45469</v>
      </c>
      <c r="F3527" s="45" t="s">
        <v>721</v>
      </c>
      <c r="I3527" t="s">
        <v>1162</v>
      </c>
    </row>
    <row r="3528" spans="1:9" hidden="1" x14ac:dyDescent="0.3">
      <c r="A3528" t="s">
        <v>1160</v>
      </c>
      <c r="B3528" s="46">
        <v>45133</v>
      </c>
      <c r="C3528" s="45">
        <v>3800</v>
      </c>
      <c r="D3528" t="s">
        <v>1363</v>
      </c>
      <c r="E3528" s="46">
        <v>45164</v>
      </c>
      <c r="F3528" s="45" t="s">
        <v>721</v>
      </c>
      <c r="I3528" t="s">
        <v>1162</v>
      </c>
    </row>
    <row r="3529" spans="1:9" hidden="1" x14ac:dyDescent="0.3">
      <c r="A3529" t="s">
        <v>1160</v>
      </c>
      <c r="B3529" s="46">
        <v>45119</v>
      </c>
      <c r="C3529" s="45">
        <v>3800</v>
      </c>
      <c r="D3529" t="s">
        <v>1363</v>
      </c>
      <c r="E3529" s="46">
        <v>45164</v>
      </c>
      <c r="F3529" s="45" t="s">
        <v>721</v>
      </c>
      <c r="I3529" t="s">
        <v>1162</v>
      </c>
    </row>
    <row r="3530" spans="1:9" hidden="1" x14ac:dyDescent="0.3">
      <c r="A3530" t="s">
        <v>1160</v>
      </c>
      <c r="B3530" s="46">
        <v>45189</v>
      </c>
      <c r="C3530" s="45">
        <v>3800</v>
      </c>
      <c r="D3530" t="s">
        <v>1363</v>
      </c>
      <c r="E3530" s="46">
        <v>45225</v>
      </c>
      <c r="F3530" s="45" t="s">
        <v>721</v>
      </c>
      <c r="I3530" t="s">
        <v>1162</v>
      </c>
    </row>
    <row r="3531" spans="1:9" hidden="1" x14ac:dyDescent="0.3">
      <c r="A3531" t="s">
        <v>1160</v>
      </c>
      <c r="B3531" s="46">
        <v>45187</v>
      </c>
      <c r="C3531" s="45">
        <v>3800</v>
      </c>
      <c r="D3531" t="s">
        <v>1363</v>
      </c>
      <c r="E3531" s="46">
        <v>45225</v>
      </c>
      <c r="F3531" s="45" t="s">
        <v>721</v>
      </c>
      <c r="I3531" t="s">
        <v>1162</v>
      </c>
    </row>
    <row r="3532" spans="1:9" hidden="1" x14ac:dyDescent="0.3">
      <c r="A3532" t="s">
        <v>1160</v>
      </c>
      <c r="B3532" s="46">
        <v>45180</v>
      </c>
      <c r="C3532" s="45">
        <v>3800</v>
      </c>
      <c r="D3532" t="s">
        <v>1363</v>
      </c>
      <c r="E3532" s="46">
        <v>45225</v>
      </c>
      <c r="F3532" s="45" t="s">
        <v>721</v>
      </c>
      <c r="I3532" t="s">
        <v>1162</v>
      </c>
    </row>
    <row r="3533" spans="1:9" hidden="1" x14ac:dyDescent="0.3">
      <c r="A3533" t="s">
        <v>1160</v>
      </c>
      <c r="B3533" s="46">
        <v>45182</v>
      </c>
      <c r="C3533" s="45">
        <v>3800</v>
      </c>
      <c r="D3533" t="s">
        <v>1363</v>
      </c>
      <c r="E3533" s="46">
        <v>45225</v>
      </c>
      <c r="F3533" s="45" t="s">
        <v>721</v>
      </c>
      <c r="I3533" t="s">
        <v>1162</v>
      </c>
    </row>
    <row r="3534" spans="1:9" hidden="1" x14ac:dyDescent="0.3">
      <c r="A3534" t="s">
        <v>1160</v>
      </c>
      <c r="B3534" s="46">
        <v>45161</v>
      </c>
      <c r="C3534" s="45">
        <v>3800</v>
      </c>
      <c r="D3534" t="s">
        <v>1363</v>
      </c>
      <c r="E3534" s="46">
        <v>45195</v>
      </c>
      <c r="F3534" s="45" t="s">
        <v>721</v>
      </c>
      <c r="I3534" t="s">
        <v>1162</v>
      </c>
    </row>
    <row r="3535" spans="1:9" hidden="1" x14ac:dyDescent="0.3">
      <c r="A3535" t="s">
        <v>1160</v>
      </c>
      <c r="B3535" s="46">
        <v>45156</v>
      </c>
      <c r="C3535" s="45">
        <v>3800</v>
      </c>
      <c r="D3535" t="s">
        <v>1363</v>
      </c>
      <c r="E3535" s="46">
        <v>45195</v>
      </c>
      <c r="F3535" s="45" t="s">
        <v>721</v>
      </c>
      <c r="I3535" t="s">
        <v>1162</v>
      </c>
    </row>
    <row r="3536" spans="1:9" hidden="1" x14ac:dyDescent="0.3">
      <c r="A3536" t="s">
        <v>1160</v>
      </c>
      <c r="B3536" s="46">
        <v>45166</v>
      </c>
      <c r="C3536" s="45">
        <v>3800</v>
      </c>
      <c r="D3536" t="s">
        <v>1363</v>
      </c>
      <c r="E3536" s="46">
        <v>45195</v>
      </c>
      <c r="F3536" s="45" t="s">
        <v>721</v>
      </c>
      <c r="I3536" t="s">
        <v>1162</v>
      </c>
    </row>
    <row r="3537" spans="1:9" hidden="1" x14ac:dyDescent="0.3">
      <c r="A3537" t="s">
        <v>1160</v>
      </c>
      <c r="B3537" s="46">
        <v>45168</v>
      </c>
      <c r="C3537" s="45">
        <v>3800</v>
      </c>
      <c r="D3537" t="s">
        <v>1363</v>
      </c>
      <c r="E3537" s="46">
        <v>45195</v>
      </c>
      <c r="F3537" s="45" t="s">
        <v>721</v>
      </c>
      <c r="I3537" t="s">
        <v>1162</v>
      </c>
    </row>
    <row r="3538" spans="1:9" hidden="1" x14ac:dyDescent="0.3">
      <c r="A3538" t="s">
        <v>1160</v>
      </c>
      <c r="B3538" s="46">
        <v>45147</v>
      </c>
      <c r="C3538" s="45">
        <v>3800</v>
      </c>
      <c r="D3538" t="s">
        <v>1363</v>
      </c>
      <c r="E3538" s="46">
        <v>45195</v>
      </c>
      <c r="F3538" s="45" t="s">
        <v>721</v>
      </c>
      <c r="I3538" t="s">
        <v>1162</v>
      </c>
    </row>
    <row r="3539" spans="1:9" hidden="1" x14ac:dyDescent="0.3">
      <c r="A3539" t="s">
        <v>1160</v>
      </c>
      <c r="B3539" s="46">
        <v>45145</v>
      </c>
      <c r="C3539" s="45">
        <v>3800</v>
      </c>
      <c r="D3539" t="s">
        <v>1363</v>
      </c>
      <c r="E3539" s="46">
        <v>45195</v>
      </c>
      <c r="F3539" s="45" t="s">
        <v>721</v>
      </c>
      <c r="I3539" t="s">
        <v>1162</v>
      </c>
    </row>
    <row r="3540" spans="1:9" hidden="1" x14ac:dyDescent="0.3">
      <c r="A3540" t="s">
        <v>1160</v>
      </c>
      <c r="B3540" s="46">
        <v>45250</v>
      </c>
      <c r="C3540" s="45">
        <v>3800</v>
      </c>
      <c r="D3540" t="s">
        <v>1363</v>
      </c>
      <c r="E3540" s="46">
        <v>45286</v>
      </c>
      <c r="F3540" s="45" t="s">
        <v>721</v>
      </c>
      <c r="I3540" t="s">
        <v>1162</v>
      </c>
    </row>
    <row r="3541" spans="1:9" hidden="1" x14ac:dyDescent="0.3">
      <c r="A3541" t="s">
        <v>1160</v>
      </c>
      <c r="B3541" s="46">
        <v>45271</v>
      </c>
      <c r="C3541" s="45">
        <v>3800</v>
      </c>
      <c r="D3541" t="s">
        <v>1363</v>
      </c>
      <c r="E3541" s="46">
        <v>45317</v>
      </c>
      <c r="F3541" s="45" t="s">
        <v>721</v>
      </c>
      <c r="I3541" t="s">
        <v>1162</v>
      </c>
    </row>
    <row r="3542" spans="1:9" hidden="1" x14ac:dyDescent="0.3">
      <c r="A3542" t="s">
        <v>1160</v>
      </c>
      <c r="B3542" s="46">
        <v>45264</v>
      </c>
      <c r="C3542" s="45">
        <v>3800</v>
      </c>
      <c r="D3542" t="s">
        <v>1363</v>
      </c>
      <c r="E3542" s="46">
        <v>45317</v>
      </c>
      <c r="F3542" s="45" t="s">
        <v>721</v>
      </c>
      <c r="I3542" t="s">
        <v>1162</v>
      </c>
    </row>
    <row r="3543" spans="1:9" hidden="1" x14ac:dyDescent="0.3">
      <c r="A3543" t="s">
        <v>1160</v>
      </c>
      <c r="B3543" s="46">
        <v>45293</v>
      </c>
      <c r="C3543" s="45">
        <v>3800</v>
      </c>
      <c r="D3543" t="s">
        <v>1363</v>
      </c>
      <c r="E3543" s="46">
        <v>45317</v>
      </c>
      <c r="F3543" s="45" t="s">
        <v>721</v>
      </c>
      <c r="I3543" t="s">
        <v>1162</v>
      </c>
    </row>
    <row r="3544" spans="1:9" hidden="1" x14ac:dyDescent="0.3">
      <c r="A3544" t="s">
        <v>1160</v>
      </c>
      <c r="B3544" s="46">
        <v>45224</v>
      </c>
      <c r="C3544" s="45">
        <v>3800</v>
      </c>
      <c r="D3544" t="s">
        <v>1363</v>
      </c>
      <c r="E3544" s="46">
        <v>45256</v>
      </c>
      <c r="F3544" s="45" t="s">
        <v>721</v>
      </c>
      <c r="I3544" t="s">
        <v>1162</v>
      </c>
    </row>
    <row r="3545" spans="1:9" hidden="1" x14ac:dyDescent="0.3">
      <c r="A3545" t="s">
        <v>1160</v>
      </c>
      <c r="B3545" s="46">
        <v>45257</v>
      </c>
      <c r="C3545" s="45">
        <v>3800</v>
      </c>
      <c r="D3545" t="s">
        <v>1363</v>
      </c>
      <c r="E3545" s="46">
        <v>45286</v>
      </c>
      <c r="F3545" s="45" t="s">
        <v>721</v>
      </c>
      <c r="I3545" t="s">
        <v>1162</v>
      </c>
    </row>
    <row r="3546" spans="1:9" hidden="1" x14ac:dyDescent="0.3">
      <c r="A3546" t="s">
        <v>1160</v>
      </c>
      <c r="B3546" s="46">
        <v>45205</v>
      </c>
      <c r="C3546" s="45">
        <v>3800</v>
      </c>
      <c r="D3546" t="s">
        <v>1363</v>
      </c>
      <c r="E3546" s="46">
        <v>45256</v>
      </c>
      <c r="F3546" s="45" t="s">
        <v>721</v>
      </c>
      <c r="I3546" t="s">
        <v>1162</v>
      </c>
    </row>
    <row r="3547" spans="1:9" hidden="1" x14ac:dyDescent="0.3">
      <c r="A3547" t="s">
        <v>1160</v>
      </c>
      <c r="B3547" s="46">
        <v>45209</v>
      </c>
      <c r="C3547" s="45">
        <v>3800</v>
      </c>
      <c r="D3547" t="s">
        <v>1363</v>
      </c>
      <c r="E3547" s="46">
        <v>45256</v>
      </c>
      <c r="F3547" s="45" t="s">
        <v>721</v>
      </c>
      <c r="I3547" t="s">
        <v>1162</v>
      </c>
    </row>
    <row r="3548" spans="1:9" hidden="1" x14ac:dyDescent="0.3">
      <c r="A3548" t="s">
        <v>729</v>
      </c>
      <c r="B3548" s="46">
        <v>45222</v>
      </c>
      <c r="C3548" s="45">
        <v>3740</v>
      </c>
      <c r="D3548" t="s">
        <v>780</v>
      </c>
      <c r="E3548" s="46">
        <v>45245</v>
      </c>
      <c r="F3548" s="45" t="s">
        <v>721</v>
      </c>
      <c r="I3548" t="s">
        <v>1302</v>
      </c>
    </row>
    <row r="3549" spans="1:9" hidden="1" x14ac:dyDescent="0.3">
      <c r="A3549" t="s">
        <v>724</v>
      </c>
      <c r="B3549" s="46">
        <v>45287</v>
      </c>
      <c r="C3549" s="45">
        <v>3740</v>
      </c>
      <c r="D3549" t="s">
        <v>780</v>
      </c>
      <c r="E3549" s="46">
        <v>45317</v>
      </c>
      <c r="F3549" s="45" t="s">
        <v>721</v>
      </c>
      <c r="I3549" t="s">
        <v>1302</v>
      </c>
    </row>
    <row r="3550" spans="1:9" hidden="1" x14ac:dyDescent="0.3">
      <c r="A3550" t="s">
        <v>748</v>
      </c>
      <c r="B3550" s="46">
        <v>45119</v>
      </c>
      <c r="C3550" s="45">
        <v>3740</v>
      </c>
      <c r="D3550" t="s">
        <v>780</v>
      </c>
      <c r="E3550" s="46">
        <v>45154</v>
      </c>
      <c r="F3550" s="45" t="s">
        <v>721</v>
      </c>
      <c r="I3550" t="s">
        <v>1302</v>
      </c>
    </row>
    <row r="3551" spans="1:9" hidden="1" x14ac:dyDescent="0.3">
      <c r="A3551" t="s">
        <v>724</v>
      </c>
      <c r="B3551" s="46">
        <v>45363</v>
      </c>
      <c r="C3551" s="45">
        <v>3740</v>
      </c>
      <c r="D3551" t="s">
        <v>780</v>
      </c>
      <c r="E3551" s="46">
        <v>45408</v>
      </c>
      <c r="F3551" s="45" t="s">
        <v>721</v>
      </c>
      <c r="I3551" t="s">
        <v>1302</v>
      </c>
    </row>
    <row r="3552" spans="1:9" hidden="1" x14ac:dyDescent="0.3">
      <c r="A3552" t="s">
        <v>1269</v>
      </c>
      <c r="B3552" s="46">
        <v>45446</v>
      </c>
      <c r="C3552" s="45">
        <v>3700</v>
      </c>
      <c r="D3552" t="s">
        <v>1229</v>
      </c>
      <c r="E3552" s="46">
        <v>45469</v>
      </c>
      <c r="F3552" s="45" t="s">
        <v>721</v>
      </c>
      <c r="I3552" t="s">
        <v>1162</v>
      </c>
    </row>
    <row r="3553" spans="1:9" hidden="1" x14ac:dyDescent="0.3">
      <c r="A3553" t="s">
        <v>1281</v>
      </c>
      <c r="B3553" s="46">
        <v>45399</v>
      </c>
      <c r="C3553" s="45">
        <v>3700</v>
      </c>
      <c r="D3553" t="s">
        <v>1229</v>
      </c>
      <c r="E3553" s="46">
        <v>45438</v>
      </c>
      <c r="F3553" s="45" t="s">
        <v>721</v>
      </c>
      <c r="I3553" t="s">
        <v>1162</v>
      </c>
    </row>
    <row r="3554" spans="1:9" hidden="1" x14ac:dyDescent="0.3">
      <c r="A3554" t="s">
        <v>1169</v>
      </c>
      <c r="B3554" s="46">
        <v>45411</v>
      </c>
      <c r="C3554" s="45">
        <v>3700</v>
      </c>
      <c r="D3554" t="s">
        <v>1229</v>
      </c>
      <c r="E3554" s="46">
        <v>45438</v>
      </c>
      <c r="F3554" s="45" t="s">
        <v>721</v>
      </c>
      <c r="I3554" t="s">
        <v>1162</v>
      </c>
    </row>
    <row r="3555" spans="1:9" hidden="1" x14ac:dyDescent="0.3">
      <c r="A3555" t="s">
        <v>1238</v>
      </c>
      <c r="B3555" s="46">
        <v>45128</v>
      </c>
      <c r="C3555" s="45">
        <v>3700</v>
      </c>
      <c r="D3555" t="s">
        <v>1170</v>
      </c>
      <c r="E3555" s="46">
        <v>45164</v>
      </c>
      <c r="F3555" s="45" t="s">
        <v>721</v>
      </c>
      <c r="I3555" t="s">
        <v>1162</v>
      </c>
    </row>
    <row r="3556" spans="1:9" hidden="1" x14ac:dyDescent="0.3">
      <c r="A3556" t="s">
        <v>1269</v>
      </c>
      <c r="B3556" s="46">
        <v>45278</v>
      </c>
      <c r="C3556" s="45">
        <v>3700</v>
      </c>
      <c r="D3556" t="s">
        <v>1229</v>
      </c>
      <c r="E3556" s="46">
        <v>45317</v>
      </c>
      <c r="F3556" s="45" t="s">
        <v>721</v>
      </c>
      <c r="I3556" t="s">
        <v>1162</v>
      </c>
    </row>
    <row r="3557" spans="1:9" hidden="1" x14ac:dyDescent="0.3">
      <c r="A3557" t="s">
        <v>1269</v>
      </c>
      <c r="B3557" s="46">
        <v>45250</v>
      </c>
      <c r="C3557" s="45">
        <v>3700</v>
      </c>
      <c r="D3557" t="s">
        <v>1229</v>
      </c>
      <c r="E3557" s="46">
        <v>45286</v>
      </c>
      <c r="F3557" s="45" t="s">
        <v>721</v>
      </c>
      <c r="I3557" t="s">
        <v>1162</v>
      </c>
    </row>
    <row r="3558" spans="1:9" hidden="1" x14ac:dyDescent="0.3">
      <c r="A3558" t="s">
        <v>724</v>
      </c>
      <c r="B3558" s="46">
        <v>45275</v>
      </c>
      <c r="C3558" s="45">
        <v>3620</v>
      </c>
      <c r="D3558" t="s">
        <v>780</v>
      </c>
      <c r="E3558" s="46">
        <v>45317</v>
      </c>
      <c r="F3558" s="45" t="s">
        <v>721</v>
      </c>
      <c r="I3558" t="s">
        <v>1302</v>
      </c>
    </row>
    <row r="3559" spans="1:9" hidden="1" x14ac:dyDescent="0.3">
      <c r="A3559" t="s">
        <v>1160</v>
      </c>
      <c r="B3559" s="46">
        <v>45246</v>
      </c>
      <c r="C3559" s="45">
        <v>3600</v>
      </c>
      <c r="D3559" t="s">
        <v>1170</v>
      </c>
      <c r="E3559" s="46">
        <v>45286</v>
      </c>
      <c r="F3559" s="45" t="s">
        <v>721</v>
      </c>
      <c r="I3559" t="s">
        <v>1162</v>
      </c>
    </row>
    <row r="3560" spans="1:9" hidden="1" x14ac:dyDescent="0.3">
      <c r="A3560" t="s">
        <v>729</v>
      </c>
      <c r="B3560" s="46">
        <v>45279</v>
      </c>
      <c r="C3560" s="45">
        <v>3600</v>
      </c>
      <c r="D3560" t="s">
        <v>1063</v>
      </c>
      <c r="E3560" s="46">
        <v>45306</v>
      </c>
      <c r="F3560" s="45" t="s">
        <v>721</v>
      </c>
      <c r="I3560" t="s">
        <v>726</v>
      </c>
    </row>
    <row r="3561" spans="1:9" hidden="1" x14ac:dyDescent="0.3">
      <c r="A3561" t="s">
        <v>727</v>
      </c>
      <c r="B3561" s="46">
        <v>45211</v>
      </c>
      <c r="C3561" s="45">
        <v>3600</v>
      </c>
      <c r="D3561" t="s">
        <v>1374</v>
      </c>
      <c r="E3561" s="46">
        <v>45245</v>
      </c>
      <c r="F3561" s="45" t="s">
        <v>721</v>
      </c>
      <c r="I3561" t="s">
        <v>726</v>
      </c>
    </row>
    <row r="3562" spans="1:9" hidden="1" x14ac:dyDescent="0.3">
      <c r="A3562" t="s">
        <v>1238</v>
      </c>
      <c r="B3562" s="46">
        <v>45209</v>
      </c>
      <c r="C3562" s="45">
        <v>3600</v>
      </c>
      <c r="D3562" t="s">
        <v>1229</v>
      </c>
      <c r="E3562" s="46">
        <v>45256</v>
      </c>
      <c r="F3562" s="45" t="s">
        <v>721</v>
      </c>
      <c r="I3562" t="s">
        <v>1162</v>
      </c>
    </row>
    <row r="3563" spans="1:9" hidden="1" x14ac:dyDescent="0.3">
      <c r="A3563" t="s">
        <v>1269</v>
      </c>
      <c r="B3563" s="46">
        <v>45209</v>
      </c>
      <c r="C3563" s="45">
        <v>3600</v>
      </c>
      <c r="D3563" t="s">
        <v>1286</v>
      </c>
      <c r="E3563" s="46">
        <v>45256</v>
      </c>
      <c r="F3563" s="45" t="s">
        <v>721</v>
      </c>
      <c r="I3563" t="s">
        <v>1162</v>
      </c>
    </row>
    <row r="3564" spans="1:9" hidden="1" x14ac:dyDescent="0.3">
      <c r="A3564" t="s">
        <v>1338</v>
      </c>
      <c r="B3564" s="46">
        <v>45261</v>
      </c>
      <c r="C3564" s="45">
        <v>3600</v>
      </c>
      <c r="D3564" t="s">
        <v>1170</v>
      </c>
      <c r="E3564" s="46">
        <v>45286</v>
      </c>
      <c r="F3564" s="45" t="s">
        <v>721</v>
      </c>
      <c r="I3564" t="s">
        <v>1162</v>
      </c>
    </row>
    <row r="3565" spans="1:9" hidden="1" x14ac:dyDescent="0.3">
      <c r="A3565" t="s">
        <v>1160</v>
      </c>
      <c r="B3565" s="46">
        <v>45127</v>
      </c>
      <c r="C3565" s="45">
        <v>3600</v>
      </c>
      <c r="D3565" t="s">
        <v>1170</v>
      </c>
      <c r="E3565" s="46">
        <v>45164</v>
      </c>
      <c r="F3565" s="45" t="s">
        <v>721</v>
      </c>
      <c r="I3565" t="s">
        <v>1162</v>
      </c>
    </row>
    <row r="3566" spans="1:9" hidden="1" x14ac:dyDescent="0.3">
      <c r="A3566" t="s">
        <v>1160</v>
      </c>
      <c r="B3566" s="46">
        <v>45170</v>
      </c>
      <c r="C3566" s="45">
        <v>3600</v>
      </c>
      <c r="D3566" t="s">
        <v>1170</v>
      </c>
      <c r="E3566" s="46">
        <v>45195</v>
      </c>
      <c r="F3566" s="45" t="s">
        <v>721</v>
      </c>
      <c r="I3566" t="s">
        <v>1162</v>
      </c>
    </row>
    <row r="3567" spans="1:9" hidden="1" x14ac:dyDescent="0.3">
      <c r="A3567" t="s">
        <v>1169</v>
      </c>
      <c r="B3567" s="46">
        <v>45170</v>
      </c>
      <c r="C3567" s="45">
        <v>3600</v>
      </c>
      <c r="D3567" t="s">
        <v>1170</v>
      </c>
      <c r="E3567" s="46">
        <v>45195</v>
      </c>
      <c r="F3567" s="45" t="s">
        <v>721</v>
      </c>
      <c r="I3567" t="s">
        <v>1162</v>
      </c>
    </row>
    <row r="3568" spans="1:9" hidden="1" x14ac:dyDescent="0.3">
      <c r="A3568" t="s">
        <v>1238</v>
      </c>
      <c r="B3568" s="46">
        <v>45169</v>
      </c>
      <c r="C3568" s="45">
        <v>3600</v>
      </c>
      <c r="D3568" t="s">
        <v>1170</v>
      </c>
      <c r="E3568" s="46">
        <v>45195</v>
      </c>
      <c r="F3568" s="45" t="s">
        <v>721</v>
      </c>
      <c r="I3568" t="s">
        <v>1162</v>
      </c>
    </row>
    <row r="3569" spans="1:9" hidden="1" x14ac:dyDescent="0.3">
      <c r="A3569" t="s">
        <v>1169</v>
      </c>
      <c r="B3569" s="46">
        <v>45160</v>
      </c>
      <c r="C3569" s="45">
        <v>3600</v>
      </c>
      <c r="D3569" t="s">
        <v>1170</v>
      </c>
      <c r="E3569" s="46">
        <v>45195</v>
      </c>
      <c r="F3569" s="45" t="s">
        <v>721</v>
      </c>
      <c r="I3569" t="s">
        <v>1162</v>
      </c>
    </row>
    <row r="3570" spans="1:9" hidden="1" x14ac:dyDescent="0.3">
      <c r="A3570" t="s">
        <v>727</v>
      </c>
      <c r="B3570" s="46">
        <v>45187</v>
      </c>
      <c r="C3570" s="45">
        <v>3600</v>
      </c>
      <c r="D3570" t="s">
        <v>1063</v>
      </c>
      <c r="E3570" s="46">
        <v>45215</v>
      </c>
      <c r="F3570" s="45" t="s">
        <v>721</v>
      </c>
      <c r="I3570" t="s">
        <v>726</v>
      </c>
    </row>
    <row r="3571" spans="1:9" hidden="1" x14ac:dyDescent="0.3">
      <c r="A3571" t="s">
        <v>1269</v>
      </c>
      <c r="B3571" s="46">
        <v>45176</v>
      </c>
      <c r="C3571" s="45">
        <v>3600</v>
      </c>
      <c r="D3571" t="s">
        <v>1170</v>
      </c>
      <c r="E3571" s="46">
        <v>45225</v>
      </c>
      <c r="F3571" s="45" t="s">
        <v>721</v>
      </c>
      <c r="I3571" t="s">
        <v>1162</v>
      </c>
    </row>
    <row r="3572" spans="1:9" hidden="1" x14ac:dyDescent="0.3">
      <c r="A3572" t="s">
        <v>1238</v>
      </c>
      <c r="B3572" s="46">
        <v>45174</v>
      </c>
      <c r="C3572" s="45">
        <v>3600</v>
      </c>
      <c r="D3572" t="s">
        <v>1229</v>
      </c>
      <c r="E3572" s="46">
        <v>45225</v>
      </c>
      <c r="F3572" s="45" t="s">
        <v>721</v>
      </c>
      <c r="I3572" t="s">
        <v>1162</v>
      </c>
    </row>
    <row r="3573" spans="1:9" hidden="1" x14ac:dyDescent="0.3">
      <c r="A3573" t="s">
        <v>1169</v>
      </c>
      <c r="B3573" s="46">
        <v>45173</v>
      </c>
      <c r="C3573" s="45">
        <v>3600</v>
      </c>
      <c r="D3573" t="s">
        <v>1170</v>
      </c>
      <c r="E3573" s="46">
        <v>45225</v>
      </c>
      <c r="F3573" s="45" t="s">
        <v>721</v>
      </c>
      <c r="I3573" t="s">
        <v>1162</v>
      </c>
    </row>
    <row r="3574" spans="1:9" hidden="1" x14ac:dyDescent="0.3">
      <c r="A3574" t="s">
        <v>1169</v>
      </c>
      <c r="B3574" s="46">
        <v>45412</v>
      </c>
      <c r="C3574" s="45">
        <v>3600</v>
      </c>
      <c r="D3574" t="s">
        <v>1170</v>
      </c>
      <c r="E3574" s="46">
        <v>45438</v>
      </c>
      <c r="F3574" s="45" t="s">
        <v>721</v>
      </c>
      <c r="I3574" t="s">
        <v>1162</v>
      </c>
    </row>
    <row r="3575" spans="1:9" hidden="1" x14ac:dyDescent="0.3">
      <c r="A3575" t="s">
        <v>1238</v>
      </c>
      <c r="B3575" s="46">
        <v>45400</v>
      </c>
      <c r="C3575" s="45">
        <v>3600</v>
      </c>
      <c r="D3575" t="s">
        <v>1170</v>
      </c>
      <c r="E3575" s="46">
        <v>45438</v>
      </c>
      <c r="F3575" s="45" t="s">
        <v>721</v>
      </c>
      <c r="I3575" t="s">
        <v>1162</v>
      </c>
    </row>
    <row r="3576" spans="1:9" hidden="1" x14ac:dyDescent="0.3">
      <c r="A3576" t="s">
        <v>1160</v>
      </c>
      <c r="B3576" s="46">
        <v>45422</v>
      </c>
      <c r="C3576" s="45">
        <v>3600</v>
      </c>
      <c r="D3576" t="s">
        <v>1170</v>
      </c>
      <c r="E3576" s="46">
        <v>45469</v>
      </c>
      <c r="F3576" s="45" t="s">
        <v>721</v>
      </c>
      <c r="I3576" t="s">
        <v>1162</v>
      </c>
    </row>
    <row r="3577" spans="1:9" hidden="1" x14ac:dyDescent="0.3">
      <c r="A3577" t="s">
        <v>1169</v>
      </c>
      <c r="B3577" s="46">
        <v>45376</v>
      </c>
      <c r="C3577" s="45">
        <v>3600</v>
      </c>
      <c r="D3577" t="s">
        <v>1363</v>
      </c>
      <c r="E3577" s="46">
        <v>45408</v>
      </c>
      <c r="F3577" s="45" t="s">
        <v>721</v>
      </c>
      <c r="I3577" t="s">
        <v>1162</v>
      </c>
    </row>
    <row r="3578" spans="1:9" hidden="1" x14ac:dyDescent="0.3">
      <c r="A3578" t="s">
        <v>1169</v>
      </c>
      <c r="B3578" s="46">
        <v>45379</v>
      </c>
      <c r="C3578" s="45">
        <v>3600</v>
      </c>
      <c r="D3578" t="s">
        <v>1170</v>
      </c>
      <c r="E3578" s="46">
        <v>45408</v>
      </c>
      <c r="F3578" s="45" t="s">
        <v>721</v>
      </c>
      <c r="I3578" t="s">
        <v>1162</v>
      </c>
    </row>
    <row r="3579" spans="1:9" hidden="1" x14ac:dyDescent="0.3">
      <c r="A3579" t="s">
        <v>1160</v>
      </c>
      <c r="B3579" s="46">
        <v>45380</v>
      </c>
      <c r="C3579" s="45">
        <v>3600</v>
      </c>
      <c r="D3579" t="s">
        <v>1170</v>
      </c>
      <c r="E3579" s="46">
        <v>45408</v>
      </c>
      <c r="F3579" s="45" t="s">
        <v>721</v>
      </c>
      <c r="I3579" t="s">
        <v>1162</v>
      </c>
    </row>
    <row r="3580" spans="1:9" hidden="1" x14ac:dyDescent="0.3">
      <c r="A3580" t="s">
        <v>1238</v>
      </c>
      <c r="B3580" s="46">
        <v>45390</v>
      </c>
      <c r="C3580" s="45">
        <v>3560</v>
      </c>
      <c r="D3580" t="s">
        <v>1286</v>
      </c>
      <c r="E3580" s="46">
        <v>45438</v>
      </c>
      <c r="F3580" s="45" t="s">
        <v>721</v>
      </c>
      <c r="I3580" t="s">
        <v>1162</v>
      </c>
    </row>
    <row r="3581" spans="1:9" hidden="1" x14ac:dyDescent="0.3">
      <c r="A3581" t="s">
        <v>727</v>
      </c>
      <c r="B3581" s="46">
        <v>45210</v>
      </c>
      <c r="C3581" s="45">
        <v>3530</v>
      </c>
      <c r="D3581" t="s">
        <v>780</v>
      </c>
      <c r="E3581" s="46">
        <v>45245</v>
      </c>
      <c r="F3581" s="45" t="s">
        <v>721</v>
      </c>
      <c r="I3581" t="s">
        <v>1375</v>
      </c>
    </row>
    <row r="3582" spans="1:9" hidden="1" x14ac:dyDescent="0.3">
      <c r="A3582" t="s">
        <v>1169</v>
      </c>
      <c r="B3582" s="46">
        <v>45252</v>
      </c>
      <c r="C3582" s="45">
        <v>3500</v>
      </c>
      <c r="D3582" t="s">
        <v>1286</v>
      </c>
      <c r="E3582" s="46">
        <v>45286</v>
      </c>
      <c r="F3582" s="45" t="s">
        <v>721</v>
      </c>
      <c r="I3582" t="s">
        <v>1162</v>
      </c>
    </row>
    <row r="3583" spans="1:9" hidden="1" x14ac:dyDescent="0.3">
      <c r="A3583" t="s">
        <v>821</v>
      </c>
      <c r="B3583" s="46">
        <v>45277</v>
      </c>
      <c r="C3583" s="45">
        <v>3500</v>
      </c>
      <c r="D3583" t="s">
        <v>1376</v>
      </c>
      <c r="E3583" s="46">
        <v>45306</v>
      </c>
      <c r="F3583" s="45" t="s">
        <v>721</v>
      </c>
      <c r="I3583" t="s">
        <v>760</v>
      </c>
    </row>
    <row r="3584" spans="1:9" hidden="1" x14ac:dyDescent="0.3">
      <c r="A3584" t="s">
        <v>779</v>
      </c>
      <c r="B3584" s="46">
        <v>45169</v>
      </c>
      <c r="C3584" s="45">
        <v>3500</v>
      </c>
      <c r="D3584" t="s">
        <v>1088</v>
      </c>
      <c r="E3584" s="46">
        <v>45184</v>
      </c>
      <c r="F3584" s="45" t="s">
        <v>721</v>
      </c>
      <c r="I3584" t="s">
        <v>726</v>
      </c>
    </row>
    <row r="3585" spans="1:9" hidden="1" x14ac:dyDescent="0.3">
      <c r="A3585" t="s">
        <v>779</v>
      </c>
      <c r="B3585" s="46">
        <v>45141</v>
      </c>
      <c r="C3585" s="45">
        <v>3500</v>
      </c>
      <c r="D3585" t="s">
        <v>1088</v>
      </c>
      <c r="E3585" s="46">
        <v>45184</v>
      </c>
      <c r="F3585" s="45" t="s">
        <v>721</v>
      </c>
      <c r="I3585" t="s">
        <v>726</v>
      </c>
    </row>
    <row r="3586" spans="1:9" hidden="1" x14ac:dyDescent="0.3">
      <c r="A3586" t="s">
        <v>748</v>
      </c>
      <c r="B3586" s="46">
        <v>45139</v>
      </c>
      <c r="C3586" s="45">
        <v>3500</v>
      </c>
      <c r="D3586" t="s">
        <v>1378</v>
      </c>
      <c r="E3586" s="46">
        <v>45184</v>
      </c>
      <c r="F3586" s="45" t="s">
        <v>721</v>
      </c>
      <c r="I3586" t="s">
        <v>1148</v>
      </c>
    </row>
    <row r="3587" spans="1:9" hidden="1" x14ac:dyDescent="0.3">
      <c r="A3587" t="s">
        <v>722</v>
      </c>
      <c r="B3587" s="46">
        <v>45339</v>
      </c>
      <c r="C3587" s="45">
        <v>3500</v>
      </c>
      <c r="D3587" t="s">
        <v>1377</v>
      </c>
      <c r="E3587" s="46">
        <v>45366</v>
      </c>
      <c r="F3587" s="45" t="s">
        <v>721</v>
      </c>
      <c r="I3587" t="s">
        <v>760</v>
      </c>
    </row>
    <row r="3588" spans="1:9" hidden="1" x14ac:dyDescent="0.3">
      <c r="A3588" t="s">
        <v>729</v>
      </c>
      <c r="B3588" s="46">
        <v>45307</v>
      </c>
      <c r="C3588" s="45">
        <v>3420</v>
      </c>
      <c r="D3588" t="s">
        <v>1380</v>
      </c>
      <c r="E3588" s="46">
        <v>45337</v>
      </c>
      <c r="F3588" s="45" t="s">
        <v>721</v>
      </c>
      <c r="I3588" t="s">
        <v>726</v>
      </c>
    </row>
    <row r="3589" spans="1:9" hidden="1" x14ac:dyDescent="0.3">
      <c r="A3589" t="s">
        <v>1269</v>
      </c>
      <c r="B3589" s="46">
        <v>45385</v>
      </c>
      <c r="C3589" s="45">
        <v>3400</v>
      </c>
      <c r="D3589" t="s">
        <v>1229</v>
      </c>
      <c r="E3589" s="46">
        <v>45408</v>
      </c>
      <c r="F3589" s="45" t="s">
        <v>721</v>
      </c>
      <c r="I3589" t="s">
        <v>1162</v>
      </c>
    </row>
    <row r="3590" spans="1:9" hidden="1" x14ac:dyDescent="0.3">
      <c r="A3590" t="s">
        <v>727</v>
      </c>
      <c r="B3590" s="46">
        <v>45373</v>
      </c>
      <c r="C3590" s="45">
        <v>3400</v>
      </c>
      <c r="D3590" t="s">
        <v>1126</v>
      </c>
      <c r="E3590" s="46">
        <v>45397</v>
      </c>
      <c r="F3590" s="45" t="s">
        <v>721</v>
      </c>
      <c r="I3590" t="s">
        <v>726</v>
      </c>
    </row>
    <row r="3591" spans="1:9" hidden="1" x14ac:dyDescent="0.3">
      <c r="A3591" t="s">
        <v>1269</v>
      </c>
      <c r="B3591" s="46">
        <v>45399</v>
      </c>
      <c r="C3591" s="45">
        <v>3400</v>
      </c>
      <c r="D3591" t="s">
        <v>1229</v>
      </c>
      <c r="E3591" s="46">
        <v>45438</v>
      </c>
      <c r="F3591" s="45" t="s">
        <v>721</v>
      </c>
      <c r="I3591" t="s">
        <v>1162</v>
      </c>
    </row>
    <row r="3592" spans="1:9" hidden="1" x14ac:dyDescent="0.3">
      <c r="A3592" t="s">
        <v>1269</v>
      </c>
      <c r="B3592" s="46">
        <v>45428</v>
      </c>
      <c r="C3592" s="45">
        <v>3400</v>
      </c>
      <c r="D3592" t="s">
        <v>1229</v>
      </c>
      <c r="E3592" s="46">
        <v>45469</v>
      </c>
      <c r="F3592" s="45" t="s">
        <v>721</v>
      </c>
      <c r="I3592" t="s">
        <v>1162</v>
      </c>
    </row>
    <row r="3593" spans="1:9" hidden="1" x14ac:dyDescent="0.3">
      <c r="A3593" t="s">
        <v>1169</v>
      </c>
      <c r="B3593" s="46">
        <v>45194</v>
      </c>
      <c r="C3593" s="45">
        <v>3400</v>
      </c>
      <c r="D3593" t="s">
        <v>1229</v>
      </c>
      <c r="E3593" s="46">
        <v>45225</v>
      </c>
      <c r="F3593" s="45" t="s">
        <v>721</v>
      </c>
      <c r="I3593" t="s">
        <v>1162</v>
      </c>
    </row>
    <row r="3594" spans="1:9" hidden="1" x14ac:dyDescent="0.3">
      <c r="A3594" t="s">
        <v>1269</v>
      </c>
      <c r="B3594" s="46">
        <v>45281</v>
      </c>
      <c r="C3594" s="45">
        <v>3400</v>
      </c>
      <c r="D3594" t="s">
        <v>1229</v>
      </c>
      <c r="E3594" s="46">
        <v>45317</v>
      </c>
      <c r="F3594" s="45" t="s">
        <v>721</v>
      </c>
      <c r="I3594" t="s">
        <v>1162</v>
      </c>
    </row>
    <row r="3595" spans="1:9" hidden="1" x14ac:dyDescent="0.3">
      <c r="A3595" t="s">
        <v>1269</v>
      </c>
      <c r="B3595" s="46">
        <v>45260</v>
      </c>
      <c r="C3595" s="45">
        <v>3400</v>
      </c>
      <c r="D3595" t="s">
        <v>1286</v>
      </c>
      <c r="E3595" s="46">
        <v>45286</v>
      </c>
      <c r="F3595" s="45" t="s">
        <v>721</v>
      </c>
      <c r="I3595" t="s">
        <v>1162</v>
      </c>
    </row>
    <row r="3596" spans="1:9" hidden="1" x14ac:dyDescent="0.3">
      <c r="A3596" t="s">
        <v>1269</v>
      </c>
      <c r="B3596" s="46">
        <v>45205</v>
      </c>
      <c r="C3596" s="45">
        <v>3400</v>
      </c>
      <c r="D3596" t="s">
        <v>1229</v>
      </c>
      <c r="E3596" s="46">
        <v>45256</v>
      </c>
      <c r="F3596" s="45" t="s">
        <v>721</v>
      </c>
      <c r="I3596" t="s">
        <v>1162</v>
      </c>
    </row>
    <row r="3597" spans="1:9" hidden="1" x14ac:dyDescent="0.3">
      <c r="A3597" t="s">
        <v>722</v>
      </c>
      <c r="B3597" s="46">
        <v>45328</v>
      </c>
      <c r="C3597" s="45">
        <v>3390</v>
      </c>
      <c r="D3597" t="s">
        <v>771</v>
      </c>
      <c r="E3597" s="46">
        <v>45366</v>
      </c>
      <c r="F3597" s="45" t="s">
        <v>721</v>
      </c>
      <c r="I3597" t="s">
        <v>762</v>
      </c>
    </row>
    <row r="3598" spans="1:9" hidden="1" x14ac:dyDescent="0.3">
      <c r="A3598" t="s">
        <v>1269</v>
      </c>
      <c r="B3598" s="46">
        <v>45254</v>
      </c>
      <c r="C3598" s="45">
        <v>3300</v>
      </c>
      <c r="D3598" t="s">
        <v>1170</v>
      </c>
      <c r="E3598" s="46">
        <v>45286</v>
      </c>
      <c r="F3598" s="45" t="s">
        <v>721</v>
      </c>
      <c r="I3598" t="s">
        <v>1162</v>
      </c>
    </row>
    <row r="3599" spans="1:9" hidden="1" x14ac:dyDescent="0.3">
      <c r="A3599" t="s">
        <v>1269</v>
      </c>
      <c r="B3599" s="46">
        <v>45175</v>
      </c>
      <c r="C3599" s="45">
        <v>3300</v>
      </c>
      <c r="D3599" t="s">
        <v>1170</v>
      </c>
      <c r="E3599" s="46">
        <v>45225</v>
      </c>
      <c r="F3599" s="45" t="s">
        <v>721</v>
      </c>
      <c r="I3599" t="s">
        <v>1162</v>
      </c>
    </row>
    <row r="3600" spans="1:9" hidden="1" x14ac:dyDescent="0.3">
      <c r="A3600" t="s">
        <v>1269</v>
      </c>
      <c r="B3600" s="46">
        <v>45161</v>
      </c>
      <c r="C3600" s="45">
        <v>3300</v>
      </c>
      <c r="D3600" t="s">
        <v>1170</v>
      </c>
      <c r="E3600" s="46">
        <v>45195</v>
      </c>
      <c r="F3600" s="45" t="s">
        <v>721</v>
      </c>
      <c r="I3600" t="s">
        <v>1162</v>
      </c>
    </row>
    <row r="3601" spans="1:9" hidden="1" x14ac:dyDescent="0.3">
      <c r="A3601" t="s">
        <v>1269</v>
      </c>
      <c r="B3601" s="46">
        <v>45156</v>
      </c>
      <c r="C3601" s="45">
        <v>3300</v>
      </c>
      <c r="D3601" t="s">
        <v>1170</v>
      </c>
      <c r="E3601" s="46">
        <v>45195</v>
      </c>
      <c r="F3601" s="45" t="s">
        <v>721</v>
      </c>
      <c r="I3601" t="s">
        <v>1162</v>
      </c>
    </row>
    <row r="3602" spans="1:9" hidden="1" x14ac:dyDescent="0.3">
      <c r="A3602" t="s">
        <v>1269</v>
      </c>
      <c r="B3602" s="46">
        <v>45168</v>
      </c>
      <c r="C3602" s="45">
        <v>3300</v>
      </c>
      <c r="D3602" t="s">
        <v>1170</v>
      </c>
      <c r="E3602" s="46">
        <v>45195</v>
      </c>
      <c r="F3602" s="45" t="s">
        <v>721</v>
      </c>
      <c r="I3602" t="s">
        <v>1162</v>
      </c>
    </row>
    <row r="3603" spans="1:9" hidden="1" x14ac:dyDescent="0.3">
      <c r="A3603" t="s">
        <v>1269</v>
      </c>
      <c r="B3603" s="46">
        <v>45149</v>
      </c>
      <c r="C3603" s="45">
        <v>3300</v>
      </c>
      <c r="D3603" t="s">
        <v>1170</v>
      </c>
      <c r="E3603" s="46">
        <v>45195</v>
      </c>
      <c r="F3603" s="45" t="s">
        <v>721</v>
      </c>
      <c r="I3603" t="s">
        <v>1162</v>
      </c>
    </row>
    <row r="3604" spans="1:9" hidden="1" x14ac:dyDescent="0.3">
      <c r="A3604" t="s">
        <v>724</v>
      </c>
      <c r="B3604" s="46">
        <v>45121</v>
      </c>
      <c r="C3604" s="45">
        <v>3300</v>
      </c>
      <c r="D3604" t="s">
        <v>820</v>
      </c>
      <c r="E3604" s="46">
        <v>45164</v>
      </c>
      <c r="F3604" s="45" t="s">
        <v>721</v>
      </c>
      <c r="I3604" t="s">
        <v>726</v>
      </c>
    </row>
    <row r="3605" spans="1:9" hidden="1" x14ac:dyDescent="0.3">
      <c r="A3605" t="s">
        <v>1269</v>
      </c>
      <c r="B3605" s="46">
        <v>45170</v>
      </c>
      <c r="C3605" s="45">
        <v>3300</v>
      </c>
      <c r="D3605" t="s">
        <v>1170</v>
      </c>
      <c r="E3605" s="46">
        <v>45195</v>
      </c>
      <c r="F3605" s="45" t="s">
        <v>721</v>
      </c>
      <c r="I3605" t="s">
        <v>1162</v>
      </c>
    </row>
    <row r="3606" spans="1:9" hidden="1" x14ac:dyDescent="0.3">
      <c r="A3606" t="s">
        <v>1269</v>
      </c>
      <c r="B3606" s="46">
        <v>45133</v>
      </c>
      <c r="C3606" s="45">
        <v>3300</v>
      </c>
      <c r="D3606" t="s">
        <v>1170</v>
      </c>
      <c r="E3606" s="46">
        <v>45164</v>
      </c>
      <c r="F3606" s="45" t="s">
        <v>721</v>
      </c>
      <c r="I3606" t="s">
        <v>1162</v>
      </c>
    </row>
    <row r="3607" spans="1:9" hidden="1" x14ac:dyDescent="0.3">
      <c r="A3607" t="s">
        <v>1269</v>
      </c>
      <c r="B3607" s="46">
        <v>45140</v>
      </c>
      <c r="C3607" s="45">
        <v>3300</v>
      </c>
      <c r="D3607" t="s">
        <v>1170</v>
      </c>
      <c r="E3607" s="46">
        <v>45164</v>
      </c>
      <c r="F3607" s="45" t="s">
        <v>721</v>
      </c>
      <c r="I3607" t="s">
        <v>1162</v>
      </c>
    </row>
    <row r="3608" spans="1:9" hidden="1" x14ac:dyDescent="0.3">
      <c r="A3608" t="s">
        <v>1338</v>
      </c>
      <c r="B3608" s="46">
        <v>45141</v>
      </c>
      <c r="C3608" s="45">
        <v>3300</v>
      </c>
      <c r="D3608" t="s">
        <v>1170</v>
      </c>
      <c r="E3608" s="46">
        <v>45164</v>
      </c>
      <c r="F3608" s="45" t="s">
        <v>721</v>
      </c>
      <c r="I3608" t="s">
        <v>1162</v>
      </c>
    </row>
    <row r="3609" spans="1:9" hidden="1" x14ac:dyDescent="0.3">
      <c r="A3609" t="s">
        <v>821</v>
      </c>
      <c r="B3609" s="46">
        <v>45138</v>
      </c>
      <c r="C3609" s="45">
        <v>3300</v>
      </c>
      <c r="D3609" t="s">
        <v>991</v>
      </c>
      <c r="E3609" s="46">
        <v>45154</v>
      </c>
      <c r="F3609" s="45" t="s">
        <v>721</v>
      </c>
      <c r="I3609" t="s">
        <v>726</v>
      </c>
    </row>
    <row r="3610" spans="1:9" hidden="1" x14ac:dyDescent="0.3">
      <c r="A3610" t="s">
        <v>748</v>
      </c>
      <c r="B3610" s="46">
        <v>45132</v>
      </c>
      <c r="C3610" s="45">
        <v>3200</v>
      </c>
      <c r="D3610" t="s">
        <v>1360</v>
      </c>
      <c r="E3610" s="46">
        <v>45154</v>
      </c>
      <c r="F3610" s="45" t="s">
        <v>721</v>
      </c>
      <c r="I3610" t="s">
        <v>762</v>
      </c>
    </row>
    <row r="3611" spans="1:9" hidden="1" x14ac:dyDescent="0.3">
      <c r="A3611" t="s">
        <v>1269</v>
      </c>
      <c r="B3611" s="46">
        <v>45159</v>
      </c>
      <c r="C3611" s="45">
        <v>3200</v>
      </c>
      <c r="D3611" t="s">
        <v>1286</v>
      </c>
      <c r="E3611" s="46">
        <v>45195</v>
      </c>
      <c r="F3611" s="45" t="s">
        <v>721</v>
      </c>
      <c r="I3611" t="s">
        <v>1162</v>
      </c>
    </row>
    <row r="3612" spans="1:9" hidden="1" x14ac:dyDescent="0.3">
      <c r="A3612" t="s">
        <v>1269</v>
      </c>
      <c r="B3612" s="46">
        <v>45182</v>
      </c>
      <c r="C3612" s="45">
        <v>3200</v>
      </c>
      <c r="D3612" t="s">
        <v>1286</v>
      </c>
      <c r="E3612" s="46">
        <v>45225</v>
      </c>
      <c r="F3612" s="45" t="s">
        <v>721</v>
      </c>
      <c r="I3612" t="s">
        <v>1162</v>
      </c>
    </row>
    <row r="3613" spans="1:9" hidden="1" x14ac:dyDescent="0.3">
      <c r="A3613" t="s">
        <v>1269</v>
      </c>
      <c r="B3613" s="46">
        <v>45369</v>
      </c>
      <c r="C3613" s="45">
        <v>3200</v>
      </c>
      <c r="D3613" t="s">
        <v>1229</v>
      </c>
      <c r="E3613" s="46">
        <v>45408</v>
      </c>
      <c r="F3613" s="45" t="s">
        <v>721</v>
      </c>
      <c r="I3613" t="s">
        <v>1162</v>
      </c>
    </row>
    <row r="3614" spans="1:9" hidden="1" x14ac:dyDescent="0.3">
      <c r="A3614" t="s">
        <v>1238</v>
      </c>
      <c r="B3614" s="46">
        <v>45420</v>
      </c>
      <c r="C3614" s="45">
        <v>3200</v>
      </c>
      <c r="D3614" t="s">
        <v>1229</v>
      </c>
      <c r="E3614" s="46">
        <v>45469</v>
      </c>
      <c r="F3614" s="45" t="s">
        <v>721</v>
      </c>
      <c r="I3614" t="s">
        <v>1162</v>
      </c>
    </row>
    <row r="3615" spans="1:9" hidden="1" x14ac:dyDescent="0.3">
      <c r="A3615" t="s">
        <v>1169</v>
      </c>
      <c r="B3615" s="46">
        <v>45432</v>
      </c>
      <c r="C3615" s="45">
        <v>3100</v>
      </c>
      <c r="D3615" t="s">
        <v>1170</v>
      </c>
      <c r="E3615" s="46">
        <v>45469</v>
      </c>
      <c r="F3615" s="45" t="s">
        <v>721</v>
      </c>
      <c r="I3615" t="s">
        <v>1162</v>
      </c>
    </row>
    <row r="3616" spans="1:9" hidden="1" x14ac:dyDescent="0.3">
      <c r="A3616" t="s">
        <v>1269</v>
      </c>
      <c r="B3616" s="46">
        <v>45363</v>
      </c>
      <c r="C3616" s="45">
        <v>3100</v>
      </c>
      <c r="D3616" t="s">
        <v>1229</v>
      </c>
      <c r="E3616" s="46">
        <v>45408</v>
      </c>
      <c r="F3616" s="45" t="s">
        <v>721</v>
      </c>
      <c r="I3616" t="s">
        <v>1162</v>
      </c>
    </row>
    <row r="3617" spans="1:9" hidden="1" x14ac:dyDescent="0.3">
      <c r="A3617" t="s">
        <v>1281</v>
      </c>
      <c r="B3617" s="46">
        <v>45141</v>
      </c>
      <c r="C3617" s="45">
        <v>3100</v>
      </c>
      <c r="D3617" t="s">
        <v>1170</v>
      </c>
      <c r="E3617" s="46">
        <v>45164</v>
      </c>
      <c r="F3617" s="45" t="s">
        <v>721</v>
      </c>
      <c r="I3617" t="s">
        <v>1162</v>
      </c>
    </row>
    <row r="3618" spans="1:9" hidden="1" x14ac:dyDescent="0.3">
      <c r="A3618" t="s">
        <v>1169</v>
      </c>
      <c r="B3618" s="46">
        <v>45124</v>
      </c>
      <c r="C3618" s="45">
        <v>3100</v>
      </c>
      <c r="D3618" t="s">
        <v>1170</v>
      </c>
      <c r="E3618" s="46">
        <v>45164</v>
      </c>
      <c r="F3618" s="45" t="s">
        <v>721</v>
      </c>
      <c r="I3618" t="s">
        <v>1162</v>
      </c>
    </row>
    <row r="3619" spans="1:9" hidden="1" x14ac:dyDescent="0.3">
      <c r="A3619" t="s">
        <v>1238</v>
      </c>
      <c r="B3619" s="46">
        <v>45275</v>
      </c>
      <c r="C3619" s="45">
        <v>3100</v>
      </c>
      <c r="D3619" t="s">
        <v>1170</v>
      </c>
      <c r="E3619" s="46">
        <v>45317</v>
      </c>
      <c r="F3619" s="45" t="s">
        <v>721</v>
      </c>
      <c r="I3619" t="s">
        <v>1162</v>
      </c>
    </row>
    <row r="3620" spans="1:9" hidden="1" x14ac:dyDescent="0.3">
      <c r="A3620" t="s">
        <v>729</v>
      </c>
      <c r="B3620" s="46">
        <v>45254</v>
      </c>
      <c r="C3620" s="45">
        <v>3100</v>
      </c>
      <c r="D3620" t="s">
        <v>1063</v>
      </c>
      <c r="E3620" s="46">
        <v>45275</v>
      </c>
      <c r="F3620" s="45" t="s">
        <v>721</v>
      </c>
      <c r="I3620" t="s">
        <v>726</v>
      </c>
    </row>
    <row r="3621" spans="1:9" hidden="1" x14ac:dyDescent="0.3">
      <c r="A3621" t="s">
        <v>1281</v>
      </c>
      <c r="B3621" s="46">
        <v>45257</v>
      </c>
      <c r="C3621" s="45">
        <v>3000</v>
      </c>
      <c r="D3621" t="s">
        <v>1229</v>
      </c>
      <c r="E3621" s="46">
        <v>45286</v>
      </c>
      <c r="F3621" s="45" t="s">
        <v>721</v>
      </c>
      <c r="I3621" t="s">
        <v>1162</v>
      </c>
    </row>
    <row r="3622" spans="1:9" hidden="1" x14ac:dyDescent="0.3">
      <c r="A3622" t="s">
        <v>729</v>
      </c>
      <c r="B3622" s="46">
        <v>45270</v>
      </c>
      <c r="C3622" s="45">
        <v>3000</v>
      </c>
      <c r="D3622" t="s">
        <v>1384</v>
      </c>
      <c r="E3622" s="46">
        <v>45306</v>
      </c>
      <c r="F3622" s="45" t="s">
        <v>721</v>
      </c>
      <c r="I3622" t="s">
        <v>760</v>
      </c>
    </row>
    <row r="3623" spans="1:9" hidden="1" x14ac:dyDescent="0.3">
      <c r="A3623" t="s">
        <v>777</v>
      </c>
      <c r="B3623" s="46">
        <v>45131</v>
      </c>
      <c r="C3623" s="45">
        <v>3000</v>
      </c>
      <c r="D3623" t="s">
        <v>869</v>
      </c>
      <c r="E3623" s="46">
        <v>45184</v>
      </c>
      <c r="F3623" s="45" t="s">
        <v>721</v>
      </c>
      <c r="I3623" t="s">
        <v>726</v>
      </c>
    </row>
    <row r="3624" spans="1:9" hidden="1" x14ac:dyDescent="0.3">
      <c r="A3624" t="s">
        <v>821</v>
      </c>
      <c r="B3624" s="46">
        <v>45149</v>
      </c>
      <c r="C3624" s="45">
        <v>3000</v>
      </c>
      <c r="D3624" t="s">
        <v>1381</v>
      </c>
      <c r="E3624" s="46">
        <v>45184</v>
      </c>
      <c r="F3624" s="45" t="s">
        <v>721</v>
      </c>
      <c r="I3624" t="s">
        <v>760</v>
      </c>
    </row>
    <row r="3625" spans="1:9" hidden="1" x14ac:dyDescent="0.3">
      <c r="A3625" t="s">
        <v>821</v>
      </c>
      <c r="B3625" s="46">
        <v>45149</v>
      </c>
      <c r="C3625" s="45">
        <v>3000</v>
      </c>
      <c r="D3625" t="s">
        <v>1381</v>
      </c>
      <c r="E3625" s="46">
        <v>45184</v>
      </c>
      <c r="F3625" s="45" t="s">
        <v>721</v>
      </c>
      <c r="I3625" t="s">
        <v>760</v>
      </c>
    </row>
    <row r="3626" spans="1:9" hidden="1" x14ac:dyDescent="0.3">
      <c r="A3626" t="s">
        <v>821</v>
      </c>
      <c r="B3626" s="46">
        <v>45133</v>
      </c>
      <c r="C3626" s="45">
        <v>3000</v>
      </c>
      <c r="D3626" t="s">
        <v>1382</v>
      </c>
      <c r="E3626" s="46">
        <v>45154</v>
      </c>
      <c r="F3626" s="45" t="s">
        <v>721</v>
      </c>
      <c r="I3626" t="s">
        <v>760</v>
      </c>
    </row>
    <row r="3627" spans="1:9" hidden="1" x14ac:dyDescent="0.3">
      <c r="A3627" t="s">
        <v>821</v>
      </c>
      <c r="B3627" s="46">
        <v>45133</v>
      </c>
      <c r="C3627" s="45">
        <v>3000</v>
      </c>
      <c r="D3627" t="s">
        <v>1381</v>
      </c>
      <c r="E3627" s="46">
        <v>45154</v>
      </c>
      <c r="F3627" s="45" t="s">
        <v>721</v>
      </c>
      <c r="I3627" t="s">
        <v>760</v>
      </c>
    </row>
    <row r="3628" spans="1:9" hidden="1" x14ac:dyDescent="0.3">
      <c r="A3628" t="s">
        <v>821</v>
      </c>
      <c r="B3628" s="46">
        <v>45133</v>
      </c>
      <c r="C3628" s="45">
        <v>3000</v>
      </c>
      <c r="D3628" t="s">
        <v>1381</v>
      </c>
      <c r="E3628" s="46">
        <v>45154</v>
      </c>
      <c r="F3628" s="45" t="s">
        <v>721</v>
      </c>
      <c r="I3628" t="s">
        <v>760</v>
      </c>
    </row>
    <row r="3629" spans="1:9" hidden="1" x14ac:dyDescent="0.3">
      <c r="A3629" t="s">
        <v>1281</v>
      </c>
      <c r="B3629" s="46">
        <v>45383</v>
      </c>
      <c r="C3629" s="45">
        <v>3000</v>
      </c>
      <c r="D3629" t="s">
        <v>1229</v>
      </c>
      <c r="E3629" s="46">
        <v>45408</v>
      </c>
      <c r="F3629" s="45" t="s">
        <v>721</v>
      </c>
      <c r="I3629" t="s">
        <v>1162</v>
      </c>
    </row>
    <row r="3630" spans="1:9" hidden="1" x14ac:dyDescent="0.3">
      <c r="A3630" t="s">
        <v>794</v>
      </c>
      <c r="B3630" s="46">
        <v>45326</v>
      </c>
      <c r="C3630" s="45">
        <v>3000</v>
      </c>
      <c r="D3630" t="s">
        <v>1385</v>
      </c>
      <c r="E3630" s="46">
        <v>45369</v>
      </c>
      <c r="F3630" s="45" t="s">
        <v>721</v>
      </c>
      <c r="G3630">
        <v>0</v>
      </c>
      <c r="I3630" t="s">
        <v>1148</v>
      </c>
    </row>
    <row r="3631" spans="1:9" hidden="1" x14ac:dyDescent="0.3">
      <c r="A3631" t="s">
        <v>1269</v>
      </c>
      <c r="B3631" s="46">
        <v>45327</v>
      </c>
      <c r="C3631" s="45">
        <v>3000</v>
      </c>
      <c r="D3631" t="s">
        <v>1170</v>
      </c>
      <c r="E3631" s="46">
        <v>45377</v>
      </c>
      <c r="F3631" s="45" t="s">
        <v>721</v>
      </c>
      <c r="I3631" t="s">
        <v>1162</v>
      </c>
    </row>
    <row r="3632" spans="1:9" hidden="1" x14ac:dyDescent="0.3">
      <c r="A3632" t="s">
        <v>1281</v>
      </c>
      <c r="B3632" s="46">
        <v>45338</v>
      </c>
      <c r="C3632" s="45">
        <v>3000</v>
      </c>
      <c r="D3632" t="s">
        <v>1229</v>
      </c>
      <c r="E3632" s="46">
        <v>45377</v>
      </c>
      <c r="F3632" s="45" t="s">
        <v>721</v>
      </c>
      <c r="I3632" t="s">
        <v>1162</v>
      </c>
    </row>
    <row r="3633" spans="1:9" hidden="1" x14ac:dyDescent="0.3">
      <c r="A3633" t="s">
        <v>745</v>
      </c>
      <c r="B3633" s="46">
        <v>45408</v>
      </c>
      <c r="C3633" s="45">
        <v>3000</v>
      </c>
      <c r="D3633" t="s">
        <v>1403</v>
      </c>
      <c r="E3633" s="46">
        <v>45428</v>
      </c>
      <c r="F3633" s="45" t="s">
        <v>721</v>
      </c>
      <c r="G3633">
        <v>0</v>
      </c>
      <c r="I3633" t="s">
        <v>1148</v>
      </c>
    </row>
    <row r="3634" spans="1:9" hidden="1" x14ac:dyDescent="0.3">
      <c r="A3634" t="s">
        <v>779</v>
      </c>
      <c r="B3634" s="46">
        <v>45314</v>
      </c>
      <c r="C3634" s="45">
        <v>3000</v>
      </c>
      <c r="D3634" t="s">
        <v>1383</v>
      </c>
      <c r="E3634" s="46">
        <v>45338</v>
      </c>
      <c r="F3634" s="45" t="s">
        <v>721</v>
      </c>
      <c r="I3634" t="s">
        <v>1148</v>
      </c>
    </row>
    <row r="3635" spans="1:9" hidden="1" x14ac:dyDescent="0.3">
      <c r="A3635" t="s">
        <v>734</v>
      </c>
      <c r="B3635" s="46">
        <v>45313</v>
      </c>
      <c r="C3635" s="45">
        <v>2860</v>
      </c>
      <c r="D3635" t="s">
        <v>780</v>
      </c>
      <c r="E3635" s="46">
        <v>45337</v>
      </c>
      <c r="F3635" s="45" t="s">
        <v>721</v>
      </c>
      <c r="I3635" t="s">
        <v>1302</v>
      </c>
    </row>
    <row r="3636" spans="1:9" hidden="1" x14ac:dyDescent="0.3">
      <c r="A3636" t="s">
        <v>722</v>
      </c>
      <c r="B3636" s="46">
        <v>45301</v>
      </c>
      <c r="C3636" s="45">
        <v>2640</v>
      </c>
      <c r="D3636" t="s">
        <v>1386</v>
      </c>
      <c r="E3636" s="46">
        <v>45337</v>
      </c>
      <c r="F3636" s="45" t="s">
        <v>721</v>
      </c>
      <c r="I3636" t="s">
        <v>899</v>
      </c>
    </row>
    <row r="3637" spans="1:9" hidden="1" x14ac:dyDescent="0.3">
      <c r="A3637" t="s">
        <v>722</v>
      </c>
      <c r="B3637" s="46">
        <v>45275</v>
      </c>
      <c r="C3637" s="45">
        <v>2640</v>
      </c>
      <c r="D3637" t="s">
        <v>1386</v>
      </c>
      <c r="E3637" s="46">
        <v>45306</v>
      </c>
      <c r="F3637" s="45" t="s">
        <v>721</v>
      </c>
      <c r="I3637" t="s">
        <v>899</v>
      </c>
    </row>
    <row r="3638" spans="1:9" hidden="1" x14ac:dyDescent="0.3">
      <c r="A3638" t="s">
        <v>1169</v>
      </c>
      <c r="B3638" s="46">
        <v>45440</v>
      </c>
      <c r="C3638" s="45">
        <v>2600</v>
      </c>
      <c r="D3638" t="s">
        <v>1229</v>
      </c>
      <c r="E3638" s="46">
        <v>45469</v>
      </c>
      <c r="F3638" s="45" t="s">
        <v>721</v>
      </c>
      <c r="I3638" t="s">
        <v>1162</v>
      </c>
    </row>
    <row r="3639" spans="1:9" hidden="1" x14ac:dyDescent="0.3">
      <c r="A3639" t="s">
        <v>724</v>
      </c>
      <c r="B3639" s="46">
        <v>45240</v>
      </c>
      <c r="C3639" s="45">
        <v>2500</v>
      </c>
      <c r="D3639" t="s">
        <v>1387</v>
      </c>
      <c r="E3639" s="46">
        <v>45286</v>
      </c>
      <c r="F3639" s="45" t="s">
        <v>721</v>
      </c>
      <c r="I3639" t="s">
        <v>1148</v>
      </c>
    </row>
    <row r="3640" spans="1:9" hidden="1" x14ac:dyDescent="0.3">
      <c r="A3640" t="s">
        <v>761</v>
      </c>
      <c r="B3640" s="46">
        <v>45259</v>
      </c>
      <c r="C3640" s="45">
        <v>2500</v>
      </c>
      <c r="D3640" t="s">
        <v>1104</v>
      </c>
      <c r="E3640" s="46">
        <v>45286</v>
      </c>
      <c r="F3640" s="45" t="s">
        <v>721</v>
      </c>
      <c r="I3640" t="s">
        <v>738</v>
      </c>
    </row>
    <row r="3641" spans="1:9" hidden="1" x14ac:dyDescent="0.3">
      <c r="A3641" t="s">
        <v>727</v>
      </c>
      <c r="B3641" s="46">
        <v>45218</v>
      </c>
      <c r="C3641" s="45">
        <v>2500</v>
      </c>
      <c r="D3641" t="s">
        <v>1388</v>
      </c>
      <c r="E3641" s="46">
        <v>45245</v>
      </c>
      <c r="F3641" s="45" t="s">
        <v>721</v>
      </c>
      <c r="I3641" t="s">
        <v>1148</v>
      </c>
    </row>
    <row r="3642" spans="1:9" hidden="1" x14ac:dyDescent="0.3">
      <c r="A3642" t="s">
        <v>722</v>
      </c>
      <c r="B3642" s="46">
        <v>45218</v>
      </c>
      <c r="C3642" s="45">
        <v>2500</v>
      </c>
      <c r="D3642" t="s">
        <v>1000</v>
      </c>
      <c r="E3642" s="46">
        <v>45245</v>
      </c>
      <c r="F3642" s="45" t="s">
        <v>721</v>
      </c>
      <c r="I3642" t="s">
        <v>726</v>
      </c>
    </row>
    <row r="3643" spans="1:9" hidden="1" x14ac:dyDescent="0.3">
      <c r="A3643" t="s">
        <v>1238</v>
      </c>
      <c r="B3643" s="46">
        <v>45173</v>
      </c>
      <c r="C3643" s="45">
        <v>2500</v>
      </c>
      <c r="D3643" t="s">
        <v>1286</v>
      </c>
      <c r="E3643" s="46">
        <v>45225</v>
      </c>
      <c r="F3643" s="45" t="s">
        <v>721</v>
      </c>
      <c r="I3643" t="s">
        <v>1162</v>
      </c>
    </row>
    <row r="3644" spans="1:9" hidden="1" x14ac:dyDescent="0.3">
      <c r="A3644" t="s">
        <v>1238</v>
      </c>
      <c r="B3644" s="46">
        <v>45183</v>
      </c>
      <c r="C3644" s="45">
        <v>2400</v>
      </c>
      <c r="D3644" t="s">
        <v>1286</v>
      </c>
      <c r="E3644" s="46">
        <v>45225</v>
      </c>
      <c r="F3644" s="45" t="s">
        <v>721</v>
      </c>
      <c r="I3644" t="s">
        <v>1162</v>
      </c>
    </row>
    <row r="3645" spans="1:9" hidden="1" x14ac:dyDescent="0.3">
      <c r="A3645" t="s">
        <v>1269</v>
      </c>
      <c r="B3645" s="46">
        <v>45188</v>
      </c>
      <c r="C3645" s="45">
        <v>2400</v>
      </c>
      <c r="D3645" t="s">
        <v>1286</v>
      </c>
      <c r="E3645" s="46">
        <v>45225</v>
      </c>
      <c r="F3645" s="45" t="s">
        <v>721</v>
      </c>
      <c r="I3645" t="s">
        <v>1162</v>
      </c>
    </row>
    <row r="3646" spans="1:9" hidden="1" x14ac:dyDescent="0.3">
      <c r="A3646" t="s">
        <v>1269</v>
      </c>
      <c r="B3646" s="46">
        <v>45223</v>
      </c>
      <c r="C3646" s="45">
        <v>2400</v>
      </c>
      <c r="D3646" t="s">
        <v>1286</v>
      </c>
      <c r="E3646" s="46">
        <v>45256</v>
      </c>
      <c r="F3646" s="45" t="s">
        <v>721</v>
      </c>
      <c r="I3646" t="s">
        <v>1162</v>
      </c>
    </row>
    <row r="3647" spans="1:9" hidden="1" x14ac:dyDescent="0.3">
      <c r="A3647" t="s">
        <v>775</v>
      </c>
      <c r="B3647" s="46">
        <v>45217</v>
      </c>
      <c r="C3647" s="45">
        <v>2400</v>
      </c>
      <c r="D3647" t="s">
        <v>1389</v>
      </c>
      <c r="E3647" s="46">
        <v>45246</v>
      </c>
      <c r="F3647" s="45" t="s">
        <v>721</v>
      </c>
    </row>
    <row r="3648" spans="1:9" hidden="1" x14ac:dyDescent="0.3">
      <c r="A3648" t="s">
        <v>1269</v>
      </c>
      <c r="B3648" s="46">
        <v>45230</v>
      </c>
      <c r="C3648" s="45">
        <v>2400</v>
      </c>
      <c r="D3648" t="s">
        <v>1286</v>
      </c>
      <c r="E3648" s="46">
        <v>45256</v>
      </c>
      <c r="F3648" s="45" t="s">
        <v>721</v>
      </c>
      <c r="I3648" t="s">
        <v>1162</v>
      </c>
    </row>
    <row r="3649" spans="1:9" hidden="1" x14ac:dyDescent="0.3">
      <c r="A3649" t="s">
        <v>1269</v>
      </c>
      <c r="B3649" s="46">
        <v>45272</v>
      </c>
      <c r="C3649" s="45">
        <v>2400</v>
      </c>
      <c r="D3649" t="s">
        <v>1286</v>
      </c>
      <c r="E3649" s="46">
        <v>45317</v>
      </c>
      <c r="F3649" s="45" t="s">
        <v>721</v>
      </c>
      <c r="I3649" t="s">
        <v>1162</v>
      </c>
    </row>
    <row r="3650" spans="1:9" hidden="1" x14ac:dyDescent="0.3">
      <c r="A3650" t="s">
        <v>1269</v>
      </c>
      <c r="B3650" s="46">
        <v>45405</v>
      </c>
      <c r="C3650" s="45">
        <v>2400</v>
      </c>
      <c r="D3650" t="s">
        <v>1286</v>
      </c>
      <c r="E3650" s="46">
        <v>45438</v>
      </c>
      <c r="F3650" s="45" t="s">
        <v>721</v>
      </c>
      <c r="I3650" t="s">
        <v>1162</v>
      </c>
    </row>
    <row r="3651" spans="1:9" hidden="1" x14ac:dyDescent="0.3">
      <c r="A3651" t="s">
        <v>1269</v>
      </c>
      <c r="B3651" s="46">
        <v>45314</v>
      </c>
      <c r="C3651" s="45">
        <v>2400</v>
      </c>
      <c r="D3651" t="s">
        <v>1286</v>
      </c>
      <c r="E3651" s="46">
        <v>45348</v>
      </c>
      <c r="F3651" s="45" t="s">
        <v>721</v>
      </c>
      <c r="I3651" t="s">
        <v>1162</v>
      </c>
    </row>
    <row r="3652" spans="1:9" hidden="1" x14ac:dyDescent="0.3">
      <c r="A3652" t="s">
        <v>1269</v>
      </c>
      <c r="B3652" s="46">
        <v>45307</v>
      </c>
      <c r="C3652" s="45">
        <v>2400</v>
      </c>
      <c r="D3652" t="s">
        <v>1286</v>
      </c>
      <c r="E3652" s="46">
        <v>45348</v>
      </c>
      <c r="F3652" s="45" t="s">
        <v>721</v>
      </c>
      <c r="I3652" t="s">
        <v>1162</v>
      </c>
    </row>
    <row r="3653" spans="1:9" hidden="1" x14ac:dyDescent="0.3">
      <c r="A3653" t="s">
        <v>1269</v>
      </c>
      <c r="B3653" s="46">
        <v>45328</v>
      </c>
      <c r="C3653" s="45">
        <v>2400</v>
      </c>
      <c r="D3653" t="s">
        <v>1286</v>
      </c>
      <c r="E3653" s="46">
        <v>45377</v>
      </c>
      <c r="F3653" s="45" t="s">
        <v>721</v>
      </c>
      <c r="I3653" t="s">
        <v>1162</v>
      </c>
    </row>
    <row r="3654" spans="1:9" hidden="1" x14ac:dyDescent="0.3">
      <c r="A3654" t="s">
        <v>1269</v>
      </c>
      <c r="B3654" s="46">
        <v>45362</v>
      </c>
      <c r="C3654" s="45">
        <v>2400</v>
      </c>
      <c r="D3654" t="s">
        <v>1286</v>
      </c>
      <c r="E3654" s="46">
        <v>45408</v>
      </c>
      <c r="F3654" s="45" t="s">
        <v>721</v>
      </c>
      <c r="I3654" t="s">
        <v>1162</v>
      </c>
    </row>
    <row r="3655" spans="1:9" hidden="1" x14ac:dyDescent="0.3">
      <c r="A3655" t="s">
        <v>720</v>
      </c>
      <c r="B3655" s="46">
        <v>45370</v>
      </c>
      <c r="C3655" s="45">
        <v>2300</v>
      </c>
      <c r="D3655" t="s">
        <v>1820</v>
      </c>
      <c r="E3655" s="46">
        <v>45438</v>
      </c>
      <c r="F3655" s="45" t="s">
        <v>721</v>
      </c>
      <c r="I3655" t="s">
        <v>2027</v>
      </c>
    </row>
    <row r="3656" spans="1:9" hidden="1" x14ac:dyDescent="0.3">
      <c r="A3656" t="s">
        <v>720</v>
      </c>
      <c r="B3656" s="46">
        <v>45370</v>
      </c>
      <c r="C3656" s="45">
        <v>2300</v>
      </c>
      <c r="D3656" t="s">
        <v>1820</v>
      </c>
      <c r="E3656" s="46">
        <v>45438</v>
      </c>
      <c r="F3656" s="45" t="s">
        <v>721</v>
      </c>
      <c r="I3656" t="s">
        <v>2027</v>
      </c>
    </row>
    <row r="3657" spans="1:9" hidden="1" x14ac:dyDescent="0.3">
      <c r="A3657" t="s">
        <v>720</v>
      </c>
      <c r="B3657" s="46">
        <v>45370</v>
      </c>
      <c r="C3657" s="45">
        <v>2300</v>
      </c>
      <c r="D3657" t="s">
        <v>1820</v>
      </c>
      <c r="E3657" s="46">
        <v>45438</v>
      </c>
      <c r="F3657" s="45" t="s">
        <v>721</v>
      </c>
      <c r="I3657" t="s">
        <v>2027</v>
      </c>
    </row>
    <row r="3658" spans="1:9" hidden="1" x14ac:dyDescent="0.3">
      <c r="A3658" t="s">
        <v>1160</v>
      </c>
      <c r="B3658" s="46">
        <v>45236</v>
      </c>
      <c r="C3658" s="45">
        <v>2300</v>
      </c>
      <c r="D3658" t="s">
        <v>1363</v>
      </c>
      <c r="E3658" s="46">
        <v>45286</v>
      </c>
      <c r="F3658" s="45" t="s">
        <v>721</v>
      </c>
      <c r="I3658" t="s">
        <v>1162</v>
      </c>
    </row>
    <row r="3659" spans="1:9" hidden="1" x14ac:dyDescent="0.3">
      <c r="A3659" t="s">
        <v>1160</v>
      </c>
      <c r="B3659" s="46">
        <v>45195</v>
      </c>
      <c r="C3659" s="45">
        <v>2300</v>
      </c>
      <c r="D3659" t="s">
        <v>1363</v>
      </c>
      <c r="E3659" s="46">
        <v>45225</v>
      </c>
      <c r="F3659" s="45" t="s">
        <v>721</v>
      </c>
      <c r="I3659" t="s">
        <v>1162</v>
      </c>
    </row>
    <row r="3660" spans="1:9" hidden="1" x14ac:dyDescent="0.3">
      <c r="A3660" t="s">
        <v>1238</v>
      </c>
      <c r="B3660" s="46">
        <v>45195</v>
      </c>
      <c r="C3660" s="45">
        <v>2300</v>
      </c>
      <c r="D3660" t="s">
        <v>1363</v>
      </c>
      <c r="E3660" s="46">
        <v>45225</v>
      </c>
      <c r="F3660" s="45" t="s">
        <v>721</v>
      </c>
      <c r="I3660" t="s">
        <v>1162</v>
      </c>
    </row>
    <row r="3661" spans="1:9" hidden="1" x14ac:dyDescent="0.3">
      <c r="A3661" t="s">
        <v>777</v>
      </c>
      <c r="B3661" s="46">
        <v>45226</v>
      </c>
      <c r="C3661" s="45">
        <v>2250</v>
      </c>
      <c r="D3661" t="s">
        <v>1390</v>
      </c>
      <c r="E3661" s="46">
        <v>45275</v>
      </c>
      <c r="F3661" s="45" t="s">
        <v>721</v>
      </c>
    </row>
    <row r="3662" spans="1:9" hidden="1" x14ac:dyDescent="0.3">
      <c r="A3662" t="s">
        <v>724</v>
      </c>
      <c r="B3662" s="46">
        <v>45324</v>
      </c>
      <c r="C3662" s="45">
        <v>2250</v>
      </c>
      <c r="D3662" t="s">
        <v>1391</v>
      </c>
      <c r="E3662" s="46">
        <v>45348</v>
      </c>
      <c r="F3662" s="45" t="s">
        <v>721</v>
      </c>
      <c r="I3662" t="s">
        <v>762</v>
      </c>
    </row>
    <row r="3663" spans="1:9" hidden="1" x14ac:dyDescent="0.3">
      <c r="A3663" t="s">
        <v>1238</v>
      </c>
      <c r="B3663" s="46">
        <v>45419</v>
      </c>
      <c r="C3663" s="45">
        <v>2200</v>
      </c>
      <c r="D3663" t="s">
        <v>1363</v>
      </c>
      <c r="E3663" s="46">
        <v>45469</v>
      </c>
      <c r="F3663" s="45" t="s">
        <v>721</v>
      </c>
      <c r="I3663" t="s">
        <v>1162</v>
      </c>
    </row>
    <row r="3664" spans="1:9" hidden="1" x14ac:dyDescent="0.3">
      <c r="A3664" t="s">
        <v>1238</v>
      </c>
      <c r="B3664" s="46">
        <v>45271</v>
      </c>
      <c r="C3664" s="45">
        <v>2200</v>
      </c>
      <c r="D3664" t="s">
        <v>1286</v>
      </c>
      <c r="E3664" s="46">
        <v>45317</v>
      </c>
      <c r="F3664" s="45" t="s">
        <v>721</v>
      </c>
      <c r="I3664" t="s">
        <v>1162</v>
      </c>
    </row>
    <row r="3665" spans="1:9" hidden="1" x14ac:dyDescent="0.3">
      <c r="A3665" t="s">
        <v>1238</v>
      </c>
      <c r="B3665" s="46">
        <v>45191</v>
      </c>
      <c r="C3665" s="45">
        <v>2200</v>
      </c>
      <c r="D3665" t="s">
        <v>1363</v>
      </c>
      <c r="E3665" s="46">
        <v>45225</v>
      </c>
      <c r="F3665" s="45" t="s">
        <v>721</v>
      </c>
      <c r="I3665" t="s">
        <v>1162</v>
      </c>
    </row>
    <row r="3666" spans="1:9" hidden="1" x14ac:dyDescent="0.3">
      <c r="A3666" t="s">
        <v>777</v>
      </c>
      <c r="B3666" s="46">
        <v>45125</v>
      </c>
      <c r="C3666" s="45">
        <v>2200</v>
      </c>
      <c r="D3666" t="s">
        <v>1392</v>
      </c>
      <c r="E3666" s="46">
        <v>45154</v>
      </c>
      <c r="F3666" s="45" t="s">
        <v>721</v>
      </c>
      <c r="I3666" t="s">
        <v>726</v>
      </c>
    </row>
    <row r="3667" spans="1:9" hidden="1" x14ac:dyDescent="0.3">
      <c r="A3667" t="s">
        <v>821</v>
      </c>
      <c r="B3667" s="46">
        <v>45190</v>
      </c>
      <c r="C3667" s="45">
        <v>2100</v>
      </c>
      <c r="D3667" t="s">
        <v>1393</v>
      </c>
      <c r="E3667" s="46">
        <v>45215</v>
      </c>
      <c r="F3667" s="45" t="s">
        <v>721</v>
      </c>
      <c r="I3667" t="s">
        <v>726</v>
      </c>
    </row>
    <row r="3668" spans="1:9" hidden="1" x14ac:dyDescent="0.3">
      <c r="A3668" t="s">
        <v>775</v>
      </c>
      <c r="B3668" s="46">
        <v>45244</v>
      </c>
      <c r="C3668" s="45">
        <v>2100</v>
      </c>
      <c r="D3668" t="s">
        <v>1370</v>
      </c>
      <c r="E3668" s="46">
        <v>45278</v>
      </c>
      <c r="F3668" s="45" t="s">
        <v>721</v>
      </c>
    </row>
    <row r="3669" spans="1:9" hidden="1" x14ac:dyDescent="0.3">
      <c r="A3669" t="s">
        <v>775</v>
      </c>
      <c r="B3669" s="46">
        <v>45243</v>
      </c>
      <c r="C3669" s="45">
        <v>2100</v>
      </c>
      <c r="D3669" t="s">
        <v>1370</v>
      </c>
      <c r="E3669" s="46">
        <v>45278</v>
      </c>
      <c r="F3669" s="45" t="s">
        <v>721</v>
      </c>
    </row>
    <row r="3670" spans="1:9" hidden="1" x14ac:dyDescent="0.3">
      <c r="A3670" t="s">
        <v>775</v>
      </c>
      <c r="B3670" s="46">
        <v>45233</v>
      </c>
      <c r="C3670" s="45">
        <v>2100</v>
      </c>
      <c r="D3670" t="s">
        <v>1370</v>
      </c>
      <c r="E3670" s="46">
        <v>45278</v>
      </c>
      <c r="F3670" s="45" t="s">
        <v>721</v>
      </c>
    </row>
    <row r="3671" spans="1:9" hidden="1" x14ac:dyDescent="0.3">
      <c r="A3671" t="s">
        <v>1160</v>
      </c>
      <c r="B3671" s="46">
        <v>45219</v>
      </c>
      <c r="C3671" s="45">
        <v>2080</v>
      </c>
      <c r="D3671" t="s">
        <v>1286</v>
      </c>
      <c r="E3671" s="46">
        <v>45256</v>
      </c>
      <c r="F3671" s="45" t="s">
        <v>721</v>
      </c>
      <c r="I3671" t="s">
        <v>1162</v>
      </c>
    </row>
    <row r="3672" spans="1:9" hidden="1" x14ac:dyDescent="0.3">
      <c r="A3672" t="s">
        <v>1269</v>
      </c>
      <c r="B3672" s="46">
        <v>45222</v>
      </c>
      <c r="C3672" s="45">
        <v>2000</v>
      </c>
      <c r="D3672" t="s">
        <v>1286</v>
      </c>
      <c r="E3672" s="46">
        <v>45256</v>
      </c>
      <c r="F3672" s="45" t="s">
        <v>721</v>
      </c>
      <c r="I3672" t="s">
        <v>1162</v>
      </c>
    </row>
    <row r="3673" spans="1:9" hidden="1" x14ac:dyDescent="0.3">
      <c r="A3673" t="s">
        <v>1281</v>
      </c>
      <c r="B3673" s="46">
        <v>45218</v>
      </c>
      <c r="C3673" s="45">
        <v>2000</v>
      </c>
      <c r="D3673" t="s">
        <v>1286</v>
      </c>
      <c r="E3673" s="46">
        <v>45256</v>
      </c>
      <c r="F3673" s="45" t="s">
        <v>721</v>
      </c>
      <c r="I3673" t="s">
        <v>1162</v>
      </c>
    </row>
    <row r="3674" spans="1:9" hidden="1" x14ac:dyDescent="0.3">
      <c r="A3674" t="s">
        <v>1269</v>
      </c>
      <c r="B3674" s="46">
        <v>45229</v>
      </c>
      <c r="C3674" s="45">
        <v>2000</v>
      </c>
      <c r="D3674" t="s">
        <v>1286</v>
      </c>
      <c r="E3674" s="46">
        <v>45256</v>
      </c>
      <c r="F3674" s="45" t="s">
        <v>721</v>
      </c>
      <c r="I3674" t="s">
        <v>1162</v>
      </c>
    </row>
    <row r="3675" spans="1:9" hidden="1" x14ac:dyDescent="0.3">
      <c r="A3675" t="s">
        <v>1281</v>
      </c>
      <c r="B3675" s="46">
        <v>45226</v>
      </c>
      <c r="C3675" s="45">
        <v>2000</v>
      </c>
      <c r="D3675" t="s">
        <v>1286</v>
      </c>
      <c r="E3675" s="46">
        <v>45256</v>
      </c>
      <c r="F3675" s="45" t="s">
        <v>721</v>
      </c>
      <c r="I3675" t="s">
        <v>1162</v>
      </c>
    </row>
    <row r="3676" spans="1:9" hidden="1" x14ac:dyDescent="0.3">
      <c r="A3676" t="s">
        <v>1281</v>
      </c>
      <c r="B3676" s="46">
        <v>45225</v>
      </c>
      <c r="C3676" s="45">
        <v>2000</v>
      </c>
      <c r="D3676" t="s">
        <v>1286</v>
      </c>
      <c r="E3676" s="46">
        <v>45256</v>
      </c>
      <c r="F3676" s="45" t="s">
        <v>721</v>
      </c>
      <c r="I3676" t="s">
        <v>1162</v>
      </c>
    </row>
    <row r="3677" spans="1:9" hidden="1" x14ac:dyDescent="0.3">
      <c r="A3677" t="s">
        <v>1269</v>
      </c>
      <c r="B3677" s="46">
        <v>45226</v>
      </c>
      <c r="C3677" s="45">
        <v>2000</v>
      </c>
      <c r="D3677" t="s">
        <v>1286</v>
      </c>
      <c r="E3677" s="46">
        <v>45256</v>
      </c>
      <c r="F3677" s="45" t="s">
        <v>721</v>
      </c>
      <c r="I3677" t="s">
        <v>1162</v>
      </c>
    </row>
    <row r="3678" spans="1:9" hidden="1" x14ac:dyDescent="0.3">
      <c r="A3678" t="s">
        <v>1281</v>
      </c>
      <c r="B3678" s="46">
        <v>45256</v>
      </c>
      <c r="C3678" s="45">
        <v>2000</v>
      </c>
      <c r="D3678" t="s">
        <v>1332</v>
      </c>
      <c r="E3678" s="46">
        <v>45256</v>
      </c>
      <c r="F3678" s="45" t="s">
        <v>721</v>
      </c>
      <c r="I3678" t="s">
        <v>854</v>
      </c>
    </row>
    <row r="3679" spans="1:9" hidden="1" x14ac:dyDescent="0.3">
      <c r="A3679" t="s">
        <v>1394</v>
      </c>
      <c r="B3679" s="46">
        <v>45256</v>
      </c>
      <c r="C3679" s="45">
        <v>2000</v>
      </c>
      <c r="D3679" t="s">
        <v>1332</v>
      </c>
      <c r="E3679" s="46">
        <v>45256</v>
      </c>
      <c r="F3679" s="45" t="s">
        <v>721</v>
      </c>
      <c r="I3679" t="s">
        <v>854</v>
      </c>
    </row>
    <row r="3680" spans="1:9" hidden="1" x14ac:dyDescent="0.3">
      <c r="A3680" t="s">
        <v>1322</v>
      </c>
      <c r="B3680" s="46">
        <v>45256</v>
      </c>
      <c r="C3680" s="45">
        <v>2000</v>
      </c>
      <c r="D3680" t="s">
        <v>1332</v>
      </c>
      <c r="E3680" s="46">
        <v>45256</v>
      </c>
      <c r="F3680" s="45" t="s">
        <v>721</v>
      </c>
      <c r="I3680" t="s">
        <v>854</v>
      </c>
    </row>
    <row r="3681" spans="1:9" hidden="1" x14ac:dyDescent="0.3">
      <c r="A3681" t="s">
        <v>1238</v>
      </c>
      <c r="B3681" s="46">
        <v>45256</v>
      </c>
      <c r="C3681" s="45">
        <v>2000</v>
      </c>
      <c r="D3681" t="s">
        <v>1332</v>
      </c>
      <c r="E3681" s="46">
        <v>45256</v>
      </c>
      <c r="F3681" s="45" t="s">
        <v>721</v>
      </c>
      <c r="I3681" t="s">
        <v>854</v>
      </c>
    </row>
    <row r="3682" spans="1:9" hidden="1" x14ac:dyDescent="0.3">
      <c r="A3682" t="s">
        <v>1281</v>
      </c>
      <c r="B3682" s="46">
        <v>45233</v>
      </c>
      <c r="C3682" s="45">
        <v>2000</v>
      </c>
      <c r="D3682" t="s">
        <v>1286</v>
      </c>
      <c r="E3682" s="46">
        <v>45256</v>
      </c>
      <c r="F3682" s="45" t="s">
        <v>721</v>
      </c>
      <c r="I3682" t="s">
        <v>1162</v>
      </c>
    </row>
    <row r="3683" spans="1:9" hidden="1" x14ac:dyDescent="0.3">
      <c r="A3683" t="s">
        <v>777</v>
      </c>
      <c r="B3683" s="46">
        <v>45211</v>
      </c>
      <c r="C3683" s="45">
        <v>2000</v>
      </c>
      <c r="D3683" t="s">
        <v>1371</v>
      </c>
      <c r="E3683" s="46">
        <v>45245</v>
      </c>
      <c r="F3683" s="45" t="s">
        <v>721</v>
      </c>
      <c r="I3683" t="s">
        <v>1148</v>
      </c>
    </row>
    <row r="3684" spans="1:9" hidden="1" x14ac:dyDescent="0.3">
      <c r="A3684" t="s">
        <v>748</v>
      </c>
      <c r="B3684" s="46">
        <v>45254</v>
      </c>
      <c r="C3684" s="45">
        <v>2000</v>
      </c>
      <c r="D3684" t="s">
        <v>1395</v>
      </c>
      <c r="E3684" s="46">
        <v>45275</v>
      </c>
      <c r="F3684" s="45" t="s">
        <v>721</v>
      </c>
      <c r="I3684" t="s">
        <v>1148</v>
      </c>
    </row>
    <row r="3685" spans="1:9" hidden="1" x14ac:dyDescent="0.3">
      <c r="A3685" t="s">
        <v>724</v>
      </c>
      <c r="B3685" s="46">
        <v>45204</v>
      </c>
      <c r="C3685" s="45">
        <v>2000</v>
      </c>
      <c r="D3685" t="s">
        <v>1373</v>
      </c>
      <c r="E3685" s="46">
        <v>45256</v>
      </c>
      <c r="F3685" s="45" t="s">
        <v>721</v>
      </c>
      <c r="I3685" t="s">
        <v>899</v>
      </c>
    </row>
    <row r="3686" spans="1:9" hidden="1" x14ac:dyDescent="0.3">
      <c r="A3686" t="s">
        <v>724</v>
      </c>
      <c r="B3686" s="46">
        <v>45204</v>
      </c>
      <c r="C3686" s="45">
        <v>2000</v>
      </c>
      <c r="D3686" t="s">
        <v>1373</v>
      </c>
      <c r="E3686" s="46">
        <v>45256</v>
      </c>
      <c r="F3686" s="45" t="s">
        <v>721</v>
      </c>
      <c r="I3686" t="s">
        <v>899</v>
      </c>
    </row>
    <row r="3687" spans="1:9" hidden="1" x14ac:dyDescent="0.3">
      <c r="A3687" t="s">
        <v>1281</v>
      </c>
      <c r="B3687" s="46">
        <v>45203</v>
      </c>
      <c r="C3687" s="45">
        <v>2000</v>
      </c>
      <c r="D3687" t="s">
        <v>1286</v>
      </c>
      <c r="E3687" s="46">
        <v>45256</v>
      </c>
      <c r="F3687" s="45" t="s">
        <v>721</v>
      </c>
      <c r="I3687" t="s">
        <v>1162</v>
      </c>
    </row>
    <row r="3688" spans="1:9" hidden="1" x14ac:dyDescent="0.3">
      <c r="A3688" t="s">
        <v>1338</v>
      </c>
      <c r="B3688" s="46">
        <v>45209</v>
      </c>
      <c r="C3688" s="45">
        <v>2000</v>
      </c>
      <c r="D3688" t="s">
        <v>1286</v>
      </c>
      <c r="E3688" s="46">
        <v>45256</v>
      </c>
      <c r="F3688" s="45" t="s">
        <v>721</v>
      </c>
      <c r="I3688" t="s">
        <v>1162</v>
      </c>
    </row>
    <row r="3689" spans="1:9" hidden="1" x14ac:dyDescent="0.3">
      <c r="A3689" t="s">
        <v>1269</v>
      </c>
      <c r="B3689" s="46">
        <v>45211</v>
      </c>
      <c r="C3689" s="45">
        <v>2000</v>
      </c>
      <c r="D3689" t="s">
        <v>1286</v>
      </c>
      <c r="E3689" s="46">
        <v>45256</v>
      </c>
      <c r="F3689" s="45" t="s">
        <v>721</v>
      </c>
      <c r="I3689" t="s">
        <v>1162</v>
      </c>
    </row>
    <row r="3690" spans="1:9" hidden="1" x14ac:dyDescent="0.3">
      <c r="A3690" t="s">
        <v>1338</v>
      </c>
      <c r="B3690" s="46">
        <v>45210</v>
      </c>
      <c r="C3690" s="45">
        <v>2000</v>
      </c>
      <c r="D3690" t="s">
        <v>1286</v>
      </c>
      <c r="E3690" s="46">
        <v>45256</v>
      </c>
      <c r="F3690" s="45" t="s">
        <v>721</v>
      </c>
      <c r="I3690" t="s">
        <v>1162</v>
      </c>
    </row>
    <row r="3691" spans="1:9" hidden="1" x14ac:dyDescent="0.3">
      <c r="A3691" t="s">
        <v>748</v>
      </c>
      <c r="B3691" s="46">
        <v>45271</v>
      </c>
      <c r="C3691" s="45">
        <v>2000</v>
      </c>
      <c r="D3691" t="s">
        <v>1395</v>
      </c>
      <c r="E3691" s="46">
        <v>45306</v>
      </c>
      <c r="F3691" s="45" t="s">
        <v>721</v>
      </c>
      <c r="I3691" t="s">
        <v>1148</v>
      </c>
    </row>
    <row r="3692" spans="1:9" hidden="1" x14ac:dyDescent="0.3">
      <c r="A3692" t="s">
        <v>1269</v>
      </c>
      <c r="B3692" s="46">
        <v>45236</v>
      </c>
      <c r="C3692" s="45">
        <v>2000</v>
      </c>
      <c r="D3692" t="s">
        <v>1286</v>
      </c>
      <c r="E3692" s="46">
        <v>45286</v>
      </c>
      <c r="F3692" s="45" t="s">
        <v>721</v>
      </c>
      <c r="I3692" t="s">
        <v>1162</v>
      </c>
    </row>
    <row r="3693" spans="1:9" hidden="1" x14ac:dyDescent="0.3">
      <c r="A3693" t="s">
        <v>724</v>
      </c>
      <c r="B3693" s="46">
        <v>45237</v>
      </c>
      <c r="C3693" s="45">
        <v>2000</v>
      </c>
      <c r="D3693" t="s">
        <v>1373</v>
      </c>
      <c r="E3693" s="46">
        <v>45286</v>
      </c>
      <c r="F3693" s="45" t="s">
        <v>721</v>
      </c>
      <c r="I3693" t="s">
        <v>899</v>
      </c>
    </row>
    <row r="3694" spans="1:9" hidden="1" x14ac:dyDescent="0.3">
      <c r="A3694" t="s">
        <v>724</v>
      </c>
      <c r="B3694" s="46">
        <v>45237</v>
      </c>
      <c r="C3694" s="45">
        <v>2000</v>
      </c>
      <c r="D3694" t="s">
        <v>1373</v>
      </c>
      <c r="E3694" s="46">
        <v>45286</v>
      </c>
      <c r="F3694" s="45" t="s">
        <v>721</v>
      </c>
      <c r="I3694" t="s">
        <v>899</v>
      </c>
    </row>
    <row r="3695" spans="1:9" hidden="1" x14ac:dyDescent="0.3">
      <c r="A3695" t="s">
        <v>1281</v>
      </c>
      <c r="B3695" s="46">
        <v>45239</v>
      </c>
      <c r="C3695" s="45">
        <v>2000</v>
      </c>
      <c r="D3695" t="s">
        <v>1286</v>
      </c>
      <c r="E3695" s="46">
        <v>45286</v>
      </c>
      <c r="F3695" s="45" t="s">
        <v>721</v>
      </c>
      <c r="I3695" t="s">
        <v>1162</v>
      </c>
    </row>
    <row r="3696" spans="1:9" hidden="1" x14ac:dyDescent="0.3">
      <c r="A3696" t="s">
        <v>1269</v>
      </c>
      <c r="B3696" s="46">
        <v>45243</v>
      </c>
      <c r="C3696" s="45">
        <v>2000</v>
      </c>
      <c r="D3696" t="s">
        <v>1286</v>
      </c>
      <c r="E3696" s="46">
        <v>45286</v>
      </c>
      <c r="F3696" s="45" t="s">
        <v>721</v>
      </c>
      <c r="I3696" t="s">
        <v>1162</v>
      </c>
    </row>
    <row r="3697" spans="1:9" hidden="1" x14ac:dyDescent="0.3">
      <c r="A3697" t="s">
        <v>1281</v>
      </c>
      <c r="B3697" s="46">
        <v>45253</v>
      </c>
      <c r="C3697" s="45">
        <v>2000</v>
      </c>
      <c r="D3697" t="s">
        <v>1286</v>
      </c>
      <c r="E3697" s="46">
        <v>45286</v>
      </c>
      <c r="F3697" s="45" t="s">
        <v>721</v>
      </c>
      <c r="I3697" t="s">
        <v>1162</v>
      </c>
    </row>
    <row r="3698" spans="1:9" hidden="1" x14ac:dyDescent="0.3">
      <c r="A3698" t="s">
        <v>1281</v>
      </c>
      <c r="B3698" s="46">
        <v>45252</v>
      </c>
      <c r="C3698" s="45">
        <v>2000</v>
      </c>
      <c r="D3698" t="s">
        <v>1286</v>
      </c>
      <c r="E3698" s="46">
        <v>45286</v>
      </c>
      <c r="F3698" s="45" t="s">
        <v>721</v>
      </c>
      <c r="I3698" t="s">
        <v>1162</v>
      </c>
    </row>
    <row r="3699" spans="1:9" hidden="1" x14ac:dyDescent="0.3">
      <c r="A3699" t="s">
        <v>1269</v>
      </c>
      <c r="B3699" s="46">
        <v>45252</v>
      </c>
      <c r="C3699" s="45">
        <v>2000</v>
      </c>
      <c r="D3699" t="s">
        <v>1286</v>
      </c>
      <c r="E3699" s="46">
        <v>45286</v>
      </c>
      <c r="F3699" s="45" t="s">
        <v>721</v>
      </c>
      <c r="I3699" t="s">
        <v>1162</v>
      </c>
    </row>
    <row r="3700" spans="1:9" hidden="1" x14ac:dyDescent="0.3">
      <c r="A3700" t="s">
        <v>1281</v>
      </c>
      <c r="B3700" s="46">
        <v>45246</v>
      </c>
      <c r="C3700" s="45">
        <v>2000</v>
      </c>
      <c r="D3700" t="s">
        <v>1286</v>
      </c>
      <c r="E3700" s="46">
        <v>45286</v>
      </c>
      <c r="F3700" s="45" t="s">
        <v>721</v>
      </c>
      <c r="I3700" t="s">
        <v>1162</v>
      </c>
    </row>
    <row r="3701" spans="1:9" hidden="1" x14ac:dyDescent="0.3">
      <c r="A3701" t="s">
        <v>1269</v>
      </c>
      <c r="B3701" s="46">
        <v>45271</v>
      </c>
      <c r="C3701" s="45">
        <v>2000</v>
      </c>
      <c r="D3701" t="s">
        <v>1286</v>
      </c>
      <c r="E3701" s="46">
        <v>45317</v>
      </c>
      <c r="F3701" s="45" t="s">
        <v>721</v>
      </c>
      <c r="I3701" t="s">
        <v>1162</v>
      </c>
    </row>
    <row r="3702" spans="1:9" hidden="1" x14ac:dyDescent="0.3">
      <c r="A3702" t="s">
        <v>1269</v>
      </c>
      <c r="B3702" s="46">
        <v>45282</v>
      </c>
      <c r="C3702" s="45">
        <v>2000</v>
      </c>
      <c r="D3702" t="s">
        <v>1286</v>
      </c>
      <c r="E3702" s="46">
        <v>45317</v>
      </c>
      <c r="F3702" s="45" t="s">
        <v>721</v>
      </c>
      <c r="I3702" t="s">
        <v>1162</v>
      </c>
    </row>
    <row r="3703" spans="1:9" hidden="1" x14ac:dyDescent="0.3">
      <c r="A3703" t="s">
        <v>1281</v>
      </c>
      <c r="B3703" s="46">
        <v>45281</v>
      </c>
      <c r="C3703" s="45">
        <v>2000</v>
      </c>
      <c r="D3703" t="s">
        <v>1286</v>
      </c>
      <c r="E3703" s="46">
        <v>45317</v>
      </c>
      <c r="F3703" s="45" t="s">
        <v>721</v>
      </c>
      <c r="I3703" t="s">
        <v>1162</v>
      </c>
    </row>
    <row r="3704" spans="1:9" hidden="1" x14ac:dyDescent="0.3">
      <c r="A3704" t="s">
        <v>1269</v>
      </c>
      <c r="B3704" s="46">
        <v>45280</v>
      </c>
      <c r="C3704" s="45">
        <v>2000</v>
      </c>
      <c r="D3704" t="s">
        <v>1286</v>
      </c>
      <c r="E3704" s="46">
        <v>45317</v>
      </c>
      <c r="F3704" s="45" t="s">
        <v>721</v>
      </c>
      <c r="I3704" t="s">
        <v>1162</v>
      </c>
    </row>
    <row r="3705" spans="1:9" hidden="1" x14ac:dyDescent="0.3">
      <c r="A3705" t="s">
        <v>1269</v>
      </c>
      <c r="B3705" s="46">
        <v>45268</v>
      </c>
      <c r="C3705" s="45">
        <v>2000</v>
      </c>
      <c r="D3705" t="s">
        <v>1286</v>
      </c>
      <c r="E3705" s="46">
        <v>45317</v>
      </c>
      <c r="F3705" s="45" t="s">
        <v>721</v>
      </c>
      <c r="I3705" t="s">
        <v>1162</v>
      </c>
    </row>
    <row r="3706" spans="1:9" hidden="1" x14ac:dyDescent="0.3">
      <c r="A3706" t="s">
        <v>1281</v>
      </c>
      <c r="B3706" s="46">
        <v>45267</v>
      </c>
      <c r="C3706" s="45">
        <v>2000</v>
      </c>
      <c r="D3706" t="s">
        <v>1286</v>
      </c>
      <c r="E3706" s="46">
        <v>45317</v>
      </c>
      <c r="F3706" s="45" t="s">
        <v>721</v>
      </c>
      <c r="I3706" t="s">
        <v>1162</v>
      </c>
    </row>
    <row r="3707" spans="1:9" hidden="1" x14ac:dyDescent="0.3">
      <c r="A3707" t="s">
        <v>1269</v>
      </c>
      <c r="B3707" s="46">
        <v>45264</v>
      </c>
      <c r="C3707" s="45">
        <v>2000</v>
      </c>
      <c r="D3707" t="s">
        <v>1286</v>
      </c>
      <c r="E3707" s="46">
        <v>45317</v>
      </c>
      <c r="F3707" s="45" t="s">
        <v>721</v>
      </c>
      <c r="I3707" t="s">
        <v>1162</v>
      </c>
    </row>
    <row r="3708" spans="1:9" hidden="1" x14ac:dyDescent="0.3">
      <c r="A3708" t="s">
        <v>1269</v>
      </c>
      <c r="B3708" s="46">
        <v>45288</v>
      </c>
      <c r="C3708" s="45">
        <v>2000</v>
      </c>
      <c r="D3708" t="s">
        <v>1286</v>
      </c>
      <c r="E3708" s="46">
        <v>45317</v>
      </c>
      <c r="F3708" s="45" t="s">
        <v>721</v>
      </c>
      <c r="I3708" t="s">
        <v>1162</v>
      </c>
    </row>
    <row r="3709" spans="1:9" hidden="1" x14ac:dyDescent="0.3">
      <c r="A3709" t="s">
        <v>1281</v>
      </c>
      <c r="B3709" s="46">
        <v>45289</v>
      </c>
      <c r="C3709" s="45">
        <v>2000</v>
      </c>
      <c r="D3709" t="s">
        <v>1286</v>
      </c>
      <c r="E3709" s="46">
        <v>45317</v>
      </c>
      <c r="F3709" s="45" t="s">
        <v>721</v>
      </c>
      <c r="I3709" t="s">
        <v>1162</v>
      </c>
    </row>
    <row r="3710" spans="1:9" hidden="1" x14ac:dyDescent="0.3">
      <c r="A3710" t="s">
        <v>724</v>
      </c>
      <c r="B3710" s="46">
        <v>45286</v>
      </c>
      <c r="C3710" s="45">
        <v>2000</v>
      </c>
      <c r="D3710" t="s">
        <v>1373</v>
      </c>
      <c r="E3710" s="46">
        <v>45317</v>
      </c>
      <c r="F3710" s="45" t="s">
        <v>721</v>
      </c>
      <c r="I3710" t="s">
        <v>899</v>
      </c>
    </row>
    <row r="3711" spans="1:9" hidden="1" x14ac:dyDescent="0.3">
      <c r="A3711" t="s">
        <v>724</v>
      </c>
      <c r="B3711" s="46">
        <v>45286</v>
      </c>
      <c r="C3711" s="45">
        <v>2000</v>
      </c>
      <c r="D3711" t="s">
        <v>1373</v>
      </c>
      <c r="E3711" s="46">
        <v>45317</v>
      </c>
      <c r="F3711" s="45" t="s">
        <v>721</v>
      </c>
      <c r="I3711" t="s">
        <v>899</v>
      </c>
    </row>
    <row r="3712" spans="1:9" hidden="1" x14ac:dyDescent="0.3">
      <c r="A3712" t="s">
        <v>1338</v>
      </c>
      <c r="B3712" s="46">
        <v>45163</v>
      </c>
      <c r="C3712" s="45">
        <v>2000</v>
      </c>
      <c r="D3712" t="s">
        <v>1286</v>
      </c>
      <c r="E3712" s="46">
        <v>45195</v>
      </c>
      <c r="F3712" s="45" t="s">
        <v>721</v>
      </c>
      <c r="I3712" t="s">
        <v>1162</v>
      </c>
    </row>
    <row r="3713" spans="1:9" hidden="1" x14ac:dyDescent="0.3">
      <c r="A3713" t="s">
        <v>1269</v>
      </c>
      <c r="B3713" s="46">
        <v>45154</v>
      </c>
      <c r="C3713" s="45">
        <v>2000</v>
      </c>
      <c r="D3713" t="s">
        <v>1286</v>
      </c>
      <c r="E3713" s="46">
        <v>45195</v>
      </c>
      <c r="F3713" s="45" t="s">
        <v>721</v>
      </c>
      <c r="I3713" t="s">
        <v>1162</v>
      </c>
    </row>
    <row r="3714" spans="1:9" hidden="1" x14ac:dyDescent="0.3">
      <c r="A3714" t="s">
        <v>724</v>
      </c>
      <c r="B3714" s="46">
        <v>45166</v>
      </c>
      <c r="C3714" s="45">
        <v>2000</v>
      </c>
      <c r="D3714" t="s">
        <v>1373</v>
      </c>
      <c r="E3714" s="46">
        <v>45195</v>
      </c>
      <c r="F3714" s="45" t="s">
        <v>721</v>
      </c>
      <c r="I3714" t="s">
        <v>899</v>
      </c>
    </row>
    <row r="3715" spans="1:9" hidden="1" x14ac:dyDescent="0.3">
      <c r="A3715" t="s">
        <v>724</v>
      </c>
      <c r="B3715" s="46">
        <v>45166</v>
      </c>
      <c r="C3715" s="45">
        <v>2000</v>
      </c>
      <c r="D3715" t="s">
        <v>1373</v>
      </c>
      <c r="E3715" s="46">
        <v>45195</v>
      </c>
      <c r="F3715" s="45" t="s">
        <v>721</v>
      </c>
      <c r="I3715" t="s">
        <v>899</v>
      </c>
    </row>
    <row r="3716" spans="1:9" hidden="1" x14ac:dyDescent="0.3">
      <c r="A3716" t="s">
        <v>1269</v>
      </c>
      <c r="B3716" s="46">
        <v>45166</v>
      </c>
      <c r="C3716" s="45">
        <v>2000</v>
      </c>
      <c r="D3716" t="s">
        <v>1286</v>
      </c>
      <c r="E3716" s="46">
        <v>45195</v>
      </c>
      <c r="F3716" s="45" t="s">
        <v>721</v>
      </c>
      <c r="I3716" t="s">
        <v>1162</v>
      </c>
    </row>
    <row r="3717" spans="1:9" hidden="1" x14ac:dyDescent="0.3">
      <c r="A3717" t="s">
        <v>1338</v>
      </c>
      <c r="B3717" s="46">
        <v>45149</v>
      </c>
      <c r="C3717" s="45">
        <v>2000</v>
      </c>
      <c r="D3717" t="s">
        <v>1286</v>
      </c>
      <c r="E3717" s="46">
        <v>45195</v>
      </c>
      <c r="F3717" s="45" t="s">
        <v>721</v>
      </c>
      <c r="I3717" t="s">
        <v>1162</v>
      </c>
    </row>
    <row r="3718" spans="1:9" hidden="1" x14ac:dyDescent="0.3">
      <c r="A3718" t="s">
        <v>1269</v>
      </c>
      <c r="B3718" s="46">
        <v>45148</v>
      </c>
      <c r="C3718" s="45">
        <v>2000</v>
      </c>
      <c r="D3718" t="s">
        <v>1286</v>
      </c>
      <c r="E3718" s="46">
        <v>45195</v>
      </c>
      <c r="F3718" s="45" t="s">
        <v>721</v>
      </c>
      <c r="I3718" t="s">
        <v>1162</v>
      </c>
    </row>
    <row r="3719" spans="1:9" hidden="1" x14ac:dyDescent="0.3">
      <c r="A3719" t="s">
        <v>1338</v>
      </c>
      <c r="B3719" s="46">
        <v>45152</v>
      </c>
      <c r="C3719" s="45">
        <v>2000</v>
      </c>
      <c r="D3719" t="s">
        <v>1286</v>
      </c>
      <c r="E3719" s="46">
        <v>45195</v>
      </c>
      <c r="F3719" s="45" t="s">
        <v>721</v>
      </c>
      <c r="I3719" t="s">
        <v>1162</v>
      </c>
    </row>
    <row r="3720" spans="1:9" hidden="1" x14ac:dyDescent="0.3">
      <c r="A3720" t="s">
        <v>1269</v>
      </c>
      <c r="B3720" s="46">
        <v>45145</v>
      </c>
      <c r="C3720" s="45">
        <v>2000</v>
      </c>
      <c r="D3720" t="s">
        <v>1286</v>
      </c>
      <c r="E3720" s="46">
        <v>45195</v>
      </c>
      <c r="F3720" s="45" t="s">
        <v>721</v>
      </c>
      <c r="I3720" t="s">
        <v>1162</v>
      </c>
    </row>
    <row r="3721" spans="1:9" hidden="1" x14ac:dyDescent="0.3">
      <c r="A3721" t="s">
        <v>1169</v>
      </c>
      <c r="B3721" s="46">
        <v>45145</v>
      </c>
      <c r="C3721" s="45">
        <v>2000</v>
      </c>
      <c r="D3721" t="s">
        <v>1286</v>
      </c>
      <c r="E3721" s="46">
        <v>45195</v>
      </c>
      <c r="F3721" s="45" t="s">
        <v>721</v>
      </c>
      <c r="I3721" t="s">
        <v>1162</v>
      </c>
    </row>
    <row r="3722" spans="1:9" hidden="1" x14ac:dyDescent="0.3">
      <c r="A3722" t="s">
        <v>1281</v>
      </c>
      <c r="B3722" s="46">
        <v>45190</v>
      </c>
      <c r="C3722" s="45">
        <v>2000</v>
      </c>
      <c r="D3722" t="s">
        <v>1286</v>
      </c>
      <c r="E3722" s="46">
        <v>45225</v>
      </c>
      <c r="F3722" s="45" t="s">
        <v>721</v>
      </c>
      <c r="I3722" t="s">
        <v>1162</v>
      </c>
    </row>
    <row r="3723" spans="1:9" hidden="1" x14ac:dyDescent="0.3">
      <c r="A3723" t="s">
        <v>1269</v>
      </c>
      <c r="B3723" s="46">
        <v>45191</v>
      </c>
      <c r="C3723" s="45">
        <v>2000</v>
      </c>
      <c r="D3723" t="s">
        <v>1286</v>
      </c>
      <c r="E3723" s="46">
        <v>45225</v>
      </c>
      <c r="F3723" s="45" t="s">
        <v>721</v>
      </c>
      <c r="I3723" t="s">
        <v>1162</v>
      </c>
    </row>
    <row r="3724" spans="1:9" hidden="1" x14ac:dyDescent="0.3">
      <c r="A3724" t="s">
        <v>1269</v>
      </c>
      <c r="B3724" s="46">
        <v>45194</v>
      </c>
      <c r="C3724" s="45">
        <v>2000</v>
      </c>
      <c r="D3724" t="s">
        <v>1286</v>
      </c>
      <c r="E3724" s="46">
        <v>45225</v>
      </c>
      <c r="F3724" s="45" t="s">
        <v>721</v>
      </c>
      <c r="I3724" t="s">
        <v>1162</v>
      </c>
    </row>
    <row r="3725" spans="1:9" hidden="1" x14ac:dyDescent="0.3">
      <c r="A3725" t="s">
        <v>1269</v>
      </c>
      <c r="B3725" s="46">
        <v>45187</v>
      </c>
      <c r="C3725" s="45">
        <v>2000</v>
      </c>
      <c r="D3725" t="s">
        <v>1286</v>
      </c>
      <c r="E3725" s="46">
        <v>45225</v>
      </c>
      <c r="F3725" s="45" t="s">
        <v>721</v>
      </c>
      <c r="I3725" t="s">
        <v>1162</v>
      </c>
    </row>
    <row r="3726" spans="1:9" hidden="1" x14ac:dyDescent="0.3">
      <c r="A3726" t="s">
        <v>767</v>
      </c>
      <c r="B3726" s="46">
        <v>45194</v>
      </c>
      <c r="C3726" s="45">
        <v>2000</v>
      </c>
      <c r="D3726" t="s">
        <v>1005</v>
      </c>
      <c r="E3726" s="46">
        <v>45215</v>
      </c>
      <c r="F3726" s="45" t="s">
        <v>721</v>
      </c>
      <c r="I3726" t="s">
        <v>726</v>
      </c>
    </row>
    <row r="3727" spans="1:9" hidden="1" x14ac:dyDescent="0.3">
      <c r="A3727" t="s">
        <v>724</v>
      </c>
      <c r="B3727" s="46">
        <v>45183</v>
      </c>
      <c r="C3727" s="45">
        <v>2000</v>
      </c>
      <c r="D3727" t="s">
        <v>1379</v>
      </c>
      <c r="E3727" s="46">
        <v>45225</v>
      </c>
      <c r="F3727" s="45" t="s">
        <v>721</v>
      </c>
      <c r="I3727" t="s">
        <v>762</v>
      </c>
    </row>
    <row r="3728" spans="1:9" hidden="1" x14ac:dyDescent="0.3">
      <c r="A3728" t="s">
        <v>1338</v>
      </c>
      <c r="B3728" s="46">
        <v>45180</v>
      </c>
      <c r="C3728" s="45">
        <v>2000</v>
      </c>
      <c r="D3728" t="s">
        <v>1286</v>
      </c>
      <c r="E3728" s="46">
        <v>45225</v>
      </c>
      <c r="F3728" s="45" t="s">
        <v>721</v>
      </c>
      <c r="I3728" t="s">
        <v>1162</v>
      </c>
    </row>
    <row r="3729" spans="1:9" hidden="1" x14ac:dyDescent="0.3">
      <c r="A3729" t="s">
        <v>1338</v>
      </c>
      <c r="B3729" s="46">
        <v>45177</v>
      </c>
      <c r="C3729" s="45">
        <v>2000</v>
      </c>
      <c r="D3729" t="s">
        <v>1286</v>
      </c>
      <c r="E3729" s="46">
        <v>45225</v>
      </c>
      <c r="F3729" s="45" t="s">
        <v>721</v>
      </c>
      <c r="I3729" t="s">
        <v>1162</v>
      </c>
    </row>
    <row r="3730" spans="1:9" hidden="1" x14ac:dyDescent="0.3">
      <c r="A3730" t="s">
        <v>1281</v>
      </c>
      <c r="B3730" s="46">
        <v>45176</v>
      </c>
      <c r="C3730" s="45">
        <v>2000</v>
      </c>
      <c r="D3730" t="s">
        <v>1286</v>
      </c>
      <c r="E3730" s="46">
        <v>45225</v>
      </c>
      <c r="F3730" s="45" t="s">
        <v>721</v>
      </c>
      <c r="I3730" t="s">
        <v>1162</v>
      </c>
    </row>
    <row r="3731" spans="1:9" hidden="1" x14ac:dyDescent="0.3">
      <c r="A3731" t="s">
        <v>775</v>
      </c>
      <c r="B3731" s="46">
        <v>45183</v>
      </c>
      <c r="C3731" s="45">
        <v>2000</v>
      </c>
      <c r="D3731" t="s">
        <v>1396</v>
      </c>
      <c r="E3731" s="46">
        <v>45215</v>
      </c>
      <c r="F3731" s="45" t="s">
        <v>721</v>
      </c>
    </row>
    <row r="3732" spans="1:9" hidden="1" x14ac:dyDescent="0.3">
      <c r="A3732" t="s">
        <v>1269</v>
      </c>
      <c r="B3732" s="46">
        <v>45173</v>
      </c>
      <c r="C3732" s="45">
        <v>2000</v>
      </c>
      <c r="D3732" t="s">
        <v>1286</v>
      </c>
      <c r="E3732" s="46">
        <v>45225</v>
      </c>
      <c r="F3732" s="45" t="s">
        <v>721</v>
      </c>
      <c r="I3732" t="s">
        <v>1162</v>
      </c>
    </row>
    <row r="3733" spans="1:9" hidden="1" x14ac:dyDescent="0.3">
      <c r="A3733" t="s">
        <v>775</v>
      </c>
      <c r="B3733" s="46">
        <v>45134</v>
      </c>
      <c r="C3733" s="45">
        <v>2000</v>
      </c>
      <c r="D3733" t="s">
        <v>1031</v>
      </c>
      <c r="E3733" s="46">
        <v>45154</v>
      </c>
      <c r="F3733" s="45" t="s">
        <v>721</v>
      </c>
      <c r="I3733" t="s">
        <v>726</v>
      </c>
    </row>
    <row r="3734" spans="1:9" hidden="1" x14ac:dyDescent="0.3">
      <c r="A3734" t="s">
        <v>1269</v>
      </c>
      <c r="B3734" s="46">
        <v>45138</v>
      </c>
      <c r="C3734" s="45">
        <v>2000</v>
      </c>
      <c r="D3734" t="s">
        <v>1286</v>
      </c>
      <c r="E3734" s="46">
        <v>45164</v>
      </c>
      <c r="F3734" s="45" t="s">
        <v>721</v>
      </c>
      <c r="I3734" t="s">
        <v>1162</v>
      </c>
    </row>
    <row r="3735" spans="1:9" hidden="1" x14ac:dyDescent="0.3">
      <c r="A3735" t="s">
        <v>1338</v>
      </c>
      <c r="B3735" s="46">
        <v>45134</v>
      </c>
      <c r="C3735" s="45">
        <v>2000</v>
      </c>
      <c r="D3735" t="s">
        <v>1286</v>
      </c>
      <c r="E3735" s="46">
        <v>45164</v>
      </c>
      <c r="F3735" s="45" t="s">
        <v>721</v>
      </c>
      <c r="I3735" t="s">
        <v>1162</v>
      </c>
    </row>
    <row r="3736" spans="1:9" hidden="1" x14ac:dyDescent="0.3">
      <c r="A3736" t="s">
        <v>1269</v>
      </c>
      <c r="B3736" s="46">
        <v>45131</v>
      </c>
      <c r="C3736" s="45">
        <v>2000</v>
      </c>
      <c r="D3736" t="s">
        <v>1286</v>
      </c>
      <c r="E3736" s="46">
        <v>45164</v>
      </c>
      <c r="F3736" s="45" t="s">
        <v>721</v>
      </c>
      <c r="I3736" t="s">
        <v>1162</v>
      </c>
    </row>
    <row r="3737" spans="1:9" hidden="1" x14ac:dyDescent="0.3">
      <c r="A3737" t="s">
        <v>1338</v>
      </c>
      <c r="B3737" s="46">
        <v>45133</v>
      </c>
      <c r="C3737" s="45">
        <v>2000</v>
      </c>
      <c r="D3737" t="s">
        <v>1332</v>
      </c>
      <c r="E3737" s="46">
        <v>45133</v>
      </c>
      <c r="F3737" s="45" t="s">
        <v>721</v>
      </c>
      <c r="I3737" t="s">
        <v>854</v>
      </c>
    </row>
    <row r="3738" spans="1:9" hidden="1" x14ac:dyDescent="0.3">
      <c r="A3738" t="s">
        <v>1238</v>
      </c>
      <c r="B3738" s="46">
        <v>45119</v>
      </c>
      <c r="C3738" s="45">
        <v>2000</v>
      </c>
      <c r="D3738" t="s">
        <v>1286</v>
      </c>
      <c r="E3738" s="46">
        <v>45164</v>
      </c>
      <c r="F3738" s="45" t="s">
        <v>721</v>
      </c>
      <c r="I3738" t="s">
        <v>1162</v>
      </c>
    </row>
    <row r="3739" spans="1:9" hidden="1" x14ac:dyDescent="0.3">
      <c r="A3739" t="s">
        <v>1269</v>
      </c>
      <c r="B3739" s="46">
        <v>45419</v>
      </c>
      <c r="C3739" s="45">
        <v>2000</v>
      </c>
      <c r="D3739" t="s">
        <v>1286</v>
      </c>
      <c r="E3739" s="46">
        <v>45469</v>
      </c>
      <c r="F3739" s="45" t="s">
        <v>721</v>
      </c>
      <c r="I3739" t="s">
        <v>1162</v>
      </c>
    </row>
    <row r="3740" spans="1:9" hidden="1" x14ac:dyDescent="0.3">
      <c r="A3740" t="s">
        <v>772</v>
      </c>
      <c r="B3740" s="46">
        <v>45386</v>
      </c>
      <c r="C3740" s="45">
        <v>2000</v>
      </c>
      <c r="D3740" t="s">
        <v>2098</v>
      </c>
      <c r="E3740" s="46">
        <v>45438</v>
      </c>
      <c r="F3740" s="45" t="s">
        <v>721</v>
      </c>
      <c r="I3740" t="s">
        <v>726</v>
      </c>
    </row>
    <row r="3741" spans="1:9" hidden="1" x14ac:dyDescent="0.3">
      <c r="A3741" t="s">
        <v>1269</v>
      </c>
      <c r="B3741" s="46">
        <v>45390</v>
      </c>
      <c r="C3741" s="45">
        <v>2000</v>
      </c>
      <c r="D3741" t="s">
        <v>1286</v>
      </c>
      <c r="E3741" s="46">
        <v>45438</v>
      </c>
      <c r="F3741" s="45" t="s">
        <v>721</v>
      </c>
      <c r="I3741" t="s">
        <v>1162</v>
      </c>
    </row>
    <row r="3742" spans="1:9" hidden="1" x14ac:dyDescent="0.3">
      <c r="A3742" t="s">
        <v>1281</v>
      </c>
      <c r="B3742" s="46">
        <v>45406</v>
      </c>
      <c r="C3742" s="45">
        <v>2000</v>
      </c>
      <c r="D3742" t="s">
        <v>1286</v>
      </c>
      <c r="E3742" s="46">
        <v>45438</v>
      </c>
      <c r="F3742" s="45" t="s">
        <v>721</v>
      </c>
      <c r="I3742" t="s">
        <v>1162</v>
      </c>
    </row>
    <row r="3743" spans="1:9" hidden="1" x14ac:dyDescent="0.3">
      <c r="A3743" t="s">
        <v>1269</v>
      </c>
      <c r="B3743" s="46">
        <v>45408</v>
      </c>
      <c r="C3743" s="45">
        <v>2000</v>
      </c>
      <c r="D3743" t="s">
        <v>1286</v>
      </c>
      <c r="E3743" s="46">
        <v>45438</v>
      </c>
      <c r="F3743" s="45" t="s">
        <v>721</v>
      </c>
      <c r="I3743" t="s">
        <v>1162</v>
      </c>
    </row>
    <row r="3744" spans="1:9" hidden="1" x14ac:dyDescent="0.3">
      <c r="A3744" t="s">
        <v>1281</v>
      </c>
      <c r="B3744" s="46">
        <v>45400</v>
      </c>
      <c r="C3744" s="45">
        <v>2000</v>
      </c>
      <c r="D3744" t="s">
        <v>1286</v>
      </c>
      <c r="E3744" s="46">
        <v>45438</v>
      </c>
      <c r="F3744" s="45" t="s">
        <v>721</v>
      </c>
      <c r="I3744" t="s">
        <v>1162</v>
      </c>
    </row>
    <row r="3745" spans="1:9" hidden="1" x14ac:dyDescent="0.3">
      <c r="A3745" t="s">
        <v>1338</v>
      </c>
      <c r="B3745" s="46">
        <v>45404</v>
      </c>
      <c r="C3745" s="45">
        <v>2000</v>
      </c>
      <c r="D3745" t="s">
        <v>1286</v>
      </c>
      <c r="E3745" s="46">
        <v>45438</v>
      </c>
      <c r="F3745" s="45" t="s">
        <v>721</v>
      </c>
      <c r="I3745" t="s">
        <v>1162</v>
      </c>
    </row>
    <row r="3746" spans="1:9" hidden="1" x14ac:dyDescent="0.3">
      <c r="A3746" t="s">
        <v>724</v>
      </c>
      <c r="B3746" s="46">
        <v>45436</v>
      </c>
      <c r="C3746" s="45">
        <v>2000</v>
      </c>
      <c r="D3746" t="s">
        <v>1373</v>
      </c>
      <c r="E3746" s="46">
        <v>45469</v>
      </c>
      <c r="F3746" s="45" t="s">
        <v>721</v>
      </c>
      <c r="I3746" t="s">
        <v>899</v>
      </c>
    </row>
    <row r="3747" spans="1:9" hidden="1" x14ac:dyDescent="0.3">
      <c r="A3747" t="s">
        <v>1269</v>
      </c>
      <c r="B3747" s="46">
        <v>45439</v>
      </c>
      <c r="C3747" s="45">
        <v>2000</v>
      </c>
      <c r="D3747" t="s">
        <v>1286</v>
      </c>
      <c r="E3747" s="46">
        <v>45469</v>
      </c>
      <c r="F3747" s="45" t="s">
        <v>721</v>
      </c>
      <c r="I3747" t="s">
        <v>1162</v>
      </c>
    </row>
    <row r="3748" spans="1:9" hidden="1" x14ac:dyDescent="0.3">
      <c r="A3748" t="s">
        <v>1338</v>
      </c>
      <c r="B3748" s="46">
        <v>45443</v>
      </c>
      <c r="C3748" s="45">
        <v>2000</v>
      </c>
      <c r="D3748" t="s">
        <v>1286</v>
      </c>
      <c r="E3748" s="46">
        <v>45469</v>
      </c>
      <c r="F3748" s="45" t="s">
        <v>721</v>
      </c>
      <c r="I3748" t="s">
        <v>1162</v>
      </c>
    </row>
    <row r="3749" spans="1:9" hidden="1" x14ac:dyDescent="0.3">
      <c r="A3749" t="s">
        <v>724</v>
      </c>
      <c r="B3749" s="46">
        <v>45436</v>
      </c>
      <c r="C3749" s="45">
        <v>2000</v>
      </c>
      <c r="D3749" t="s">
        <v>1373</v>
      </c>
      <c r="E3749" s="46">
        <v>45469</v>
      </c>
      <c r="F3749" s="45" t="s">
        <v>721</v>
      </c>
      <c r="I3749" t="s">
        <v>899</v>
      </c>
    </row>
    <row r="3750" spans="1:9" hidden="1" x14ac:dyDescent="0.3">
      <c r="A3750" t="s">
        <v>1269</v>
      </c>
      <c r="B3750" s="46">
        <v>45425</v>
      </c>
      <c r="C3750" s="45">
        <v>2000</v>
      </c>
      <c r="D3750" t="s">
        <v>1286</v>
      </c>
      <c r="E3750" s="46">
        <v>45469</v>
      </c>
      <c r="F3750" s="45" t="s">
        <v>721</v>
      </c>
      <c r="I3750" t="s">
        <v>1162</v>
      </c>
    </row>
    <row r="3751" spans="1:9" hidden="1" x14ac:dyDescent="0.3">
      <c r="A3751" t="s">
        <v>1281</v>
      </c>
      <c r="B3751" s="46">
        <v>45323</v>
      </c>
      <c r="C3751" s="45">
        <v>2000</v>
      </c>
      <c r="D3751" t="s">
        <v>1286</v>
      </c>
      <c r="E3751" s="46">
        <v>45348</v>
      </c>
      <c r="F3751" s="45" t="s">
        <v>721</v>
      </c>
      <c r="I3751" t="s">
        <v>1162</v>
      </c>
    </row>
    <row r="3752" spans="1:9" hidden="1" x14ac:dyDescent="0.3">
      <c r="A3752" t="s">
        <v>779</v>
      </c>
      <c r="B3752" s="46">
        <v>45286</v>
      </c>
      <c r="C3752" s="45">
        <v>2000</v>
      </c>
      <c r="D3752" t="s">
        <v>868</v>
      </c>
      <c r="E3752" s="46">
        <v>45307</v>
      </c>
      <c r="F3752" s="45" t="s">
        <v>721</v>
      </c>
      <c r="I3752" t="s">
        <v>760</v>
      </c>
    </row>
    <row r="3753" spans="1:9" hidden="1" x14ac:dyDescent="0.3">
      <c r="A3753" t="s">
        <v>1269</v>
      </c>
      <c r="B3753" s="46">
        <v>45308</v>
      </c>
      <c r="C3753" s="45">
        <v>2000</v>
      </c>
      <c r="D3753" t="s">
        <v>1286</v>
      </c>
      <c r="E3753" s="46">
        <v>45348</v>
      </c>
      <c r="F3753" s="45" t="s">
        <v>721</v>
      </c>
      <c r="I3753" t="s">
        <v>1162</v>
      </c>
    </row>
    <row r="3754" spans="1:9" hidden="1" x14ac:dyDescent="0.3">
      <c r="A3754" t="s">
        <v>1269</v>
      </c>
      <c r="B3754" s="46">
        <v>45306</v>
      </c>
      <c r="C3754" s="45">
        <v>2000</v>
      </c>
      <c r="D3754" t="s">
        <v>1286</v>
      </c>
      <c r="E3754" s="46">
        <v>45348</v>
      </c>
      <c r="F3754" s="45" t="s">
        <v>721</v>
      </c>
      <c r="I3754" t="s">
        <v>1162</v>
      </c>
    </row>
    <row r="3755" spans="1:9" hidden="1" x14ac:dyDescent="0.3">
      <c r="A3755" t="s">
        <v>1281</v>
      </c>
      <c r="B3755" s="46">
        <v>45310</v>
      </c>
      <c r="C3755" s="45">
        <v>2000</v>
      </c>
      <c r="D3755" t="s">
        <v>1286</v>
      </c>
      <c r="E3755" s="46">
        <v>45348</v>
      </c>
      <c r="F3755" s="45" t="s">
        <v>721</v>
      </c>
      <c r="I3755" t="s">
        <v>1162</v>
      </c>
    </row>
    <row r="3756" spans="1:9" hidden="1" x14ac:dyDescent="0.3">
      <c r="A3756" t="s">
        <v>1338</v>
      </c>
      <c r="B3756" s="46">
        <v>45317</v>
      </c>
      <c r="C3756" s="45">
        <v>2000</v>
      </c>
      <c r="D3756" t="s">
        <v>1286</v>
      </c>
      <c r="E3756" s="46">
        <v>45348</v>
      </c>
      <c r="F3756" s="45" t="s">
        <v>721</v>
      </c>
      <c r="I3756" t="s">
        <v>1162</v>
      </c>
    </row>
    <row r="3757" spans="1:9" hidden="1" x14ac:dyDescent="0.3">
      <c r="A3757" t="s">
        <v>1281</v>
      </c>
      <c r="B3757" s="46">
        <v>45316</v>
      </c>
      <c r="C3757" s="45">
        <v>2000</v>
      </c>
      <c r="D3757" t="s">
        <v>1286</v>
      </c>
      <c r="E3757" s="46">
        <v>45348</v>
      </c>
      <c r="F3757" s="45" t="s">
        <v>721</v>
      </c>
      <c r="I3757" t="s">
        <v>1162</v>
      </c>
    </row>
    <row r="3758" spans="1:9" hidden="1" x14ac:dyDescent="0.3">
      <c r="A3758" t="s">
        <v>1269</v>
      </c>
      <c r="B3758" s="46">
        <v>45320</v>
      </c>
      <c r="C3758" s="45">
        <v>2000</v>
      </c>
      <c r="D3758" t="s">
        <v>1286</v>
      </c>
      <c r="E3758" s="46">
        <v>45348</v>
      </c>
      <c r="F3758" s="45" t="s">
        <v>721</v>
      </c>
      <c r="I3758" t="s">
        <v>1162</v>
      </c>
    </row>
    <row r="3759" spans="1:9" hidden="1" x14ac:dyDescent="0.3">
      <c r="A3759" t="s">
        <v>1269</v>
      </c>
      <c r="B3759" s="46">
        <v>45301</v>
      </c>
      <c r="C3759" s="45">
        <v>2000</v>
      </c>
      <c r="D3759" t="s">
        <v>1286</v>
      </c>
      <c r="E3759" s="46">
        <v>45348</v>
      </c>
      <c r="F3759" s="45" t="s">
        <v>721</v>
      </c>
      <c r="I3759" t="s">
        <v>1162</v>
      </c>
    </row>
    <row r="3760" spans="1:9" hidden="1" x14ac:dyDescent="0.3">
      <c r="A3760" t="s">
        <v>1269</v>
      </c>
      <c r="B3760" s="46">
        <v>45302</v>
      </c>
      <c r="C3760" s="45">
        <v>2000</v>
      </c>
      <c r="D3760" t="s">
        <v>1286</v>
      </c>
      <c r="E3760" s="46">
        <v>45348</v>
      </c>
      <c r="F3760" s="45" t="s">
        <v>721</v>
      </c>
      <c r="I3760" t="s">
        <v>1162</v>
      </c>
    </row>
    <row r="3761" spans="1:9" hidden="1" x14ac:dyDescent="0.3">
      <c r="A3761" t="s">
        <v>748</v>
      </c>
      <c r="B3761" s="46">
        <v>45348</v>
      </c>
      <c r="C3761" s="45">
        <v>2000</v>
      </c>
      <c r="D3761" t="s">
        <v>1395</v>
      </c>
      <c r="E3761" s="46">
        <v>45366</v>
      </c>
      <c r="F3761" s="45" t="s">
        <v>721</v>
      </c>
      <c r="I3761" t="s">
        <v>1148</v>
      </c>
    </row>
    <row r="3762" spans="1:9" hidden="1" x14ac:dyDescent="0.3">
      <c r="A3762" t="s">
        <v>1269</v>
      </c>
      <c r="B3762" s="46">
        <v>45359</v>
      </c>
      <c r="C3762" s="45">
        <v>2000</v>
      </c>
      <c r="D3762" t="s">
        <v>1286</v>
      </c>
      <c r="E3762" s="46">
        <v>45408</v>
      </c>
      <c r="F3762" s="45" t="s">
        <v>721</v>
      </c>
      <c r="I3762" t="s">
        <v>1162</v>
      </c>
    </row>
    <row r="3763" spans="1:9" hidden="1" x14ac:dyDescent="0.3">
      <c r="A3763" t="s">
        <v>1269</v>
      </c>
      <c r="B3763" s="46">
        <v>45364</v>
      </c>
      <c r="C3763" s="45">
        <v>2000</v>
      </c>
      <c r="D3763" t="s">
        <v>1286</v>
      </c>
      <c r="E3763" s="46">
        <v>45408</v>
      </c>
      <c r="F3763" s="45" t="s">
        <v>721</v>
      </c>
      <c r="I3763" t="s">
        <v>1162</v>
      </c>
    </row>
    <row r="3764" spans="1:9" hidden="1" x14ac:dyDescent="0.3">
      <c r="A3764" t="s">
        <v>1269</v>
      </c>
      <c r="B3764" s="46">
        <v>45366</v>
      </c>
      <c r="C3764" s="45">
        <v>2000</v>
      </c>
      <c r="D3764" t="s">
        <v>1286</v>
      </c>
      <c r="E3764" s="46">
        <v>45408</v>
      </c>
      <c r="F3764" s="45" t="s">
        <v>721</v>
      </c>
      <c r="I3764" t="s">
        <v>1162</v>
      </c>
    </row>
    <row r="3765" spans="1:9" hidden="1" x14ac:dyDescent="0.3">
      <c r="A3765" t="s">
        <v>1281</v>
      </c>
      <c r="B3765" s="46">
        <v>45379</v>
      </c>
      <c r="C3765" s="45">
        <v>2000</v>
      </c>
      <c r="D3765" t="s">
        <v>1286</v>
      </c>
      <c r="E3765" s="46">
        <v>45408</v>
      </c>
      <c r="F3765" s="45" t="s">
        <v>721</v>
      </c>
      <c r="I3765" t="s">
        <v>1162</v>
      </c>
    </row>
    <row r="3766" spans="1:9" hidden="1" x14ac:dyDescent="0.3">
      <c r="A3766" t="s">
        <v>1269</v>
      </c>
      <c r="B3766" s="46">
        <v>45380</v>
      </c>
      <c r="C3766" s="45">
        <v>2000</v>
      </c>
      <c r="D3766" t="s">
        <v>1286</v>
      </c>
      <c r="E3766" s="46">
        <v>45408</v>
      </c>
      <c r="F3766" s="45" t="s">
        <v>721</v>
      </c>
      <c r="I3766" t="s">
        <v>1162</v>
      </c>
    </row>
    <row r="3767" spans="1:9" hidden="1" x14ac:dyDescent="0.3">
      <c r="A3767" t="s">
        <v>1269</v>
      </c>
      <c r="B3767" s="46">
        <v>45408</v>
      </c>
      <c r="C3767" s="45">
        <v>2000</v>
      </c>
      <c r="D3767" t="s">
        <v>1332</v>
      </c>
      <c r="E3767" s="46">
        <v>45408</v>
      </c>
      <c r="F3767" s="45" t="s">
        <v>721</v>
      </c>
      <c r="I3767" t="s">
        <v>854</v>
      </c>
    </row>
    <row r="3768" spans="1:9" hidden="1" x14ac:dyDescent="0.3">
      <c r="A3768" t="s">
        <v>1269</v>
      </c>
      <c r="B3768" s="46">
        <v>45376</v>
      </c>
      <c r="C3768" s="45">
        <v>2000</v>
      </c>
      <c r="D3768" t="s">
        <v>1286</v>
      </c>
      <c r="E3768" s="46">
        <v>45408</v>
      </c>
      <c r="F3768" s="45" t="s">
        <v>721</v>
      </c>
      <c r="I3768" t="s">
        <v>1162</v>
      </c>
    </row>
    <row r="3769" spans="1:9" hidden="1" x14ac:dyDescent="0.3">
      <c r="A3769" t="s">
        <v>1281</v>
      </c>
      <c r="B3769" s="46">
        <v>45372</v>
      </c>
      <c r="C3769" s="45">
        <v>2000</v>
      </c>
      <c r="D3769" t="s">
        <v>1286</v>
      </c>
      <c r="E3769" s="46">
        <v>45408</v>
      </c>
      <c r="F3769" s="45" t="s">
        <v>721</v>
      </c>
      <c r="I3769" t="s">
        <v>1162</v>
      </c>
    </row>
    <row r="3770" spans="1:9" hidden="1" x14ac:dyDescent="0.3">
      <c r="A3770" t="s">
        <v>1269</v>
      </c>
      <c r="B3770" s="46">
        <v>45341</v>
      </c>
      <c r="C3770" s="45">
        <v>2000</v>
      </c>
      <c r="D3770" t="s">
        <v>1286</v>
      </c>
      <c r="E3770" s="46">
        <v>45377</v>
      </c>
      <c r="F3770" s="45" t="s">
        <v>721</v>
      </c>
      <c r="I3770" t="s">
        <v>1162</v>
      </c>
    </row>
    <row r="3771" spans="1:9" hidden="1" x14ac:dyDescent="0.3">
      <c r="A3771" t="s">
        <v>1281</v>
      </c>
      <c r="B3771" s="46">
        <v>45330</v>
      </c>
      <c r="C3771" s="45">
        <v>2000</v>
      </c>
      <c r="D3771" t="s">
        <v>1286</v>
      </c>
      <c r="E3771" s="46">
        <v>45377</v>
      </c>
      <c r="F3771" s="45" t="s">
        <v>721</v>
      </c>
      <c r="I3771" t="s">
        <v>1162</v>
      </c>
    </row>
    <row r="3772" spans="1:9" hidden="1" x14ac:dyDescent="0.3">
      <c r="A3772" t="s">
        <v>724</v>
      </c>
      <c r="B3772" s="46">
        <v>45350</v>
      </c>
      <c r="C3772" s="45">
        <v>2000</v>
      </c>
      <c r="D3772" t="s">
        <v>1373</v>
      </c>
      <c r="E3772" s="46">
        <v>45377</v>
      </c>
      <c r="F3772" s="45" t="s">
        <v>721</v>
      </c>
      <c r="I3772" t="s">
        <v>899</v>
      </c>
    </row>
    <row r="3773" spans="1:9" hidden="1" x14ac:dyDescent="0.3">
      <c r="A3773" t="s">
        <v>1160</v>
      </c>
      <c r="B3773" s="46">
        <v>45377</v>
      </c>
      <c r="C3773" s="45">
        <v>2000</v>
      </c>
      <c r="D3773" t="s">
        <v>1332</v>
      </c>
      <c r="E3773" s="46">
        <v>45377</v>
      </c>
      <c r="F3773" s="45" t="s">
        <v>721</v>
      </c>
      <c r="I3773" t="s">
        <v>854</v>
      </c>
    </row>
    <row r="3774" spans="1:9" hidden="1" x14ac:dyDescent="0.3">
      <c r="A3774" t="s">
        <v>775</v>
      </c>
      <c r="B3774" s="46">
        <v>45344</v>
      </c>
      <c r="C3774" s="45">
        <v>2000</v>
      </c>
      <c r="D3774" t="s">
        <v>1397</v>
      </c>
      <c r="E3774" s="46">
        <v>45369</v>
      </c>
      <c r="F3774" s="45" t="s">
        <v>721</v>
      </c>
      <c r="G3774">
        <v>0</v>
      </c>
      <c r="I3774" t="s">
        <v>1148</v>
      </c>
    </row>
    <row r="3775" spans="1:9" hidden="1" x14ac:dyDescent="0.3">
      <c r="A3775" t="s">
        <v>1269</v>
      </c>
      <c r="B3775" s="46">
        <v>45348</v>
      </c>
      <c r="C3775" s="45">
        <v>2000</v>
      </c>
      <c r="D3775" t="s">
        <v>1286</v>
      </c>
      <c r="E3775" s="46">
        <v>45377</v>
      </c>
      <c r="F3775" s="45" t="s">
        <v>721</v>
      </c>
      <c r="I3775" t="s">
        <v>1162</v>
      </c>
    </row>
    <row r="3776" spans="1:9" hidden="1" x14ac:dyDescent="0.3">
      <c r="A3776" t="s">
        <v>724</v>
      </c>
      <c r="B3776" s="46">
        <v>45350</v>
      </c>
      <c r="C3776" s="45">
        <v>2000</v>
      </c>
      <c r="D3776" t="s">
        <v>1373</v>
      </c>
      <c r="E3776" s="46">
        <v>45377</v>
      </c>
      <c r="F3776" s="45" t="s">
        <v>721</v>
      </c>
      <c r="I3776" t="s">
        <v>899</v>
      </c>
    </row>
    <row r="3777" spans="1:9" hidden="1" x14ac:dyDescent="0.3">
      <c r="A3777" t="s">
        <v>1269</v>
      </c>
      <c r="B3777" s="46">
        <v>45345</v>
      </c>
      <c r="C3777" s="45">
        <v>2000</v>
      </c>
      <c r="D3777" t="s">
        <v>1286</v>
      </c>
      <c r="E3777" s="46">
        <v>45377</v>
      </c>
      <c r="F3777" s="45" t="s">
        <v>721</v>
      </c>
      <c r="I3777" t="s">
        <v>1162</v>
      </c>
    </row>
    <row r="3778" spans="1:9" hidden="1" x14ac:dyDescent="0.3">
      <c r="A3778" t="s">
        <v>1169</v>
      </c>
      <c r="B3778" s="46">
        <v>45438</v>
      </c>
      <c r="C3778" s="45">
        <v>2000</v>
      </c>
      <c r="D3778" t="s">
        <v>1332</v>
      </c>
      <c r="E3778" s="46">
        <v>45438</v>
      </c>
      <c r="F3778" s="45" t="s">
        <v>721</v>
      </c>
      <c r="I3778" t="s">
        <v>854</v>
      </c>
    </row>
    <row r="3779" spans="1:9" hidden="1" x14ac:dyDescent="0.3">
      <c r="A3779" t="s">
        <v>727</v>
      </c>
      <c r="B3779" s="46">
        <v>45366</v>
      </c>
      <c r="C3779" s="45">
        <v>2000</v>
      </c>
      <c r="D3779" t="s">
        <v>1361</v>
      </c>
      <c r="E3779" s="46">
        <v>45397</v>
      </c>
      <c r="F3779" s="45" t="s">
        <v>721</v>
      </c>
      <c r="I3779" t="s">
        <v>1148</v>
      </c>
    </row>
    <row r="3780" spans="1:9" hidden="1" x14ac:dyDescent="0.3">
      <c r="A3780" t="s">
        <v>1169</v>
      </c>
      <c r="B3780" s="46">
        <v>45384</v>
      </c>
      <c r="C3780" s="45">
        <v>1800</v>
      </c>
      <c r="D3780" t="s">
        <v>1286</v>
      </c>
      <c r="E3780" s="46">
        <v>45408</v>
      </c>
      <c r="F3780" s="45" t="s">
        <v>721</v>
      </c>
      <c r="I3780" t="s">
        <v>1162</v>
      </c>
    </row>
    <row r="3781" spans="1:9" hidden="1" x14ac:dyDescent="0.3">
      <c r="A3781" t="s">
        <v>1338</v>
      </c>
      <c r="B3781" s="46">
        <v>45401</v>
      </c>
      <c r="C3781" s="45">
        <v>1800</v>
      </c>
      <c r="D3781" t="s">
        <v>1286</v>
      </c>
      <c r="E3781" s="46">
        <v>45438</v>
      </c>
      <c r="F3781" s="45" t="s">
        <v>721</v>
      </c>
      <c r="I3781" t="s">
        <v>1162</v>
      </c>
    </row>
    <row r="3782" spans="1:9" hidden="1" x14ac:dyDescent="0.3">
      <c r="A3782" t="s">
        <v>777</v>
      </c>
      <c r="B3782" s="46">
        <v>45128</v>
      </c>
      <c r="C3782" s="45">
        <v>1800</v>
      </c>
      <c r="D3782" t="s">
        <v>1392</v>
      </c>
      <c r="E3782" s="46">
        <v>45154</v>
      </c>
      <c r="F3782" s="45" t="s">
        <v>721</v>
      </c>
      <c r="I3782" t="s">
        <v>726</v>
      </c>
    </row>
    <row r="3783" spans="1:9" hidden="1" x14ac:dyDescent="0.3">
      <c r="A3783" t="s">
        <v>777</v>
      </c>
      <c r="B3783" s="46">
        <v>45124</v>
      </c>
      <c r="C3783" s="45">
        <v>1800</v>
      </c>
      <c r="D3783" t="s">
        <v>1392</v>
      </c>
      <c r="E3783" s="46">
        <v>45154</v>
      </c>
      <c r="F3783" s="45" t="s">
        <v>721</v>
      </c>
      <c r="I3783" t="s">
        <v>726</v>
      </c>
    </row>
    <row r="3784" spans="1:9" hidden="1" x14ac:dyDescent="0.3">
      <c r="A3784" t="s">
        <v>777</v>
      </c>
      <c r="B3784" s="46">
        <v>45126</v>
      </c>
      <c r="C3784" s="45">
        <v>1800</v>
      </c>
      <c r="D3784" t="s">
        <v>1392</v>
      </c>
      <c r="E3784" s="46">
        <v>45154</v>
      </c>
      <c r="F3784" s="45" t="s">
        <v>721</v>
      </c>
      <c r="I3784" t="s">
        <v>726</v>
      </c>
    </row>
    <row r="3785" spans="1:9" hidden="1" x14ac:dyDescent="0.3">
      <c r="A3785" t="s">
        <v>777</v>
      </c>
      <c r="B3785" s="46">
        <v>45127</v>
      </c>
      <c r="C3785" s="45">
        <v>1800</v>
      </c>
      <c r="D3785" t="s">
        <v>1392</v>
      </c>
      <c r="E3785" s="46">
        <v>45154</v>
      </c>
      <c r="F3785" s="45" t="s">
        <v>721</v>
      </c>
      <c r="I3785" t="s">
        <v>726</v>
      </c>
    </row>
    <row r="3786" spans="1:9" hidden="1" x14ac:dyDescent="0.3">
      <c r="A3786" t="s">
        <v>1238</v>
      </c>
      <c r="B3786" s="46">
        <v>45243</v>
      </c>
      <c r="C3786" s="45">
        <v>1800</v>
      </c>
      <c r="D3786" t="s">
        <v>1286</v>
      </c>
      <c r="E3786" s="46">
        <v>45286</v>
      </c>
      <c r="F3786" s="45" t="s">
        <v>721</v>
      </c>
      <c r="I3786" t="s">
        <v>1162</v>
      </c>
    </row>
    <row r="3787" spans="1:9" hidden="1" x14ac:dyDescent="0.3">
      <c r="A3787" t="s">
        <v>722</v>
      </c>
      <c r="B3787" s="46">
        <v>45414</v>
      </c>
      <c r="C3787" s="45">
        <v>1750</v>
      </c>
      <c r="D3787" t="s">
        <v>776</v>
      </c>
      <c r="E3787" s="46">
        <v>45458</v>
      </c>
      <c r="F3787" s="45" t="s">
        <v>721</v>
      </c>
      <c r="I3787" t="s">
        <v>762</v>
      </c>
    </row>
    <row r="3788" spans="1:9" hidden="1" x14ac:dyDescent="0.3">
      <c r="A3788" t="s">
        <v>1269</v>
      </c>
      <c r="B3788" s="46">
        <v>45247</v>
      </c>
      <c r="C3788" s="45">
        <v>1700</v>
      </c>
      <c r="D3788" t="s">
        <v>1363</v>
      </c>
      <c r="E3788" s="46">
        <v>45286</v>
      </c>
      <c r="F3788" s="45" t="s">
        <v>721</v>
      </c>
      <c r="I3788" t="s">
        <v>1162</v>
      </c>
    </row>
    <row r="3789" spans="1:9" hidden="1" x14ac:dyDescent="0.3">
      <c r="A3789" t="s">
        <v>777</v>
      </c>
      <c r="B3789" s="46">
        <v>45405</v>
      </c>
      <c r="C3789" s="45">
        <v>1650</v>
      </c>
      <c r="D3789" t="s">
        <v>1371</v>
      </c>
      <c r="E3789" s="46">
        <v>45458</v>
      </c>
      <c r="F3789" s="45" t="s">
        <v>721</v>
      </c>
      <c r="I3789" t="s">
        <v>1148</v>
      </c>
    </row>
    <row r="3790" spans="1:9" hidden="1" x14ac:dyDescent="0.3">
      <c r="A3790" t="s">
        <v>724</v>
      </c>
      <c r="B3790" s="46">
        <v>45194</v>
      </c>
      <c r="C3790" s="45">
        <v>1620</v>
      </c>
      <c r="D3790" t="s">
        <v>755</v>
      </c>
      <c r="E3790" s="46">
        <v>45225</v>
      </c>
      <c r="F3790" s="45" t="s">
        <v>721</v>
      </c>
      <c r="I3790" t="s">
        <v>726</v>
      </c>
    </row>
    <row r="3791" spans="1:9" hidden="1" x14ac:dyDescent="0.3">
      <c r="A3791" t="s">
        <v>779</v>
      </c>
      <c r="B3791" s="46">
        <v>45191</v>
      </c>
      <c r="C3791" s="45">
        <v>1600</v>
      </c>
      <c r="D3791" t="s">
        <v>1398</v>
      </c>
      <c r="E3791" s="46">
        <v>45215</v>
      </c>
      <c r="F3791" s="45" t="s">
        <v>721</v>
      </c>
    </row>
    <row r="3792" spans="1:9" hidden="1" x14ac:dyDescent="0.3">
      <c r="A3792" t="s">
        <v>1169</v>
      </c>
      <c r="B3792" s="46">
        <v>45219</v>
      </c>
      <c r="C3792" s="45">
        <v>1600</v>
      </c>
      <c r="D3792" t="s">
        <v>1286</v>
      </c>
      <c r="E3792" s="46">
        <v>45256</v>
      </c>
      <c r="F3792" s="45" t="s">
        <v>721</v>
      </c>
      <c r="I3792" t="s">
        <v>1162</v>
      </c>
    </row>
    <row r="3793" spans="1:9" hidden="1" x14ac:dyDescent="0.3">
      <c r="A3793" t="s">
        <v>772</v>
      </c>
      <c r="B3793" s="46">
        <v>45355</v>
      </c>
      <c r="C3793" s="45">
        <v>1600</v>
      </c>
      <c r="D3793" t="s">
        <v>1786</v>
      </c>
      <c r="E3793" s="46">
        <v>45408</v>
      </c>
      <c r="F3793" s="45" t="s">
        <v>721</v>
      </c>
      <c r="I3793" t="s">
        <v>760</v>
      </c>
    </row>
    <row r="3794" spans="1:9" hidden="1" x14ac:dyDescent="0.3">
      <c r="A3794" t="s">
        <v>1238</v>
      </c>
      <c r="B3794" s="46">
        <v>45343</v>
      </c>
      <c r="C3794" s="45">
        <v>1600</v>
      </c>
      <c r="D3794" t="s">
        <v>1363</v>
      </c>
      <c r="E3794" s="46">
        <v>45377</v>
      </c>
      <c r="F3794" s="45" t="s">
        <v>721</v>
      </c>
      <c r="I3794" t="s">
        <v>1162</v>
      </c>
    </row>
    <row r="3795" spans="1:9" hidden="1" x14ac:dyDescent="0.3">
      <c r="A3795" t="s">
        <v>748</v>
      </c>
      <c r="B3795" s="46">
        <v>45362</v>
      </c>
      <c r="C3795" s="45">
        <v>1600</v>
      </c>
      <c r="D3795" t="s">
        <v>2146</v>
      </c>
      <c r="E3795" s="46">
        <v>45397</v>
      </c>
      <c r="F3795" s="45" t="s">
        <v>721</v>
      </c>
      <c r="I3795" t="s">
        <v>726</v>
      </c>
    </row>
    <row r="3796" spans="1:9" hidden="1" x14ac:dyDescent="0.3">
      <c r="A3796" t="s">
        <v>772</v>
      </c>
      <c r="B3796" s="46">
        <v>45338</v>
      </c>
      <c r="C3796" s="45">
        <v>1500</v>
      </c>
      <c r="D3796" t="s">
        <v>1399</v>
      </c>
      <c r="E3796" s="46">
        <v>45377</v>
      </c>
      <c r="F3796" s="45" t="s">
        <v>721</v>
      </c>
      <c r="I3796" t="s">
        <v>1148</v>
      </c>
    </row>
    <row r="3797" spans="1:9" hidden="1" x14ac:dyDescent="0.3">
      <c r="A3797" t="s">
        <v>772</v>
      </c>
      <c r="B3797" s="46">
        <v>45335</v>
      </c>
      <c r="C3797" s="45">
        <v>1500</v>
      </c>
      <c r="D3797" t="s">
        <v>1399</v>
      </c>
      <c r="E3797" s="46">
        <v>45377</v>
      </c>
      <c r="F3797" s="45" t="s">
        <v>721</v>
      </c>
      <c r="I3797" t="s">
        <v>1148</v>
      </c>
    </row>
    <row r="3798" spans="1:9" hidden="1" x14ac:dyDescent="0.3">
      <c r="A3798" t="s">
        <v>1281</v>
      </c>
      <c r="B3798" s="46">
        <v>45362</v>
      </c>
      <c r="C3798" s="45">
        <v>1500</v>
      </c>
      <c r="D3798" t="s">
        <v>1286</v>
      </c>
      <c r="E3798" s="46">
        <v>45408</v>
      </c>
      <c r="F3798" s="45" t="s">
        <v>721</v>
      </c>
      <c r="I3798" t="s">
        <v>1162</v>
      </c>
    </row>
    <row r="3799" spans="1:9" hidden="1" x14ac:dyDescent="0.3">
      <c r="A3799" t="s">
        <v>772</v>
      </c>
      <c r="B3799" s="46">
        <v>45385</v>
      </c>
      <c r="C3799" s="45">
        <v>1500</v>
      </c>
      <c r="D3799" t="s">
        <v>1399</v>
      </c>
      <c r="E3799" s="46">
        <v>45408</v>
      </c>
      <c r="F3799" s="45" t="s">
        <v>721</v>
      </c>
      <c r="I3799" t="s">
        <v>1148</v>
      </c>
    </row>
    <row r="3800" spans="1:9" hidden="1" x14ac:dyDescent="0.3">
      <c r="A3800" t="s">
        <v>772</v>
      </c>
      <c r="B3800" s="46">
        <v>45380</v>
      </c>
      <c r="C3800" s="45">
        <v>1500</v>
      </c>
      <c r="D3800" t="s">
        <v>1399</v>
      </c>
      <c r="E3800" s="46">
        <v>45408</v>
      </c>
      <c r="F3800" s="45" t="s">
        <v>721</v>
      </c>
      <c r="I3800" t="s">
        <v>1148</v>
      </c>
    </row>
    <row r="3801" spans="1:9" hidden="1" x14ac:dyDescent="0.3">
      <c r="A3801" t="s">
        <v>772</v>
      </c>
      <c r="B3801" s="46">
        <v>45383</v>
      </c>
      <c r="C3801" s="45">
        <v>1500</v>
      </c>
      <c r="D3801" t="s">
        <v>1399</v>
      </c>
      <c r="E3801" s="46">
        <v>45408</v>
      </c>
      <c r="F3801" s="45" t="s">
        <v>721</v>
      </c>
      <c r="I3801" t="s">
        <v>1148</v>
      </c>
    </row>
    <row r="3802" spans="1:9" hidden="1" x14ac:dyDescent="0.3">
      <c r="A3802" t="s">
        <v>772</v>
      </c>
      <c r="B3802" s="46">
        <v>45436</v>
      </c>
      <c r="C3802" s="45">
        <v>1500</v>
      </c>
      <c r="D3802" t="s">
        <v>1399</v>
      </c>
      <c r="E3802" s="46">
        <v>45469</v>
      </c>
      <c r="F3802" s="45" t="s">
        <v>721</v>
      </c>
      <c r="I3802" t="s">
        <v>1148</v>
      </c>
    </row>
    <row r="3803" spans="1:9" hidden="1" x14ac:dyDescent="0.3">
      <c r="A3803" t="s">
        <v>772</v>
      </c>
      <c r="B3803" s="46">
        <v>45406</v>
      </c>
      <c r="C3803" s="45">
        <v>1500</v>
      </c>
      <c r="D3803" t="s">
        <v>1400</v>
      </c>
      <c r="E3803" s="46">
        <v>45438</v>
      </c>
      <c r="F3803" s="45" t="s">
        <v>721</v>
      </c>
      <c r="I3803" t="s">
        <v>1148</v>
      </c>
    </row>
    <row r="3804" spans="1:9" hidden="1" x14ac:dyDescent="0.3">
      <c r="A3804" t="s">
        <v>772</v>
      </c>
      <c r="B3804" s="46">
        <v>45219</v>
      </c>
      <c r="C3804" s="45">
        <v>1500</v>
      </c>
      <c r="D3804" t="s">
        <v>1399</v>
      </c>
      <c r="E3804" s="46">
        <v>45256</v>
      </c>
      <c r="F3804" s="45" t="s">
        <v>721</v>
      </c>
      <c r="I3804" t="s">
        <v>1148</v>
      </c>
    </row>
    <row r="3805" spans="1:9" hidden="1" x14ac:dyDescent="0.3">
      <c r="A3805" t="s">
        <v>772</v>
      </c>
      <c r="B3805" s="46">
        <v>45209</v>
      </c>
      <c r="C3805" s="45">
        <v>1500</v>
      </c>
      <c r="D3805" t="s">
        <v>1399</v>
      </c>
      <c r="E3805" s="46">
        <v>45256</v>
      </c>
      <c r="F3805" s="45" t="s">
        <v>721</v>
      </c>
      <c r="I3805" t="s">
        <v>1148</v>
      </c>
    </row>
    <row r="3806" spans="1:9" hidden="1" x14ac:dyDescent="0.3">
      <c r="A3806" t="s">
        <v>772</v>
      </c>
      <c r="B3806" s="46">
        <v>45236</v>
      </c>
      <c r="C3806" s="45">
        <v>1500</v>
      </c>
      <c r="D3806" t="s">
        <v>1399</v>
      </c>
      <c r="E3806" s="46">
        <v>45286</v>
      </c>
      <c r="F3806" s="45" t="s">
        <v>721</v>
      </c>
      <c r="I3806" t="s">
        <v>1148</v>
      </c>
    </row>
    <row r="3807" spans="1:9" hidden="1" x14ac:dyDescent="0.3">
      <c r="A3807" t="s">
        <v>772</v>
      </c>
      <c r="B3807" s="46">
        <v>45264</v>
      </c>
      <c r="C3807" s="45">
        <v>1500</v>
      </c>
      <c r="D3807" t="s">
        <v>1399</v>
      </c>
      <c r="E3807" s="46">
        <v>45317</v>
      </c>
      <c r="F3807" s="45" t="s">
        <v>721</v>
      </c>
      <c r="I3807" t="s">
        <v>1148</v>
      </c>
    </row>
    <row r="3808" spans="1:9" hidden="1" x14ac:dyDescent="0.3">
      <c r="A3808" t="s">
        <v>779</v>
      </c>
      <c r="B3808" s="46">
        <v>45191</v>
      </c>
      <c r="C3808" s="45">
        <v>1500</v>
      </c>
      <c r="D3808" t="s">
        <v>1398</v>
      </c>
      <c r="E3808" s="46">
        <v>45215</v>
      </c>
      <c r="F3808" s="45" t="s">
        <v>721</v>
      </c>
    </row>
    <row r="3809" spans="1:9" hidden="1" x14ac:dyDescent="0.3">
      <c r="A3809" t="s">
        <v>772</v>
      </c>
      <c r="B3809" s="46">
        <v>45173</v>
      </c>
      <c r="C3809" s="45">
        <v>1500</v>
      </c>
      <c r="D3809" t="s">
        <v>1399</v>
      </c>
      <c r="E3809" s="46">
        <v>45225</v>
      </c>
      <c r="F3809" s="45" t="s">
        <v>721</v>
      </c>
      <c r="I3809" t="s">
        <v>1148</v>
      </c>
    </row>
    <row r="3810" spans="1:9" hidden="1" x14ac:dyDescent="0.3">
      <c r="A3810" t="s">
        <v>772</v>
      </c>
      <c r="B3810" s="46">
        <v>45194</v>
      </c>
      <c r="C3810" s="45">
        <v>1500</v>
      </c>
      <c r="D3810" t="s">
        <v>1399</v>
      </c>
      <c r="E3810" s="46">
        <v>45225</v>
      </c>
      <c r="F3810" s="45" t="s">
        <v>721</v>
      </c>
      <c r="I3810" t="s">
        <v>1148</v>
      </c>
    </row>
    <row r="3811" spans="1:9" hidden="1" x14ac:dyDescent="0.3">
      <c r="A3811" t="s">
        <v>772</v>
      </c>
      <c r="B3811" s="46">
        <v>45194</v>
      </c>
      <c r="C3811" s="45">
        <v>1500</v>
      </c>
      <c r="D3811" t="s">
        <v>1400</v>
      </c>
      <c r="E3811" s="46">
        <v>45225</v>
      </c>
      <c r="F3811" s="45" t="s">
        <v>721</v>
      </c>
      <c r="I3811" t="s">
        <v>1148</v>
      </c>
    </row>
    <row r="3812" spans="1:9" hidden="1" x14ac:dyDescent="0.3">
      <c r="A3812" t="s">
        <v>772</v>
      </c>
      <c r="B3812" s="46">
        <v>45187</v>
      </c>
      <c r="C3812" s="45">
        <v>1500</v>
      </c>
      <c r="D3812" t="s">
        <v>1401</v>
      </c>
      <c r="E3812" s="46">
        <v>45225</v>
      </c>
      <c r="F3812" s="45" t="s">
        <v>721</v>
      </c>
      <c r="I3812" t="s">
        <v>1148</v>
      </c>
    </row>
    <row r="3813" spans="1:9" hidden="1" x14ac:dyDescent="0.3">
      <c r="A3813" t="s">
        <v>772</v>
      </c>
      <c r="B3813" s="46">
        <v>45177</v>
      </c>
      <c r="C3813" s="45">
        <v>1500</v>
      </c>
      <c r="D3813" t="s">
        <v>1399</v>
      </c>
      <c r="E3813" s="46">
        <v>45225</v>
      </c>
      <c r="F3813" s="45" t="s">
        <v>721</v>
      </c>
      <c r="I3813" t="s">
        <v>1148</v>
      </c>
    </row>
    <row r="3814" spans="1:9" hidden="1" x14ac:dyDescent="0.3">
      <c r="A3814" t="s">
        <v>772</v>
      </c>
      <c r="B3814" s="46">
        <v>45180</v>
      </c>
      <c r="C3814" s="45">
        <v>1500</v>
      </c>
      <c r="D3814" t="s">
        <v>1400</v>
      </c>
      <c r="E3814" s="46">
        <v>45225</v>
      </c>
      <c r="F3814" s="45" t="s">
        <v>721</v>
      </c>
      <c r="I3814" t="s">
        <v>1148</v>
      </c>
    </row>
    <row r="3815" spans="1:9" hidden="1" x14ac:dyDescent="0.3">
      <c r="A3815" t="s">
        <v>772</v>
      </c>
      <c r="B3815" s="46">
        <v>45184</v>
      </c>
      <c r="C3815" s="45">
        <v>1500</v>
      </c>
      <c r="D3815" t="s">
        <v>1399</v>
      </c>
      <c r="E3815" s="46">
        <v>45225</v>
      </c>
      <c r="F3815" s="45" t="s">
        <v>721</v>
      </c>
      <c r="I3815" t="s">
        <v>1148</v>
      </c>
    </row>
    <row r="3816" spans="1:9" hidden="1" x14ac:dyDescent="0.3">
      <c r="A3816" t="s">
        <v>772</v>
      </c>
      <c r="B3816" s="46">
        <v>45166</v>
      </c>
      <c r="C3816" s="45">
        <v>1500</v>
      </c>
      <c r="D3816" t="s">
        <v>1399</v>
      </c>
      <c r="E3816" s="46">
        <v>45195</v>
      </c>
      <c r="F3816" s="45" t="s">
        <v>721</v>
      </c>
      <c r="I3816" t="s">
        <v>1148</v>
      </c>
    </row>
    <row r="3817" spans="1:9" hidden="1" x14ac:dyDescent="0.3">
      <c r="A3817" t="s">
        <v>772</v>
      </c>
      <c r="B3817" s="46">
        <v>45154</v>
      </c>
      <c r="C3817" s="45">
        <v>1500</v>
      </c>
      <c r="D3817" t="s">
        <v>1399</v>
      </c>
      <c r="E3817" s="46">
        <v>45195</v>
      </c>
      <c r="F3817" s="45" t="s">
        <v>721</v>
      </c>
      <c r="I3817" t="s">
        <v>1148</v>
      </c>
    </row>
    <row r="3818" spans="1:9" hidden="1" x14ac:dyDescent="0.3">
      <c r="A3818" t="s">
        <v>1160</v>
      </c>
      <c r="B3818" s="46">
        <v>45138</v>
      </c>
      <c r="C3818" s="45">
        <v>1500</v>
      </c>
      <c r="D3818" t="s">
        <v>1363</v>
      </c>
      <c r="E3818" s="46">
        <v>45164</v>
      </c>
      <c r="F3818" s="45" t="s">
        <v>721</v>
      </c>
      <c r="I3818" t="s">
        <v>1162</v>
      </c>
    </row>
    <row r="3819" spans="1:9" hidden="1" x14ac:dyDescent="0.3">
      <c r="A3819" t="s">
        <v>727</v>
      </c>
      <c r="B3819" s="46">
        <v>45399</v>
      </c>
      <c r="C3819" s="45">
        <v>1400</v>
      </c>
      <c r="D3819" t="s">
        <v>2094</v>
      </c>
      <c r="E3819" s="46">
        <v>45428</v>
      </c>
      <c r="F3819" s="45" t="s">
        <v>721</v>
      </c>
      <c r="I3819" t="s">
        <v>2027</v>
      </c>
    </row>
    <row r="3820" spans="1:9" hidden="1" x14ac:dyDescent="0.3">
      <c r="A3820" t="s">
        <v>729</v>
      </c>
      <c r="B3820" s="46">
        <v>45141</v>
      </c>
      <c r="C3820" s="45">
        <v>1350</v>
      </c>
      <c r="D3820" t="s">
        <v>1404</v>
      </c>
      <c r="E3820" s="46">
        <v>45184</v>
      </c>
      <c r="F3820" s="45" t="s">
        <v>721</v>
      </c>
      <c r="I3820" t="s">
        <v>1148</v>
      </c>
    </row>
    <row r="3821" spans="1:9" hidden="1" x14ac:dyDescent="0.3">
      <c r="A3821" t="s">
        <v>724</v>
      </c>
      <c r="B3821" s="46">
        <v>45190</v>
      </c>
      <c r="C3821" s="45">
        <v>1350</v>
      </c>
      <c r="D3821" t="s">
        <v>1402</v>
      </c>
      <c r="E3821" s="46">
        <v>45225</v>
      </c>
      <c r="F3821" s="45" t="s">
        <v>721</v>
      </c>
      <c r="I3821" t="s">
        <v>1148</v>
      </c>
    </row>
    <row r="3822" spans="1:9" hidden="1" x14ac:dyDescent="0.3">
      <c r="A3822" t="s">
        <v>775</v>
      </c>
      <c r="B3822" s="46">
        <v>45175</v>
      </c>
      <c r="C3822" s="45">
        <v>1350</v>
      </c>
      <c r="D3822" t="s">
        <v>1403</v>
      </c>
      <c r="E3822" s="46">
        <v>45215</v>
      </c>
      <c r="F3822" s="45" t="s">
        <v>721</v>
      </c>
      <c r="I3822" t="s">
        <v>1148</v>
      </c>
    </row>
    <row r="3823" spans="1:9" hidden="1" x14ac:dyDescent="0.3">
      <c r="A3823" t="s">
        <v>1338</v>
      </c>
      <c r="B3823" s="46">
        <v>45181</v>
      </c>
      <c r="C3823" s="45">
        <v>1300</v>
      </c>
      <c r="D3823" t="s">
        <v>1286</v>
      </c>
      <c r="E3823" s="46">
        <v>45225</v>
      </c>
      <c r="F3823" s="45" t="s">
        <v>721</v>
      </c>
      <c r="I3823" t="s">
        <v>1162</v>
      </c>
    </row>
    <row r="3824" spans="1:9" hidden="1" x14ac:dyDescent="0.3">
      <c r="A3824" t="s">
        <v>1269</v>
      </c>
      <c r="B3824" s="46">
        <v>45174</v>
      </c>
      <c r="C3824" s="45">
        <v>1300</v>
      </c>
      <c r="D3824" t="s">
        <v>1286</v>
      </c>
      <c r="E3824" s="46">
        <v>45225</v>
      </c>
      <c r="F3824" s="45" t="s">
        <v>721</v>
      </c>
      <c r="I3824" t="s">
        <v>1162</v>
      </c>
    </row>
    <row r="3825" spans="1:9" hidden="1" x14ac:dyDescent="0.3">
      <c r="A3825" t="s">
        <v>775</v>
      </c>
      <c r="B3825" s="46">
        <v>45177</v>
      </c>
      <c r="C3825" s="45">
        <v>1200</v>
      </c>
      <c r="D3825" t="s">
        <v>1403</v>
      </c>
      <c r="E3825" s="46">
        <v>45215</v>
      </c>
      <c r="F3825" s="45" t="s">
        <v>721</v>
      </c>
      <c r="I3825" t="s">
        <v>1148</v>
      </c>
    </row>
    <row r="3826" spans="1:9" hidden="1" x14ac:dyDescent="0.3">
      <c r="A3826" t="s">
        <v>1169</v>
      </c>
      <c r="B3826" s="46">
        <v>45132</v>
      </c>
      <c r="C3826" s="45">
        <v>1200</v>
      </c>
      <c r="D3826" t="s">
        <v>1363</v>
      </c>
      <c r="E3826" s="46">
        <v>45164</v>
      </c>
      <c r="F3826" s="45" t="s">
        <v>721</v>
      </c>
      <c r="I3826" t="s">
        <v>1162</v>
      </c>
    </row>
    <row r="3827" spans="1:9" hidden="1" x14ac:dyDescent="0.3">
      <c r="A3827" t="s">
        <v>1238</v>
      </c>
      <c r="B3827" s="46">
        <v>45280</v>
      </c>
      <c r="C3827" s="45">
        <v>1200</v>
      </c>
      <c r="D3827" t="s">
        <v>1363</v>
      </c>
      <c r="E3827" s="46">
        <v>45317</v>
      </c>
      <c r="F3827" s="45" t="s">
        <v>721</v>
      </c>
      <c r="I3827" t="s">
        <v>1162</v>
      </c>
    </row>
    <row r="3828" spans="1:9" hidden="1" x14ac:dyDescent="0.3">
      <c r="A3828" t="s">
        <v>1238</v>
      </c>
      <c r="B3828" s="46">
        <v>45230</v>
      </c>
      <c r="C3828" s="45">
        <v>1200</v>
      </c>
      <c r="D3828" t="s">
        <v>1363</v>
      </c>
      <c r="E3828" s="46">
        <v>45256</v>
      </c>
      <c r="F3828" s="45" t="s">
        <v>721</v>
      </c>
      <c r="I3828" t="s">
        <v>1162</v>
      </c>
    </row>
    <row r="3829" spans="1:9" hidden="1" x14ac:dyDescent="0.3">
      <c r="A3829" t="s">
        <v>727</v>
      </c>
      <c r="B3829" s="46">
        <v>45399</v>
      </c>
      <c r="C3829" s="45">
        <v>1200</v>
      </c>
      <c r="D3829" t="s">
        <v>2143</v>
      </c>
      <c r="E3829" s="46">
        <v>45428</v>
      </c>
      <c r="F3829" s="45" t="s">
        <v>721</v>
      </c>
      <c r="I3829" t="s">
        <v>2027</v>
      </c>
    </row>
    <row r="3830" spans="1:9" hidden="1" x14ac:dyDescent="0.3">
      <c r="A3830" t="s">
        <v>777</v>
      </c>
      <c r="B3830" s="46">
        <v>45355</v>
      </c>
      <c r="C3830" s="45">
        <v>1200</v>
      </c>
      <c r="D3830" t="s">
        <v>2147</v>
      </c>
      <c r="E3830" s="46">
        <v>45397</v>
      </c>
      <c r="F3830" s="45" t="s">
        <v>721</v>
      </c>
      <c r="I3830" t="s">
        <v>760</v>
      </c>
    </row>
    <row r="3831" spans="1:9" hidden="1" x14ac:dyDescent="0.3">
      <c r="A3831" t="s">
        <v>1169</v>
      </c>
      <c r="B3831" s="46">
        <v>45363</v>
      </c>
      <c r="C3831" s="45">
        <v>1200</v>
      </c>
      <c r="D3831" t="s">
        <v>1363</v>
      </c>
      <c r="E3831" s="46">
        <v>45408</v>
      </c>
      <c r="F3831" s="45" t="s">
        <v>721</v>
      </c>
      <c r="I3831" t="s">
        <v>1162</v>
      </c>
    </row>
    <row r="3832" spans="1:9" hidden="1" x14ac:dyDescent="0.3">
      <c r="A3832" t="s">
        <v>1238</v>
      </c>
      <c r="B3832" s="46">
        <v>45363</v>
      </c>
      <c r="C3832" s="45">
        <v>1200</v>
      </c>
      <c r="D3832" t="s">
        <v>1363</v>
      </c>
      <c r="E3832" s="46">
        <v>45408</v>
      </c>
      <c r="F3832" s="45" t="s">
        <v>721</v>
      </c>
      <c r="I3832" t="s">
        <v>1162</v>
      </c>
    </row>
    <row r="3833" spans="1:9" hidden="1" x14ac:dyDescent="0.3">
      <c r="A3833" t="s">
        <v>772</v>
      </c>
      <c r="B3833" s="46">
        <v>45355</v>
      </c>
      <c r="C3833" s="45">
        <v>1200</v>
      </c>
      <c r="D3833" t="s">
        <v>1786</v>
      </c>
      <c r="E3833" s="46">
        <v>45408</v>
      </c>
      <c r="F3833" s="45" t="s">
        <v>721</v>
      </c>
      <c r="I3833" t="s">
        <v>760</v>
      </c>
    </row>
    <row r="3834" spans="1:9" hidden="1" x14ac:dyDescent="0.3">
      <c r="A3834" t="s">
        <v>1238</v>
      </c>
      <c r="B3834" s="46">
        <v>45348</v>
      </c>
      <c r="C3834" s="45">
        <v>1200</v>
      </c>
      <c r="D3834" t="s">
        <v>1363</v>
      </c>
      <c r="E3834" s="46">
        <v>45377</v>
      </c>
      <c r="F3834" s="45" t="s">
        <v>721</v>
      </c>
      <c r="I3834" t="s">
        <v>1162</v>
      </c>
    </row>
    <row r="3835" spans="1:9" hidden="1" x14ac:dyDescent="0.3">
      <c r="A3835" t="s">
        <v>775</v>
      </c>
      <c r="B3835" s="46">
        <v>45355</v>
      </c>
      <c r="C3835" s="45">
        <v>1200</v>
      </c>
      <c r="D3835" t="s">
        <v>868</v>
      </c>
      <c r="E3835" s="46">
        <v>45398</v>
      </c>
      <c r="F3835" s="45" t="s">
        <v>721</v>
      </c>
      <c r="G3835">
        <v>0</v>
      </c>
      <c r="I3835" t="s">
        <v>760</v>
      </c>
    </row>
    <row r="3836" spans="1:9" hidden="1" x14ac:dyDescent="0.3">
      <c r="A3836" t="s">
        <v>1238</v>
      </c>
      <c r="B3836" s="46">
        <v>45163</v>
      </c>
      <c r="C3836" s="45">
        <v>1100</v>
      </c>
      <c r="D3836" t="s">
        <v>1286</v>
      </c>
      <c r="E3836" s="46">
        <v>45195</v>
      </c>
      <c r="F3836" s="45" t="s">
        <v>721</v>
      </c>
      <c r="I3836" t="s">
        <v>1162</v>
      </c>
    </row>
    <row r="3837" spans="1:9" hidden="1" x14ac:dyDescent="0.3">
      <c r="A3837" t="s">
        <v>772</v>
      </c>
      <c r="B3837" s="46">
        <v>45166</v>
      </c>
      <c r="C3837" s="45">
        <v>1000</v>
      </c>
      <c r="D3837" t="s">
        <v>1401</v>
      </c>
      <c r="E3837" s="46">
        <v>45195</v>
      </c>
      <c r="F3837" s="45" t="s">
        <v>721</v>
      </c>
      <c r="I3837" t="s">
        <v>1148</v>
      </c>
    </row>
    <row r="3838" spans="1:9" hidden="1" x14ac:dyDescent="0.3">
      <c r="A3838" t="s">
        <v>772</v>
      </c>
      <c r="B3838" s="46">
        <v>45166</v>
      </c>
      <c r="C3838" s="45">
        <v>1000</v>
      </c>
      <c r="D3838" t="s">
        <v>1405</v>
      </c>
      <c r="E3838" s="46">
        <v>45195</v>
      </c>
      <c r="F3838" s="45" t="s">
        <v>721</v>
      </c>
      <c r="I3838" t="s">
        <v>1148</v>
      </c>
    </row>
    <row r="3839" spans="1:9" hidden="1" x14ac:dyDescent="0.3">
      <c r="A3839" t="s">
        <v>1281</v>
      </c>
      <c r="B3839" s="46">
        <v>45159</v>
      </c>
      <c r="C3839" s="45">
        <v>1000</v>
      </c>
      <c r="D3839" t="s">
        <v>1363</v>
      </c>
      <c r="E3839" s="46">
        <v>45195</v>
      </c>
      <c r="F3839" s="45" t="s">
        <v>721</v>
      </c>
      <c r="I3839" t="s">
        <v>1162</v>
      </c>
    </row>
    <row r="3840" spans="1:9" hidden="1" x14ac:dyDescent="0.3">
      <c r="A3840" t="s">
        <v>1238</v>
      </c>
      <c r="B3840" s="46">
        <v>45161</v>
      </c>
      <c r="C3840" s="45">
        <v>1000</v>
      </c>
      <c r="D3840" t="s">
        <v>1363</v>
      </c>
      <c r="E3840" s="46">
        <v>45195</v>
      </c>
      <c r="F3840" s="45" t="s">
        <v>721</v>
      </c>
      <c r="I3840" t="s">
        <v>1162</v>
      </c>
    </row>
    <row r="3841" spans="1:9" hidden="1" x14ac:dyDescent="0.3">
      <c r="A3841" t="s">
        <v>1269</v>
      </c>
      <c r="B3841" s="46">
        <v>45147</v>
      </c>
      <c r="C3841" s="45">
        <v>1000</v>
      </c>
      <c r="D3841" t="s">
        <v>1363</v>
      </c>
      <c r="E3841" s="46">
        <v>45195</v>
      </c>
      <c r="F3841" s="45" t="s">
        <v>721</v>
      </c>
      <c r="I3841" t="s">
        <v>1162</v>
      </c>
    </row>
    <row r="3842" spans="1:9" hidden="1" x14ac:dyDescent="0.3">
      <c r="A3842" t="s">
        <v>772</v>
      </c>
      <c r="B3842" s="46">
        <v>45149</v>
      </c>
      <c r="C3842" s="45">
        <v>1000</v>
      </c>
      <c r="D3842" t="s">
        <v>1401</v>
      </c>
      <c r="E3842" s="46">
        <v>45195</v>
      </c>
      <c r="F3842" s="45" t="s">
        <v>721</v>
      </c>
      <c r="I3842" t="s">
        <v>1148</v>
      </c>
    </row>
    <row r="3843" spans="1:9" hidden="1" x14ac:dyDescent="0.3">
      <c r="A3843" t="s">
        <v>1338</v>
      </c>
      <c r="B3843" s="46">
        <v>45142</v>
      </c>
      <c r="C3843" s="45">
        <v>1000</v>
      </c>
      <c r="D3843" t="s">
        <v>1363</v>
      </c>
      <c r="E3843" s="46">
        <v>45195</v>
      </c>
      <c r="F3843" s="45" t="s">
        <v>721</v>
      </c>
      <c r="I3843" t="s">
        <v>1162</v>
      </c>
    </row>
    <row r="3844" spans="1:9" hidden="1" x14ac:dyDescent="0.3">
      <c r="A3844" t="s">
        <v>772</v>
      </c>
      <c r="B3844" s="46">
        <v>45173</v>
      </c>
      <c r="C3844" s="45">
        <v>1000</v>
      </c>
      <c r="D3844" t="s">
        <v>1405</v>
      </c>
      <c r="E3844" s="46">
        <v>45225</v>
      </c>
      <c r="F3844" s="45" t="s">
        <v>721</v>
      </c>
      <c r="I3844" t="s">
        <v>1148</v>
      </c>
    </row>
    <row r="3845" spans="1:9" hidden="1" x14ac:dyDescent="0.3">
      <c r="A3845" t="s">
        <v>772</v>
      </c>
      <c r="B3845" s="46">
        <v>45180</v>
      </c>
      <c r="C3845" s="45">
        <v>1000</v>
      </c>
      <c r="D3845" t="s">
        <v>1401</v>
      </c>
      <c r="E3845" s="46">
        <v>45225</v>
      </c>
      <c r="F3845" s="45" t="s">
        <v>721</v>
      </c>
      <c r="I3845" t="s">
        <v>1148</v>
      </c>
    </row>
    <row r="3846" spans="1:9" hidden="1" x14ac:dyDescent="0.3">
      <c r="A3846" t="s">
        <v>772</v>
      </c>
      <c r="B3846" s="46">
        <v>45184</v>
      </c>
      <c r="C3846" s="45">
        <v>1000</v>
      </c>
      <c r="D3846" t="s">
        <v>1405</v>
      </c>
      <c r="E3846" s="46">
        <v>45225</v>
      </c>
      <c r="F3846" s="45" t="s">
        <v>721</v>
      </c>
      <c r="I3846" t="s">
        <v>1148</v>
      </c>
    </row>
    <row r="3847" spans="1:9" hidden="1" x14ac:dyDescent="0.3">
      <c r="A3847" t="s">
        <v>772</v>
      </c>
      <c r="B3847" s="46">
        <v>45187</v>
      </c>
      <c r="C3847" s="45">
        <v>1000</v>
      </c>
      <c r="D3847" t="s">
        <v>1405</v>
      </c>
      <c r="E3847" s="46">
        <v>45225</v>
      </c>
      <c r="F3847" s="45" t="s">
        <v>721</v>
      </c>
      <c r="I3847" t="s">
        <v>1148</v>
      </c>
    </row>
    <row r="3848" spans="1:9" hidden="1" x14ac:dyDescent="0.3">
      <c r="A3848" t="s">
        <v>1238</v>
      </c>
      <c r="B3848" s="46">
        <v>45188</v>
      </c>
      <c r="C3848" s="45">
        <v>1000</v>
      </c>
      <c r="D3848" t="s">
        <v>1363</v>
      </c>
      <c r="E3848" s="46">
        <v>45225</v>
      </c>
      <c r="F3848" s="45" t="s">
        <v>721</v>
      </c>
      <c r="I3848" t="s">
        <v>1162</v>
      </c>
    </row>
    <row r="3849" spans="1:9" hidden="1" x14ac:dyDescent="0.3">
      <c r="A3849" t="s">
        <v>722</v>
      </c>
      <c r="B3849" s="46">
        <v>45183</v>
      </c>
      <c r="C3849" s="45">
        <v>1000</v>
      </c>
      <c r="D3849" t="s">
        <v>1358</v>
      </c>
      <c r="E3849" s="46">
        <v>45215</v>
      </c>
      <c r="F3849" s="45" t="s">
        <v>721</v>
      </c>
      <c r="I3849" t="s">
        <v>899</v>
      </c>
    </row>
    <row r="3850" spans="1:9" hidden="1" x14ac:dyDescent="0.3">
      <c r="A3850" t="s">
        <v>772</v>
      </c>
      <c r="B3850" s="46">
        <v>45131</v>
      </c>
      <c r="C3850" s="45">
        <v>1000</v>
      </c>
      <c r="D3850" t="s">
        <v>1401</v>
      </c>
      <c r="E3850" s="46">
        <v>45164</v>
      </c>
      <c r="F3850" s="45" t="s">
        <v>721</v>
      </c>
      <c r="I3850" t="s">
        <v>1148</v>
      </c>
    </row>
    <row r="3851" spans="1:9" hidden="1" x14ac:dyDescent="0.3">
      <c r="A3851" t="s">
        <v>772</v>
      </c>
      <c r="B3851" s="46">
        <v>45126</v>
      </c>
      <c r="C3851" s="45">
        <v>1000</v>
      </c>
      <c r="D3851" t="s">
        <v>1401</v>
      </c>
      <c r="E3851" s="46">
        <v>45164</v>
      </c>
      <c r="F3851" s="45" t="s">
        <v>721</v>
      </c>
      <c r="I3851" t="s">
        <v>1148</v>
      </c>
    </row>
    <row r="3852" spans="1:9" hidden="1" x14ac:dyDescent="0.3">
      <c r="A3852" t="s">
        <v>772</v>
      </c>
      <c r="B3852" s="46">
        <v>45133</v>
      </c>
      <c r="C3852" s="45">
        <v>1000</v>
      </c>
      <c r="D3852" t="s">
        <v>1405</v>
      </c>
      <c r="E3852" s="46">
        <v>45164</v>
      </c>
      <c r="F3852" s="45" t="s">
        <v>721</v>
      </c>
      <c r="I3852" t="s">
        <v>1148</v>
      </c>
    </row>
    <row r="3853" spans="1:9" hidden="1" x14ac:dyDescent="0.3">
      <c r="A3853" t="s">
        <v>734</v>
      </c>
      <c r="B3853" s="46">
        <v>45125</v>
      </c>
      <c r="C3853" s="45">
        <v>1000</v>
      </c>
      <c r="D3853" t="s">
        <v>1406</v>
      </c>
      <c r="E3853" s="46">
        <v>45154</v>
      </c>
      <c r="F3853" s="45" t="s">
        <v>721</v>
      </c>
      <c r="I3853" t="s">
        <v>760</v>
      </c>
    </row>
    <row r="3854" spans="1:9" hidden="1" x14ac:dyDescent="0.3">
      <c r="A3854" t="s">
        <v>734</v>
      </c>
      <c r="B3854" s="46">
        <v>45125</v>
      </c>
      <c r="C3854" s="45">
        <v>1000</v>
      </c>
      <c r="D3854" t="s">
        <v>1406</v>
      </c>
      <c r="E3854" s="46">
        <v>45154</v>
      </c>
      <c r="F3854" s="45" t="s">
        <v>721</v>
      </c>
      <c r="I3854" t="s">
        <v>760</v>
      </c>
    </row>
    <row r="3855" spans="1:9" hidden="1" x14ac:dyDescent="0.3">
      <c r="A3855" t="s">
        <v>734</v>
      </c>
      <c r="B3855" s="46">
        <v>45125</v>
      </c>
      <c r="C3855" s="45">
        <v>1000</v>
      </c>
      <c r="D3855" t="s">
        <v>1406</v>
      </c>
      <c r="E3855" s="46">
        <v>45154</v>
      </c>
      <c r="F3855" s="45" t="s">
        <v>721</v>
      </c>
      <c r="I3855" t="s">
        <v>760</v>
      </c>
    </row>
    <row r="3856" spans="1:9" hidden="1" x14ac:dyDescent="0.3">
      <c r="A3856" t="s">
        <v>734</v>
      </c>
      <c r="B3856" s="46">
        <v>45125</v>
      </c>
      <c r="C3856" s="45">
        <v>1000</v>
      </c>
      <c r="D3856" t="s">
        <v>1406</v>
      </c>
      <c r="E3856" s="46">
        <v>45154</v>
      </c>
      <c r="F3856" s="45" t="s">
        <v>721</v>
      </c>
      <c r="I3856" t="s">
        <v>760</v>
      </c>
    </row>
    <row r="3857" spans="1:9" hidden="1" x14ac:dyDescent="0.3">
      <c r="A3857" t="s">
        <v>734</v>
      </c>
      <c r="B3857" s="46">
        <v>45125</v>
      </c>
      <c r="C3857" s="45">
        <v>1000</v>
      </c>
      <c r="D3857" t="s">
        <v>1406</v>
      </c>
      <c r="E3857" s="46">
        <v>45154</v>
      </c>
      <c r="F3857" s="45" t="s">
        <v>721</v>
      </c>
      <c r="I3857" t="s">
        <v>760</v>
      </c>
    </row>
    <row r="3858" spans="1:9" hidden="1" x14ac:dyDescent="0.3">
      <c r="A3858" t="s">
        <v>734</v>
      </c>
      <c r="B3858" s="46">
        <v>45125</v>
      </c>
      <c r="C3858" s="45">
        <v>1000</v>
      </c>
      <c r="D3858" t="s">
        <v>1406</v>
      </c>
      <c r="E3858" s="46">
        <v>45154</v>
      </c>
      <c r="F3858" s="45" t="s">
        <v>721</v>
      </c>
      <c r="I3858" t="s">
        <v>760</v>
      </c>
    </row>
    <row r="3859" spans="1:9" hidden="1" x14ac:dyDescent="0.3">
      <c r="A3859" t="s">
        <v>734</v>
      </c>
      <c r="B3859" s="46">
        <v>45147</v>
      </c>
      <c r="C3859" s="45">
        <v>1000</v>
      </c>
      <c r="D3859" t="s">
        <v>1406</v>
      </c>
      <c r="E3859" s="46">
        <v>45184</v>
      </c>
      <c r="F3859" s="45" t="s">
        <v>721</v>
      </c>
      <c r="I3859" t="s">
        <v>760</v>
      </c>
    </row>
    <row r="3860" spans="1:9" hidden="1" x14ac:dyDescent="0.3">
      <c r="A3860" t="s">
        <v>734</v>
      </c>
      <c r="B3860" s="46">
        <v>45146</v>
      </c>
      <c r="C3860" s="45">
        <v>1000</v>
      </c>
      <c r="D3860" t="s">
        <v>1406</v>
      </c>
      <c r="E3860" s="46">
        <v>45184</v>
      </c>
      <c r="F3860" s="45" t="s">
        <v>721</v>
      </c>
      <c r="I3860" t="s">
        <v>760</v>
      </c>
    </row>
    <row r="3861" spans="1:9" hidden="1" x14ac:dyDescent="0.3">
      <c r="A3861" t="s">
        <v>734</v>
      </c>
      <c r="B3861" s="46">
        <v>45146</v>
      </c>
      <c r="C3861" s="45">
        <v>1000</v>
      </c>
      <c r="D3861" t="s">
        <v>1406</v>
      </c>
      <c r="E3861" s="46">
        <v>45184</v>
      </c>
      <c r="F3861" s="45" t="s">
        <v>721</v>
      </c>
      <c r="I3861" t="s">
        <v>760</v>
      </c>
    </row>
    <row r="3862" spans="1:9" hidden="1" x14ac:dyDescent="0.3">
      <c r="A3862" t="s">
        <v>734</v>
      </c>
      <c r="B3862" s="46">
        <v>45146</v>
      </c>
      <c r="C3862" s="45">
        <v>1000</v>
      </c>
      <c r="D3862" t="s">
        <v>1406</v>
      </c>
      <c r="E3862" s="46">
        <v>45184</v>
      </c>
      <c r="F3862" s="45" t="s">
        <v>721</v>
      </c>
      <c r="I3862" t="s">
        <v>760</v>
      </c>
    </row>
    <row r="3863" spans="1:9" hidden="1" x14ac:dyDescent="0.3">
      <c r="A3863" t="s">
        <v>734</v>
      </c>
      <c r="B3863" s="46">
        <v>45146</v>
      </c>
      <c r="C3863" s="45">
        <v>1000</v>
      </c>
      <c r="D3863" t="s">
        <v>1406</v>
      </c>
      <c r="E3863" s="46">
        <v>45184</v>
      </c>
      <c r="F3863" s="45" t="s">
        <v>721</v>
      </c>
      <c r="I3863" t="s">
        <v>760</v>
      </c>
    </row>
    <row r="3864" spans="1:9" hidden="1" x14ac:dyDescent="0.3">
      <c r="A3864" t="s">
        <v>734</v>
      </c>
      <c r="B3864" s="46">
        <v>45146</v>
      </c>
      <c r="C3864" s="45">
        <v>1000</v>
      </c>
      <c r="D3864" t="s">
        <v>1406</v>
      </c>
      <c r="E3864" s="46">
        <v>45184</v>
      </c>
      <c r="F3864" s="45" t="s">
        <v>721</v>
      </c>
      <c r="I3864" t="s">
        <v>760</v>
      </c>
    </row>
    <row r="3865" spans="1:9" hidden="1" x14ac:dyDescent="0.3">
      <c r="A3865" t="s">
        <v>734</v>
      </c>
      <c r="B3865" s="46">
        <v>45146</v>
      </c>
      <c r="C3865" s="45">
        <v>1000</v>
      </c>
      <c r="D3865" t="s">
        <v>1406</v>
      </c>
      <c r="E3865" s="46">
        <v>45184</v>
      </c>
      <c r="F3865" s="45" t="s">
        <v>721</v>
      </c>
      <c r="I3865" t="s">
        <v>760</v>
      </c>
    </row>
    <row r="3866" spans="1:9" hidden="1" x14ac:dyDescent="0.3">
      <c r="A3866" t="s">
        <v>1269</v>
      </c>
      <c r="B3866" s="46">
        <v>45119</v>
      </c>
      <c r="C3866" s="45">
        <v>1000</v>
      </c>
      <c r="D3866" t="s">
        <v>1363</v>
      </c>
      <c r="E3866" s="46">
        <v>45164</v>
      </c>
      <c r="F3866" s="45" t="s">
        <v>721</v>
      </c>
      <c r="I3866" t="s">
        <v>1162</v>
      </c>
    </row>
    <row r="3867" spans="1:9" hidden="1" x14ac:dyDescent="0.3">
      <c r="A3867" t="s">
        <v>772</v>
      </c>
      <c r="B3867" s="46">
        <v>45124</v>
      </c>
      <c r="C3867" s="45">
        <v>1000</v>
      </c>
      <c r="D3867" t="s">
        <v>1405</v>
      </c>
      <c r="E3867" s="46">
        <v>45164</v>
      </c>
      <c r="F3867" s="45" t="s">
        <v>721</v>
      </c>
      <c r="I3867" t="s">
        <v>1148</v>
      </c>
    </row>
    <row r="3868" spans="1:9" hidden="1" x14ac:dyDescent="0.3">
      <c r="A3868" t="s">
        <v>1281</v>
      </c>
      <c r="B3868" s="46">
        <v>45120</v>
      </c>
      <c r="C3868" s="45">
        <v>1000</v>
      </c>
      <c r="D3868" t="s">
        <v>1363</v>
      </c>
      <c r="E3868" s="46">
        <v>45164</v>
      </c>
      <c r="F3868" s="45" t="s">
        <v>721</v>
      </c>
      <c r="I3868" t="s">
        <v>1162</v>
      </c>
    </row>
    <row r="3869" spans="1:9" hidden="1" x14ac:dyDescent="0.3">
      <c r="A3869" t="s">
        <v>772</v>
      </c>
      <c r="B3869" s="46">
        <v>45170</v>
      </c>
      <c r="C3869" s="45">
        <v>1000</v>
      </c>
      <c r="D3869" t="s">
        <v>1405</v>
      </c>
      <c r="E3869" s="46">
        <v>45195</v>
      </c>
      <c r="F3869" s="45" t="s">
        <v>721</v>
      </c>
      <c r="I3869" t="s">
        <v>1148</v>
      </c>
    </row>
    <row r="3870" spans="1:9" hidden="1" x14ac:dyDescent="0.3">
      <c r="A3870" t="s">
        <v>1269</v>
      </c>
      <c r="B3870" s="46">
        <v>45169</v>
      </c>
      <c r="C3870" s="45">
        <v>1000</v>
      </c>
      <c r="D3870" t="s">
        <v>1363</v>
      </c>
      <c r="E3870" s="46">
        <v>45195</v>
      </c>
      <c r="F3870" s="45" t="s">
        <v>721</v>
      </c>
      <c r="I3870" t="s">
        <v>1162</v>
      </c>
    </row>
    <row r="3871" spans="1:9" hidden="1" x14ac:dyDescent="0.3">
      <c r="A3871" t="s">
        <v>1269</v>
      </c>
      <c r="B3871" s="46">
        <v>45232</v>
      </c>
      <c r="C3871" s="45">
        <v>1000</v>
      </c>
      <c r="D3871" t="s">
        <v>1363</v>
      </c>
      <c r="E3871" s="46">
        <v>45256</v>
      </c>
      <c r="F3871" s="45" t="s">
        <v>721</v>
      </c>
      <c r="I3871" t="s">
        <v>1162</v>
      </c>
    </row>
    <row r="3872" spans="1:9" hidden="1" x14ac:dyDescent="0.3">
      <c r="A3872" t="s">
        <v>1160</v>
      </c>
      <c r="B3872" s="46">
        <v>45225</v>
      </c>
      <c r="C3872" s="45">
        <v>1000</v>
      </c>
      <c r="D3872" t="s">
        <v>1363</v>
      </c>
      <c r="E3872" s="46">
        <v>45256</v>
      </c>
      <c r="F3872" s="45" t="s">
        <v>721</v>
      </c>
      <c r="I3872" t="s">
        <v>1162</v>
      </c>
    </row>
    <row r="3873" spans="1:9" hidden="1" x14ac:dyDescent="0.3">
      <c r="A3873" t="s">
        <v>772</v>
      </c>
      <c r="B3873" s="46">
        <v>45219</v>
      </c>
      <c r="C3873" s="45">
        <v>1000</v>
      </c>
      <c r="D3873" t="s">
        <v>1405</v>
      </c>
      <c r="E3873" s="46">
        <v>45256</v>
      </c>
      <c r="F3873" s="45" t="s">
        <v>721</v>
      </c>
      <c r="I3873" t="s">
        <v>1148</v>
      </c>
    </row>
    <row r="3874" spans="1:9" hidden="1" x14ac:dyDescent="0.3">
      <c r="A3874" t="s">
        <v>1338</v>
      </c>
      <c r="B3874" s="46">
        <v>45215</v>
      </c>
      <c r="C3874" s="45">
        <v>1000</v>
      </c>
      <c r="D3874" t="s">
        <v>1363</v>
      </c>
      <c r="E3874" s="46">
        <v>45256</v>
      </c>
      <c r="F3874" s="45" t="s">
        <v>721</v>
      </c>
      <c r="I3874" t="s">
        <v>1162</v>
      </c>
    </row>
    <row r="3875" spans="1:9" hidden="1" x14ac:dyDescent="0.3">
      <c r="A3875" t="s">
        <v>722</v>
      </c>
      <c r="B3875" s="46">
        <v>45212</v>
      </c>
      <c r="C3875" s="45">
        <v>1000</v>
      </c>
      <c r="D3875" t="s">
        <v>1358</v>
      </c>
      <c r="E3875" s="46">
        <v>45245</v>
      </c>
      <c r="F3875" s="45" t="s">
        <v>721</v>
      </c>
      <c r="I3875" t="s">
        <v>899</v>
      </c>
    </row>
    <row r="3876" spans="1:9" hidden="1" x14ac:dyDescent="0.3">
      <c r="A3876" t="s">
        <v>772</v>
      </c>
      <c r="B3876" s="46">
        <v>45210</v>
      </c>
      <c r="C3876" s="45">
        <v>1000</v>
      </c>
      <c r="D3876" t="s">
        <v>1405</v>
      </c>
      <c r="E3876" s="46">
        <v>45256</v>
      </c>
      <c r="F3876" s="45" t="s">
        <v>721</v>
      </c>
      <c r="I3876" t="s">
        <v>1148</v>
      </c>
    </row>
    <row r="3877" spans="1:9" hidden="1" x14ac:dyDescent="0.3">
      <c r="A3877" t="s">
        <v>1281</v>
      </c>
      <c r="B3877" s="46">
        <v>45260</v>
      </c>
      <c r="C3877" s="45">
        <v>1000</v>
      </c>
      <c r="D3877" t="s">
        <v>1363</v>
      </c>
      <c r="E3877" s="46">
        <v>45286</v>
      </c>
      <c r="F3877" s="45" t="s">
        <v>721</v>
      </c>
      <c r="I3877" t="s">
        <v>1162</v>
      </c>
    </row>
    <row r="3878" spans="1:9" hidden="1" x14ac:dyDescent="0.3">
      <c r="A3878" t="s">
        <v>772</v>
      </c>
      <c r="B3878" s="46">
        <v>45257</v>
      </c>
      <c r="C3878" s="45">
        <v>1000</v>
      </c>
      <c r="D3878" t="s">
        <v>1405</v>
      </c>
      <c r="E3878" s="46">
        <v>45286</v>
      </c>
      <c r="F3878" s="45" t="s">
        <v>721</v>
      </c>
      <c r="I3878" t="s">
        <v>1148</v>
      </c>
    </row>
    <row r="3879" spans="1:9" hidden="1" x14ac:dyDescent="0.3">
      <c r="A3879" t="s">
        <v>722</v>
      </c>
      <c r="B3879" s="46">
        <v>45250</v>
      </c>
      <c r="C3879" s="45">
        <v>1000</v>
      </c>
      <c r="D3879" t="s">
        <v>1358</v>
      </c>
      <c r="E3879" s="46">
        <v>45275</v>
      </c>
      <c r="F3879" s="45" t="s">
        <v>721</v>
      </c>
      <c r="I3879" t="s">
        <v>899</v>
      </c>
    </row>
    <row r="3880" spans="1:9" hidden="1" x14ac:dyDescent="0.3">
      <c r="A3880" t="s">
        <v>772</v>
      </c>
      <c r="B3880" s="46">
        <v>45279</v>
      </c>
      <c r="C3880" s="45">
        <v>1000</v>
      </c>
      <c r="D3880" t="s">
        <v>1405</v>
      </c>
      <c r="E3880" s="46">
        <v>45317</v>
      </c>
      <c r="F3880" s="45" t="s">
        <v>721</v>
      </c>
      <c r="I3880" t="s">
        <v>1148</v>
      </c>
    </row>
    <row r="3881" spans="1:9" hidden="1" x14ac:dyDescent="0.3">
      <c r="A3881" t="s">
        <v>772</v>
      </c>
      <c r="B3881" s="46">
        <v>45268</v>
      </c>
      <c r="C3881" s="45">
        <v>1000</v>
      </c>
      <c r="D3881" t="s">
        <v>1405</v>
      </c>
      <c r="E3881" s="46">
        <v>45317</v>
      </c>
      <c r="F3881" s="45" t="s">
        <v>721</v>
      </c>
      <c r="I3881" t="s">
        <v>1148</v>
      </c>
    </row>
    <row r="3882" spans="1:9" hidden="1" x14ac:dyDescent="0.3">
      <c r="A3882" t="s">
        <v>1169</v>
      </c>
      <c r="B3882" s="46">
        <v>45272</v>
      </c>
      <c r="C3882" s="45">
        <v>1000</v>
      </c>
      <c r="D3882" t="s">
        <v>1363</v>
      </c>
      <c r="E3882" s="46">
        <v>45317</v>
      </c>
      <c r="F3882" s="45" t="s">
        <v>721</v>
      </c>
      <c r="I3882" t="s">
        <v>1162</v>
      </c>
    </row>
    <row r="3883" spans="1:9" hidden="1" x14ac:dyDescent="0.3">
      <c r="A3883" t="s">
        <v>772</v>
      </c>
      <c r="B3883" s="46">
        <v>45275</v>
      </c>
      <c r="C3883" s="45">
        <v>1000</v>
      </c>
      <c r="D3883" t="s">
        <v>1401</v>
      </c>
      <c r="E3883" s="46">
        <v>45317</v>
      </c>
      <c r="F3883" s="45" t="s">
        <v>721</v>
      </c>
      <c r="I3883" t="s">
        <v>1148</v>
      </c>
    </row>
    <row r="3884" spans="1:9" hidden="1" x14ac:dyDescent="0.3">
      <c r="A3884" t="s">
        <v>772</v>
      </c>
      <c r="B3884" s="46">
        <v>45264</v>
      </c>
      <c r="C3884" s="45">
        <v>1000</v>
      </c>
      <c r="D3884" t="s">
        <v>1405</v>
      </c>
      <c r="E3884" s="46">
        <v>45317</v>
      </c>
      <c r="F3884" s="45" t="s">
        <v>721</v>
      </c>
      <c r="I3884" t="s">
        <v>1148</v>
      </c>
    </row>
    <row r="3885" spans="1:9" hidden="1" x14ac:dyDescent="0.3">
      <c r="A3885" t="s">
        <v>1269</v>
      </c>
      <c r="B3885" s="46">
        <v>45286</v>
      </c>
      <c r="C3885" s="45">
        <v>1000</v>
      </c>
      <c r="D3885" t="s">
        <v>1363</v>
      </c>
      <c r="E3885" s="46">
        <v>45317</v>
      </c>
      <c r="F3885" s="45" t="s">
        <v>721</v>
      </c>
      <c r="I3885" t="s">
        <v>1162</v>
      </c>
    </row>
    <row r="3886" spans="1:9" hidden="1" x14ac:dyDescent="0.3">
      <c r="A3886" t="s">
        <v>722</v>
      </c>
      <c r="B3886" s="46">
        <v>45271</v>
      </c>
      <c r="C3886" s="45">
        <v>1000</v>
      </c>
      <c r="D3886" t="s">
        <v>1358</v>
      </c>
      <c r="E3886" s="46">
        <v>45306</v>
      </c>
      <c r="F3886" s="45" t="s">
        <v>721</v>
      </c>
      <c r="I3886" t="s">
        <v>899</v>
      </c>
    </row>
    <row r="3887" spans="1:9" hidden="1" x14ac:dyDescent="0.3">
      <c r="A3887" t="s">
        <v>1169</v>
      </c>
      <c r="B3887" s="46">
        <v>45250</v>
      </c>
      <c r="C3887" s="45">
        <v>1000</v>
      </c>
      <c r="D3887" t="s">
        <v>1363</v>
      </c>
      <c r="E3887" s="46">
        <v>45286</v>
      </c>
      <c r="F3887" s="45" t="s">
        <v>721</v>
      </c>
      <c r="I3887" t="s">
        <v>1162</v>
      </c>
    </row>
    <row r="3888" spans="1:9" hidden="1" x14ac:dyDescent="0.3">
      <c r="A3888" t="s">
        <v>772</v>
      </c>
      <c r="B3888" s="46">
        <v>45252</v>
      </c>
      <c r="C3888" s="45">
        <v>1000</v>
      </c>
      <c r="D3888" t="s">
        <v>1405</v>
      </c>
      <c r="E3888" s="46">
        <v>45286</v>
      </c>
      <c r="F3888" s="45" t="s">
        <v>721</v>
      </c>
      <c r="I3888" t="s">
        <v>1148</v>
      </c>
    </row>
    <row r="3889" spans="1:9" hidden="1" x14ac:dyDescent="0.3">
      <c r="A3889" t="s">
        <v>772</v>
      </c>
      <c r="B3889" s="46">
        <v>45243</v>
      </c>
      <c r="C3889" s="45">
        <v>1000</v>
      </c>
      <c r="D3889" t="s">
        <v>1405</v>
      </c>
      <c r="E3889" s="46">
        <v>45286</v>
      </c>
      <c r="F3889" s="45" t="s">
        <v>721</v>
      </c>
      <c r="I3889" t="s">
        <v>1148</v>
      </c>
    </row>
    <row r="3890" spans="1:9" hidden="1" x14ac:dyDescent="0.3">
      <c r="A3890" t="s">
        <v>772</v>
      </c>
      <c r="B3890" s="46">
        <v>45245</v>
      </c>
      <c r="C3890" s="45">
        <v>1000</v>
      </c>
      <c r="D3890" t="s">
        <v>1405</v>
      </c>
      <c r="E3890" s="46">
        <v>45286</v>
      </c>
      <c r="F3890" s="45" t="s">
        <v>721</v>
      </c>
      <c r="I3890" t="s">
        <v>1148</v>
      </c>
    </row>
    <row r="3891" spans="1:9" hidden="1" x14ac:dyDescent="0.3">
      <c r="A3891" t="s">
        <v>722</v>
      </c>
      <c r="B3891" s="46">
        <v>45372</v>
      </c>
      <c r="C3891" s="45">
        <v>1000</v>
      </c>
      <c r="D3891" t="s">
        <v>1358</v>
      </c>
      <c r="E3891" s="46">
        <v>45397</v>
      </c>
      <c r="F3891" s="45" t="s">
        <v>721</v>
      </c>
      <c r="I3891" t="s">
        <v>899</v>
      </c>
    </row>
    <row r="3892" spans="1:9" hidden="1" x14ac:dyDescent="0.3">
      <c r="A3892" t="s">
        <v>1281</v>
      </c>
      <c r="B3892" s="46">
        <v>45412</v>
      </c>
      <c r="C3892" s="45">
        <v>1000</v>
      </c>
      <c r="D3892" t="s">
        <v>1363</v>
      </c>
      <c r="E3892" s="46">
        <v>45438</v>
      </c>
      <c r="F3892" s="45" t="s">
        <v>721</v>
      </c>
      <c r="I3892" t="s">
        <v>1162</v>
      </c>
    </row>
    <row r="3893" spans="1:9" hidden="1" x14ac:dyDescent="0.3">
      <c r="A3893" t="s">
        <v>1281</v>
      </c>
      <c r="B3893" s="46">
        <v>45351</v>
      </c>
      <c r="C3893" s="45">
        <v>1000</v>
      </c>
      <c r="D3893" t="s">
        <v>1363</v>
      </c>
      <c r="E3893" s="46">
        <v>45377</v>
      </c>
      <c r="F3893" s="45" t="s">
        <v>721</v>
      </c>
      <c r="I3893" t="s">
        <v>1162</v>
      </c>
    </row>
    <row r="3894" spans="1:9" hidden="1" x14ac:dyDescent="0.3">
      <c r="A3894" t="s">
        <v>772</v>
      </c>
      <c r="B3894" s="46">
        <v>45341</v>
      </c>
      <c r="C3894" s="45">
        <v>1000</v>
      </c>
      <c r="D3894" t="s">
        <v>1401</v>
      </c>
      <c r="E3894" s="46">
        <v>45377</v>
      </c>
      <c r="F3894" s="45" t="s">
        <v>721</v>
      </c>
      <c r="I3894" t="s">
        <v>1148</v>
      </c>
    </row>
    <row r="3895" spans="1:9" hidden="1" x14ac:dyDescent="0.3">
      <c r="A3895" t="s">
        <v>772</v>
      </c>
      <c r="B3895" s="46">
        <v>45335</v>
      </c>
      <c r="C3895" s="45">
        <v>1000</v>
      </c>
      <c r="D3895" t="s">
        <v>1401</v>
      </c>
      <c r="E3895" s="46">
        <v>45377</v>
      </c>
      <c r="F3895" s="45" t="s">
        <v>721</v>
      </c>
      <c r="I3895" t="s">
        <v>1148</v>
      </c>
    </row>
    <row r="3896" spans="1:9" hidden="1" x14ac:dyDescent="0.3">
      <c r="A3896" t="s">
        <v>1281</v>
      </c>
      <c r="B3896" s="46">
        <v>45365</v>
      </c>
      <c r="C3896" s="45">
        <v>1000</v>
      </c>
      <c r="D3896" t="s">
        <v>1363</v>
      </c>
      <c r="E3896" s="46">
        <v>45408</v>
      </c>
      <c r="F3896" s="45" t="s">
        <v>721</v>
      </c>
      <c r="I3896" t="s">
        <v>1162</v>
      </c>
    </row>
    <row r="3897" spans="1:9" hidden="1" x14ac:dyDescent="0.3">
      <c r="A3897" t="s">
        <v>772</v>
      </c>
      <c r="B3897" s="46">
        <v>45369</v>
      </c>
      <c r="C3897" s="45">
        <v>1000</v>
      </c>
      <c r="D3897" t="s">
        <v>1405</v>
      </c>
      <c r="E3897" s="46">
        <v>45408</v>
      </c>
      <c r="F3897" s="45" t="s">
        <v>721</v>
      </c>
      <c r="I3897" t="s">
        <v>1148</v>
      </c>
    </row>
    <row r="3898" spans="1:9" hidden="1" x14ac:dyDescent="0.3">
      <c r="A3898" t="s">
        <v>1281</v>
      </c>
      <c r="B3898" s="46">
        <v>45385</v>
      </c>
      <c r="C3898" s="45">
        <v>1000</v>
      </c>
      <c r="D3898" t="s">
        <v>1363</v>
      </c>
      <c r="E3898" s="46">
        <v>45408</v>
      </c>
      <c r="F3898" s="45" t="s">
        <v>721</v>
      </c>
      <c r="I3898" t="s">
        <v>1162</v>
      </c>
    </row>
    <row r="3899" spans="1:9" hidden="1" x14ac:dyDescent="0.3">
      <c r="A3899" t="s">
        <v>772</v>
      </c>
      <c r="B3899" s="46">
        <v>45385</v>
      </c>
      <c r="C3899" s="45">
        <v>1000</v>
      </c>
      <c r="D3899" t="s">
        <v>1405</v>
      </c>
      <c r="E3899" s="46">
        <v>45408</v>
      </c>
      <c r="F3899" s="45" t="s">
        <v>721</v>
      </c>
      <c r="I3899" t="s">
        <v>1148</v>
      </c>
    </row>
    <row r="3900" spans="1:9" hidden="1" x14ac:dyDescent="0.3">
      <c r="A3900" t="s">
        <v>772</v>
      </c>
      <c r="B3900" s="46">
        <v>45383</v>
      </c>
      <c r="C3900" s="45">
        <v>1000</v>
      </c>
      <c r="D3900" t="s">
        <v>1405</v>
      </c>
      <c r="E3900" s="46">
        <v>45408</v>
      </c>
      <c r="F3900" s="45" t="s">
        <v>721</v>
      </c>
      <c r="I3900" t="s">
        <v>1148</v>
      </c>
    </row>
    <row r="3901" spans="1:9" hidden="1" x14ac:dyDescent="0.3">
      <c r="A3901" t="s">
        <v>772</v>
      </c>
      <c r="B3901" s="46">
        <v>45378</v>
      </c>
      <c r="C3901" s="45">
        <v>1000</v>
      </c>
      <c r="D3901" t="s">
        <v>1401</v>
      </c>
      <c r="E3901" s="46">
        <v>45408</v>
      </c>
      <c r="F3901" s="45" t="s">
        <v>721</v>
      </c>
      <c r="I3901" t="s">
        <v>1148</v>
      </c>
    </row>
    <row r="3902" spans="1:9" hidden="1" x14ac:dyDescent="0.3">
      <c r="A3902" t="s">
        <v>1269</v>
      </c>
      <c r="B3902" s="46">
        <v>45378</v>
      </c>
      <c r="C3902" s="45">
        <v>1000</v>
      </c>
      <c r="D3902" t="s">
        <v>1363</v>
      </c>
      <c r="E3902" s="46">
        <v>45408</v>
      </c>
      <c r="F3902" s="45" t="s">
        <v>721</v>
      </c>
      <c r="I3902" t="s">
        <v>1162</v>
      </c>
    </row>
    <row r="3903" spans="1:9" hidden="1" x14ac:dyDescent="0.3">
      <c r="A3903" t="s">
        <v>772</v>
      </c>
      <c r="B3903" s="46">
        <v>45301</v>
      </c>
      <c r="C3903" s="45">
        <v>1000</v>
      </c>
      <c r="D3903" t="s">
        <v>1405</v>
      </c>
      <c r="E3903" s="46">
        <v>45348</v>
      </c>
      <c r="F3903" s="45" t="s">
        <v>721</v>
      </c>
      <c r="I3903" t="s">
        <v>1148</v>
      </c>
    </row>
    <row r="3904" spans="1:9" hidden="1" x14ac:dyDescent="0.3">
      <c r="A3904" t="s">
        <v>772</v>
      </c>
      <c r="B3904" s="46">
        <v>45303</v>
      </c>
      <c r="C3904" s="45">
        <v>1000</v>
      </c>
      <c r="D3904" t="s">
        <v>1405</v>
      </c>
      <c r="E3904" s="46">
        <v>45348</v>
      </c>
      <c r="F3904" s="45" t="s">
        <v>721</v>
      </c>
      <c r="I3904" t="s">
        <v>1148</v>
      </c>
    </row>
    <row r="3905" spans="1:9" hidden="1" x14ac:dyDescent="0.3">
      <c r="A3905" t="s">
        <v>772</v>
      </c>
      <c r="B3905" s="46">
        <v>45315</v>
      </c>
      <c r="C3905" s="45">
        <v>1000</v>
      </c>
      <c r="D3905" t="s">
        <v>1405</v>
      </c>
      <c r="E3905" s="46">
        <v>45348</v>
      </c>
      <c r="F3905" s="45" t="s">
        <v>721</v>
      </c>
      <c r="I3905" t="s">
        <v>1148</v>
      </c>
    </row>
    <row r="3906" spans="1:9" hidden="1" x14ac:dyDescent="0.3">
      <c r="A3906" t="s">
        <v>772</v>
      </c>
      <c r="B3906" s="46">
        <v>45310</v>
      </c>
      <c r="C3906" s="45">
        <v>1000</v>
      </c>
      <c r="D3906" t="s">
        <v>1405</v>
      </c>
      <c r="E3906" s="46">
        <v>45348</v>
      </c>
      <c r="F3906" s="45" t="s">
        <v>721</v>
      </c>
      <c r="I3906" t="s">
        <v>1148</v>
      </c>
    </row>
    <row r="3907" spans="1:9" hidden="1" x14ac:dyDescent="0.3">
      <c r="A3907" t="s">
        <v>1269</v>
      </c>
      <c r="B3907" s="46">
        <v>45324</v>
      </c>
      <c r="C3907" s="45">
        <v>1000</v>
      </c>
      <c r="D3907" t="s">
        <v>1363</v>
      </c>
      <c r="E3907" s="46">
        <v>45348</v>
      </c>
      <c r="F3907" s="45" t="s">
        <v>721</v>
      </c>
      <c r="I3907" t="s">
        <v>1162</v>
      </c>
    </row>
    <row r="3908" spans="1:9" hidden="1" x14ac:dyDescent="0.3">
      <c r="A3908" t="s">
        <v>722</v>
      </c>
      <c r="B3908" s="46">
        <v>45405</v>
      </c>
      <c r="C3908" s="45">
        <v>1000</v>
      </c>
      <c r="D3908" t="s">
        <v>1358</v>
      </c>
      <c r="E3908" s="46">
        <v>45428</v>
      </c>
      <c r="F3908" s="45" t="s">
        <v>721</v>
      </c>
      <c r="I3908" t="s">
        <v>899</v>
      </c>
    </row>
    <row r="3909" spans="1:9" hidden="1" x14ac:dyDescent="0.3">
      <c r="A3909" t="s">
        <v>748</v>
      </c>
      <c r="B3909" s="46">
        <v>45399</v>
      </c>
      <c r="C3909" s="45">
        <v>1000</v>
      </c>
      <c r="D3909" t="s">
        <v>2148</v>
      </c>
      <c r="E3909" s="46">
        <v>45428</v>
      </c>
      <c r="F3909" s="45" t="s">
        <v>721</v>
      </c>
      <c r="I3909" t="s">
        <v>1148</v>
      </c>
    </row>
    <row r="3910" spans="1:9" hidden="1" x14ac:dyDescent="0.3">
      <c r="A3910" t="s">
        <v>1281</v>
      </c>
      <c r="B3910" s="46">
        <v>45407</v>
      </c>
      <c r="C3910" s="45">
        <v>1000</v>
      </c>
      <c r="D3910" t="s">
        <v>1363</v>
      </c>
      <c r="E3910" s="46">
        <v>45438</v>
      </c>
      <c r="F3910" s="45" t="s">
        <v>721</v>
      </c>
      <c r="I3910" t="s">
        <v>1162</v>
      </c>
    </row>
    <row r="3911" spans="1:9" hidden="1" x14ac:dyDescent="0.3">
      <c r="A3911" t="s">
        <v>772</v>
      </c>
      <c r="B3911" s="46">
        <v>45411</v>
      </c>
      <c r="C3911" s="45">
        <v>1000</v>
      </c>
      <c r="D3911" t="s">
        <v>1405</v>
      </c>
      <c r="E3911" s="46">
        <v>45438</v>
      </c>
      <c r="F3911" s="45" t="s">
        <v>721</v>
      </c>
      <c r="I3911" t="s">
        <v>1148</v>
      </c>
    </row>
    <row r="3912" spans="1:9" hidden="1" x14ac:dyDescent="0.3">
      <c r="A3912" t="s">
        <v>772</v>
      </c>
      <c r="B3912" s="46">
        <v>45401</v>
      </c>
      <c r="C3912" s="45">
        <v>1000</v>
      </c>
      <c r="D3912" t="s">
        <v>1405</v>
      </c>
      <c r="E3912" s="46">
        <v>45438</v>
      </c>
      <c r="F3912" s="45" t="s">
        <v>721</v>
      </c>
      <c r="I3912" t="s">
        <v>1148</v>
      </c>
    </row>
    <row r="3913" spans="1:9" hidden="1" x14ac:dyDescent="0.3">
      <c r="A3913" t="s">
        <v>1269</v>
      </c>
      <c r="B3913" s="46">
        <v>45393</v>
      </c>
      <c r="C3913" s="45">
        <v>1000</v>
      </c>
      <c r="D3913" t="s">
        <v>1363</v>
      </c>
      <c r="E3913" s="46">
        <v>45438</v>
      </c>
      <c r="F3913" s="45" t="s">
        <v>721</v>
      </c>
      <c r="I3913" t="s">
        <v>1162</v>
      </c>
    </row>
    <row r="3914" spans="1:9" hidden="1" x14ac:dyDescent="0.3">
      <c r="A3914" t="s">
        <v>1269</v>
      </c>
      <c r="B3914" s="46">
        <v>45386</v>
      </c>
      <c r="C3914" s="45">
        <v>1000</v>
      </c>
      <c r="D3914" t="s">
        <v>1363</v>
      </c>
      <c r="E3914" s="46">
        <v>45438</v>
      </c>
      <c r="F3914" s="45" t="s">
        <v>721</v>
      </c>
      <c r="I3914" t="s">
        <v>1162</v>
      </c>
    </row>
    <row r="3915" spans="1:9" hidden="1" x14ac:dyDescent="0.3">
      <c r="A3915" t="s">
        <v>1281</v>
      </c>
      <c r="B3915" s="46">
        <v>45435</v>
      </c>
      <c r="C3915" s="45">
        <v>1000</v>
      </c>
      <c r="D3915" t="s">
        <v>1363</v>
      </c>
      <c r="E3915" s="46">
        <v>45469</v>
      </c>
      <c r="F3915" s="45" t="s">
        <v>721</v>
      </c>
      <c r="I3915" t="s">
        <v>1162</v>
      </c>
    </row>
    <row r="3916" spans="1:9" hidden="1" x14ac:dyDescent="0.3">
      <c r="A3916" t="s">
        <v>1281</v>
      </c>
      <c r="B3916" s="46">
        <v>45442</v>
      </c>
      <c r="C3916" s="45">
        <v>1000</v>
      </c>
      <c r="D3916" t="s">
        <v>1363</v>
      </c>
      <c r="E3916" s="46">
        <v>45469</v>
      </c>
      <c r="F3916" s="45" t="s">
        <v>721</v>
      </c>
      <c r="I3916" t="s">
        <v>1162</v>
      </c>
    </row>
    <row r="3917" spans="1:9" hidden="1" x14ac:dyDescent="0.3">
      <c r="A3917" t="s">
        <v>1269</v>
      </c>
      <c r="B3917" s="46">
        <v>45441</v>
      </c>
      <c r="C3917" s="45">
        <v>1000</v>
      </c>
      <c r="D3917" t="s">
        <v>1363</v>
      </c>
      <c r="E3917" s="46">
        <v>45469</v>
      </c>
      <c r="F3917" s="45" t="s">
        <v>721</v>
      </c>
      <c r="I3917" t="s">
        <v>1162</v>
      </c>
    </row>
    <row r="3918" spans="1:9" hidden="1" x14ac:dyDescent="0.3">
      <c r="A3918" t="s">
        <v>1238</v>
      </c>
      <c r="B3918" s="46">
        <v>45355</v>
      </c>
      <c r="C3918" s="45">
        <v>960</v>
      </c>
      <c r="D3918" t="s">
        <v>1363</v>
      </c>
      <c r="E3918" s="46">
        <v>45408</v>
      </c>
      <c r="F3918" s="45" t="s">
        <v>721</v>
      </c>
      <c r="I3918" t="s">
        <v>1162</v>
      </c>
    </row>
    <row r="3919" spans="1:9" hidden="1" x14ac:dyDescent="0.3">
      <c r="A3919" t="s">
        <v>1238</v>
      </c>
      <c r="B3919" s="46">
        <v>45278</v>
      </c>
      <c r="C3919" s="45">
        <v>900</v>
      </c>
      <c r="D3919" t="s">
        <v>1363</v>
      </c>
      <c r="E3919" s="46">
        <v>45317</v>
      </c>
      <c r="F3919" s="45" t="s">
        <v>721</v>
      </c>
      <c r="I3919" t="s">
        <v>1162</v>
      </c>
    </row>
    <row r="3920" spans="1:9" hidden="1" x14ac:dyDescent="0.3">
      <c r="A3920" t="s">
        <v>1269</v>
      </c>
      <c r="B3920" s="46">
        <v>45177</v>
      </c>
      <c r="C3920" s="45">
        <v>900</v>
      </c>
      <c r="D3920" t="s">
        <v>1363</v>
      </c>
      <c r="E3920" s="46">
        <v>45225</v>
      </c>
      <c r="F3920" s="45" t="s">
        <v>721</v>
      </c>
      <c r="I3920" t="s">
        <v>1162</v>
      </c>
    </row>
    <row r="3921" spans="1:9" hidden="1" x14ac:dyDescent="0.3">
      <c r="A3921" t="s">
        <v>767</v>
      </c>
      <c r="B3921" s="46">
        <v>45177</v>
      </c>
      <c r="C3921" s="45">
        <v>800</v>
      </c>
      <c r="D3921" t="s">
        <v>1343</v>
      </c>
      <c r="E3921" s="46">
        <v>45215</v>
      </c>
      <c r="F3921" s="45" t="s">
        <v>721</v>
      </c>
      <c r="I3921" t="s">
        <v>762</v>
      </c>
    </row>
    <row r="3922" spans="1:9" hidden="1" x14ac:dyDescent="0.3">
      <c r="A3922" t="s">
        <v>777</v>
      </c>
      <c r="B3922" s="46">
        <v>45224</v>
      </c>
      <c r="C3922" s="45">
        <v>700</v>
      </c>
      <c r="D3922" t="s">
        <v>1408</v>
      </c>
      <c r="E3922" s="46">
        <v>45275</v>
      </c>
      <c r="F3922" s="45" t="s">
        <v>721</v>
      </c>
    </row>
    <row r="3923" spans="1:9" hidden="1" x14ac:dyDescent="0.3">
      <c r="A3923" t="s">
        <v>729</v>
      </c>
      <c r="B3923" s="46">
        <v>45274</v>
      </c>
      <c r="C3923" s="45">
        <v>700</v>
      </c>
      <c r="D3923" t="s">
        <v>1393</v>
      </c>
      <c r="E3923" s="46">
        <v>45306</v>
      </c>
      <c r="F3923" s="45" t="s">
        <v>721</v>
      </c>
      <c r="I3923" t="s">
        <v>1148</v>
      </c>
    </row>
    <row r="3924" spans="1:9" hidden="1" x14ac:dyDescent="0.3">
      <c r="A3924" t="s">
        <v>772</v>
      </c>
      <c r="B3924" s="46">
        <v>45211</v>
      </c>
      <c r="C3924" s="45">
        <v>700</v>
      </c>
      <c r="D3924" t="s">
        <v>1407</v>
      </c>
      <c r="E3924" s="46">
        <v>45256</v>
      </c>
      <c r="F3924" s="45" t="s">
        <v>721</v>
      </c>
      <c r="I3924" t="s">
        <v>1148</v>
      </c>
    </row>
    <row r="3925" spans="1:9" hidden="1" x14ac:dyDescent="0.3">
      <c r="A3925" t="s">
        <v>772</v>
      </c>
      <c r="B3925" s="46">
        <v>45177</v>
      </c>
      <c r="C3925" s="45">
        <v>600</v>
      </c>
      <c r="D3925" t="s">
        <v>1409</v>
      </c>
      <c r="E3925" s="46">
        <v>45225</v>
      </c>
      <c r="F3925" s="45" t="s">
        <v>721</v>
      </c>
      <c r="I3925" t="s">
        <v>1148</v>
      </c>
    </row>
    <row r="3926" spans="1:9" hidden="1" x14ac:dyDescent="0.3">
      <c r="A3926" t="s">
        <v>772</v>
      </c>
      <c r="B3926" s="46">
        <v>45327</v>
      </c>
      <c r="C3926" s="45">
        <v>600</v>
      </c>
      <c r="D3926" t="s">
        <v>1409</v>
      </c>
      <c r="E3926" s="46">
        <v>45377</v>
      </c>
      <c r="F3926" s="45" t="s">
        <v>721</v>
      </c>
      <c r="I3926" t="s">
        <v>1148</v>
      </c>
    </row>
    <row r="3927" spans="1:9" hidden="1" x14ac:dyDescent="0.3">
      <c r="A3927" t="s">
        <v>1338</v>
      </c>
      <c r="B3927" s="46">
        <v>45405</v>
      </c>
      <c r="C3927" s="45">
        <v>500</v>
      </c>
      <c r="D3927" t="s">
        <v>1363</v>
      </c>
      <c r="E3927" s="46">
        <v>45438</v>
      </c>
      <c r="F3927" s="45" t="s">
        <v>721</v>
      </c>
      <c r="I3927" t="s">
        <v>1162</v>
      </c>
    </row>
    <row r="3928" spans="1:9" hidden="1" x14ac:dyDescent="0.3">
      <c r="A3928" t="s">
        <v>772</v>
      </c>
      <c r="B3928" s="46">
        <v>45177</v>
      </c>
      <c r="C3928" s="45">
        <v>500</v>
      </c>
      <c r="D3928" t="s">
        <v>1410</v>
      </c>
      <c r="E3928" s="46">
        <v>45225</v>
      </c>
      <c r="F3928" s="45" t="s">
        <v>721</v>
      </c>
      <c r="I3928" t="s">
        <v>1148</v>
      </c>
    </row>
    <row r="3929" spans="1:9" hidden="1" x14ac:dyDescent="0.3">
      <c r="A3929" t="s">
        <v>727</v>
      </c>
      <c r="B3929" s="46">
        <v>45170</v>
      </c>
      <c r="C3929" s="45">
        <v>500</v>
      </c>
      <c r="D3929" t="s">
        <v>864</v>
      </c>
      <c r="E3929" s="46">
        <v>45215</v>
      </c>
      <c r="F3929" s="45" t="s">
        <v>721</v>
      </c>
      <c r="I3929" t="s">
        <v>726</v>
      </c>
    </row>
    <row r="3930" spans="1:9" hidden="1" x14ac:dyDescent="0.3">
      <c r="A3930" t="s">
        <v>1238</v>
      </c>
      <c r="B3930" s="46">
        <v>45237</v>
      </c>
      <c r="C3930" s="45">
        <v>500</v>
      </c>
      <c r="D3930" t="s">
        <v>1363</v>
      </c>
      <c r="E3930" s="46">
        <v>45286</v>
      </c>
      <c r="F3930" s="45" t="s">
        <v>721</v>
      </c>
      <c r="I3930" t="s">
        <v>1162</v>
      </c>
    </row>
    <row r="3931" spans="1:9" hidden="1" x14ac:dyDescent="0.3">
      <c r="A3931" t="s">
        <v>743</v>
      </c>
      <c r="B3931" s="46">
        <v>45205</v>
      </c>
      <c r="C3931" s="45">
        <v>400</v>
      </c>
      <c r="D3931" t="s">
        <v>1413</v>
      </c>
      <c r="E3931" s="46">
        <v>45286</v>
      </c>
      <c r="F3931" s="45" t="s">
        <v>721</v>
      </c>
      <c r="I3931" t="s">
        <v>854</v>
      </c>
    </row>
    <row r="3932" spans="1:9" hidden="1" x14ac:dyDescent="0.3">
      <c r="A3932" t="s">
        <v>761</v>
      </c>
      <c r="B3932" s="46">
        <v>45204</v>
      </c>
      <c r="C3932" s="45">
        <v>400</v>
      </c>
      <c r="D3932" t="s">
        <v>1413</v>
      </c>
      <c r="E3932" s="46">
        <v>45286</v>
      </c>
      <c r="F3932" s="45" t="s">
        <v>721</v>
      </c>
      <c r="I3932" t="s">
        <v>854</v>
      </c>
    </row>
    <row r="3933" spans="1:9" hidden="1" x14ac:dyDescent="0.3">
      <c r="A3933" t="s">
        <v>724</v>
      </c>
      <c r="B3933" s="46">
        <v>45203</v>
      </c>
      <c r="C3933" s="45">
        <v>400</v>
      </c>
      <c r="D3933" t="s">
        <v>1413</v>
      </c>
      <c r="E3933" s="46">
        <v>45286</v>
      </c>
      <c r="F3933" s="45" t="s">
        <v>721</v>
      </c>
      <c r="I3933" t="s">
        <v>854</v>
      </c>
    </row>
    <row r="3934" spans="1:9" hidden="1" x14ac:dyDescent="0.3">
      <c r="A3934" t="s">
        <v>772</v>
      </c>
      <c r="B3934" s="46">
        <v>45203</v>
      </c>
      <c r="C3934" s="45">
        <v>400</v>
      </c>
      <c r="D3934" t="s">
        <v>1413</v>
      </c>
      <c r="E3934" s="46">
        <v>45286</v>
      </c>
      <c r="F3934" s="45" t="s">
        <v>721</v>
      </c>
      <c r="I3934" t="s">
        <v>854</v>
      </c>
    </row>
    <row r="3935" spans="1:9" hidden="1" x14ac:dyDescent="0.3">
      <c r="A3935" t="s">
        <v>777</v>
      </c>
      <c r="B3935" s="46">
        <v>45170</v>
      </c>
      <c r="C3935" s="45">
        <v>400</v>
      </c>
      <c r="D3935" t="s">
        <v>1414</v>
      </c>
      <c r="E3935" s="46">
        <v>45275</v>
      </c>
      <c r="F3935" s="45" t="s">
        <v>721</v>
      </c>
      <c r="I3935" t="s">
        <v>1411</v>
      </c>
    </row>
    <row r="3936" spans="1:9" hidden="1" x14ac:dyDescent="0.3">
      <c r="A3936" t="s">
        <v>777</v>
      </c>
      <c r="B3936" s="46">
        <v>45205</v>
      </c>
      <c r="C3936" s="45">
        <v>400</v>
      </c>
      <c r="D3936" t="s">
        <v>1415</v>
      </c>
      <c r="E3936" s="46">
        <v>45275</v>
      </c>
      <c r="F3936" s="45" t="s">
        <v>721</v>
      </c>
      <c r="I3936" t="s">
        <v>1411</v>
      </c>
    </row>
    <row r="3937" spans="1:9" hidden="1" x14ac:dyDescent="0.3">
      <c r="A3937" t="s">
        <v>720</v>
      </c>
      <c r="B3937" s="46">
        <v>45259</v>
      </c>
      <c r="C3937" s="45">
        <v>400</v>
      </c>
      <c r="D3937" t="s">
        <v>1416</v>
      </c>
      <c r="E3937" s="46">
        <v>45317</v>
      </c>
      <c r="F3937" s="45" t="s">
        <v>721</v>
      </c>
      <c r="I3937" t="s">
        <v>854</v>
      </c>
    </row>
    <row r="3938" spans="1:9" hidden="1" x14ac:dyDescent="0.3">
      <c r="A3938" t="s">
        <v>761</v>
      </c>
      <c r="B3938" s="46">
        <v>45258</v>
      </c>
      <c r="C3938" s="45">
        <v>400</v>
      </c>
      <c r="D3938" t="s">
        <v>1416</v>
      </c>
      <c r="E3938" s="46">
        <v>45317</v>
      </c>
      <c r="F3938" s="45" t="s">
        <v>721</v>
      </c>
      <c r="I3938" t="s">
        <v>854</v>
      </c>
    </row>
    <row r="3939" spans="1:9" hidden="1" x14ac:dyDescent="0.3">
      <c r="A3939" t="s">
        <v>743</v>
      </c>
      <c r="B3939" s="46">
        <v>45234</v>
      </c>
      <c r="C3939" s="45">
        <v>400</v>
      </c>
      <c r="D3939" t="s">
        <v>1416</v>
      </c>
      <c r="E3939" s="46">
        <v>45317</v>
      </c>
      <c r="F3939" s="45" t="s">
        <v>721</v>
      </c>
      <c r="I3939" t="s">
        <v>854</v>
      </c>
    </row>
    <row r="3940" spans="1:9" hidden="1" x14ac:dyDescent="0.3">
      <c r="A3940" t="s">
        <v>724</v>
      </c>
      <c r="B3940" s="46">
        <v>45231</v>
      </c>
      <c r="C3940" s="45">
        <v>400</v>
      </c>
      <c r="D3940" t="s">
        <v>1416</v>
      </c>
      <c r="E3940" s="46">
        <v>45317</v>
      </c>
      <c r="F3940" s="45" t="s">
        <v>721</v>
      </c>
      <c r="I3940" t="s">
        <v>854</v>
      </c>
    </row>
    <row r="3941" spans="1:9" hidden="1" x14ac:dyDescent="0.3">
      <c r="A3941" t="s">
        <v>772</v>
      </c>
      <c r="B3941" s="46">
        <v>45231</v>
      </c>
      <c r="C3941" s="45">
        <v>400</v>
      </c>
      <c r="D3941" t="s">
        <v>1416</v>
      </c>
      <c r="E3941" s="46">
        <v>45317</v>
      </c>
      <c r="F3941" s="45" t="s">
        <v>721</v>
      </c>
      <c r="I3941" t="s">
        <v>854</v>
      </c>
    </row>
    <row r="3942" spans="1:9" hidden="1" x14ac:dyDescent="0.3">
      <c r="A3942" t="s">
        <v>777</v>
      </c>
      <c r="B3942" s="46">
        <v>45233</v>
      </c>
      <c r="C3942" s="45">
        <v>400</v>
      </c>
      <c r="D3942" t="s">
        <v>1417</v>
      </c>
      <c r="E3942" s="46">
        <v>45306</v>
      </c>
      <c r="F3942" s="45" t="s">
        <v>721</v>
      </c>
      <c r="I3942" t="s">
        <v>1411</v>
      </c>
    </row>
    <row r="3943" spans="1:9" hidden="1" x14ac:dyDescent="0.3">
      <c r="A3943" t="s">
        <v>743</v>
      </c>
      <c r="B3943" s="46">
        <v>45175</v>
      </c>
      <c r="C3943" s="45">
        <v>400</v>
      </c>
      <c r="D3943" t="s">
        <v>1424</v>
      </c>
      <c r="E3943" s="46">
        <v>45256</v>
      </c>
      <c r="F3943" s="45" t="s">
        <v>721</v>
      </c>
      <c r="I3943" t="s">
        <v>854</v>
      </c>
    </row>
    <row r="3944" spans="1:9" hidden="1" x14ac:dyDescent="0.3">
      <c r="A3944" t="s">
        <v>724</v>
      </c>
      <c r="B3944" s="46">
        <v>45173</v>
      </c>
      <c r="C3944" s="45">
        <v>400</v>
      </c>
      <c r="D3944" t="s">
        <v>1424</v>
      </c>
      <c r="E3944" s="46">
        <v>45256</v>
      </c>
      <c r="F3944" s="45" t="s">
        <v>721</v>
      </c>
      <c r="I3944" t="s">
        <v>854</v>
      </c>
    </row>
    <row r="3945" spans="1:9" hidden="1" x14ac:dyDescent="0.3">
      <c r="A3945" t="s">
        <v>761</v>
      </c>
      <c r="B3945" s="46">
        <v>45170</v>
      </c>
      <c r="C3945" s="45">
        <v>400</v>
      </c>
      <c r="D3945" t="s">
        <v>1424</v>
      </c>
      <c r="E3945" s="46">
        <v>45256</v>
      </c>
      <c r="F3945" s="45" t="s">
        <v>721</v>
      </c>
      <c r="I3945" t="s">
        <v>854</v>
      </c>
    </row>
    <row r="3946" spans="1:9" hidden="1" x14ac:dyDescent="0.3">
      <c r="A3946" t="s">
        <v>772</v>
      </c>
      <c r="B3946" s="46">
        <v>45170</v>
      </c>
      <c r="C3946" s="45">
        <v>400</v>
      </c>
      <c r="D3946" t="s">
        <v>1424</v>
      </c>
      <c r="E3946" s="46">
        <v>45256</v>
      </c>
      <c r="F3946" s="45" t="s">
        <v>721</v>
      </c>
      <c r="I3946" t="s">
        <v>854</v>
      </c>
    </row>
    <row r="3947" spans="1:9" hidden="1" x14ac:dyDescent="0.3">
      <c r="A3947" t="s">
        <v>757</v>
      </c>
      <c r="B3947" s="46">
        <v>45133</v>
      </c>
      <c r="C3947" s="45">
        <v>400</v>
      </c>
      <c r="D3947" t="s">
        <v>1421</v>
      </c>
      <c r="E3947" s="46">
        <v>45195</v>
      </c>
      <c r="F3947" s="45" t="s">
        <v>721</v>
      </c>
      <c r="I3947" t="s">
        <v>854</v>
      </c>
    </row>
    <row r="3948" spans="1:9" hidden="1" x14ac:dyDescent="0.3">
      <c r="A3948" t="s">
        <v>743</v>
      </c>
      <c r="B3948" s="46">
        <v>45120</v>
      </c>
      <c r="C3948" s="45">
        <v>400</v>
      </c>
      <c r="D3948" t="s">
        <v>1421</v>
      </c>
      <c r="E3948" s="46">
        <v>45195</v>
      </c>
      <c r="F3948" s="45" t="s">
        <v>721</v>
      </c>
      <c r="I3948" t="s">
        <v>854</v>
      </c>
    </row>
    <row r="3949" spans="1:9" hidden="1" x14ac:dyDescent="0.3">
      <c r="A3949" t="s">
        <v>743</v>
      </c>
      <c r="B3949" s="46">
        <v>45150</v>
      </c>
      <c r="C3949" s="45">
        <v>400</v>
      </c>
      <c r="D3949" t="s">
        <v>1422</v>
      </c>
      <c r="E3949" s="46">
        <v>45225</v>
      </c>
      <c r="F3949" s="45" t="s">
        <v>721</v>
      </c>
      <c r="I3949" t="s">
        <v>854</v>
      </c>
    </row>
    <row r="3950" spans="1:9" hidden="1" x14ac:dyDescent="0.3">
      <c r="A3950" t="s">
        <v>724</v>
      </c>
      <c r="B3950" s="46">
        <v>45142</v>
      </c>
      <c r="C3950" s="45">
        <v>400</v>
      </c>
      <c r="D3950" t="s">
        <v>1422</v>
      </c>
      <c r="E3950" s="46">
        <v>45225</v>
      </c>
      <c r="F3950" s="45" t="s">
        <v>721</v>
      </c>
      <c r="I3950" t="s">
        <v>854</v>
      </c>
    </row>
    <row r="3951" spans="1:9" hidden="1" x14ac:dyDescent="0.3">
      <c r="A3951" t="s">
        <v>720</v>
      </c>
      <c r="B3951" s="46">
        <v>45139</v>
      </c>
      <c r="C3951" s="45">
        <v>400</v>
      </c>
      <c r="D3951" t="s">
        <v>1422</v>
      </c>
      <c r="E3951" s="46">
        <v>45225</v>
      </c>
      <c r="F3951" s="45" t="s">
        <v>721</v>
      </c>
      <c r="I3951" t="s">
        <v>854</v>
      </c>
    </row>
    <row r="3952" spans="1:9" hidden="1" x14ac:dyDescent="0.3">
      <c r="A3952" t="s">
        <v>761</v>
      </c>
      <c r="B3952" s="46">
        <v>45139</v>
      </c>
      <c r="C3952" s="45">
        <v>400</v>
      </c>
      <c r="D3952" t="s">
        <v>1422</v>
      </c>
      <c r="E3952" s="46">
        <v>45225</v>
      </c>
      <c r="F3952" s="45" t="s">
        <v>721</v>
      </c>
      <c r="I3952" t="s">
        <v>854</v>
      </c>
    </row>
    <row r="3953" spans="1:9" hidden="1" x14ac:dyDescent="0.3">
      <c r="A3953" t="s">
        <v>772</v>
      </c>
      <c r="B3953" s="46">
        <v>45139</v>
      </c>
      <c r="C3953" s="45">
        <v>400</v>
      </c>
      <c r="D3953" t="s">
        <v>1422</v>
      </c>
      <c r="E3953" s="46">
        <v>45225</v>
      </c>
      <c r="F3953" s="45" t="s">
        <v>721</v>
      </c>
      <c r="I3953" t="s">
        <v>854</v>
      </c>
    </row>
    <row r="3954" spans="1:9" hidden="1" x14ac:dyDescent="0.3">
      <c r="A3954" t="s">
        <v>777</v>
      </c>
      <c r="B3954" s="46">
        <v>45142</v>
      </c>
      <c r="C3954" s="45">
        <v>400</v>
      </c>
      <c r="D3954" t="s">
        <v>1423</v>
      </c>
      <c r="E3954" s="46">
        <v>45215</v>
      </c>
      <c r="F3954" s="45" t="s">
        <v>721</v>
      </c>
      <c r="I3954" t="s">
        <v>1411</v>
      </c>
    </row>
    <row r="3955" spans="1:9" hidden="1" x14ac:dyDescent="0.3">
      <c r="A3955" t="s">
        <v>761</v>
      </c>
      <c r="B3955" s="46">
        <v>45368</v>
      </c>
      <c r="C3955" s="45">
        <v>400</v>
      </c>
      <c r="D3955" t="s">
        <v>2149</v>
      </c>
      <c r="E3955" s="46">
        <v>45438</v>
      </c>
      <c r="F3955" s="45" t="s">
        <v>721</v>
      </c>
      <c r="I3955" t="s">
        <v>854</v>
      </c>
    </row>
    <row r="3956" spans="1:9" hidden="1" x14ac:dyDescent="0.3">
      <c r="A3956" t="s">
        <v>743</v>
      </c>
      <c r="B3956" s="46">
        <v>45360</v>
      </c>
      <c r="C3956" s="45">
        <v>400</v>
      </c>
      <c r="D3956" t="s">
        <v>2149</v>
      </c>
      <c r="E3956" s="46">
        <v>45438</v>
      </c>
      <c r="F3956" s="45" t="s">
        <v>721</v>
      </c>
      <c r="I3956" t="s">
        <v>854</v>
      </c>
    </row>
    <row r="3957" spans="1:9" hidden="1" x14ac:dyDescent="0.3">
      <c r="A3957" t="s">
        <v>724</v>
      </c>
      <c r="B3957" s="46">
        <v>45355</v>
      </c>
      <c r="C3957" s="45">
        <v>400</v>
      </c>
      <c r="D3957" t="s">
        <v>2149</v>
      </c>
      <c r="E3957" s="46">
        <v>45438</v>
      </c>
      <c r="F3957" s="45" t="s">
        <v>721</v>
      </c>
      <c r="I3957" t="s">
        <v>854</v>
      </c>
    </row>
    <row r="3958" spans="1:9" hidden="1" x14ac:dyDescent="0.3">
      <c r="A3958" t="s">
        <v>772</v>
      </c>
      <c r="B3958" s="46">
        <v>45355</v>
      </c>
      <c r="C3958" s="45">
        <v>400</v>
      </c>
      <c r="D3958" t="s">
        <v>2149</v>
      </c>
      <c r="E3958" s="46">
        <v>45438</v>
      </c>
      <c r="F3958" s="45" t="s">
        <v>721</v>
      </c>
      <c r="I3958" t="s">
        <v>854</v>
      </c>
    </row>
    <row r="3959" spans="1:9" hidden="1" x14ac:dyDescent="0.3">
      <c r="A3959" t="s">
        <v>720</v>
      </c>
      <c r="B3959" s="46">
        <v>45353</v>
      </c>
      <c r="C3959" s="45">
        <v>400</v>
      </c>
      <c r="D3959" t="s">
        <v>2149</v>
      </c>
      <c r="E3959" s="46">
        <v>45438</v>
      </c>
      <c r="F3959" s="45" t="s">
        <v>721</v>
      </c>
      <c r="I3959" t="s">
        <v>854</v>
      </c>
    </row>
    <row r="3960" spans="1:9" hidden="1" x14ac:dyDescent="0.3">
      <c r="A3960" t="s">
        <v>720</v>
      </c>
      <c r="B3960" s="46">
        <v>45402</v>
      </c>
      <c r="C3960" s="45">
        <v>400</v>
      </c>
      <c r="D3960" t="s">
        <v>1412</v>
      </c>
      <c r="E3960" s="46">
        <v>45469</v>
      </c>
      <c r="F3960" s="45" t="s">
        <v>721</v>
      </c>
      <c r="I3960" t="s">
        <v>854</v>
      </c>
    </row>
    <row r="3961" spans="1:9" hidden="1" x14ac:dyDescent="0.3">
      <c r="A3961" t="s">
        <v>761</v>
      </c>
      <c r="B3961" s="46">
        <v>45398</v>
      </c>
      <c r="C3961" s="45">
        <v>400</v>
      </c>
      <c r="D3961" t="s">
        <v>1412</v>
      </c>
      <c r="E3961" s="46">
        <v>45469</v>
      </c>
      <c r="F3961" s="45" t="s">
        <v>721</v>
      </c>
      <c r="I3961" t="s">
        <v>854</v>
      </c>
    </row>
    <row r="3962" spans="1:9" hidden="1" x14ac:dyDescent="0.3">
      <c r="A3962" t="s">
        <v>743</v>
      </c>
      <c r="B3962" s="46">
        <v>45394</v>
      </c>
      <c r="C3962" s="45">
        <v>400</v>
      </c>
      <c r="D3962" t="s">
        <v>1412</v>
      </c>
      <c r="E3962" s="46">
        <v>45469</v>
      </c>
      <c r="F3962" s="45" t="s">
        <v>721</v>
      </c>
      <c r="I3962" t="s">
        <v>854</v>
      </c>
    </row>
    <row r="3963" spans="1:9" hidden="1" x14ac:dyDescent="0.3">
      <c r="A3963" t="s">
        <v>724</v>
      </c>
      <c r="B3963" s="46">
        <v>45383</v>
      </c>
      <c r="C3963" s="45">
        <v>400</v>
      </c>
      <c r="D3963" t="s">
        <v>1412</v>
      </c>
      <c r="E3963" s="46">
        <v>45469</v>
      </c>
      <c r="F3963" s="45" t="s">
        <v>721</v>
      </c>
      <c r="I3963" t="s">
        <v>854</v>
      </c>
    </row>
    <row r="3964" spans="1:9" hidden="1" x14ac:dyDescent="0.3">
      <c r="A3964" t="s">
        <v>772</v>
      </c>
      <c r="B3964" s="46">
        <v>45383</v>
      </c>
      <c r="C3964" s="45">
        <v>400</v>
      </c>
      <c r="D3964" t="s">
        <v>1412</v>
      </c>
      <c r="E3964" s="46">
        <v>45469</v>
      </c>
      <c r="F3964" s="45" t="s">
        <v>721</v>
      </c>
      <c r="I3964" t="s">
        <v>854</v>
      </c>
    </row>
    <row r="3965" spans="1:9" hidden="1" x14ac:dyDescent="0.3">
      <c r="A3965" t="s">
        <v>761</v>
      </c>
      <c r="B3965" s="46">
        <v>45297</v>
      </c>
      <c r="C3965" s="45">
        <v>400</v>
      </c>
      <c r="D3965" t="s">
        <v>1425</v>
      </c>
      <c r="E3965" s="46">
        <v>45377</v>
      </c>
      <c r="F3965" s="45" t="s">
        <v>721</v>
      </c>
      <c r="I3965" t="s">
        <v>854</v>
      </c>
    </row>
    <row r="3966" spans="1:9" hidden="1" x14ac:dyDescent="0.3">
      <c r="A3966" t="s">
        <v>743</v>
      </c>
      <c r="B3966" s="46">
        <v>45297</v>
      </c>
      <c r="C3966" s="45">
        <v>400</v>
      </c>
      <c r="D3966" t="s">
        <v>1425</v>
      </c>
      <c r="E3966" s="46">
        <v>45377</v>
      </c>
      <c r="F3966" s="45" t="s">
        <v>721</v>
      </c>
      <c r="I3966" t="s">
        <v>854</v>
      </c>
    </row>
    <row r="3967" spans="1:9" hidden="1" x14ac:dyDescent="0.3">
      <c r="A3967" t="s">
        <v>724</v>
      </c>
      <c r="B3967" s="46">
        <v>45293</v>
      </c>
      <c r="C3967" s="45">
        <v>400</v>
      </c>
      <c r="D3967" t="s">
        <v>1425</v>
      </c>
      <c r="E3967" s="46">
        <v>45377</v>
      </c>
      <c r="F3967" s="45" t="s">
        <v>721</v>
      </c>
      <c r="I3967" t="s">
        <v>854</v>
      </c>
    </row>
    <row r="3968" spans="1:9" hidden="1" x14ac:dyDescent="0.3">
      <c r="A3968" t="s">
        <v>772</v>
      </c>
      <c r="B3968" s="46">
        <v>45293</v>
      </c>
      <c r="C3968" s="45">
        <v>400</v>
      </c>
      <c r="D3968" t="s">
        <v>1425</v>
      </c>
      <c r="E3968" s="46">
        <v>45377</v>
      </c>
      <c r="F3968" s="45" t="s">
        <v>721</v>
      </c>
      <c r="I3968" t="s">
        <v>854</v>
      </c>
    </row>
    <row r="3969" spans="1:9" hidden="1" x14ac:dyDescent="0.3">
      <c r="A3969" t="s">
        <v>777</v>
      </c>
      <c r="B3969" s="46">
        <v>45330</v>
      </c>
      <c r="C3969" s="45">
        <v>400</v>
      </c>
      <c r="D3969" t="s">
        <v>2151</v>
      </c>
      <c r="E3969" s="46">
        <v>45397</v>
      </c>
      <c r="F3969" s="45" t="s">
        <v>721</v>
      </c>
      <c r="I3969" t="s">
        <v>1411</v>
      </c>
    </row>
    <row r="3970" spans="1:9" hidden="1" x14ac:dyDescent="0.3">
      <c r="A3970" t="s">
        <v>743</v>
      </c>
      <c r="B3970" s="46">
        <v>45331</v>
      </c>
      <c r="C3970" s="45">
        <v>400</v>
      </c>
      <c r="D3970" t="s">
        <v>2152</v>
      </c>
      <c r="E3970" s="46">
        <v>45408</v>
      </c>
      <c r="F3970" s="45" t="s">
        <v>721</v>
      </c>
      <c r="I3970" t="s">
        <v>854</v>
      </c>
    </row>
    <row r="3971" spans="1:9" hidden="1" x14ac:dyDescent="0.3">
      <c r="A3971" t="s">
        <v>761</v>
      </c>
      <c r="B3971" s="46">
        <v>45329</v>
      </c>
      <c r="C3971" s="45">
        <v>400</v>
      </c>
      <c r="D3971" t="s">
        <v>2152</v>
      </c>
      <c r="E3971" s="46">
        <v>45408</v>
      </c>
      <c r="F3971" s="45" t="s">
        <v>721</v>
      </c>
      <c r="I3971" t="s">
        <v>854</v>
      </c>
    </row>
    <row r="3972" spans="1:9" hidden="1" x14ac:dyDescent="0.3">
      <c r="A3972" t="s">
        <v>772</v>
      </c>
      <c r="B3972" s="46">
        <v>45324</v>
      </c>
      <c r="C3972" s="45">
        <v>400</v>
      </c>
      <c r="D3972" t="s">
        <v>2152</v>
      </c>
      <c r="E3972" s="46">
        <v>45408</v>
      </c>
      <c r="F3972" s="45" t="s">
        <v>721</v>
      </c>
      <c r="I3972" t="s">
        <v>854</v>
      </c>
    </row>
    <row r="3973" spans="1:9" hidden="1" x14ac:dyDescent="0.3">
      <c r="A3973" t="s">
        <v>724</v>
      </c>
      <c r="B3973" s="46">
        <v>45323</v>
      </c>
      <c r="C3973" s="45">
        <v>400</v>
      </c>
      <c r="D3973" t="s">
        <v>2152</v>
      </c>
      <c r="E3973" s="46">
        <v>45408</v>
      </c>
      <c r="F3973" s="45" t="s">
        <v>721</v>
      </c>
      <c r="I3973" t="s">
        <v>854</v>
      </c>
    </row>
    <row r="3974" spans="1:9" hidden="1" x14ac:dyDescent="0.3">
      <c r="A3974" t="s">
        <v>777</v>
      </c>
      <c r="B3974" s="46">
        <v>45355</v>
      </c>
      <c r="C3974" s="45">
        <v>400</v>
      </c>
      <c r="D3974" t="s">
        <v>2150</v>
      </c>
      <c r="E3974" s="46">
        <v>45428</v>
      </c>
      <c r="F3974" s="45" t="s">
        <v>721</v>
      </c>
      <c r="I3974" t="s">
        <v>1411</v>
      </c>
    </row>
    <row r="3975" spans="1:9" hidden="1" x14ac:dyDescent="0.3">
      <c r="A3975" t="s">
        <v>777</v>
      </c>
      <c r="B3975" s="46">
        <v>45261</v>
      </c>
      <c r="C3975" s="45">
        <v>400</v>
      </c>
      <c r="D3975" t="s">
        <v>1418</v>
      </c>
      <c r="E3975" s="46">
        <v>45337</v>
      </c>
      <c r="F3975" s="45" t="s">
        <v>721</v>
      </c>
      <c r="I3975" t="s">
        <v>1411</v>
      </c>
    </row>
    <row r="3976" spans="1:9" hidden="1" x14ac:dyDescent="0.3">
      <c r="A3976" t="s">
        <v>743</v>
      </c>
      <c r="B3976" s="46">
        <v>45289</v>
      </c>
      <c r="C3976" s="45">
        <v>400</v>
      </c>
      <c r="D3976" t="s">
        <v>1419</v>
      </c>
      <c r="E3976" s="46">
        <v>45348</v>
      </c>
      <c r="F3976" s="45" t="s">
        <v>721</v>
      </c>
      <c r="I3976" t="s">
        <v>854</v>
      </c>
    </row>
    <row r="3977" spans="1:9" hidden="1" x14ac:dyDescent="0.3">
      <c r="A3977" t="s">
        <v>720</v>
      </c>
      <c r="B3977" s="46">
        <v>45271</v>
      </c>
      <c r="C3977" s="45">
        <v>400</v>
      </c>
      <c r="D3977" t="s">
        <v>1419</v>
      </c>
      <c r="E3977" s="46">
        <v>45348</v>
      </c>
      <c r="F3977" s="45" t="s">
        <v>721</v>
      </c>
      <c r="I3977" t="s">
        <v>854</v>
      </c>
    </row>
    <row r="3978" spans="1:9" hidden="1" x14ac:dyDescent="0.3">
      <c r="A3978" t="s">
        <v>761</v>
      </c>
      <c r="B3978" s="46">
        <v>45267</v>
      </c>
      <c r="C3978" s="45">
        <v>400</v>
      </c>
      <c r="D3978" t="s">
        <v>1419</v>
      </c>
      <c r="E3978" s="46">
        <v>45348</v>
      </c>
      <c r="F3978" s="45" t="s">
        <v>721</v>
      </c>
      <c r="I3978" t="s">
        <v>854</v>
      </c>
    </row>
    <row r="3979" spans="1:9" hidden="1" x14ac:dyDescent="0.3">
      <c r="A3979" t="s">
        <v>724</v>
      </c>
      <c r="B3979" s="46">
        <v>45261</v>
      </c>
      <c r="C3979" s="45">
        <v>400</v>
      </c>
      <c r="D3979" t="s">
        <v>1419</v>
      </c>
      <c r="E3979" s="46">
        <v>45348</v>
      </c>
      <c r="F3979" s="45" t="s">
        <v>721</v>
      </c>
      <c r="I3979" t="s">
        <v>854</v>
      </c>
    </row>
    <row r="3980" spans="1:9" hidden="1" x14ac:dyDescent="0.3">
      <c r="A3980" t="s">
        <v>772</v>
      </c>
      <c r="B3980" s="46">
        <v>45261</v>
      </c>
      <c r="C3980" s="45">
        <v>400</v>
      </c>
      <c r="D3980" t="s">
        <v>1419</v>
      </c>
      <c r="E3980" s="46">
        <v>45348</v>
      </c>
      <c r="F3980" s="45" t="s">
        <v>721</v>
      </c>
      <c r="I3980" t="s">
        <v>854</v>
      </c>
    </row>
    <row r="3981" spans="1:9" hidden="1" x14ac:dyDescent="0.3">
      <c r="A3981" t="s">
        <v>777</v>
      </c>
      <c r="B3981" s="46">
        <v>45302</v>
      </c>
      <c r="C3981" s="45">
        <v>400</v>
      </c>
      <c r="D3981" t="s">
        <v>1420</v>
      </c>
      <c r="E3981" s="46">
        <v>45366</v>
      </c>
      <c r="F3981" s="45" t="s">
        <v>721</v>
      </c>
      <c r="I3981" t="s">
        <v>1411</v>
      </c>
    </row>
    <row r="3982" spans="1:9" hidden="1" x14ac:dyDescent="0.3">
      <c r="A3982" t="s">
        <v>1169</v>
      </c>
      <c r="B3982" s="46">
        <v>45167</v>
      </c>
      <c r="C3982" s="45">
        <v>200</v>
      </c>
      <c r="D3982" t="s">
        <v>1363</v>
      </c>
      <c r="E3982" s="46">
        <v>45195</v>
      </c>
      <c r="F3982" s="45" t="s">
        <v>721</v>
      </c>
      <c r="I3982" t="s">
        <v>1162</v>
      </c>
    </row>
    <row r="3983" spans="1:9" hidden="1" x14ac:dyDescent="0.3">
      <c r="A3983" t="s">
        <v>767</v>
      </c>
      <c r="B3983" s="46">
        <v>45400</v>
      </c>
      <c r="C3983" s="45">
        <v>100</v>
      </c>
      <c r="D3983" t="s">
        <v>1163</v>
      </c>
      <c r="E3983" s="46">
        <v>45428</v>
      </c>
      <c r="F3983" s="45" t="s">
        <v>721</v>
      </c>
      <c r="I3983" t="s">
        <v>726</v>
      </c>
    </row>
    <row r="3984" spans="1:9" hidden="1" x14ac:dyDescent="0.3">
      <c r="A3984" t="s">
        <v>748</v>
      </c>
      <c r="B3984" s="46">
        <v>45432</v>
      </c>
      <c r="C3984" s="45">
        <v>0</v>
      </c>
      <c r="D3984" t="s">
        <v>2153</v>
      </c>
      <c r="E3984" s="46">
        <v>45458</v>
      </c>
      <c r="F3984" s="45" t="s">
        <v>721</v>
      </c>
      <c r="I3984" t="s">
        <v>818</v>
      </c>
    </row>
    <row r="3985" spans="1:9" hidden="1" x14ac:dyDescent="0.3">
      <c r="A3985" t="s">
        <v>748</v>
      </c>
      <c r="B3985" s="46">
        <v>45422</v>
      </c>
      <c r="C3985" s="45">
        <v>0</v>
      </c>
      <c r="D3985" t="s">
        <v>2153</v>
      </c>
      <c r="E3985" s="46">
        <v>45458</v>
      </c>
      <c r="F3985" s="45" t="s">
        <v>721</v>
      </c>
      <c r="I3985" t="s">
        <v>818</v>
      </c>
    </row>
    <row r="3986" spans="1:9" hidden="1" x14ac:dyDescent="0.3">
      <c r="A3986" t="s">
        <v>748</v>
      </c>
      <c r="B3986" s="46">
        <v>45433</v>
      </c>
      <c r="C3986" s="45">
        <v>0</v>
      </c>
      <c r="D3986" t="s">
        <v>2153</v>
      </c>
      <c r="E3986" s="46">
        <v>45458</v>
      </c>
      <c r="F3986" s="45" t="s">
        <v>721</v>
      </c>
      <c r="I3986" t="s">
        <v>818</v>
      </c>
    </row>
    <row r="3987" spans="1:9" hidden="1" x14ac:dyDescent="0.3">
      <c r="A3987" t="s">
        <v>748</v>
      </c>
      <c r="B3987" s="46">
        <v>45443</v>
      </c>
      <c r="C3987" s="45">
        <v>0</v>
      </c>
      <c r="D3987" t="s">
        <v>2153</v>
      </c>
      <c r="E3987" s="46">
        <v>45458</v>
      </c>
      <c r="F3987" s="45" t="s">
        <v>721</v>
      </c>
      <c r="I3987" t="s">
        <v>818</v>
      </c>
    </row>
    <row r="3988" spans="1:9" hidden="1" x14ac:dyDescent="0.3">
      <c r="A3988" t="s">
        <v>722</v>
      </c>
      <c r="B3988" s="46">
        <v>45177</v>
      </c>
      <c r="C3988" s="45">
        <v>-100</v>
      </c>
      <c r="D3988" t="s">
        <v>992</v>
      </c>
      <c r="E3988" s="46">
        <v>45215</v>
      </c>
      <c r="F3988" s="45" t="s">
        <v>721</v>
      </c>
      <c r="I3988" t="s">
        <v>818</v>
      </c>
    </row>
    <row r="3989" spans="1:9" hidden="1" x14ac:dyDescent="0.3">
      <c r="A3989" t="s">
        <v>748</v>
      </c>
      <c r="B3989" s="46">
        <v>45278</v>
      </c>
      <c r="C3989" s="45">
        <v>-200</v>
      </c>
      <c r="D3989" t="s">
        <v>992</v>
      </c>
      <c r="E3989" s="46">
        <v>45306</v>
      </c>
      <c r="F3989" s="45" t="s">
        <v>721</v>
      </c>
      <c r="I3989" t="s">
        <v>818</v>
      </c>
    </row>
    <row r="3990" spans="1:9" hidden="1" x14ac:dyDescent="0.3">
      <c r="A3990" t="s">
        <v>734</v>
      </c>
      <c r="B3990" s="46">
        <v>45363</v>
      </c>
      <c r="C3990" s="45">
        <v>-200</v>
      </c>
      <c r="D3990" t="s">
        <v>915</v>
      </c>
      <c r="E3990" s="46">
        <v>45397</v>
      </c>
      <c r="F3990" s="45" t="s">
        <v>721</v>
      </c>
      <c r="I3990" t="s">
        <v>818</v>
      </c>
    </row>
    <row r="3991" spans="1:9" hidden="1" x14ac:dyDescent="0.3">
      <c r="A3991" t="s">
        <v>748</v>
      </c>
      <c r="B3991" s="46">
        <v>45322</v>
      </c>
      <c r="C3991" s="45">
        <v>-250</v>
      </c>
      <c r="D3991" t="s">
        <v>915</v>
      </c>
      <c r="E3991" s="46">
        <v>45337</v>
      </c>
      <c r="F3991" s="45" t="s">
        <v>721</v>
      </c>
      <c r="I3991" t="s">
        <v>818</v>
      </c>
    </row>
    <row r="3992" spans="1:9" hidden="1" x14ac:dyDescent="0.3">
      <c r="A3992" t="s">
        <v>748</v>
      </c>
      <c r="B3992" s="46">
        <v>45301</v>
      </c>
      <c r="C3992" s="45">
        <v>-250</v>
      </c>
      <c r="D3992" t="s">
        <v>1027</v>
      </c>
      <c r="E3992" s="46">
        <v>45337</v>
      </c>
      <c r="F3992" s="45" t="s">
        <v>721</v>
      </c>
      <c r="I3992" t="s">
        <v>818</v>
      </c>
    </row>
    <row r="3993" spans="1:9" hidden="1" x14ac:dyDescent="0.3">
      <c r="A3993" t="s">
        <v>748</v>
      </c>
      <c r="B3993" s="46">
        <v>45303</v>
      </c>
      <c r="C3993" s="45">
        <v>-250</v>
      </c>
      <c r="D3993" t="s">
        <v>915</v>
      </c>
      <c r="E3993" s="46">
        <v>45337</v>
      </c>
      <c r="F3993" s="45" t="s">
        <v>721</v>
      </c>
      <c r="I3993" t="s">
        <v>818</v>
      </c>
    </row>
    <row r="3994" spans="1:9" hidden="1" x14ac:dyDescent="0.3">
      <c r="A3994" t="s">
        <v>748</v>
      </c>
      <c r="B3994" s="46">
        <v>45247</v>
      </c>
      <c r="C3994" s="45">
        <v>-250</v>
      </c>
      <c r="D3994" t="s">
        <v>944</v>
      </c>
      <c r="E3994" s="46">
        <v>45275</v>
      </c>
      <c r="F3994" s="45" t="s">
        <v>721</v>
      </c>
      <c r="I3994" t="s">
        <v>818</v>
      </c>
    </row>
    <row r="3995" spans="1:9" hidden="1" x14ac:dyDescent="0.3">
      <c r="A3995" t="s">
        <v>748</v>
      </c>
      <c r="B3995" s="46">
        <v>45257</v>
      </c>
      <c r="C3995" s="45">
        <v>-250</v>
      </c>
      <c r="D3995" t="s">
        <v>915</v>
      </c>
      <c r="E3995" s="46">
        <v>45275</v>
      </c>
      <c r="F3995" s="45" t="s">
        <v>721</v>
      </c>
      <c r="I3995" t="s">
        <v>818</v>
      </c>
    </row>
    <row r="3996" spans="1:9" hidden="1" x14ac:dyDescent="0.3">
      <c r="A3996" t="s">
        <v>748</v>
      </c>
      <c r="B3996" s="46">
        <v>45254</v>
      </c>
      <c r="C3996" s="45">
        <v>-250</v>
      </c>
      <c r="D3996" t="s">
        <v>1025</v>
      </c>
      <c r="E3996" s="46">
        <v>45275</v>
      </c>
      <c r="F3996" s="45" t="s">
        <v>721</v>
      </c>
      <c r="I3996" t="s">
        <v>818</v>
      </c>
    </row>
    <row r="3997" spans="1:9" hidden="1" x14ac:dyDescent="0.3">
      <c r="A3997" t="s">
        <v>748</v>
      </c>
      <c r="B3997" s="46">
        <v>45196</v>
      </c>
      <c r="C3997" s="45">
        <v>-250</v>
      </c>
      <c r="D3997" t="s">
        <v>915</v>
      </c>
      <c r="E3997" s="46">
        <v>45245</v>
      </c>
      <c r="F3997" s="45" t="s">
        <v>721</v>
      </c>
      <c r="I3997" t="s">
        <v>818</v>
      </c>
    </row>
    <row r="3998" spans="1:9" hidden="1" x14ac:dyDescent="0.3">
      <c r="A3998" t="s">
        <v>748</v>
      </c>
      <c r="B3998" s="46">
        <v>45176</v>
      </c>
      <c r="C3998" s="45">
        <v>-250</v>
      </c>
      <c r="D3998" t="s">
        <v>1029</v>
      </c>
      <c r="E3998" s="46">
        <v>45215</v>
      </c>
      <c r="F3998" s="45" t="s">
        <v>721</v>
      </c>
      <c r="I3998" t="s">
        <v>818</v>
      </c>
    </row>
    <row r="3999" spans="1:9" hidden="1" x14ac:dyDescent="0.3">
      <c r="A3999" t="s">
        <v>748</v>
      </c>
      <c r="B3999" s="46">
        <v>45138</v>
      </c>
      <c r="C3999" s="45">
        <v>-250</v>
      </c>
      <c r="D3999" t="s">
        <v>915</v>
      </c>
      <c r="E3999" s="46">
        <v>45154</v>
      </c>
      <c r="F3999" s="45" t="s">
        <v>721</v>
      </c>
      <c r="I3999" t="s">
        <v>818</v>
      </c>
    </row>
    <row r="4000" spans="1:9" hidden="1" x14ac:dyDescent="0.3">
      <c r="A4000" t="s">
        <v>734</v>
      </c>
      <c r="B4000" s="46">
        <v>45176</v>
      </c>
      <c r="C4000" s="45">
        <v>-260</v>
      </c>
      <c r="D4000" t="s">
        <v>976</v>
      </c>
      <c r="E4000" s="46">
        <v>45215</v>
      </c>
      <c r="F4000" s="45" t="s">
        <v>721</v>
      </c>
      <c r="I4000" t="s">
        <v>818</v>
      </c>
    </row>
    <row r="4001" spans="1:9" hidden="1" x14ac:dyDescent="0.3">
      <c r="A4001" t="s">
        <v>748</v>
      </c>
      <c r="B4001" s="46">
        <v>45170</v>
      </c>
      <c r="C4001" s="45">
        <v>-300</v>
      </c>
      <c r="D4001" t="s">
        <v>903</v>
      </c>
      <c r="E4001" s="46">
        <v>45215</v>
      </c>
      <c r="F4001" s="45" t="s">
        <v>721</v>
      </c>
      <c r="I4001" t="s">
        <v>818</v>
      </c>
    </row>
    <row r="4002" spans="1:9" hidden="1" x14ac:dyDescent="0.3">
      <c r="A4002" t="s">
        <v>748</v>
      </c>
      <c r="B4002" s="46">
        <v>45205</v>
      </c>
      <c r="C4002" s="45">
        <v>-300</v>
      </c>
      <c r="D4002" t="s">
        <v>915</v>
      </c>
      <c r="E4002" s="46">
        <v>45245</v>
      </c>
      <c r="F4002" s="45" t="s">
        <v>721</v>
      </c>
      <c r="I4002" t="s">
        <v>818</v>
      </c>
    </row>
    <row r="4003" spans="1:9" hidden="1" x14ac:dyDescent="0.3">
      <c r="A4003" t="s">
        <v>748</v>
      </c>
      <c r="B4003" s="46">
        <v>45229</v>
      </c>
      <c r="C4003" s="45">
        <v>-300</v>
      </c>
      <c r="D4003" t="s">
        <v>903</v>
      </c>
      <c r="E4003" s="46">
        <v>45245</v>
      </c>
      <c r="F4003" s="45" t="s">
        <v>721</v>
      </c>
      <c r="I4003" t="s">
        <v>818</v>
      </c>
    </row>
    <row r="4004" spans="1:9" hidden="1" x14ac:dyDescent="0.3">
      <c r="A4004" t="s">
        <v>748</v>
      </c>
      <c r="B4004" s="46">
        <v>45128</v>
      </c>
      <c r="C4004" s="45">
        <v>-300</v>
      </c>
      <c r="D4004" t="s">
        <v>903</v>
      </c>
      <c r="E4004" s="46">
        <v>45154</v>
      </c>
      <c r="F4004" s="45" t="s">
        <v>721</v>
      </c>
      <c r="I4004" t="s">
        <v>818</v>
      </c>
    </row>
    <row r="4005" spans="1:9" hidden="1" x14ac:dyDescent="0.3">
      <c r="A4005" t="s">
        <v>748</v>
      </c>
      <c r="B4005" s="46">
        <v>45280</v>
      </c>
      <c r="C4005" s="45">
        <v>-300</v>
      </c>
      <c r="D4005" t="s">
        <v>992</v>
      </c>
      <c r="E4005" s="46">
        <v>45306</v>
      </c>
      <c r="F4005" s="45" t="s">
        <v>721</v>
      </c>
      <c r="I4005" t="s">
        <v>818</v>
      </c>
    </row>
    <row r="4006" spans="1:9" hidden="1" x14ac:dyDescent="0.3">
      <c r="A4006" t="s">
        <v>748</v>
      </c>
      <c r="B4006" s="46">
        <v>45307</v>
      </c>
      <c r="C4006" s="45">
        <v>-300</v>
      </c>
      <c r="D4006" t="s">
        <v>915</v>
      </c>
      <c r="E4006" s="46">
        <v>45337</v>
      </c>
      <c r="F4006" s="45" t="s">
        <v>721</v>
      </c>
      <c r="I4006" t="s">
        <v>818</v>
      </c>
    </row>
    <row r="4007" spans="1:9" hidden="1" x14ac:dyDescent="0.3">
      <c r="A4007" t="s">
        <v>748</v>
      </c>
      <c r="B4007" s="46">
        <v>45335</v>
      </c>
      <c r="C4007" s="45">
        <v>-300</v>
      </c>
      <c r="D4007" t="s">
        <v>903</v>
      </c>
      <c r="E4007" s="46">
        <v>45366</v>
      </c>
      <c r="F4007" s="45" t="s">
        <v>721</v>
      </c>
      <c r="I4007" t="s">
        <v>818</v>
      </c>
    </row>
    <row r="4008" spans="1:9" hidden="1" x14ac:dyDescent="0.3">
      <c r="A4008" t="s">
        <v>748</v>
      </c>
      <c r="B4008" s="46">
        <v>45355</v>
      </c>
      <c r="C4008" s="45">
        <v>-300</v>
      </c>
      <c r="D4008" t="s">
        <v>915</v>
      </c>
      <c r="E4008" s="46">
        <v>45397</v>
      </c>
      <c r="F4008" s="45" t="s">
        <v>721</v>
      </c>
      <c r="I4008" t="s">
        <v>818</v>
      </c>
    </row>
    <row r="4009" spans="1:9" hidden="1" x14ac:dyDescent="0.3">
      <c r="A4009" t="s">
        <v>748</v>
      </c>
      <c r="B4009" s="46">
        <v>45384</v>
      </c>
      <c r="C4009" s="45">
        <v>-300</v>
      </c>
      <c r="D4009" t="s">
        <v>943</v>
      </c>
      <c r="E4009" s="46">
        <v>45428</v>
      </c>
      <c r="F4009" s="45" t="s">
        <v>721</v>
      </c>
      <c r="I4009" t="s">
        <v>818</v>
      </c>
    </row>
    <row r="4010" spans="1:9" hidden="1" x14ac:dyDescent="0.3">
      <c r="A4010" t="s">
        <v>748</v>
      </c>
      <c r="B4010" s="46">
        <v>45393</v>
      </c>
      <c r="C4010" s="45">
        <v>-300</v>
      </c>
      <c r="D4010" t="s">
        <v>915</v>
      </c>
      <c r="E4010" s="46">
        <v>45428</v>
      </c>
      <c r="F4010" s="45" t="s">
        <v>721</v>
      </c>
      <c r="I4010" t="s">
        <v>818</v>
      </c>
    </row>
    <row r="4011" spans="1:9" hidden="1" x14ac:dyDescent="0.3">
      <c r="A4011" t="s">
        <v>748</v>
      </c>
      <c r="B4011" s="46">
        <v>45397</v>
      </c>
      <c r="C4011" s="45">
        <v>-300</v>
      </c>
      <c r="D4011" t="s">
        <v>915</v>
      </c>
      <c r="E4011" s="46">
        <v>45428</v>
      </c>
      <c r="F4011" s="45" t="s">
        <v>721</v>
      </c>
      <c r="I4011" t="s">
        <v>818</v>
      </c>
    </row>
    <row r="4012" spans="1:9" hidden="1" x14ac:dyDescent="0.3">
      <c r="A4012" t="s">
        <v>748</v>
      </c>
      <c r="B4012" s="46">
        <v>45345</v>
      </c>
      <c r="C4012" s="45">
        <v>-320</v>
      </c>
      <c r="D4012" t="s">
        <v>976</v>
      </c>
      <c r="E4012" s="46">
        <v>45366</v>
      </c>
      <c r="F4012" s="45" t="s">
        <v>721</v>
      </c>
      <c r="I4012" t="s">
        <v>818</v>
      </c>
    </row>
    <row r="4013" spans="1:9" hidden="1" x14ac:dyDescent="0.3">
      <c r="A4013" t="s">
        <v>748</v>
      </c>
      <c r="B4013" s="46">
        <v>45293</v>
      </c>
      <c r="C4013" s="45">
        <v>-335</v>
      </c>
      <c r="D4013" t="s">
        <v>961</v>
      </c>
      <c r="E4013" s="46">
        <v>45337</v>
      </c>
      <c r="F4013" s="45" t="s">
        <v>721</v>
      </c>
      <c r="I4013" t="s">
        <v>818</v>
      </c>
    </row>
    <row r="4014" spans="1:9" hidden="1" x14ac:dyDescent="0.3">
      <c r="A4014" t="s">
        <v>748</v>
      </c>
      <c r="B4014" s="46">
        <v>45124</v>
      </c>
      <c r="C4014" s="45">
        <v>-340</v>
      </c>
      <c r="D4014" t="s">
        <v>944</v>
      </c>
      <c r="E4014" s="46">
        <v>45154</v>
      </c>
      <c r="F4014" s="45" t="s">
        <v>721</v>
      </c>
      <c r="I4014" t="s">
        <v>818</v>
      </c>
    </row>
    <row r="4015" spans="1:9" hidden="1" x14ac:dyDescent="0.3">
      <c r="A4015" t="s">
        <v>748</v>
      </c>
      <c r="B4015" s="46">
        <v>45163</v>
      </c>
      <c r="C4015" s="45">
        <v>-350</v>
      </c>
      <c r="D4015" t="s">
        <v>915</v>
      </c>
      <c r="E4015" s="46">
        <v>45184</v>
      </c>
      <c r="F4015" s="45" t="s">
        <v>721</v>
      </c>
      <c r="I4015" t="s">
        <v>818</v>
      </c>
    </row>
    <row r="4016" spans="1:9" hidden="1" x14ac:dyDescent="0.3">
      <c r="A4016" t="s">
        <v>748</v>
      </c>
      <c r="B4016" s="46">
        <v>45152</v>
      </c>
      <c r="C4016" s="45">
        <v>-350</v>
      </c>
      <c r="D4016" t="s">
        <v>915</v>
      </c>
      <c r="E4016" s="46">
        <v>45184</v>
      </c>
      <c r="F4016" s="45" t="s">
        <v>721</v>
      </c>
      <c r="I4016" t="s">
        <v>818</v>
      </c>
    </row>
    <row r="4017" spans="1:9" hidden="1" x14ac:dyDescent="0.3">
      <c r="A4017" t="s">
        <v>748</v>
      </c>
      <c r="B4017" s="46">
        <v>45145</v>
      </c>
      <c r="C4017" s="45">
        <v>-350</v>
      </c>
      <c r="D4017" t="s">
        <v>944</v>
      </c>
      <c r="E4017" s="46">
        <v>45184</v>
      </c>
      <c r="F4017" s="45" t="s">
        <v>721</v>
      </c>
      <c r="I4017" t="s">
        <v>818</v>
      </c>
    </row>
    <row r="4018" spans="1:9" hidden="1" x14ac:dyDescent="0.3">
      <c r="A4018" t="s">
        <v>748</v>
      </c>
      <c r="B4018" s="46">
        <v>45169</v>
      </c>
      <c r="C4018" s="45">
        <v>-350</v>
      </c>
      <c r="D4018" t="s">
        <v>915</v>
      </c>
      <c r="E4018" s="46">
        <v>45184</v>
      </c>
      <c r="F4018" s="45" t="s">
        <v>721</v>
      </c>
      <c r="I4018" t="s">
        <v>818</v>
      </c>
    </row>
    <row r="4019" spans="1:9" hidden="1" x14ac:dyDescent="0.3">
      <c r="A4019" t="s">
        <v>748</v>
      </c>
      <c r="B4019" s="46">
        <v>45181</v>
      </c>
      <c r="C4019" s="45">
        <v>-350</v>
      </c>
      <c r="D4019" t="s">
        <v>915</v>
      </c>
      <c r="E4019" s="46">
        <v>45215</v>
      </c>
      <c r="F4019" s="45" t="s">
        <v>721</v>
      </c>
      <c r="I4019" t="s">
        <v>818</v>
      </c>
    </row>
    <row r="4020" spans="1:9" hidden="1" x14ac:dyDescent="0.3">
      <c r="A4020" t="s">
        <v>748</v>
      </c>
      <c r="B4020" s="46">
        <v>45272</v>
      </c>
      <c r="C4020" s="45">
        <v>-350</v>
      </c>
      <c r="D4020" t="s">
        <v>915</v>
      </c>
      <c r="E4020" s="46">
        <v>45306</v>
      </c>
      <c r="F4020" s="45" t="s">
        <v>721</v>
      </c>
      <c r="I4020" t="s">
        <v>818</v>
      </c>
    </row>
    <row r="4021" spans="1:9" hidden="1" x14ac:dyDescent="0.3">
      <c r="A4021" t="s">
        <v>748</v>
      </c>
      <c r="B4021" s="46">
        <v>45264</v>
      </c>
      <c r="C4021" s="45">
        <v>-350</v>
      </c>
      <c r="D4021" t="s">
        <v>915</v>
      </c>
      <c r="E4021" s="46">
        <v>45306</v>
      </c>
      <c r="F4021" s="45" t="s">
        <v>721</v>
      </c>
      <c r="I4021" t="s">
        <v>818</v>
      </c>
    </row>
    <row r="4022" spans="1:9" hidden="1" x14ac:dyDescent="0.3">
      <c r="A4022" t="s">
        <v>748</v>
      </c>
      <c r="B4022" s="46">
        <v>45233</v>
      </c>
      <c r="C4022" s="45">
        <v>-350</v>
      </c>
      <c r="D4022" t="s">
        <v>915</v>
      </c>
      <c r="E4022" s="46">
        <v>45275</v>
      </c>
      <c r="F4022" s="45" t="s">
        <v>721</v>
      </c>
      <c r="I4022" t="s">
        <v>818</v>
      </c>
    </row>
    <row r="4023" spans="1:9" hidden="1" x14ac:dyDescent="0.3">
      <c r="A4023" t="s">
        <v>748</v>
      </c>
      <c r="B4023" s="46">
        <v>45240</v>
      </c>
      <c r="C4023" s="45">
        <v>-350</v>
      </c>
      <c r="D4023" t="s">
        <v>944</v>
      </c>
      <c r="E4023" s="46">
        <v>45275</v>
      </c>
      <c r="F4023" s="45" t="s">
        <v>721</v>
      </c>
      <c r="I4023" t="s">
        <v>818</v>
      </c>
    </row>
    <row r="4024" spans="1:9" hidden="1" x14ac:dyDescent="0.3">
      <c r="A4024" t="s">
        <v>727</v>
      </c>
      <c r="B4024" s="46">
        <v>45224</v>
      </c>
      <c r="C4024" s="45">
        <v>-350</v>
      </c>
      <c r="D4024" t="s">
        <v>943</v>
      </c>
      <c r="E4024" s="46">
        <v>45245</v>
      </c>
      <c r="F4024" s="45" t="s">
        <v>721</v>
      </c>
      <c r="I4024" t="s">
        <v>818</v>
      </c>
    </row>
    <row r="4025" spans="1:9" hidden="1" x14ac:dyDescent="0.3">
      <c r="A4025" t="s">
        <v>748</v>
      </c>
      <c r="B4025" s="46">
        <v>45314</v>
      </c>
      <c r="C4025" s="45">
        <v>-350</v>
      </c>
      <c r="D4025" t="s">
        <v>915</v>
      </c>
      <c r="E4025" s="46">
        <v>45337</v>
      </c>
      <c r="F4025" s="45" t="s">
        <v>721</v>
      </c>
      <c r="I4025" t="s">
        <v>818</v>
      </c>
    </row>
    <row r="4026" spans="1:9" hidden="1" x14ac:dyDescent="0.3">
      <c r="A4026" t="s">
        <v>748</v>
      </c>
      <c r="B4026" s="46">
        <v>45343</v>
      </c>
      <c r="C4026" s="45">
        <v>-350</v>
      </c>
      <c r="D4026" t="s">
        <v>915</v>
      </c>
      <c r="E4026" s="46">
        <v>45366</v>
      </c>
      <c r="F4026" s="45" t="s">
        <v>721</v>
      </c>
      <c r="I4026" t="s">
        <v>818</v>
      </c>
    </row>
    <row r="4027" spans="1:9" hidden="1" x14ac:dyDescent="0.3">
      <c r="A4027" t="s">
        <v>748</v>
      </c>
      <c r="B4027" s="46">
        <v>45373</v>
      </c>
      <c r="C4027" s="45">
        <v>-350</v>
      </c>
      <c r="D4027" t="s">
        <v>915</v>
      </c>
      <c r="E4027" s="46">
        <v>45397</v>
      </c>
      <c r="F4027" s="45" t="s">
        <v>721</v>
      </c>
      <c r="I4027" t="s">
        <v>818</v>
      </c>
    </row>
    <row r="4028" spans="1:9" hidden="1" x14ac:dyDescent="0.3">
      <c r="A4028" t="s">
        <v>748</v>
      </c>
      <c r="B4028" s="46">
        <v>45365</v>
      </c>
      <c r="C4028" s="45">
        <v>-350</v>
      </c>
      <c r="D4028" t="s">
        <v>2063</v>
      </c>
      <c r="E4028" s="46">
        <v>45397</v>
      </c>
      <c r="F4028" s="45" t="s">
        <v>721</v>
      </c>
      <c r="I4028" t="s">
        <v>818</v>
      </c>
    </row>
    <row r="4029" spans="1:9" hidden="1" x14ac:dyDescent="0.3">
      <c r="A4029" t="s">
        <v>748</v>
      </c>
      <c r="B4029" s="46">
        <v>45401</v>
      </c>
      <c r="C4029" s="45">
        <v>-350</v>
      </c>
      <c r="D4029" t="s">
        <v>943</v>
      </c>
      <c r="E4029" s="46">
        <v>45428</v>
      </c>
      <c r="F4029" s="45" t="s">
        <v>721</v>
      </c>
      <c r="I4029" t="s">
        <v>818</v>
      </c>
    </row>
    <row r="4030" spans="1:9" hidden="1" x14ac:dyDescent="0.3">
      <c r="A4030" t="s">
        <v>748</v>
      </c>
      <c r="B4030" s="46">
        <v>45411</v>
      </c>
      <c r="C4030" s="45">
        <v>-350</v>
      </c>
      <c r="D4030" t="s">
        <v>2062</v>
      </c>
      <c r="E4030" s="46">
        <v>45428</v>
      </c>
      <c r="F4030" s="45" t="s">
        <v>721</v>
      </c>
      <c r="I4030" t="s">
        <v>818</v>
      </c>
    </row>
    <row r="4031" spans="1:9" hidden="1" x14ac:dyDescent="0.3">
      <c r="A4031" t="s">
        <v>748</v>
      </c>
      <c r="B4031" s="46">
        <v>45188</v>
      </c>
      <c r="C4031" s="45">
        <v>-405</v>
      </c>
      <c r="D4031" t="s">
        <v>903</v>
      </c>
      <c r="E4031" s="46">
        <v>45215</v>
      </c>
      <c r="F4031" s="45" t="s">
        <v>721</v>
      </c>
      <c r="I4031" t="s">
        <v>818</v>
      </c>
    </row>
    <row r="4032" spans="1:9" hidden="1" x14ac:dyDescent="0.3">
      <c r="A4032" t="s">
        <v>722</v>
      </c>
      <c r="B4032" s="46">
        <v>45350</v>
      </c>
      <c r="C4032" s="45">
        <v>-4000</v>
      </c>
      <c r="D4032" t="s">
        <v>1358</v>
      </c>
      <c r="E4032" s="46">
        <v>45366</v>
      </c>
      <c r="F4032" s="45" t="s">
        <v>721</v>
      </c>
      <c r="I4032" t="s">
        <v>899</v>
      </c>
    </row>
    <row r="4033" spans="1:9" hidden="1" x14ac:dyDescent="0.3">
      <c r="A4033" t="s">
        <v>734</v>
      </c>
      <c r="B4033" s="46">
        <v>45337</v>
      </c>
      <c r="C4033" s="45">
        <v>-18000</v>
      </c>
      <c r="D4033" t="s">
        <v>855</v>
      </c>
      <c r="E4033" s="46">
        <v>45366</v>
      </c>
      <c r="F4033" s="45" t="s">
        <v>721</v>
      </c>
      <c r="I4033" t="s">
        <v>760</v>
      </c>
    </row>
    <row r="4034" spans="1:9" hidden="1" x14ac:dyDescent="0.3">
      <c r="A4034" t="s">
        <v>727</v>
      </c>
      <c r="B4034" s="46">
        <v>45322</v>
      </c>
      <c r="C4034" s="45">
        <v>-23760</v>
      </c>
      <c r="D4034" t="s">
        <v>1226</v>
      </c>
      <c r="E4034" s="46">
        <v>45337</v>
      </c>
      <c r="F4034" s="45" t="s">
        <v>721</v>
      </c>
      <c r="I4034" t="s">
        <v>782</v>
      </c>
    </row>
    <row r="4035" spans="1:9" hidden="1" x14ac:dyDescent="0.3">
      <c r="A4035" t="s">
        <v>720</v>
      </c>
      <c r="B4035" s="46">
        <v>45370</v>
      </c>
      <c r="C4035" s="45">
        <v>-46300</v>
      </c>
      <c r="D4035" t="s">
        <v>1820</v>
      </c>
      <c r="E4035" s="46">
        <v>45438</v>
      </c>
      <c r="F4035" s="45" t="s">
        <v>721</v>
      </c>
      <c r="I4035" t="s">
        <v>2027</v>
      </c>
    </row>
    <row r="4036" spans="1:9" hidden="1" x14ac:dyDescent="0.3">
      <c r="A4036" t="s">
        <v>720</v>
      </c>
      <c r="B4036" s="46">
        <v>45370</v>
      </c>
      <c r="C4036" s="45">
        <v>-46300</v>
      </c>
      <c r="D4036" t="s">
        <v>1820</v>
      </c>
      <c r="E4036" s="46">
        <v>45438</v>
      </c>
      <c r="F4036" s="45" t="s">
        <v>721</v>
      </c>
      <c r="I4036" t="s">
        <v>2027</v>
      </c>
    </row>
    <row r="4037" spans="1:9" hidden="1" x14ac:dyDescent="0.3">
      <c r="A4037" t="s">
        <v>720</v>
      </c>
      <c r="B4037" s="46">
        <v>45370</v>
      </c>
      <c r="C4037" s="45">
        <v>-46300</v>
      </c>
      <c r="D4037" t="s">
        <v>1820</v>
      </c>
      <c r="E4037" s="46">
        <v>45438</v>
      </c>
      <c r="F4037" s="45" t="s">
        <v>721</v>
      </c>
      <c r="I4037" t="s">
        <v>2027</v>
      </c>
    </row>
    <row r="4038" spans="1:9" hidden="1" x14ac:dyDescent="0.3">
      <c r="A4038" t="s">
        <v>734</v>
      </c>
      <c r="B4038" s="46">
        <v>45250</v>
      </c>
      <c r="C4038" s="45">
        <v>-64458</v>
      </c>
      <c r="D4038" t="s">
        <v>825</v>
      </c>
      <c r="E4038" s="46">
        <v>45275</v>
      </c>
      <c r="F4038" s="45" t="s">
        <v>731</v>
      </c>
      <c r="G4038" t="s">
        <v>732</v>
      </c>
      <c r="H4038">
        <v>48.97</v>
      </c>
      <c r="I4038" t="s">
        <v>738</v>
      </c>
    </row>
    <row r="4039" spans="1:9" hidden="1" x14ac:dyDescent="0.3">
      <c r="A4039" t="s">
        <v>794</v>
      </c>
      <c r="B4039" s="46">
        <v>45319</v>
      </c>
      <c r="C4039" s="45">
        <v>-68000</v>
      </c>
      <c r="D4039" t="s">
        <v>897</v>
      </c>
      <c r="E4039" s="46">
        <v>45338</v>
      </c>
      <c r="F4039" s="45" t="s">
        <v>721</v>
      </c>
      <c r="I4039" t="s">
        <v>818</v>
      </c>
    </row>
    <row r="4040" spans="1:9" hidden="1" x14ac:dyDescent="0.3">
      <c r="A4040" t="s">
        <v>743</v>
      </c>
      <c r="B4040" s="46">
        <v>45218</v>
      </c>
      <c r="C4040" s="45">
        <v>-341178</v>
      </c>
      <c r="D4040" t="s">
        <v>753</v>
      </c>
      <c r="E4040" s="46">
        <v>45256</v>
      </c>
      <c r="F4040" s="45" t="s">
        <v>731</v>
      </c>
      <c r="G4040" t="s">
        <v>732</v>
      </c>
      <c r="H4040">
        <v>-247.5</v>
      </c>
      <c r="I4040" t="s">
        <v>733</v>
      </c>
    </row>
    <row r="4041" spans="1:9" hidden="1" x14ac:dyDescent="0.3"/>
    <row r="4042" spans="1:9" hidden="1" x14ac:dyDescent="0.3"/>
    <row r="4043" spans="1:9" hidden="1" x14ac:dyDescent="0.3"/>
    <row r="4044" spans="1:9" hidden="1" x14ac:dyDescent="0.3"/>
    <row r="4045" spans="1:9" hidden="1" x14ac:dyDescent="0.3"/>
    <row r="4046" spans="1:9" hidden="1" x14ac:dyDescent="0.3"/>
    <row r="4047" spans="1:9" hidden="1" x14ac:dyDescent="0.3"/>
    <row r="4048" spans="1:9" hidden="1" x14ac:dyDescent="0.3"/>
    <row r="4049" hidden="1" x14ac:dyDescent="0.3"/>
    <row r="4050" hidden="1" x14ac:dyDescent="0.3"/>
    <row r="4051" hidden="1" x14ac:dyDescent="0.3"/>
    <row r="4052" hidden="1" x14ac:dyDescent="0.3"/>
    <row r="4053" hidden="1" x14ac:dyDescent="0.3"/>
    <row r="4054" hidden="1" x14ac:dyDescent="0.3"/>
    <row r="4055" hidden="1" x14ac:dyDescent="0.3"/>
    <row r="4056" hidden="1" x14ac:dyDescent="0.3"/>
    <row r="4057" hidden="1" x14ac:dyDescent="0.3"/>
    <row r="4058" hidden="1" x14ac:dyDescent="0.3"/>
    <row r="4059" hidden="1" x14ac:dyDescent="0.3"/>
    <row r="4060" hidden="1" x14ac:dyDescent="0.3"/>
    <row r="4061" hidden="1" x14ac:dyDescent="0.3"/>
    <row r="4062" hidden="1" x14ac:dyDescent="0.3"/>
    <row r="4063" hidden="1" x14ac:dyDescent="0.3"/>
    <row r="4064" hidden="1" x14ac:dyDescent="0.3"/>
    <row r="4065" hidden="1" x14ac:dyDescent="0.3"/>
    <row r="4066" hidden="1" x14ac:dyDescent="0.3"/>
    <row r="4067" hidden="1" x14ac:dyDescent="0.3"/>
    <row r="4068" hidden="1" x14ac:dyDescent="0.3"/>
    <row r="4069" hidden="1" x14ac:dyDescent="0.3"/>
    <row r="4070" hidden="1" x14ac:dyDescent="0.3"/>
    <row r="4071" hidden="1" x14ac:dyDescent="0.3"/>
    <row r="4072" hidden="1" x14ac:dyDescent="0.3"/>
    <row r="4073" hidden="1" x14ac:dyDescent="0.3"/>
    <row r="4074" hidden="1" x14ac:dyDescent="0.3"/>
    <row r="4075" hidden="1" x14ac:dyDescent="0.3"/>
    <row r="4076" hidden="1" x14ac:dyDescent="0.3"/>
    <row r="4077" hidden="1" x14ac:dyDescent="0.3"/>
    <row r="4078" hidden="1" x14ac:dyDescent="0.3"/>
    <row r="4079" hidden="1" x14ac:dyDescent="0.3"/>
    <row r="4080" hidden="1" x14ac:dyDescent="0.3"/>
    <row r="4081" hidden="1" x14ac:dyDescent="0.3"/>
    <row r="4082" hidden="1" x14ac:dyDescent="0.3"/>
    <row r="4083" hidden="1" x14ac:dyDescent="0.3"/>
    <row r="4084" hidden="1" x14ac:dyDescent="0.3"/>
    <row r="4085" hidden="1" x14ac:dyDescent="0.3"/>
    <row r="4086" hidden="1" x14ac:dyDescent="0.3"/>
    <row r="4087" hidden="1" x14ac:dyDescent="0.3"/>
    <row r="4088" hidden="1" x14ac:dyDescent="0.3"/>
    <row r="4089" hidden="1" x14ac:dyDescent="0.3"/>
    <row r="4090" hidden="1" x14ac:dyDescent="0.3"/>
    <row r="4091" hidden="1" x14ac:dyDescent="0.3"/>
    <row r="4092" hidden="1" x14ac:dyDescent="0.3"/>
    <row r="4093" hidden="1" x14ac:dyDescent="0.3"/>
    <row r="4094" hidden="1" x14ac:dyDescent="0.3"/>
    <row r="4095" hidden="1" x14ac:dyDescent="0.3"/>
    <row r="4096" hidden="1" x14ac:dyDescent="0.3"/>
    <row r="4097" hidden="1" x14ac:dyDescent="0.3"/>
    <row r="4098" hidden="1" x14ac:dyDescent="0.3"/>
    <row r="4099" hidden="1" x14ac:dyDescent="0.3"/>
    <row r="4100" hidden="1" x14ac:dyDescent="0.3"/>
    <row r="4101" hidden="1" x14ac:dyDescent="0.3"/>
    <row r="4102" hidden="1" x14ac:dyDescent="0.3"/>
    <row r="4103" hidden="1" x14ac:dyDescent="0.3"/>
    <row r="4104" hidden="1" x14ac:dyDescent="0.3"/>
    <row r="4105" hidden="1" x14ac:dyDescent="0.3"/>
    <row r="4106" hidden="1" x14ac:dyDescent="0.3"/>
    <row r="4107" hidden="1" x14ac:dyDescent="0.3"/>
    <row r="4108" hidden="1" x14ac:dyDescent="0.3"/>
    <row r="4109" hidden="1" x14ac:dyDescent="0.3"/>
    <row r="4110" hidden="1" x14ac:dyDescent="0.3"/>
    <row r="4111" hidden="1" x14ac:dyDescent="0.3"/>
    <row r="4112" hidden="1" x14ac:dyDescent="0.3"/>
    <row r="4113" hidden="1" x14ac:dyDescent="0.3"/>
    <row r="4114" hidden="1" x14ac:dyDescent="0.3"/>
    <row r="4115" hidden="1" x14ac:dyDescent="0.3"/>
    <row r="4116" hidden="1" x14ac:dyDescent="0.3"/>
    <row r="4117" hidden="1" x14ac:dyDescent="0.3"/>
    <row r="4118" hidden="1" x14ac:dyDescent="0.3"/>
    <row r="4119" hidden="1" x14ac:dyDescent="0.3"/>
    <row r="4120" hidden="1" x14ac:dyDescent="0.3"/>
    <row r="4121" hidden="1" x14ac:dyDescent="0.3"/>
    <row r="4122" hidden="1" x14ac:dyDescent="0.3"/>
    <row r="4123" hidden="1" x14ac:dyDescent="0.3"/>
    <row r="4124" hidden="1" x14ac:dyDescent="0.3"/>
    <row r="4125" hidden="1" x14ac:dyDescent="0.3"/>
    <row r="4126" hidden="1" x14ac:dyDescent="0.3"/>
    <row r="4127" hidden="1" x14ac:dyDescent="0.3"/>
    <row r="4128" hidden="1" x14ac:dyDescent="0.3"/>
    <row r="4129" hidden="1" x14ac:dyDescent="0.3"/>
    <row r="4130" hidden="1" x14ac:dyDescent="0.3"/>
    <row r="4131" hidden="1" x14ac:dyDescent="0.3"/>
    <row r="4132" hidden="1" x14ac:dyDescent="0.3"/>
    <row r="4133" hidden="1" x14ac:dyDescent="0.3"/>
    <row r="4134" hidden="1" x14ac:dyDescent="0.3"/>
    <row r="4135" hidden="1" x14ac:dyDescent="0.3"/>
    <row r="4136" hidden="1" x14ac:dyDescent="0.3"/>
    <row r="4137" hidden="1" x14ac:dyDescent="0.3"/>
    <row r="4138" hidden="1" x14ac:dyDescent="0.3"/>
    <row r="4139" hidden="1" x14ac:dyDescent="0.3"/>
    <row r="4140" hidden="1" x14ac:dyDescent="0.3"/>
    <row r="4141" hidden="1" x14ac:dyDescent="0.3"/>
    <row r="4142" hidden="1" x14ac:dyDescent="0.3"/>
    <row r="4143" hidden="1" x14ac:dyDescent="0.3"/>
    <row r="4144" hidden="1" x14ac:dyDescent="0.3"/>
    <row r="4145" hidden="1" x14ac:dyDescent="0.3"/>
    <row r="4146" hidden="1" x14ac:dyDescent="0.3"/>
    <row r="4147" hidden="1" x14ac:dyDescent="0.3"/>
    <row r="4148" hidden="1" x14ac:dyDescent="0.3"/>
    <row r="4149" hidden="1" x14ac:dyDescent="0.3"/>
    <row r="4150" hidden="1" x14ac:dyDescent="0.3"/>
    <row r="4151" hidden="1" x14ac:dyDescent="0.3"/>
    <row r="4152" hidden="1" x14ac:dyDescent="0.3"/>
    <row r="4153" hidden="1" x14ac:dyDescent="0.3"/>
    <row r="4154" hidden="1" x14ac:dyDescent="0.3"/>
    <row r="4155" hidden="1" x14ac:dyDescent="0.3"/>
    <row r="4156" hidden="1" x14ac:dyDescent="0.3"/>
    <row r="4157" hidden="1" x14ac:dyDescent="0.3"/>
    <row r="4158" hidden="1" x14ac:dyDescent="0.3"/>
    <row r="4159" hidden="1" x14ac:dyDescent="0.3"/>
    <row r="4160" hidden="1" x14ac:dyDescent="0.3"/>
    <row r="4161" hidden="1" x14ac:dyDescent="0.3"/>
    <row r="4162" hidden="1" x14ac:dyDescent="0.3"/>
    <row r="4163" hidden="1" x14ac:dyDescent="0.3"/>
    <row r="4164" hidden="1" x14ac:dyDescent="0.3"/>
    <row r="4165" hidden="1" x14ac:dyDescent="0.3"/>
    <row r="4166" hidden="1" x14ac:dyDescent="0.3"/>
    <row r="4167" hidden="1" x14ac:dyDescent="0.3"/>
    <row r="4168" hidden="1" x14ac:dyDescent="0.3"/>
    <row r="4169" hidden="1" x14ac:dyDescent="0.3"/>
    <row r="4170" hidden="1" x14ac:dyDescent="0.3"/>
    <row r="4171" hidden="1" x14ac:dyDescent="0.3"/>
    <row r="4172" hidden="1" x14ac:dyDescent="0.3"/>
    <row r="4173" hidden="1" x14ac:dyDescent="0.3"/>
    <row r="4174" hidden="1" x14ac:dyDescent="0.3"/>
    <row r="4175" hidden="1" x14ac:dyDescent="0.3"/>
    <row r="4176" hidden="1" x14ac:dyDescent="0.3"/>
    <row r="4177" hidden="1" x14ac:dyDescent="0.3"/>
    <row r="4178" hidden="1" x14ac:dyDescent="0.3"/>
    <row r="4179" hidden="1" x14ac:dyDescent="0.3"/>
    <row r="4180" hidden="1" x14ac:dyDescent="0.3"/>
    <row r="4181" hidden="1" x14ac:dyDescent="0.3"/>
    <row r="4182" hidden="1" x14ac:dyDescent="0.3"/>
    <row r="4183" hidden="1" x14ac:dyDescent="0.3"/>
    <row r="4184" hidden="1" x14ac:dyDescent="0.3"/>
    <row r="4185" hidden="1" x14ac:dyDescent="0.3"/>
    <row r="4186" hidden="1" x14ac:dyDescent="0.3"/>
    <row r="4187" hidden="1" x14ac:dyDescent="0.3"/>
    <row r="4188" hidden="1" x14ac:dyDescent="0.3"/>
    <row r="4189" hidden="1" x14ac:dyDescent="0.3"/>
    <row r="4190" hidden="1" x14ac:dyDescent="0.3"/>
    <row r="4191" hidden="1" x14ac:dyDescent="0.3"/>
    <row r="4192" hidden="1" x14ac:dyDescent="0.3"/>
    <row r="4193" hidden="1" x14ac:dyDescent="0.3"/>
    <row r="4194" hidden="1" x14ac:dyDescent="0.3"/>
    <row r="4195" hidden="1" x14ac:dyDescent="0.3"/>
    <row r="4196" hidden="1" x14ac:dyDescent="0.3"/>
    <row r="4197" hidden="1" x14ac:dyDescent="0.3"/>
    <row r="4198" hidden="1" x14ac:dyDescent="0.3"/>
    <row r="4199" hidden="1" x14ac:dyDescent="0.3"/>
    <row r="4200" hidden="1" x14ac:dyDescent="0.3"/>
    <row r="4201" hidden="1" x14ac:dyDescent="0.3"/>
    <row r="4202" hidden="1" x14ac:dyDescent="0.3"/>
    <row r="4203" hidden="1" x14ac:dyDescent="0.3"/>
    <row r="4204" hidden="1" x14ac:dyDescent="0.3"/>
    <row r="4205" hidden="1" x14ac:dyDescent="0.3"/>
    <row r="4206" hidden="1" x14ac:dyDescent="0.3"/>
    <row r="4207" hidden="1" x14ac:dyDescent="0.3"/>
    <row r="4208" hidden="1" x14ac:dyDescent="0.3"/>
    <row r="4209" hidden="1" x14ac:dyDescent="0.3"/>
    <row r="4210" hidden="1" x14ac:dyDescent="0.3"/>
    <row r="4211" hidden="1" x14ac:dyDescent="0.3"/>
    <row r="4212" hidden="1" x14ac:dyDescent="0.3"/>
    <row r="4213" hidden="1" x14ac:dyDescent="0.3"/>
    <row r="4214" hidden="1" x14ac:dyDescent="0.3"/>
    <row r="4215" hidden="1" x14ac:dyDescent="0.3"/>
    <row r="4216" hidden="1" x14ac:dyDescent="0.3"/>
    <row r="4217" hidden="1" x14ac:dyDescent="0.3"/>
    <row r="4218" hidden="1" x14ac:dyDescent="0.3"/>
    <row r="4219" hidden="1" x14ac:dyDescent="0.3"/>
    <row r="4220" hidden="1" x14ac:dyDescent="0.3"/>
    <row r="4221" hidden="1" x14ac:dyDescent="0.3"/>
    <row r="4222" hidden="1" x14ac:dyDescent="0.3"/>
    <row r="4223" hidden="1" x14ac:dyDescent="0.3"/>
    <row r="4224" hidden="1" x14ac:dyDescent="0.3"/>
    <row r="4225" hidden="1" x14ac:dyDescent="0.3"/>
    <row r="4226" hidden="1" x14ac:dyDescent="0.3"/>
    <row r="4227" hidden="1" x14ac:dyDescent="0.3"/>
    <row r="4228" hidden="1" x14ac:dyDescent="0.3"/>
    <row r="4229" hidden="1" x14ac:dyDescent="0.3"/>
    <row r="4230" hidden="1" x14ac:dyDescent="0.3"/>
    <row r="4231" hidden="1" x14ac:dyDescent="0.3"/>
    <row r="4232" hidden="1" x14ac:dyDescent="0.3"/>
    <row r="4233" hidden="1" x14ac:dyDescent="0.3"/>
    <row r="4234" hidden="1" x14ac:dyDescent="0.3"/>
    <row r="4235" hidden="1" x14ac:dyDescent="0.3"/>
    <row r="4236" hidden="1" x14ac:dyDescent="0.3"/>
    <row r="4237" hidden="1" x14ac:dyDescent="0.3"/>
    <row r="4238" hidden="1" x14ac:dyDescent="0.3"/>
    <row r="4239" hidden="1" x14ac:dyDescent="0.3"/>
    <row r="4240" hidden="1" x14ac:dyDescent="0.3"/>
    <row r="4241" hidden="1" x14ac:dyDescent="0.3"/>
    <row r="4242" hidden="1" x14ac:dyDescent="0.3"/>
    <row r="4243" hidden="1" x14ac:dyDescent="0.3"/>
    <row r="4244" hidden="1" x14ac:dyDescent="0.3"/>
    <row r="4245" hidden="1" x14ac:dyDescent="0.3"/>
    <row r="4246" hidden="1" x14ac:dyDescent="0.3"/>
    <row r="4247" hidden="1" x14ac:dyDescent="0.3"/>
    <row r="4248" hidden="1" x14ac:dyDescent="0.3"/>
    <row r="4249" hidden="1" x14ac:dyDescent="0.3"/>
    <row r="4250" hidden="1" x14ac:dyDescent="0.3"/>
    <row r="4251" hidden="1" x14ac:dyDescent="0.3"/>
    <row r="4252" hidden="1" x14ac:dyDescent="0.3"/>
    <row r="4253" hidden="1" x14ac:dyDescent="0.3"/>
    <row r="4254" hidden="1" x14ac:dyDescent="0.3"/>
    <row r="4255" hidden="1" x14ac:dyDescent="0.3"/>
    <row r="4256" hidden="1" x14ac:dyDescent="0.3"/>
    <row r="4257" hidden="1" x14ac:dyDescent="0.3"/>
    <row r="4258" hidden="1" x14ac:dyDescent="0.3"/>
    <row r="4259" hidden="1" x14ac:dyDescent="0.3"/>
    <row r="4260" hidden="1" x14ac:dyDescent="0.3"/>
    <row r="4261" hidden="1" x14ac:dyDescent="0.3"/>
    <row r="4262" hidden="1" x14ac:dyDescent="0.3"/>
    <row r="4263" hidden="1" x14ac:dyDescent="0.3"/>
    <row r="4264" hidden="1" x14ac:dyDescent="0.3"/>
    <row r="4265" hidden="1" x14ac:dyDescent="0.3"/>
    <row r="4266" hidden="1" x14ac:dyDescent="0.3"/>
    <row r="4267" hidden="1" x14ac:dyDescent="0.3"/>
    <row r="4268" hidden="1" x14ac:dyDescent="0.3"/>
    <row r="4269" hidden="1" x14ac:dyDescent="0.3"/>
    <row r="4270" hidden="1" x14ac:dyDescent="0.3"/>
    <row r="4271" hidden="1" x14ac:dyDescent="0.3"/>
    <row r="4272" hidden="1" x14ac:dyDescent="0.3"/>
    <row r="4273" hidden="1" x14ac:dyDescent="0.3"/>
    <row r="4274" hidden="1" x14ac:dyDescent="0.3"/>
    <row r="4275" hidden="1" x14ac:dyDescent="0.3"/>
    <row r="4276" hidden="1" x14ac:dyDescent="0.3"/>
    <row r="4277" hidden="1" x14ac:dyDescent="0.3"/>
    <row r="4278" hidden="1" x14ac:dyDescent="0.3"/>
    <row r="4279" hidden="1" x14ac:dyDescent="0.3"/>
    <row r="4280" hidden="1" x14ac:dyDescent="0.3"/>
    <row r="4281" hidden="1" x14ac:dyDescent="0.3"/>
    <row r="4282" hidden="1" x14ac:dyDescent="0.3"/>
    <row r="4283" hidden="1" x14ac:dyDescent="0.3"/>
    <row r="4284" hidden="1" x14ac:dyDescent="0.3"/>
    <row r="4285" hidden="1" x14ac:dyDescent="0.3"/>
    <row r="4286" hidden="1" x14ac:dyDescent="0.3"/>
    <row r="4287" hidden="1" x14ac:dyDescent="0.3"/>
    <row r="4288" hidden="1" x14ac:dyDescent="0.3"/>
    <row r="4289" hidden="1" x14ac:dyDescent="0.3"/>
    <row r="4290" hidden="1" x14ac:dyDescent="0.3"/>
    <row r="4291" hidden="1" x14ac:dyDescent="0.3"/>
    <row r="4292" hidden="1" x14ac:dyDescent="0.3"/>
    <row r="4293" hidden="1" x14ac:dyDescent="0.3"/>
    <row r="4294" hidden="1" x14ac:dyDescent="0.3"/>
    <row r="4295" hidden="1" x14ac:dyDescent="0.3"/>
    <row r="4296" hidden="1" x14ac:dyDescent="0.3"/>
    <row r="4297" hidden="1" x14ac:dyDescent="0.3"/>
    <row r="4298" hidden="1" x14ac:dyDescent="0.3"/>
    <row r="4299" hidden="1" x14ac:dyDescent="0.3"/>
    <row r="4300" hidden="1" x14ac:dyDescent="0.3"/>
    <row r="4301" hidden="1" x14ac:dyDescent="0.3"/>
    <row r="4302" hidden="1" x14ac:dyDescent="0.3"/>
    <row r="4303" hidden="1" x14ac:dyDescent="0.3"/>
    <row r="430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spans="1:11" hidden="1" x14ac:dyDescent="0.3"/>
    <row r="4994" spans="1:11" hidden="1" x14ac:dyDescent="0.3"/>
    <row r="4995" spans="1:11" hidden="1" x14ac:dyDescent="0.3"/>
    <row r="4996" spans="1:11" hidden="1" x14ac:dyDescent="0.3"/>
    <row r="4997" spans="1:11" hidden="1" x14ac:dyDescent="0.3"/>
    <row r="4998" spans="1:11" hidden="1" x14ac:dyDescent="0.3"/>
    <row r="4999" spans="1:11" hidden="1" x14ac:dyDescent="0.3"/>
    <row r="5001" spans="1:11" x14ac:dyDescent="0.3">
      <c r="A5001" t="s">
        <v>1426</v>
      </c>
      <c r="B5001" s="46" t="s">
        <v>711</v>
      </c>
      <c r="C5001" s="45" t="s">
        <v>1427</v>
      </c>
      <c r="D5001" t="s">
        <v>1428</v>
      </c>
      <c r="E5001" s="46" t="s">
        <v>1429</v>
      </c>
      <c r="F5001" s="45" t="s">
        <v>1430</v>
      </c>
      <c r="G5001" t="s">
        <v>1431</v>
      </c>
      <c r="H5001" t="s">
        <v>1432</v>
      </c>
      <c r="I5001" t="s">
        <v>1433</v>
      </c>
      <c r="J5001" t="s">
        <v>1434</v>
      </c>
      <c r="K5001" t="s">
        <v>1435</v>
      </c>
    </row>
    <row r="5002" spans="1:11" hidden="1" x14ac:dyDescent="0.3">
      <c r="A5002" s="46">
        <v>45351</v>
      </c>
      <c r="B5002" s="46" t="s">
        <v>729</v>
      </c>
      <c r="D5002" t="s">
        <v>1440</v>
      </c>
      <c r="E5002" s="46" t="s">
        <v>1436</v>
      </c>
      <c r="F5002" s="45">
        <v>3150000</v>
      </c>
      <c r="G5002" t="s">
        <v>1471</v>
      </c>
      <c r="H5002" t="s">
        <v>1469</v>
      </c>
      <c r="I5002" t="s">
        <v>1470</v>
      </c>
      <c r="K5002" t="s">
        <v>1817</v>
      </c>
    </row>
    <row r="5003" spans="1:11" x14ac:dyDescent="0.3">
      <c r="A5003" s="46">
        <v>45357</v>
      </c>
      <c r="B5003" s="46" t="s">
        <v>772</v>
      </c>
      <c r="D5003" t="s">
        <v>1619</v>
      </c>
      <c r="E5003" s="46" t="s">
        <v>1436</v>
      </c>
      <c r="F5003" s="45">
        <v>2353603</v>
      </c>
      <c r="G5003" t="s">
        <v>1480</v>
      </c>
      <c r="H5003" t="s">
        <v>1447</v>
      </c>
      <c r="I5003" t="s">
        <v>1617</v>
      </c>
      <c r="J5003">
        <v>10</v>
      </c>
      <c r="K5003" t="s">
        <v>1658</v>
      </c>
    </row>
    <row r="5004" spans="1:11" hidden="1" x14ac:dyDescent="0.3">
      <c r="A5004" s="46">
        <v>45350</v>
      </c>
      <c r="B5004" s="46" t="s">
        <v>727</v>
      </c>
      <c r="D5004" t="s">
        <v>1616</v>
      </c>
      <c r="E5004" s="46" t="s">
        <v>1436</v>
      </c>
      <c r="F5004" s="45">
        <v>2235863</v>
      </c>
      <c r="G5004" t="s">
        <v>1463</v>
      </c>
      <c r="H5004" t="s">
        <v>1447</v>
      </c>
      <c r="I5004" t="s">
        <v>1617</v>
      </c>
      <c r="K5004" t="s">
        <v>1659</v>
      </c>
    </row>
    <row r="5005" spans="1:11" x14ac:dyDescent="0.3">
      <c r="A5005" s="46">
        <v>45370</v>
      </c>
      <c r="B5005" s="46" t="s">
        <v>727</v>
      </c>
      <c r="D5005" t="s">
        <v>1357</v>
      </c>
      <c r="E5005" s="46" t="s">
        <v>1436</v>
      </c>
      <c r="F5005" s="45">
        <v>1668800</v>
      </c>
      <c r="G5005" t="s">
        <v>1463</v>
      </c>
      <c r="H5005" t="s">
        <v>1484</v>
      </c>
      <c r="I5005" t="s">
        <v>1818</v>
      </c>
      <c r="K5005" t="s">
        <v>1819</v>
      </c>
    </row>
    <row r="5006" spans="1:11" hidden="1" x14ac:dyDescent="0.3">
      <c r="A5006" s="46">
        <v>45327</v>
      </c>
      <c r="B5006" s="46" t="s">
        <v>734</v>
      </c>
      <c r="D5006" t="s">
        <v>1604</v>
      </c>
      <c r="E5006" s="46" t="s">
        <v>1436</v>
      </c>
      <c r="F5006" s="45">
        <v>1504800</v>
      </c>
      <c r="G5006" t="s">
        <v>1441</v>
      </c>
      <c r="H5006" t="s">
        <v>1448</v>
      </c>
      <c r="I5006" t="s">
        <v>1449</v>
      </c>
      <c r="K5006" t="s">
        <v>1660</v>
      </c>
    </row>
    <row r="5007" spans="1:11" hidden="1" x14ac:dyDescent="0.3">
      <c r="A5007" s="46">
        <v>45404</v>
      </c>
      <c r="B5007" s="46" t="s">
        <v>748</v>
      </c>
      <c r="D5007" t="s">
        <v>1440</v>
      </c>
      <c r="E5007" s="46" t="s">
        <v>1436</v>
      </c>
      <c r="F5007" s="45">
        <v>1038000</v>
      </c>
      <c r="G5007" t="s">
        <v>1451</v>
      </c>
      <c r="H5007" t="s">
        <v>1469</v>
      </c>
      <c r="I5007" t="s">
        <v>1470</v>
      </c>
      <c r="K5007" t="s">
        <v>2154</v>
      </c>
    </row>
    <row r="5008" spans="1:11" hidden="1" x14ac:dyDescent="0.3">
      <c r="A5008" s="46">
        <v>45371</v>
      </c>
      <c r="B5008" s="46" t="s">
        <v>724</v>
      </c>
      <c r="D5008" t="s">
        <v>1826</v>
      </c>
      <c r="E5008" s="46" t="s">
        <v>1436</v>
      </c>
      <c r="F5008" s="45">
        <v>963780</v>
      </c>
      <c r="G5008" t="s">
        <v>1437</v>
      </c>
      <c r="H5008" t="s">
        <v>1445</v>
      </c>
      <c r="I5008" t="s">
        <v>1446</v>
      </c>
      <c r="K5008" t="s">
        <v>1827</v>
      </c>
    </row>
    <row r="5009" spans="1:11" hidden="1" x14ac:dyDescent="0.3">
      <c r="A5009" s="46">
        <v>45314</v>
      </c>
      <c r="B5009" s="46" t="s">
        <v>748</v>
      </c>
      <c r="D5009" t="s">
        <v>1440</v>
      </c>
      <c r="E5009" s="46" t="s">
        <v>1436</v>
      </c>
      <c r="F5009" s="45">
        <v>841500</v>
      </c>
      <c r="G5009" t="s">
        <v>1437</v>
      </c>
      <c r="H5009" t="s">
        <v>1438</v>
      </c>
      <c r="I5009" t="s">
        <v>1439</v>
      </c>
      <c r="J5009">
        <v>1</v>
      </c>
      <c r="K5009">
        <v>0</v>
      </c>
    </row>
    <row r="5010" spans="1:11" hidden="1" x14ac:dyDescent="0.3">
      <c r="A5010" s="46">
        <v>45307</v>
      </c>
      <c r="B5010" s="46" t="s">
        <v>722</v>
      </c>
      <c r="D5010" t="s">
        <v>754</v>
      </c>
      <c r="E5010" s="46" t="s">
        <v>1436</v>
      </c>
      <c r="F5010" s="45">
        <v>674000</v>
      </c>
      <c r="G5010" t="s">
        <v>1437</v>
      </c>
      <c r="H5010" t="s">
        <v>1447</v>
      </c>
      <c r="I5010" t="s">
        <v>1455</v>
      </c>
      <c r="K5010" t="s">
        <v>1661</v>
      </c>
    </row>
    <row r="5011" spans="1:11" hidden="1" x14ac:dyDescent="0.3">
      <c r="A5011" s="46">
        <v>45348</v>
      </c>
      <c r="B5011" s="46" t="s">
        <v>727</v>
      </c>
      <c r="D5011" t="s">
        <v>754</v>
      </c>
      <c r="E5011" s="46" t="s">
        <v>1436</v>
      </c>
      <c r="F5011" s="45">
        <v>674000</v>
      </c>
      <c r="G5011" t="s">
        <v>1460</v>
      </c>
      <c r="H5011" t="s">
        <v>1447</v>
      </c>
      <c r="I5011" t="s">
        <v>1455</v>
      </c>
      <c r="K5011" t="s">
        <v>1662</v>
      </c>
    </row>
    <row r="5012" spans="1:11" hidden="1" x14ac:dyDescent="0.3">
      <c r="A5012" s="46">
        <v>45399</v>
      </c>
      <c r="B5012" s="46" t="s">
        <v>727</v>
      </c>
      <c r="D5012" t="s">
        <v>2155</v>
      </c>
      <c r="E5012" s="46" t="s">
        <v>1436</v>
      </c>
      <c r="F5012" s="45">
        <v>623700</v>
      </c>
      <c r="G5012" t="s">
        <v>1463</v>
      </c>
      <c r="H5012" t="s">
        <v>1484</v>
      </c>
      <c r="I5012" t="s">
        <v>1485</v>
      </c>
      <c r="K5012" t="s">
        <v>2156</v>
      </c>
    </row>
    <row r="5013" spans="1:11" hidden="1" x14ac:dyDescent="0.3">
      <c r="A5013" s="46">
        <v>45338</v>
      </c>
      <c r="B5013" s="46" t="s">
        <v>748</v>
      </c>
      <c r="D5013" t="s">
        <v>1459</v>
      </c>
      <c r="E5013" s="46" t="s">
        <v>1436</v>
      </c>
      <c r="F5013" s="45">
        <v>528100</v>
      </c>
      <c r="G5013" t="s">
        <v>1463</v>
      </c>
      <c r="H5013" t="s">
        <v>1438</v>
      </c>
      <c r="I5013" t="s">
        <v>1439</v>
      </c>
      <c r="K5013" t="s">
        <v>1465</v>
      </c>
    </row>
    <row r="5014" spans="1:11" hidden="1" x14ac:dyDescent="0.3">
      <c r="A5014" s="46">
        <v>45335</v>
      </c>
      <c r="B5014" s="46" t="s">
        <v>727</v>
      </c>
      <c r="D5014" t="s">
        <v>765</v>
      </c>
      <c r="E5014" s="46" t="s">
        <v>1436</v>
      </c>
      <c r="F5014" s="45">
        <v>504590</v>
      </c>
      <c r="G5014" t="s">
        <v>1460</v>
      </c>
      <c r="H5014" t="s">
        <v>1438</v>
      </c>
      <c r="I5014" t="s">
        <v>1439</v>
      </c>
      <c r="K5014" t="s">
        <v>1663</v>
      </c>
    </row>
    <row r="5015" spans="1:11" hidden="1" x14ac:dyDescent="0.3">
      <c r="A5015" s="46">
        <v>45376</v>
      </c>
      <c r="B5015" s="46" t="s">
        <v>722</v>
      </c>
      <c r="D5015" t="s">
        <v>1459</v>
      </c>
      <c r="E5015" s="46" t="s">
        <v>1436</v>
      </c>
      <c r="F5015" s="45">
        <v>494200</v>
      </c>
      <c r="G5015" t="s">
        <v>1462</v>
      </c>
      <c r="H5015" t="s">
        <v>1438</v>
      </c>
      <c r="I5015" t="s">
        <v>1439</v>
      </c>
      <c r="K5015" t="s">
        <v>1844</v>
      </c>
    </row>
    <row r="5016" spans="1:11" hidden="1" x14ac:dyDescent="0.3">
      <c r="A5016" s="46">
        <v>45411</v>
      </c>
      <c r="B5016" s="46" t="s">
        <v>727</v>
      </c>
      <c r="D5016" t="s">
        <v>765</v>
      </c>
      <c r="E5016" s="46" t="s">
        <v>1436</v>
      </c>
      <c r="F5016" s="45">
        <v>480460</v>
      </c>
      <c r="G5016" t="s">
        <v>1463</v>
      </c>
      <c r="H5016" t="s">
        <v>1438</v>
      </c>
      <c r="I5016" t="s">
        <v>1439</v>
      </c>
      <c r="K5016" t="s">
        <v>2157</v>
      </c>
    </row>
    <row r="5017" spans="1:11" hidden="1" x14ac:dyDescent="0.3">
      <c r="A5017" s="46">
        <v>45477</v>
      </c>
      <c r="B5017" s="46" t="s">
        <v>772</v>
      </c>
      <c r="D5017" t="s">
        <v>2136</v>
      </c>
      <c r="E5017" s="46" t="s">
        <v>1436</v>
      </c>
      <c r="F5017" s="45">
        <v>457600</v>
      </c>
      <c r="G5017" t="s">
        <v>1464</v>
      </c>
      <c r="H5017" t="s">
        <v>1452</v>
      </c>
      <c r="I5017" t="s">
        <v>1453</v>
      </c>
      <c r="K5017" t="s">
        <v>2377</v>
      </c>
    </row>
    <row r="5018" spans="1:11" hidden="1" x14ac:dyDescent="0.3">
      <c r="A5018" s="46">
        <v>45439</v>
      </c>
      <c r="B5018" s="46" t="s">
        <v>724</v>
      </c>
      <c r="D5018" t="s">
        <v>2028</v>
      </c>
      <c r="E5018" s="46" t="s">
        <v>1436</v>
      </c>
      <c r="F5018" s="45">
        <v>442000</v>
      </c>
      <c r="G5018" t="s">
        <v>1437</v>
      </c>
      <c r="H5018" t="s">
        <v>1438</v>
      </c>
      <c r="I5018" t="s">
        <v>1439</v>
      </c>
      <c r="J5018">
        <v>7</v>
      </c>
      <c r="K5018" t="s">
        <v>2158</v>
      </c>
    </row>
    <row r="5019" spans="1:11" hidden="1" x14ac:dyDescent="0.3">
      <c r="A5019" s="46">
        <v>45350</v>
      </c>
      <c r="B5019" s="46" t="s">
        <v>727</v>
      </c>
      <c r="D5019" t="s">
        <v>754</v>
      </c>
      <c r="E5019" s="46" t="s">
        <v>1436</v>
      </c>
      <c r="F5019" s="45">
        <v>428000</v>
      </c>
      <c r="G5019" t="s">
        <v>1463</v>
      </c>
      <c r="H5019" t="s">
        <v>1447</v>
      </c>
      <c r="I5019" t="s">
        <v>1455</v>
      </c>
      <c r="K5019" t="s">
        <v>1664</v>
      </c>
    </row>
    <row r="5020" spans="1:11" hidden="1" x14ac:dyDescent="0.3">
      <c r="A5020" s="46">
        <v>45461</v>
      </c>
      <c r="B5020" s="46" t="s">
        <v>767</v>
      </c>
      <c r="D5020" t="s">
        <v>2159</v>
      </c>
      <c r="E5020" s="46" t="s">
        <v>1436</v>
      </c>
      <c r="F5020" s="45">
        <v>405000</v>
      </c>
      <c r="G5020" t="s">
        <v>1460</v>
      </c>
      <c r="H5020" t="s">
        <v>1484</v>
      </c>
      <c r="I5020" t="s">
        <v>1485</v>
      </c>
      <c r="K5020" t="s">
        <v>2160</v>
      </c>
    </row>
    <row r="5021" spans="1:11" hidden="1" x14ac:dyDescent="0.3">
      <c r="A5021" s="46">
        <v>45429</v>
      </c>
      <c r="B5021" s="46" t="s">
        <v>767</v>
      </c>
      <c r="D5021" t="s">
        <v>1459</v>
      </c>
      <c r="E5021" s="46" t="s">
        <v>1436</v>
      </c>
      <c r="F5021" s="45">
        <v>390400</v>
      </c>
      <c r="G5021" t="s">
        <v>1460</v>
      </c>
      <c r="H5021" t="s">
        <v>1438</v>
      </c>
      <c r="I5021" t="s">
        <v>1439</v>
      </c>
      <c r="K5021" t="s">
        <v>2161</v>
      </c>
    </row>
    <row r="5022" spans="1:11" hidden="1" x14ac:dyDescent="0.3">
      <c r="A5022" s="46">
        <v>45294</v>
      </c>
      <c r="B5022" s="46" t="s">
        <v>724</v>
      </c>
      <c r="D5022" t="s">
        <v>739</v>
      </c>
      <c r="E5022" s="46" t="s">
        <v>1436</v>
      </c>
      <c r="F5022" s="45">
        <v>390000</v>
      </c>
      <c r="G5022" t="s">
        <v>1437</v>
      </c>
      <c r="H5022" t="s">
        <v>1442</v>
      </c>
      <c r="I5022" t="s">
        <v>1458</v>
      </c>
      <c r="K5022" t="s">
        <v>1497</v>
      </c>
    </row>
    <row r="5023" spans="1:11" hidden="1" x14ac:dyDescent="0.3">
      <c r="A5023" s="46">
        <v>45328</v>
      </c>
      <c r="B5023" s="46" t="s">
        <v>748</v>
      </c>
      <c r="D5023" t="s">
        <v>773</v>
      </c>
      <c r="E5023" s="46" t="s">
        <v>1436</v>
      </c>
      <c r="F5023" s="45">
        <v>385000</v>
      </c>
      <c r="G5023" t="s">
        <v>1479</v>
      </c>
      <c r="H5023" t="s">
        <v>1442</v>
      </c>
      <c r="I5023" t="s">
        <v>1443</v>
      </c>
      <c r="K5023" t="s">
        <v>1665</v>
      </c>
    </row>
    <row r="5024" spans="1:11" hidden="1" x14ac:dyDescent="0.3">
      <c r="A5024" s="46">
        <v>45323</v>
      </c>
      <c r="B5024" s="46" t="s">
        <v>724</v>
      </c>
      <c r="D5024" t="s">
        <v>739</v>
      </c>
      <c r="E5024" s="46" t="s">
        <v>1436</v>
      </c>
      <c r="F5024" s="45">
        <v>306000</v>
      </c>
      <c r="G5024" t="s">
        <v>1437</v>
      </c>
      <c r="H5024" t="s">
        <v>1469</v>
      </c>
      <c r="I5024" t="s">
        <v>1470</v>
      </c>
      <c r="K5024" t="s">
        <v>1666</v>
      </c>
    </row>
    <row r="5025" spans="1:11" hidden="1" x14ac:dyDescent="0.3">
      <c r="A5025" s="46">
        <v>45321</v>
      </c>
      <c r="B5025" s="46" t="s">
        <v>748</v>
      </c>
      <c r="D5025" t="s">
        <v>1477</v>
      </c>
      <c r="E5025" s="46" t="s">
        <v>1436</v>
      </c>
      <c r="F5025" s="45">
        <v>300000</v>
      </c>
      <c r="G5025" t="s">
        <v>1479</v>
      </c>
      <c r="H5025" t="s">
        <v>1475</v>
      </c>
      <c r="I5025" t="s">
        <v>1478</v>
      </c>
    </row>
    <row r="5026" spans="1:11" hidden="1" x14ac:dyDescent="0.3">
      <c r="A5026" s="46">
        <v>45322</v>
      </c>
      <c r="B5026" s="46" t="s">
        <v>748</v>
      </c>
      <c r="D5026" t="s">
        <v>1474</v>
      </c>
      <c r="E5026" s="46" t="s">
        <v>1436</v>
      </c>
      <c r="F5026" s="45">
        <v>300000</v>
      </c>
      <c r="G5026" t="s">
        <v>1479</v>
      </c>
      <c r="H5026" t="s">
        <v>1475</v>
      </c>
      <c r="I5026" t="s">
        <v>1476</v>
      </c>
    </row>
    <row r="5027" spans="1:11" hidden="1" x14ac:dyDescent="0.3">
      <c r="A5027" s="46">
        <v>45317</v>
      </c>
      <c r="B5027" s="46" t="s">
        <v>748</v>
      </c>
      <c r="D5027" t="s">
        <v>1474</v>
      </c>
      <c r="E5027" s="46" t="s">
        <v>1436</v>
      </c>
      <c r="F5027" s="45">
        <v>300000</v>
      </c>
      <c r="G5027" t="s">
        <v>1479</v>
      </c>
      <c r="H5027" t="s">
        <v>1475</v>
      </c>
      <c r="I5027" t="s">
        <v>1476</v>
      </c>
    </row>
    <row r="5028" spans="1:11" hidden="1" x14ac:dyDescent="0.3">
      <c r="A5028" s="46">
        <v>45315</v>
      </c>
      <c r="B5028" s="46" t="s">
        <v>748</v>
      </c>
      <c r="D5028" t="s">
        <v>1474</v>
      </c>
      <c r="E5028" s="46" t="s">
        <v>1436</v>
      </c>
      <c r="F5028" s="45">
        <v>300000</v>
      </c>
      <c r="G5028" t="s">
        <v>1479</v>
      </c>
      <c r="H5028" t="s">
        <v>1475</v>
      </c>
      <c r="I5028" t="s">
        <v>1476</v>
      </c>
    </row>
    <row r="5029" spans="1:11" hidden="1" x14ac:dyDescent="0.3">
      <c r="A5029" s="46">
        <v>45315</v>
      </c>
      <c r="B5029" s="46" t="s">
        <v>748</v>
      </c>
      <c r="D5029" t="s">
        <v>1474</v>
      </c>
      <c r="E5029" s="46" t="s">
        <v>1436</v>
      </c>
      <c r="F5029" s="45">
        <v>300000</v>
      </c>
      <c r="G5029" t="s">
        <v>1479</v>
      </c>
      <c r="H5029" t="s">
        <v>1475</v>
      </c>
      <c r="I5029" t="s">
        <v>1476</v>
      </c>
    </row>
    <row r="5030" spans="1:11" hidden="1" x14ac:dyDescent="0.3">
      <c r="A5030" s="46">
        <v>45315</v>
      </c>
      <c r="B5030" s="46" t="s">
        <v>734</v>
      </c>
      <c r="D5030" t="s">
        <v>1472</v>
      </c>
      <c r="E5030" s="46" t="s">
        <v>1436</v>
      </c>
      <c r="F5030" s="45">
        <v>300000</v>
      </c>
      <c r="G5030" t="s">
        <v>1441</v>
      </c>
      <c r="H5030" t="s">
        <v>1438</v>
      </c>
      <c r="I5030" t="s">
        <v>1439</v>
      </c>
    </row>
    <row r="5031" spans="1:11" hidden="1" x14ac:dyDescent="0.3">
      <c r="A5031" s="46">
        <v>45310</v>
      </c>
      <c r="B5031" s="46" t="s">
        <v>748</v>
      </c>
      <c r="D5031" t="s">
        <v>1474</v>
      </c>
      <c r="E5031" s="46" t="s">
        <v>1436</v>
      </c>
      <c r="F5031" s="45">
        <v>300000</v>
      </c>
      <c r="G5031" t="s">
        <v>1479</v>
      </c>
      <c r="H5031" t="s">
        <v>1475</v>
      </c>
      <c r="I5031" t="s">
        <v>1476</v>
      </c>
    </row>
    <row r="5032" spans="1:11" hidden="1" x14ac:dyDescent="0.3">
      <c r="A5032" s="46">
        <v>45296</v>
      </c>
      <c r="B5032" s="46" t="s">
        <v>748</v>
      </c>
      <c r="D5032" t="s">
        <v>1472</v>
      </c>
      <c r="E5032" s="46" t="s">
        <v>1436</v>
      </c>
      <c r="F5032" s="45">
        <v>300000</v>
      </c>
      <c r="G5032" t="s">
        <v>1479</v>
      </c>
      <c r="H5032" t="s">
        <v>1438</v>
      </c>
      <c r="I5032" t="s">
        <v>1439</v>
      </c>
      <c r="K5032" t="s">
        <v>1473</v>
      </c>
    </row>
    <row r="5033" spans="1:11" hidden="1" x14ac:dyDescent="0.3">
      <c r="A5033" s="46">
        <v>45308</v>
      </c>
      <c r="B5033" s="46" t="s">
        <v>748</v>
      </c>
      <c r="D5033" t="s">
        <v>1474</v>
      </c>
      <c r="E5033" s="46" t="s">
        <v>1436</v>
      </c>
      <c r="F5033" s="45">
        <v>300000</v>
      </c>
      <c r="G5033" t="s">
        <v>1479</v>
      </c>
      <c r="H5033" t="s">
        <v>1475</v>
      </c>
      <c r="I5033" t="s">
        <v>1476</v>
      </c>
    </row>
    <row r="5034" spans="1:11" hidden="1" x14ac:dyDescent="0.3">
      <c r="A5034" s="46">
        <v>45301</v>
      </c>
      <c r="B5034" s="46" t="s">
        <v>748</v>
      </c>
      <c r="D5034" t="s">
        <v>1474</v>
      </c>
      <c r="E5034" s="46" t="s">
        <v>1436</v>
      </c>
      <c r="F5034" s="45">
        <v>300000</v>
      </c>
      <c r="G5034" t="s">
        <v>1479</v>
      </c>
      <c r="H5034" t="s">
        <v>1475</v>
      </c>
      <c r="I5034" t="s">
        <v>1476</v>
      </c>
    </row>
    <row r="5035" spans="1:11" hidden="1" x14ac:dyDescent="0.3">
      <c r="A5035" s="46">
        <v>45301</v>
      </c>
      <c r="B5035" s="46" t="s">
        <v>748</v>
      </c>
      <c r="D5035" t="s">
        <v>1474</v>
      </c>
      <c r="E5035" s="46" t="s">
        <v>1436</v>
      </c>
      <c r="F5035" s="45">
        <v>300000</v>
      </c>
      <c r="G5035" t="s">
        <v>1479</v>
      </c>
      <c r="H5035" t="s">
        <v>1475</v>
      </c>
      <c r="I5035" t="s">
        <v>1476</v>
      </c>
    </row>
    <row r="5036" spans="1:11" hidden="1" x14ac:dyDescent="0.3">
      <c r="A5036" s="46">
        <v>45301</v>
      </c>
      <c r="B5036" s="46" t="s">
        <v>748</v>
      </c>
      <c r="D5036" t="s">
        <v>1474</v>
      </c>
      <c r="E5036" s="46" t="s">
        <v>1436</v>
      </c>
      <c r="F5036" s="45">
        <v>300000</v>
      </c>
      <c r="G5036" t="s">
        <v>1479</v>
      </c>
      <c r="H5036" t="s">
        <v>1475</v>
      </c>
      <c r="I5036" t="s">
        <v>1476</v>
      </c>
    </row>
    <row r="5037" spans="1:11" x14ac:dyDescent="0.3">
      <c r="A5037" s="46">
        <v>45303</v>
      </c>
      <c r="B5037" s="46" t="s">
        <v>748</v>
      </c>
      <c r="D5037" t="s">
        <v>1474</v>
      </c>
      <c r="E5037" s="46" t="s">
        <v>1436</v>
      </c>
      <c r="F5037" s="45">
        <v>300000</v>
      </c>
      <c r="G5037" t="s">
        <v>1479</v>
      </c>
      <c r="H5037" t="s">
        <v>1475</v>
      </c>
      <c r="I5037" t="s">
        <v>1476</v>
      </c>
    </row>
    <row r="5038" spans="1:11" x14ac:dyDescent="0.3">
      <c r="A5038" s="46">
        <v>45329</v>
      </c>
      <c r="B5038" s="46" t="s">
        <v>748</v>
      </c>
      <c r="D5038" t="s">
        <v>1474</v>
      </c>
      <c r="E5038" s="46" t="s">
        <v>1436</v>
      </c>
      <c r="F5038" s="45">
        <v>300000</v>
      </c>
      <c r="G5038" t="s">
        <v>1479</v>
      </c>
      <c r="H5038" t="s">
        <v>1475</v>
      </c>
      <c r="I5038" t="s">
        <v>1476</v>
      </c>
    </row>
    <row r="5039" spans="1:11" hidden="1" x14ac:dyDescent="0.3">
      <c r="A5039" s="46">
        <v>45324</v>
      </c>
      <c r="B5039" s="46" t="s">
        <v>748</v>
      </c>
      <c r="D5039" t="s">
        <v>1474</v>
      </c>
      <c r="E5039" s="46" t="s">
        <v>1436</v>
      </c>
      <c r="F5039" s="45">
        <v>300000</v>
      </c>
      <c r="G5039" t="s">
        <v>1479</v>
      </c>
      <c r="H5039" t="s">
        <v>1475</v>
      </c>
      <c r="I5039" t="s">
        <v>1476</v>
      </c>
    </row>
    <row r="5040" spans="1:11" hidden="1" x14ac:dyDescent="0.3">
      <c r="A5040" s="46">
        <v>45330</v>
      </c>
      <c r="B5040" s="46" t="s">
        <v>748</v>
      </c>
      <c r="D5040" t="s">
        <v>1474</v>
      </c>
      <c r="E5040" s="46" t="s">
        <v>1436</v>
      </c>
      <c r="F5040" s="45">
        <v>300000</v>
      </c>
      <c r="G5040" t="s">
        <v>1479</v>
      </c>
      <c r="H5040" t="s">
        <v>1475</v>
      </c>
      <c r="I5040" t="s">
        <v>1476</v>
      </c>
    </row>
    <row r="5041" spans="1:9" x14ac:dyDescent="0.3">
      <c r="A5041" s="46">
        <v>45336</v>
      </c>
      <c r="B5041" s="46" t="s">
        <v>748</v>
      </c>
      <c r="D5041" t="s">
        <v>1474</v>
      </c>
      <c r="E5041" s="46" t="s">
        <v>1436</v>
      </c>
      <c r="F5041" s="45">
        <v>300000</v>
      </c>
      <c r="G5041" t="s">
        <v>1479</v>
      </c>
      <c r="H5041" t="s">
        <v>1475</v>
      </c>
      <c r="I5041" t="s">
        <v>1476</v>
      </c>
    </row>
    <row r="5042" spans="1:9" x14ac:dyDescent="0.3">
      <c r="A5042" s="46">
        <v>45338</v>
      </c>
      <c r="B5042" s="46" t="s">
        <v>734</v>
      </c>
      <c r="D5042" t="s">
        <v>1472</v>
      </c>
      <c r="E5042" s="46" t="s">
        <v>1436</v>
      </c>
      <c r="F5042" s="45">
        <v>300000</v>
      </c>
      <c r="G5042" t="s">
        <v>1441</v>
      </c>
      <c r="H5042" t="s">
        <v>1438</v>
      </c>
      <c r="I5042" t="s">
        <v>1439</v>
      </c>
    </row>
    <row r="5043" spans="1:9" x14ac:dyDescent="0.3">
      <c r="A5043" s="46">
        <v>45351</v>
      </c>
      <c r="B5043" s="46" t="s">
        <v>734</v>
      </c>
      <c r="D5043" t="s">
        <v>1472</v>
      </c>
      <c r="E5043" s="46" t="s">
        <v>1436</v>
      </c>
      <c r="F5043" s="45">
        <v>300000</v>
      </c>
      <c r="G5043" t="s">
        <v>1441</v>
      </c>
      <c r="H5043" t="s">
        <v>1438</v>
      </c>
      <c r="I5043" t="s">
        <v>1439</v>
      </c>
    </row>
    <row r="5044" spans="1:9" x14ac:dyDescent="0.3">
      <c r="A5044" s="46">
        <v>45351</v>
      </c>
      <c r="B5044" s="46" t="s">
        <v>748</v>
      </c>
      <c r="D5044" t="s">
        <v>1474</v>
      </c>
      <c r="E5044" s="46" t="s">
        <v>1436</v>
      </c>
      <c r="F5044" s="45">
        <v>300000</v>
      </c>
      <c r="G5044" t="s">
        <v>1479</v>
      </c>
      <c r="H5044" t="s">
        <v>1475</v>
      </c>
      <c r="I5044" t="s">
        <v>1476</v>
      </c>
    </row>
    <row r="5045" spans="1:9" x14ac:dyDescent="0.3">
      <c r="A5045" s="46">
        <v>45351</v>
      </c>
      <c r="B5045" s="46" t="s">
        <v>748</v>
      </c>
      <c r="D5045" t="s">
        <v>1474</v>
      </c>
      <c r="E5045" s="46" t="s">
        <v>1436</v>
      </c>
      <c r="F5045" s="45">
        <v>300000</v>
      </c>
      <c r="G5045" t="s">
        <v>1479</v>
      </c>
      <c r="H5045" t="s">
        <v>1475</v>
      </c>
      <c r="I5045" t="s">
        <v>1476</v>
      </c>
    </row>
    <row r="5046" spans="1:9" x14ac:dyDescent="0.3">
      <c r="A5046" s="46">
        <v>45356</v>
      </c>
      <c r="B5046" s="46" t="s">
        <v>748</v>
      </c>
      <c r="D5046" t="s">
        <v>1474</v>
      </c>
      <c r="E5046" s="46" t="s">
        <v>1436</v>
      </c>
      <c r="F5046" s="45">
        <v>300000</v>
      </c>
      <c r="G5046" t="s">
        <v>1479</v>
      </c>
      <c r="H5046" t="s">
        <v>1475</v>
      </c>
      <c r="I5046" t="s">
        <v>1476</v>
      </c>
    </row>
    <row r="5047" spans="1:9" x14ac:dyDescent="0.3">
      <c r="A5047" s="46">
        <v>45356</v>
      </c>
      <c r="B5047" s="46" t="s">
        <v>748</v>
      </c>
      <c r="D5047" t="s">
        <v>1474</v>
      </c>
      <c r="E5047" s="46" t="s">
        <v>1436</v>
      </c>
      <c r="F5047" s="45">
        <v>300000</v>
      </c>
      <c r="G5047" t="s">
        <v>1479</v>
      </c>
      <c r="H5047" t="s">
        <v>1475</v>
      </c>
      <c r="I5047" t="s">
        <v>1476</v>
      </c>
    </row>
    <row r="5048" spans="1:9" hidden="1" x14ac:dyDescent="0.3">
      <c r="A5048" s="46">
        <v>45345</v>
      </c>
      <c r="B5048" s="46" t="s">
        <v>748</v>
      </c>
      <c r="D5048" t="s">
        <v>1474</v>
      </c>
      <c r="E5048" s="46" t="s">
        <v>1436</v>
      </c>
      <c r="F5048" s="45">
        <v>300000</v>
      </c>
      <c r="G5048" t="s">
        <v>1479</v>
      </c>
      <c r="H5048" t="s">
        <v>1475</v>
      </c>
      <c r="I5048" t="s">
        <v>1476</v>
      </c>
    </row>
    <row r="5049" spans="1:9" hidden="1" x14ac:dyDescent="0.3">
      <c r="A5049" s="46">
        <v>45343</v>
      </c>
      <c r="B5049" s="46" t="s">
        <v>748</v>
      </c>
      <c r="D5049" t="s">
        <v>1474</v>
      </c>
      <c r="E5049" s="46" t="s">
        <v>1436</v>
      </c>
      <c r="F5049" s="45">
        <v>300000</v>
      </c>
      <c r="G5049" t="s">
        <v>1479</v>
      </c>
      <c r="H5049" t="s">
        <v>1475</v>
      </c>
      <c r="I5049" t="s">
        <v>1476</v>
      </c>
    </row>
    <row r="5050" spans="1:9" hidden="1" x14ac:dyDescent="0.3">
      <c r="A5050" s="46">
        <v>45429</v>
      </c>
      <c r="B5050" s="46" t="s">
        <v>734</v>
      </c>
      <c r="D5050" t="s">
        <v>2162</v>
      </c>
      <c r="E5050" s="46" t="s">
        <v>1436</v>
      </c>
      <c r="F5050" s="45">
        <v>300000</v>
      </c>
      <c r="G5050" t="s">
        <v>1441</v>
      </c>
      <c r="H5050" t="s">
        <v>1438</v>
      </c>
      <c r="I5050" t="s">
        <v>1439</v>
      </c>
    </row>
    <row r="5051" spans="1:9" hidden="1" x14ac:dyDescent="0.3">
      <c r="A5051" s="46">
        <v>45429</v>
      </c>
      <c r="B5051" s="46" t="s">
        <v>748</v>
      </c>
      <c r="D5051" t="s">
        <v>1474</v>
      </c>
      <c r="E5051" s="46" t="s">
        <v>1436</v>
      </c>
      <c r="F5051" s="45">
        <v>300000</v>
      </c>
      <c r="G5051" t="s">
        <v>1479</v>
      </c>
      <c r="H5051" t="s">
        <v>1475</v>
      </c>
      <c r="I5051" t="s">
        <v>1476</v>
      </c>
    </row>
    <row r="5052" spans="1:9" hidden="1" x14ac:dyDescent="0.3">
      <c r="A5052" s="46">
        <v>45426</v>
      </c>
      <c r="B5052" s="46" t="s">
        <v>748</v>
      </c>
      <c r="D5052" t="s">
        <v>1474</v>
      </c>
      <c r="E5052" s="46" t="s">
        <v>1436</v>
      </c>
      <c r="F5052" s="45">
        <v>300000</v>
      </c>
      <c r="G5052" t="s">
        <v>1479</v>
      </c>
      <c r="H5052" t="s">
        <v>1475</v>
      </c>
      <c r="I5052" t="s">
        <v>1476</v>
      </c>
    </row>
    <row r="5053" spans="1:9" hidden="1" x14ac:dyDescent="0.3">
      <c r="A5053" s="46">
        <v>45426</v>
      </c>
      <c r="B5053" s="46" t="s">
        <v>748</v>
      </c>
      <c r="D5053" t="s">
        <v>1474</v>
      </c>
      <c r="E5053" s="46" t="s">
        <v>1436</v>
      </c>
      <c r="F5053" s="45">
        <v>300000</v>
      </c>
      <c r="G5053" t="s">
        <v>1479</v>
      </c>
      <c r="H5053" t="s">
        <v>1475</v>
      </c>
      <c r="I5053" t="s">
        <v>1476</v>
      </c>
    </row>
    <row r="5054" spans="1:9" x14ac:dyDescent="0.3">
      <c r="A5054" s="46">
        <v>45422</v>
      </c>
      <c r="B5054" s="46" t="s">
        <v>748</v>
      </c>
      <c r="D5054" t="s">
        <v>1477</v>
      </c>
      <c r="E5054" s="46" t="s">
        <v>1436</v>
      </c>
      <c r="F5054" s="45">
        <v>300000</v>
      </c>
      <c r="G5054" t="s">
        <v>1479</v>
      </c>
      <c r="H5054" t="s">
        <v>1475</v>
      </c>
      <c r="I5054" t="s">
        <v>1478</v>
      </c>
    </row>
    <row r="5055" spans="1:9" hidden="1" x14ac:dyDescent="0.3">
      <c r="A5055" s="46">
        <v>45408</v>
      </c>
      <c r="B5055" s="46" t="s">
        <v>748</v>
      </c>
      <c r="D5055" t="s">
        <v>1474</v>
      </c>
      <c r="E5055" s="46" t="s">
        <v>1436</v>
      </c>
      <c r="F5055" s="45">
        <v>300000</v>
      </c>
      <c r="G5055" t="s">
        <v>1479</v>
      </c>
      <c r="H5055" t="s">
        <v>1475</v>
      </c>
      <c r="I5055" t="s">
        <v>1476</v>
      </c>
    </row>
    <row r="5056" spans="1:9" x14ac:dyDescent="0.3">
      <c r="A5056" s="46">
        <v>45414</v>
      </c>
      <c r="B5056" s="46" t="s">
        <v>748</v>
      </c>
      <c r="D5056" t="s">
        <v>1474</v>
      </c>
      <c r="E5056" s="46" t="s">
        <v>1436</v>
      </c>
      <c r="F5056" s="45">
        <v>300000</v>
      </c>
      <c r="G5056" t="s">
        <v>1479</v>
      </c>
      <c r="H5056" t="s">
        <v>1475</v>
      </c>
      <c r="I5056" t="s">
        <v>1476</v>
      </c>
    </row>
    <row r="5057" spans="1:11" hidden="1" x14ac:dyDescent="0.3">
      <c r="A5057" s="46">
        <v>45415</v>
      </c>
      <c r="B5057" s="46" t="s">
        <v>748</v>
      </c>
      <c r="D5057" t="s">
        <v>1474</v>
      </c>
      <c r="E5057" s="46" t="s">
        <v>1436</v>
      </c>
      <c r="F5057" s="45">
        <v>300000</v>
      </c>
      <c r="G5057" t="s">
        <v>1479</v>
      </c>
      <c r="H5057" t="s">
        <v>1475</v>
      </c>
      <c r="I5057" t="s">
        <v>1476</v>
      </c>
    </row>
    <row r="5058" spans="1:11" x14ac:dyDescent="0.3">
      <c r="A5058" s="46">
        <v>45420</v>
      </c>
      <c r="B5058" s="46" t="s">
        <v>748</v>
      </c>
      <c r="D5058" t="s">
        <v>1474</v>
      </c>
      <c r="E5058" s="46" t="s">
        <v>1436</v>
      </c>
      <c r="F5058" s="45">
        <v>300000</v>
      </c>
      <c r="G5058" t="s">
        <v>1479</v>
      </c>
      <c r="H5058" t="s">
        <v>1475</v>
      </c>
      <c r="I5058" t="s">
        <v>1476</v>
      </c>
    </row>
    <row r="5059" spans="1:11" hidden="1" x14ac:dyDescent="0.3">
      <c r="A5059" s="46">
        <v>45398</v>
      </c>
      <c r="B5059" s="46" t="s">
        <v>734</v>
      </c>
      <c r="D5059" t="s">
        <v>1472</v>
      </c>
      <c r="E5059" s="46" t="s">
        <v>1436</v>
      </c>
      <c r="F5059" s="45">
        <v>300000</v>
      </c>
      <c r="G5059" t="s">
        <v>1441</v>
      </c>
      <c r="H5059" t="s">
        <v>1438</v>
      </c>
      <c r="I5059" t="s">
        <v>1439</v>
      </c>
    </row>
    <row r="5060" spans="1:11" hidden="1" x14ac:dyDescent="0.3">
      <c r="A5060" s="46">
        <v>45399</v>
      </c>
      <c r="B5060" s="46" t="s">
        <v>748</v>
      </c>
      <c r="D5060" t="s">
        <v>1474</v>
      </c>
      <c r="E5060" s="46" t="s">
        <v>1436</v>
      </c>
      <c r="F5060" s="45">
        <v>300000</v>
      </c>
      <c r="G5060" t="s">
        <v>1479</v>
      </c>
      <c r="H5060" t="s">
        <v>1475</v>
      </c>
      <c r="I5060" t="s">
        <v>1476</v>
      </c>
    </row>
    <row r="5061" spans="1:11" hidden="1" x14ac:dyDescent="0.3">
      <c r="A5061" s="46">
        <v>45394</v>
      </c>
      <c r="B5061" s="46" t="s">
        <v>748</v>
      </c>
      <c r="D5061" t="s">
        <v>1474</v>
      </c>
      <c r="E5061" s="46" t="s">
        <v>1436</v>
      </c>
      <c r="F5061" s="45">
        <v>300000</v>
      </c>
      <c r="G5061" t="s">
        <v>1479</v>
      </c>
      <c r="H5061" t="s">
        <v>1475</v>
      </c>
      <c r="I5061" t="s">
        <v>1476</v>
      </c>
    </row>
    <row r="5062" spans="1:11" hidden="1" x14ac:dyDescent="0.3">
      <c r="A5062" s="46">
        <v>45394</v>
      </c>
      <c r="B5062" s="46" t="s">
        <v>748</v>
      </c>
      <c r="D5062" t="s">
        <v>1474</v>
      </c>
      <c r="E5062" s="46" t="s">
        <v>1436</v>
      </c>
      <c r="F5062" s="45">
        <v>300000</v>
      </c>
      <c r="G5062" t="s">
        <v>1479</v>
      </c>
      <c r="H5062" t="s">
        <v>1475</v>
      </c>
      <c r="I5062" t="s">
        <v>1476</v>
      </c>
    </row>
    <row r="5063" spans="1:11" hidden="1" x14ac:dyDescent="0.3">
      <c r="A5063" s="46">
        <v>45394</v>
      </c>
      <c r="B5063" s="46" t="s">
        <v>748</v>
      </c>
      <c r="D5063" t="s">
        <v>1474</v>
      </c>
      <c r="E5063" s="46" t="s">
        <v>1436</v>
      </c>
      <c r="F5063" s="45">
        <v>300000</v>
      </c>
      <c r="G5063" t="s">
        <v>1479</v>
      </c>
      <c r="H5063" t="s">
        <v>1475</v>
      </c>
      <c r="I5063" t="s">
        <v>1476</v>
      </c>
    </row>
    <row r="5064" spans="1:11" hidden="1" x14ac:dyDescent="0.3">
      <c r="A5064" s="46">
        <v>45401</v>
      </c>
      <c r="B5064" s="46" t="s">
        <v>748</v>
      </c>
      <c r="D5064" t="s">
        <v>1474</v>
      </c>
      <c r="E5064" s="46" t="s">
        <v>1436</v>
      </c>
      <c r="F5064" s="45">
        <v>300000</v>
      </c>
      <c r="G5064" t="s">
        <v>1479</v>
      </c>
      <c r="H5064" t="s">
        <v>1475</v>
      </c>
      <c r="I5064" t="s">
        <v>1476</v>
      </c>
      <c r="K5064" t="s">
        <v>2163</v>
      </c>
    </row>
    <row r="5065" spans="1:11" hidden="1" x14ac:dyDescent="0.3">
      <c r="A5065" s="46">
        <v>45401</v>
      </c>
      <c r="B5065" s="46" t="s">
        <v>748</v>
      </c>
      <c r="D5065" t="s">
        <v>1474</v>
      </c>
      <c r="E5065" s="46" t="s">
        <v>1436</v>
      </c>
      <c r="F5065" s="45">
        <v>300000</v>
      </c>
      <c r="G5065" t="s">
        <v>1479</v>
      </c>
      <c r="H5065" t="s">
        <v>1475</v>
      </c>
      <c r="I5065" t="s">
        <v>1476</v>
      </c>
    </row>
    <row r="5066" spans="1:11" hidden="1" x14ac:dyDescent="0.3">
      <c r="A5066" s="46">
        <v>45406</v>
      </c>
      <c r="B5066" s="46" t="s">
        <v>748</v>
      </c>
      <c r="D5066" t="s">
        <v>1474</v>
      </c>
      <c r="E5066" s="46" t="s">
        <v>1436</v>
      </c>
      <c r="F5066" s="45">
        <v>300000</v>
      </c>
      <c r="G5066" t="s">
        <v>1479</v>
      </c>
      <c r="H5066" t="s">
        <v>1475</v>
      </c>
      <c r="I5066" t="s">
        <v>1476</v>
      </c>
    </row>
    <row r="5067" spans="1:11" hidden="1" x14ac:dyDescent="0.3">
      <c r="A5067" s="46">
        <v>45406</v>
      </c>
      <c r="B5067" s="46" t="s">
        <v>748</v>
      </c>
      <c r="D5067" t="s">
        <v>1474</v>
      </c>
      <c r="E5067" s="46" t="s">
        <v>1436</v>
      </c>
      <c r="F5067" s="45">
        <v>300000</v>
      </c>
      <c r="G5067" t="s">
        <v>1479</v>
      </c>
      <c r="H5067" t="s">
        <v>1475</v>
      </c>
      <c r="I5067" t="s">
        <v>1476</v>
      </c>
    </row>
    <row r="5068" spans="1:11" hidden="1" x14ac:dyDescent="0.3">
      <c r="A5068" s="46">
        <v>45406</v>
      </c>
      <c r="B5068" s="46" t="s">
        <v>748</v>
      </c>
      <c r="D5068" t="s">
        <v>1474</v>
      </c>
      <c r="E5068" s="46" t="s">
        <v>1436</v>
      </c>
      <c r="F5068" s="45">
        <v>300000</v>
      </c>
      <c r="G5068" t="s">
        <v>1479</v>
      </c>
      <c r="H5068" t="s">
        <v>1475</v>
      </c>
      <c r="I5068" t="s">
        <v>1476</v>
      </c>
    </row>
    <row r="5069" spans="1:11" hidden="1" x14ac:dyDescent="0.3">
      <c r="A5069" s="46">
        <v>45406</v>
      </c>
      <c r="B5069" s="46" t="s">
        <v>748</v>
      </c>
      <c r="D5069" t="s">
        <v>1474</v>
      </c>
      <c r="E5069" s="46" t="s">
        <v>1436</v>
      </c>
      <c r="F5069" s="45">
        <v>300000</v>
      </c>
      <c r="G5069" t="s">
        <v>1479</v>
      </c>
      <c r="H5069" t="s">
        <v>1475</v>
      </c>
      <c r="I5069" t="s">
        <v>1476</v>
      </c>
    </row>
    <row r="5070" spans="1:11" x14ac:dyDescent="0.3">
      <c r="A5070" s="46">
        <v>45379</v>
      </c>
      <c r="B5070" s="46" t="s">
        <v>748</v>
      </c>
      <c r="D5070" t="s">
        <v>1474</v>
      </c>
      <c r="E5070" s="46" t="s">
        <v>1436</v>
      </c>
      <c r="F5070" s="45">
        <v>300000</v>
      </c>
      <c r="G5070" t="s">
        <v>1483</v>
      </c>
      <c r="H5070" t="s">
        <v>1475</v>
      </c>
      <c r="I5070" t="s">
        <v>1476</v>
      </c>
    </row>
    <row r="5071" spans="1:11" hidden="1" x14ac:dyDescent="0.3">
      <c r="A5071" s="46">
        <v>45379</v>
      </c>
      <c r="B5071" s="46" t="s">
        <v>748</v>
      </c>
      <c r="D5071" t="s">
        <v>1474</v>
      </c>
      <c r="E5071" s="46" t="s">
        <v>1436</v>
      </c>
      <c r="F5071" s="45">
        <v>300000</v>
      </c>
      <c r="G5071" t="s">
        <v>1464</v>
      </c>
      <c r="H5071" t="s">
        <v>1475</v>
      </c>
      <c r="I5071" t="s">
        <v>1476</v>
      </c>
    </row>
    <row r="5072" spans="1:11" hidden="1" x14ac:dyDescent="0.3">
      <c r="A5072" s="46">
        <v>45380</v>
      </c>
      <c r="B5072" s="46" t="s">
        <v>748</v>
      </c>
      <c r="D5072" t="s">
        <v>1474</v>
      </c>
      <c r="E5072" s="46" t="s">
        <v>1436</v>
      </c>
      <c r="F5072" s="45">
        <v>300000</v>
      </c>
      <c r="G5072" t="s">
        <v>1479</v>
      </c>
      <c r="H5072" t="s">
        <v>1475</v>
      </c>
      <c r="I5072" t="s">
        <v>1476</v>
      </c>
    </row>
    <row r="5073" spans="1:10" x14ac:dyDescent="0.3">
      <c r="A5073" s="46">
        <v>45385</v>
      </c>
      <c r="B5073" s="46" t="s">
        <v>734</v>
      </c>
      <c r="D5073" t="s">
        <v>1472</v>
      </c>
      <c r="E5073" s="46" t="s">
        <v>1436</v>
      </c>
      <c r="F5073" s="45">
        <v>300000</v>
      </c>
      <c r="G5073" t="s">
        <v>1441</v>
      </c>
      <c r="H5073" t="s">
        <v>1438</v>
      </c>
      <c r="I5073" t="s">
        <v>1439</v>
      </c>
    </row>
    <row r="5074" spans="1:10" hidden="1" x14ac:dyDescent="0.3">
      <c r="A5074" s="46">
        <v>45385</v>
      </c>
      <c r="B5074" s="46" t="s">
        <v>748</v>
      </c>
      <c r="D5074" t="s">
        <v>1474</v>
      </c>
      <c r="E5074" s="46" t="s">
        <v>1436</v>
      </c>
      <c r="F5074" s="45">
        <v>300000</v>
      </c>
      <c r="G5074" t="s">
        <v>1479</v>
      </c>
      <c r="H5074" t="s">
        <v>1475</v>
      </c>
      <c r="I5074" t="s">
        <v>1476</v>
      </c>
    </row>
    <row r="5075" spans="1:10" hidden="1" x14ac:dyDescent="0.3">
      <c r="A5075" s="46">
        <v>45385</v>
      </c>
      <c r="B5075" s="46" t="s">
        <v>748</v>
      </c>
      <c r="D5075" t="s">
        <v>1474</v>
      </c>
      <c r="E5075" s="46" t="s">
        <v>1436</v>
      </c>
      <c r="F5075" s="45">
        <v>300000</v>
      </c>
      <c r="G5075" t="s">
        <v>1479</v>
      </c>
      <c r="H5075" t="s">
        <v>1475</v>
      </c>
      <c r="I5075" t="s">
        <v>1476</v>
      </c>
    </row>
    <row r="5076" spans="1:10" x14ac:dyDescent="0.3">
      <c r="A5076" s="46">
        <v>45385</v>
      </c>
      <c r="B5076" s="46" t="s">
        <v>748</v>
      </c>
      <c r="D5076" t="s">
        <v>1474</v>
      </c>
      <c r="E5076" s="46" t="s">
        <v>1436</v>
      </c>
      <c r="F5076" s="45">
        <v>300000</v>
      </c>
      <c r="G5076" t="s">
        <v>1479</v>
      </c>
      <c r="H5076" t="s">
        <v>1475</v>
      </c>
      <c r="I5076" t="s">
        <v>1476</v>
      </c>
    </row>
    <row r="5077" spans="1:10" hidden="1" x14ac:dyDescent="0.3">
      <c r="A5077" s="46">
        <v>45387</v>
      </c>
      <c r="B5077" s="46" t="s">
        <v>748</v>
      </c>
      <c r="D5077" t="s">
        <v>1474</v>
      </c>
      <c r="E5077" s="46" t="s">
        <v>1436</v>
      </c>
      <c r="F5077" s="45">
        <v>300000</v>
      </c>
      <c r="G5077" t="s">
        <v>1466</v>
      </c>
      <c r="H5077" t="s">
        <v>1475</v>
      </c>
      <c r="I5077" t="s">
        <v>1476</v>
      </c>
    </row>
    <row r="5078" spans="1:10" x14ac:dyDescent="0.3">
      <c r="A5078" s="46">
        <v>45393</v>
      </c>
      <c r="B5078" s="46" t="s">
        <v>748</v>
      </c>
      <c r="D5078" t="s">
        <v>1474</v>
      </c>
      <c r="E5078" s="46" t="s">
        <v>1436</v>
      </c>
      <c r="F5078" s="45">
        <v>300000</v>
      </c>
      <c r="G5078" t="s">
        <v>1479</v>
      </c>
      <c r="H5078" t="s">
        <v>1475</v>
      </c>
      <c r="I5078" t="s">
        <v>1476</v>
      </c>
    </row>
    <row r="5079" spans="1:10" hidden="1" x14ac:dyDescent="0.3">
      <c r="A5079" s="46">
        <v>45393</v>
      </c>
      <c r="B5079" s="46" t="s">
        <v>748</v>
      </c>
      <c r="D5079" t="s">
        <v>1474</v>
      </c>
      <c r="E5079" s="46" t="s">
        <v>1436</v>
      </c>
      <c r="F5079" s="45">
        <v>300000</v>
      </c>
      <c r="G5079" t="s">
        <v>1479</v>
      </c>
      <c r="H5079" t="s">
        <v>1475</v>
      </c>
      <c r="I5079" t="s">
        <v>1476</v>
      </c>
    </row>
    <row r="5080" spans="1:10" hidden="1" x14ac:dyDescent="0.3">
      <c r="A5080" s="46">
        <v>45393</v>
      </c>
      <c r="B5080" s="46" t="s">
        <v>748</v>
      </c>
      <c r="D5080" t="s">
        <v>1474</v>
      </c>
      <c r="E5080" s="46" t="s">
        <v>1436</v>
      </c>
      <c r="F5080" s="45">
        <v>300000</v>
      </c>
      <c r="G5080" t="s">
        <v>1479</v>
      </c>
      <c r="H5080" t="s">
        <v>1475</v>
      </c>
      <c r="I5080" t="s">
        <v>1476</v>
      </c>
    </row>
    <row r="5081" spans="1:10" hidden="1" x14ac:dyDescent="0.3">
      <c r="A5081" s="46">
        <v>45372</v>
      </c>
      <c r="B5081" s="46" t="s">
        <v>748</v>
      </c>
      <c r="D5081" t="s">
        <v>1477</v>
      </c>
      <c r="E5081" s="46" t="s">
        <v>1436</v>
      </c>
      <c r="F5081" s="45">
        <v>300000</v>
      </c>
      <c r="G5081" t="s">
        <v>1466</v>
      </c>
      <c r="H5081" t="s">
        <v>1438</v>
      </c>
      <c r="I5081" t="s">
        <v>1439</v>
      </c>
      <c r="J5081">
        <v>3</v>
      </c>
    </row>
    <row r="5082" spans="1:10" hidden="1" x14ac:dyDescent="0.3">
      <c r="A5082" s="46">
        <v>45371</v>
      </c>
      <c r="B5082" s="46" t="s">
        <v>748</v>
      </c>
      <c r="D5082" t="s">
        <v>1474</v>
      </c>
      <c r="E5082" s="46" t="s">
        <v>1436</v>
      </c>
      <c r="F5082" s="45">
        <v>300000</v>
      </c>
      <c r="G5082" t="s">
        <v>1479</v>
      </c>
      <c r="H5082" t="s">
        <v>1475</v>
      </c>
      <c r="I5082" t="s">
        <v>1476</v>
      </c>
    </row>
    <row r="5083" spans="1:10" hidden="1" x14ac:dyDescent="0.3">
      <c r="A5083" s="46">
        <v>45373</v>
      </c>
      <c r="B5083" s="46" t="s">
        <v>748</v>
      </c>
      <c r="D5083" t="s">
        <v>1474</v>
      </c>
      <c r="E5083" s="46" t="s">
        <v>1436</v>
      </c>
      <c r="F5083" s="45">
        <v>300000</v>
      </c>
      <c r="G5083" t="s">
        <v>1479</v>
      </c>
      <c r="H5083" t="s">
        <v>1475</v>
      </c>
      <c r="I5083" t="s">
        <v>1476</v>
      </c>
    </row>
    <row r="5084" spans="1:10" hidden="1" x14ac:dyDescent="0.3">
      <c r="A5084" s="46">
        <v>45370</v>
      </c>
      <c r="B5084" s="46" t="s">
        <v>734</v>
      </c>
      <c r="D5084" t="s">
        <v>1472</v>
      </c>
      <c r="E5084" s="46" t="s">
        <v>1436</v>
      </c>
      <c r="F5084" s="45">
        <v>300000</v>
      </c>
      <c r="G5084" t="s">
        <v>1441</v>
      </c>
      <c r="H5084" t="s">
        <v>1438</v>
      </c>
      <c r="I5084" t="s">
        <v>1439</v>
      </c>
    </row>
    <row r="5085" spans="1:10" x14ac:dyDescent="0.3">
      <c r="A5085" s="46">
        <v>45356</v>
      </c>
      <c r="B5085" s="46" t="s">
        <v>748</v>
      </c>
      <c r="D5085" t="s">
        <v>1474</v>
      </c>
      <c r="E5085" s="46" t="s">
        <v>1436</v>
      </c>
      <c r="F5085" s="45">
        <v>300000</v>
      </c>
      <c r="G5085" t="s">
        <v>1479</v>
      </c>
      <c r="H5085" t="s">
        <v>1475</v>
      </c>
      <c r="I5085" t="s">
        <v>1476</v>
      </c>
    </row>
    <row r="5086" spans="1:10" hidden="1" x14ac:dyDescent="0.3">
      <c r="A5086" s="46">
        <v>45362</v>
      </c>
      <c r="B5086" s="46" t="s">
        <v>748</v>
      </c>
      <c r="D5086" t="s">
        <v>1474</v>
      </c>
      <c r="E5086" s="46" t="s">
        <v>1436</v>
      </c>
      <c r="F5086" s="45">
        <v>300000</v>
      </c>
      <c r="G5086" t="s">
        <v>1466</v>
      </c>
      <c r="H5086" t="s">
        <v>1438</v>
      </c>
      <c r="I5086" t="s">
        <v>1439</v>
      </c>
      <c r="J5086">
        <v>3</v>
      </c>
    </row>
    <row r="5087" spans="1:10" hidden="1" x14ac:dyDescent="0.3">
      <c r="A5087" s="46">
        <v>45364</v>
      </c>
      <c r="B5087" s="46" t="s">
        <v>748</v>
      </c>
      <c r="D5087" t="s">
        <v>1474</v>
      </c>
      <c r="E5087" s="46" t="s">
        <v>1436</v>
      </c>
      <c r="F5087" s="45">
        <v>300000</v>
      </c>
      <c r="G5087" t="s">
        <v>1466</v>
      </c>
      <c r="H5087" t="s">
        <v>1438</v>
      </c>
      <c r="I5087" t="s">
        <v>1439</v>
      </c>
      <c r="J5087">
        <v>3</v>
      </c>
    </row>
    <row r="5088" spans="1:10" hidden="1" x14ac:dyDescent="0.3">
      <c r="A5088" s="46">
        <v>45364</v>
      </c>
      <c r="B5088" s="46" t="s">
        <v>748</v>
      </c>
      <c r="D5088" t="s">
        <v>1474</v>
      </c>
      <c r="E5088" s="46" t="s">
        <v>1436</v>
      </c>
      <c r="F5088" s="45">
        <v>300000</v>
      </c>
      <c r="G5088" t="s">
        <v>1483</v>
      </c>
      <c r="H5088" t="s">
        <v>1438</v>
      </c>
      <c r="I5088" t="s">
        <v>1439</v>
      </c>
      <c r="J5088">
        <v>1</v>
      </c>
    </row>
    <row r="5089" spans="1:10" hidden="1" x14ac:dyDescent="0.3">
      <c r="A5089" s="46">
        <v>45364</v>
      </c>
      <c r="B5089" s="46" t="s">
        <v>748</v>
      </c>
      <c r="D5089" t="s">
        <v>1474</v>
      </c>
      <c r="E5089" s="46" t="s">
        <v>1436</v>
      </c>
      <c r="F5089" s="45">
        <v>300000</v>
      </c>
      <c r="G5089" t="s">
        <v>1464</v>
      </c>
      <c r="H5089" t="s">
        <v>1438</v>
      </c>
      <c r="I5089" t="s">
        <v>1439</v>
      </c>
      <c r="J5089">
        <v>3</v>
      </c>
    </row>
    <row r="5090" spans="1:10" hidden="1" x14ac:dyDescent="0.3">
      <c r="A5090" s="46">
        <v>45366</v>
      </c>
      <c r="B5090" s="46" t="s">
        <v>748</v>
      </c>
      <c r="D5090" t="s">
        <v>1474</v>
      </c>
      <c r="E5090" s="46" t="s">
        <v>1436</v>
      </c>
      <c r="F5090" s="45">
        <v>300000</v>
      </c>
      <c r="G5090" t="s">
        <v>1464</v>
      </c>
      <c r="H5090" t="s">
        <v>1438</v>
      </c>
      <c r="I5090" t="s">
        <v>1439</v>
      </c>
      <c r="J5090">
        <v>3</v>
      </c>
    </row>
    <row r="5091" spans="1:10" hidden="1" x14ac:dyDescent="0.3">
      <c r="A5091" s="46">
        <v>45462</v>
      </c>
      <c r="B5091" s="46" t="s">
        <v>748</v>
      </c>
      <c r="D5091" t="s">
        <v>1474</v>
      </c>
      <c r="E5091" s="46" t="s">
        <v>1436</v>
      </c>
      <c r="F5091" s="45">
        <v>300000</v>
      </c>
      <c r="G5091" t="s">
        <v>1479</v>
      </c>
      <c r="H5091" t="s">
        <v>1475</v>
      </c>
      <c r="I5091" t="s">
        <v>1476</v>
      </c>
    </row>
    <row r="5092" spans="1:10" hidden="1" x14ac:dyDescent="0.3">
      <c r="A5092" s="46">
        <v>45464</v>
      </c>
      <c r="B5092" s="46" t="s">
        <v>734</v>
      </c>
      <c r="D5092" t="s">
        <v>2162</v>
      </c>
      <c r="E5092" s="46" t="s">
        <v>1436</v>
      </c>
      <c r="F5092" s="45">
        <v>300000</v>
      </c>
      <c r="G5092" t="s">
        <v>1441</v>
      </c>
      <c r="H5092" t="s">
        <v>1438</v>
      </c>
      <c r="I5092" t="s">
        <v>1439</v>
      </c>
    </row>
    <row r="5093" spans="1:10" hidden="1" x14ac:dyDescent="0.3">
      <c r="A5093" s="46">
        <v>45464</v>
      </c>
      <c r="B5093" s="46" t="s">
        <v>748</v>
      </c>
      <c r="D5093" t="s">
        <v>1474</v>
      </c>
      <c r="E5093" s="46" t="s">
        <v>1436</v>
      </c>
      <c r="F5093" s="45">
        <v>300000</v>
      </c>
      <c r="G5093" t="s">
        <v>1479</v>
      </c>
      <c r="H5093" t="s">
        <v>1475</v>
      </c>
      <c r="I5093" t="s">
        <v>1476</v>
      </c>
    </row>
    <row r="5094" spans="1:10" hidden="1" x14ac:dyDescent="0.3">
      <c r="A5094" s="46">
        <v>45469</v>
      </c>
      <c r="B5094" s="46" t="s">
        <v>748</v>
      </c>
      <c r="D5094" t="s">
        <v>1474</v>
      </c>
      <c r="E5094" s="46" t="s">
        <v>1436</v>
      </c>
      <c r="F5094" s="45">
        <v>300000</v>
      </c>
      <c r="G5094" t="s">
        <v>1479</v>
      </c>
      <c r="H5094" t="s">
        <v>1475</v>
      </c>
      <c r="I5094" t="s">
        <v>1476</v>
      </c>
    </row>
    <row r="5095" spans="1:10" x14ac:dyDescent="0.3">
      <c r="A5095" s="46">
        <v>45469</v>
      </c>
      <c r="B5095" s="46" t="s">
        <v>748</v>
      </c>
      <c r="D5095" t="s">
        <v>1474</v>
      </c>
      <c r="E5095" s="46" t="s">
        <v>1436</v>
      </c>
      <c r="F5095" s="45">
        <v>300000</v>
      </c>
      <c r="G5095" t="s">
        <v>1479</v>
      </c>
      <c r="H5095" t="s">
        <v>1475</v>
      </c>
      <c r="I5095" t="s">
        <v>1476</v>
      </c>
    </row>
    <row r="5096" spans="1:10" hidden="1" x14ac:dyDescent="0.3">
      <c r="A5096" s="46">
        <v>45471</v>
      </c>
      <c r="B5096" s="46" t="s">
        <v>748</v>
      </c>
      <c r="D5096" t="s">
        <v>1474</v>
      </c>
      <c r="E5096" s="46" t="s">
        <v>1436</v>
      </c>
      <c r="F5096" s="45">
        <v>300000</v>
      </c>
      <c r="G5096" t="s">
        <v>1479</v>
      </c>
      <c r="H5096" t="s">
        <v>1475</v>
      </c>
      <c r="I5096" t="s">
        <v>1476</v>
      </c>
    </row>
    <row r="5097" spans="1:10" hidden="1" x14ac:dyDescent="0.3">
      <c r="A5097" s="46">
        <v>45441</v>
      </c>
      <c r="B5097" s="46" t="s">
        <v>748</v>
      </c>
      <c r="D5097" t="s">
        <v>1474</v>
      </c>
      <c r="E5097" s="46" t="s">
        <v>1436</v>
      </c>
      <c r="F5097" s="45">
        <v>300000</v>
      </c>
      <c r="G5097" t="s">
        <v>1479</v>
      </c>
      <c r="H5097" t="s">
        <v>1475</v>
      </c>
      <c r="I5097" t="s">
        <v>1476</v>
      </c>
    </row>
    <row r="5098" spans="1:10" hidden="1" x14ac:dyDescent="0.3">
      <c r="A5098" s="46">
        <v>45441</v>
      </c>
      <c r="B5098" s="46" t="s">
        <v>748</v>
      </c>
      <c r="D5098" t="s">
        <v>1474</v>
      </c>
      <c r="E5098" s="46" t="s">
        <v>1436</v>
      </c>
      <c r="F5098" s="45">
        <v>300000</v>
      </c>
      <c r="G5098" t="s">
        <v>1479</v>
      </c>
      <c r="H5098" t="s">
        <v>1475</v>
      </c>
      <c r="I5098" t="s">
        <v>1476</v>
      </c>
    </row>
    <row r="5099" spans="1:10" x14ac:dyDescent="0.3">
      <c r="A5099" s="46">
        <v>45433</v>
      </c>
      <c r="B5099" s="46" t="s">
        <v>748</v>
      </c>
      <c r="D5099" t="s">
        <v>1474</v>
      </c>
      <c r="E5099" s="46" t="s">
        <v>1436</v>
      </c>
      <c r="F5099" s="45">
        <v>300000</v>
      </c>
      <c r="G5099" t="s">
        <v>1479</v>
      </c>
      <c r="H5099" t="s">
        <v>1475</v>
      </c>
      <c r="I5099" t="s">
        <v>1476</v>
      </c>
    </row>
    <row r="5100" spans="1:10" hidden="1" x14ac:dyDescent="0.3">
      <c r="A5100" s="46">
        <v>45443</v>
      </c>
      <c r="B5100" s="46" t="s">
        <v>748</v>
      </c>
      <c r="D5100" t="s">
        <v>1474</v>
      </c>
      <c r="E5100" s="46" t="s">
        <v>1436</v>
      </c>
      <c r="F5100" s="45">
        <v>300000</v>
      </c>
      <c r="G5100" t="s">
        <v>1479</v>
      </c>
      <c r="H5100" t="s">
        <v>1475</v>
      </c>
      <c r="I5100" t="s">
        <v>1476</v>
      </c>
    </row>
    <row r="5101" spans="1:10" hidden="1" x14ac:dyDescent="0.3">
      <c r="A5101" s="46">
        <v>45446</v>
      </c>
      <c r="B5101" s="46" t="s">
        <v>734</v>
      </c>
      <c r="D5101" t="s">
        <v>2162</v>
      </c>
      <c r="E5101" s="46" t="s">
        <v>1436</v>
      </c>
      <c r="F5101" s="45">
        <v>300000</v>
      </c>
      <c r="G5101" t="s">
        <v>1441</v>
      </c>
      <c r="H5101" t="s">
        <v>1438</v>
      </c>
      <c r="I5101" t="s">
        <v>1439</v>
      </c>
    </row>
    <row r="5102" spans="1:10" hidden="1" x14ac:dyDescent="0.3">
      <c r="A5102" s="46">
        <v>45448</v>
      </c>
      <c r="B5102" s="46" t="s">
        <v>748</v>
      </c>
      <c r="D5102" t="s">
        <v>1474</v>
      </c>
      <c r="E5102" s="46" t="s">
        <v>1436</v>
      </c>
      <c r="F5102" s="45">
        <v>300000</v>
      </c>
      <c r="G5102" t="s">
        <v>1479</v>
      </c>
      <c r="H5102" t="s">
        <v>1475</v>
      </c>
      <c r="I5102" t="s">
        <v>1476</v>
      </c>
    </row>
    <row r="5103" spans="1:10" hidden="1" x14ac:dyDescent="0.3">
      <c r="A5103" s="46">
        <v>45448</v>
      </c>
      <c r="B5103" s="46" t="s">
        <v>748</v>
      </c>
      <c r="D5103" t="s">
        <v>1474</v>
      </c>
      <c r="E5103" s="46" t="s">
        <v>1436</v>
      </c>
      <c r="F5103" s="45">
        <v>300000</v>
      </c>
      <c r="G5103" t="s">
        <v>1479</v>
      </c>
      <c r="H5103" t="s">
        <v>1475</v>
      </c>
      <c r="I5103" t="s">
        <v>1476</v>
      </c>
    </row>
    <row r="5104" spans="1:10" hidden="1" x14ac:dyDescent="0.3">
      <c r="A5104" s="46">
        <v>45450</v>
      </c>
      <c r="B5104" s="46" t="s">
        <v>748</v>
      </c>
      <c r="D5104" t="s">
        <v>1474</v>
      </c>
      <c r="E5104" s="46" t="s">
        <v>1436</v>
      </c>
      <c r="F5104" s="45">
        <v>300000</v>
      </c>
      <c r="G5104" t="s">
        <v>1479</v>
      </c>
      <c r="H5104" t="s">
        <v>1475</v>
      </c>
      <c r="I5104" t="s">
        <v>1476</v>
      </c>
    </row>
    <row r="5105" spans="1:11" hidden="1" x14ac:dyDescent="0.3">
      <c r="A5105" s="46">
        <v>45478</v>
      </c>
      <c r="B5105" s="46" t="s">
        <v>748</v>
      </c>
      <c r="D5105" t="s">
        <v>1474</v>
      </c>
      <c r="E5105" s="46" t="s">
        <v>1436</v>
      </c>
      <c r="F5105" s="45">
        <v>300000</v>
      </c>
      <c r="G5105" t="s">
        <v>1479</v>
      </c>
      <c r="H5105" t="s">
        <v>1475</v>
      </c>
      <c r="I5105" t="s">
        <v>1476</v>
      </c>
    </row>
    <row r="5106" spans="1:11" hidden="1" x14ac:dyDescent="0.3">
      <c r="A5106" s="46">
        <v>45481</v>
      </c>
      <c r="B5106" s="46" t="s">
        <v>734</v>
      </c>
      <c r="D5106" t="s">
        <v>2162</v>
      </c>
      <c r="E5106" s="46" t="s">
        <v>1436</v>
      </c>
      <c r="F5106" s="45">
        <v>300000</v>
      </c>
      <c r="G5106" t="s">
        <v>1441</v>
      </c>
      <c r="H5106" t="s">
        <v>1438</v>
      </c>
      <c r="I5106" t="s">
        <v>1439</v>
      </c>
    </row>
    <row r="5107" spans="1:11" hidden="1" x14ac:dyDescent="0.3">
      <c r="A5107" s="46">
        <v>45476</v>
      </c>
      <c r="B5107" s="46" t="s">
        <v>748</v>
      </c>
      <c r="D5107" t="s">
        <v>1474</v>
      </c>
      <c r="E5107" s="46" t="s">
        <v>1436</v>
      </c>
      <c r="F5107" s="45">
        <v>300000</v>
      </c>
      <c r="G5107" t="s">
        <v>1479</v>
      </c>
      <c r="H5107" t="s">
        <v>1475</v>
      </c>
      <c r="I5107" t="s">
        <v>1476</v>
      </c>
    </row>
    <row r="5108" spans="1:11" hidden="1" x14ac:dyDescent="0.3">
      <c r="A5108" s="46">
        <v>45476</v>
      </c>
      <c r="B5108" s="46" t="s">
        <v>748</v>
      </c>
      <c r="D5108" t="s">
        <v>1474</v>
      </c>
      <c r="E5108" s="46" t="s">
        <v>1436</v>
      </c>
      <c r="F5108" s="45">
        <v>300000</v>
      </c>
      <c r="G5108" t="s">
        <v>1479</v>
      </c>
      <c r="H5108" t="s">
        <v>1475</v>
      </c>
      <c r="I5108" t="s">
        <v>1476</v>
      </c>
    </row>
    <row r="5109" spans="1:11" hidden="1" x14ac:dyDescent="0.3">
      <c r="A5109" s="46">
        <v>45330</v>
      </c>
      <c r="B5109" s="46" t="s">
        <v>729</v>
      </c>
      <c r="D5109" t="s">
        <v>1490</v>
      </c>
      <c r="E5109" s="46" t="s">
        <v>1436</v>
      </c>
      <c r="F5109" s="45">
        <v>298500</v>
      </c>
      <c r="G5109" t="s">
        <v>1471</v>
      </c>
      <c r="H5109" t="s">
        <v>1438</v>
      </c>
      <c r="I5109" t="s">
        <v>1454</v>
      </c>
      <c r="K5109" t="s">
        <v>1667</v>
      </c>
    </row>
    <row r="5110" spans="1:11" hidden="1" x14ac:dyDescent="0.3">
      <c r="A5110" s="46">
        <v>45338</v>
      </c>
      <c r="B5110" s="46" t="s">
        <v>748</v>
      </c>
      <c r="D5110" t="s">
        <v>1474</v>
      </c>
      <c r="E5110" s="46" t="s">
        <v>1436</v>
      </c>
      <c r="F5110" s="45">
        <v>285000</v>
      </c>
      <c r="G5110" t="s">
        <v>1479</v>
      </c>
      <c r="H5110" t="s">
        <v>1475</v>
      </c>
      <c r="I5110" t="s">
        <v>1476</v>
      </c>
    </row>
    <row r="5111" spans="1:11" hidden="1" x14ac:dyDescent="0.3">
      <c r="A5111" s="46">
        <v>45324</v>
      </c>
      <c r="B5111" s="46" t="s">
        <v>748</v>
      </c>
      <c r="D5111" t="s">
        <v>1474</v>
      </c>
      <c r="E5111" s="46" t="s">
        <v>1436</v>
      </c>
      <c r="F5111" s="45">
        <v>285000</v>
      </c>
      <c r="G5111" t="s">
        <v>1479</v>
      </c>
      <c r="H5111" t="s">
        <v>1475</v>
      </c>
      <c r="I5111" t="s">
        <v>1476</v>
      </c>
    </row>
    <row r="5112" spans="1:11" hidden="1" x14ac:dyDescent="0.3">
      <c r="A5112" s="46">
        <v>45343</v>
      </c>
      <c r="B5112" s="46" t="s">
        <v>748</v>
      </c>
      <c r="D5112" t="s">
        <v>1474</v>
      </c>
      <c r="E5112" s="46" t="s">
        <v>1436</v>
      </c>
      <c r="F5112" s="45">
        <v>285000</v>
      </c>
      <c r="G5112" t="s">
        <v>1479</v>
      </c>
      <c r="H5112" t="s">
        <v>1475</v>
      </c>
      <c r="I5112" t="s">
        <v>1476</v>
      </c>
    </row>
    <row r="5113" spans="1:11" hidden="1" x14ac:dyDescent="0.3">
      <c r="A5113" s="46">
        <v>45294</v>
      </c>
      <c r="B5113" s="46" t="s">
        <v>748</v>
      </c>
      <c r="D5113" t="s">
        <v>1474</v>
      </c>
      <c r="E5113" s="46" t="s">
        <v>1436</v>
      </c>
      <c r="F5113" s="45">
        <v>285000</v>
      </c>
      <c r="G5113" t="s">
        <v>1479</v>
      </c>
      <c r="H5113" t="s">
        <v>1475</v>
      </c>
      <c r="I5113" t="s">
        <v>1476</v>
      </c>
    </row>
    <row r="5114" spans="1:11" hidden="1" x14ac:dyDescent="0.3">
      <c r="A5114" s="46">
        <v>45440</v>
      </c>
      <c r="B5114" s="46" t="s">
        <v>724</v>
      </c>
      <c r="D5114" t="s">
        <v>832</v>
      </c>
      <c r="E5114" s="46" t="s">
        <v>1436</v>
      </c>
      <c r="F5114" s="45">
        <v>282000</v>
      </c>
      <c r="G5114" t="s">
        <v>1437</v>
      </c>
      <c r="H5114" t="s">
        <v>1438</v>
      </c>
      <c r="I5114" t="s">
        <v>1439</v>
      </c>
      <c r="J5114">
        <v>15</v>
      </c>
      <c r="K5114" t="s">
        <v>2164</v>
      </c>
    </row>
    <row r="5115" spans="1:11" hidden="1" x14ac:dyDescent="0.3">
      <c r="A5115" s="46">
        <v>45398</v>
      </c>
      <c r="B5115" s="46" t="s">
        <v>748</v>
      </c>
      <c r="D5115" t="s">
        <v>1486</v>
      </c>
      <c r="E5115" s="46" t="s">
        <v>1436</v>
      </c>
      <c r="F5115" s="45">
        <v>275176</v>
      </c>
      <c r="G5115" t="s">
        <v>1479</v>
      </c>
      <c r="H5115" t="s">
        <v>1468</v>
      </c>
      <c r="I5115" t="s">
        <v>2165</v>
      </c>
      <c r="K5115" t="s">
        <v>2166</v>
      </c>
    </row>
    <row r="5116" spans="1:11" hidden="1" x14ac:dyDescent="0.3">
      <c r="A5116" s="46">
        <v>45398</v>
      </c>
      <c r="B5116" s="46" t="s">
        <v>724</v>
      </c>
      <c r="D5116" t="s">
        <v>2032</v>
      </c>
      <c r="E5116" s="46" t="s">
        <v>1436</v>
      </c>
      <c r="F5116" s="45">
        <v>275000</v>
      </c>
      <c r="G5116" t="s">
        <v>1437</v>
      </c>
      <c r="H5116" t="s">
        <v>1438</v>
      </c>
      <c r="I5116" t="s">
        <v>1439</v>
      </c>
      <c r="K5116" t="s">
        <v>2167</v>
      </c>
    </row>
    <row r="5117" spans="1:11" hidden="1" x14ac:dyDescent="0.3">
      <c r="A5117" s="46">
        <v>45457</v>
      </c>
      <c r="B5117" s="46" t="s">
        <v>748</v>
      </c>
      <c r="D5117" t="s">
        <v>1474</v>
      </c>
      <c r="E5117" s="46" t="s">
        <v>1436</v>
      </c>
      <c r="F5117" s="45">
        <v>270000</v>
      </c>
      <c r="G5117" t="s">
        <v>1479</v>
      </c>
      <c r="H5117" t="s">
        <v>1475</v>
      </c>
      <c r="I5117" t="s">
        <v>1476</v>
      </c>
    </row>
    <row r="5118" spans="1:11" hidden="1" x14ac:dyDescent="0.3">
      <c r="A5118" s="46">
        <v>45462</v>
      </c>
      <c r="B5118" s="46" t="s">
        <v>748</v>
      </c>
      <c r="D5118" t="s">
        <v>1474</v>
      </c>
      <c r="E5118" s="46" t="s">
        <v>1436</v>
      </c>
      <c r="F5118" s="45">
        <v>240000</v>
      </c>
      <c r="G5118" t="s">
        <v>1479</v>
      </c>
      <c r="H5118" t="s">
        <v>1475</v>
      </c>
      <c r="I5118" t="s">
        <v>1476</v>
      </c>
    </row>
    <row r="5119" spans="1:11" hidden="1" x14ac:dyDescent="0.3">
      <c r="A5119" s="46">
        <v>45464</v>
      </c>
      <c r="B5119" s="46" t="s">
        <v>748</v>
      </c>
      <c r="D5119" t="s">
        <v>1474</v>
      </c>
      <c r="E5119" s="46" t="s">
        <v>1436</v>
      </c>
      <c r="F5119" s="45">
        <v>240000</v>
      </c>
      <c r="G5119" t="s">
        <v>1479</v>
      </c>
      <c r="H5119" t="s">
        <v>1475</v>
      </c>
      <c r="I5119" t="s">
        <v>1476</v>
      </c>
    </row>
    <row r="5120" spans="1:11" hidden="1" x14ac:dyDescent="0.3">
      <c r="A5120" s="46">
        <v>45422</v>
      </c>
      <c r="B5120" s="46" t="s">
        <v>748</v>
      </c>
      <c r="D5120" t="s">
        <v>1474</v>
      </c>
      <c r="E5120" s="46" t="s">
        <v>1436</v>
      </c>
      <c r="F5120" s="45">
        <v>240000</v>
      </c>
      <c r="G5120" t="s">
        <v>1479</v>
      </c>
      <c r="H5120" t="s">
        <v>1475</v>
      </c>
      <c r="I5120" t="s">
        <v>1476</v>
      </c>
    </row>
    <row r="5121" spans="1:11" hidden="1" x14ac:dyDescent="0.3">
      <c r="A5121" s="46">
        <v>45371</v>
      </c>
      <c r="B5121" s="46" t="s">
        <v>748</v>
      </c>
      <c r="D5121" t="s">
        <v>1474</v>
      </c>
      <c r="E5121" s="46" t="s">
        <v>1436</v>
      </c>
      <c r="F5121" s="45">
        <v>240000</v>
      </c>
      <c r="G5121" t="s">
        <v>1479</v>
      </c>
      <c r="H5121" t="s">
        <v>1475</v>
      </c>
      <c r="I5121" t="s">
        <v>1476</v>
      </c>
    </row>
    <row r="5122" spans="1:11" hidden="1" x14ac:dyDescent="0.3">
      <c r="A5122" s="46">
        <v>45357</v>
      </c>
      <c r="B5122" s="46" t="s">
        <v>729</v>
      </c>
      <c r="D5122" t="s">
        <v>754</v>
      </c>
      <c r="E5122" s="46" t="s">
        <v>1436</v>
      </c>
      <c r="F5122" s="45">
        <v>227000</v>
      </c>
      <c r="G5122" t="s">
        <v>1471</v>
      </c>
      <c r="H5122" t="s">
        <v>1447</v>
      </c>
      <c r="I5122" t="s">
        <v>1455</v>
      </c>
      <c r="K5122" t="s">
        <v>1669</v>
      </c>
    </row>
    <row r="5123" spans="1:11" hidden="1" x14ac:dyDescent="0.3">
      <c r="A5123" s="46">
        <v>45350</v>
      </c>
      <c r="B5123" s="46" t="s">
        <v>727</v>
      </c>
      <c r="D5123" t="s">
        <v>754</v>
      </c>
      <c r="E5123" s="46" t="s">
        <v>1436</v>
      </c>
      <c r="F5123" s="45">
        <v>227000</v>
      </c>
      <c r="G5123" t="s">
        <v>1463</v>
      </c>
      <c r="H5123" t="s">
        <v>1447</v>
      </c>
      <c r="I5123" t="s">
        <v>1455</v>
      </c>
      <c r="K5123" t="s">
        <v>1668</v>
      </c>
    </row>
    <row r="5124" spans="1:11" hidden="1" x14ac:dyDescent="0.3">
      <c r="A5124" s="46">
        <v>45296</v>
      </c>
      <c r="B5124" s="46" t="s">
        <v>748</v>
      </c>
      <c r="D5124" t="s">
        <v>1474</v>
      </c>
      <c r="E5124" s="46" t="s">
        <v>1436</v>
      </c>
      <c r="F5124" s="45">
        <v>225000</v>
      </c>
      <c r="G5124" t="s">
        <v>1479</v>
      </c>
      <c r="H5124" t="s">
        <v>1475</v>
      </c>
      <c r="I5124" t="s">
        <v>1476</v>
      </c>
    </row>
    <row r="5125" spans="1:11" hidden="1" x14ac:dyDescent="0.3">
      <c r="A5125" s="46">
        <v>45353</v>
      </c>
      <c r="B5125" s="46" t="s">
        <v>734</v>
      </c>
      <c r="D5125" t="s">
        <v>1498</v>
      </c>
      <c r="E5125" s="46" t="s">
        <v>1436</v>
      </c>
      <c r="F5125" s="45">
        <v>214808</v>
      </c>
      <c r="G5125" t="s">
        <v>1441</v>
      </c>
      <c r="H5125" t="s">
        <v>1499</v>
      </c>
      <c r="I5125" t="s">
        <v>1500</v>
      </c>
    </row>
    <row r="5126" spans="1:11" hidden="1" x14ac:dyDescent="0.3">
      <c r="A5126" s="46">
        <v>45393</v>
      </c>
      <c r="B5126" s="46" t="s">
        <v>722</v>
      </c>
      <c r="D5126" t="s">
        <v>2168</v>
      </c>
      <c r="E5126" s="46" t="s">
        <v>1436</v>
      </c>
      <c r="F5126" s="45">
        <v>213700</v>
      </c>
      <c r="G5126" t="s">
        <v>1437</v>
      </c>
      <c r="H5126" t="s">
        <v>1448</v>
      </c>
      <c r="I5126" t="s">
        <v>2169</v>
      </c>
    </row>
    <row r="5127" spans="1:11" hidden="1" x14ac:dyDescent="0.3">
      <c r="A5127" s="46">
        <v>45325</v>
      </c>
      <c r="B5127" s="46" t="s">
        <v>734</v>
      </c>
      <c r="D5127" t="s">
        <v>1498</v>
      </c>
      <c r="E5127" s="46" t="s">
        <v>1436</v>
      </c>
      <c r="F5127" s="45">
        <v>211175</v>
      </c>
      <c r="G5127" t="s">
        <v>1441</v>
      </c>
      <c r="H5127" t="s">
        <v>1499</v>
      </c>
      <c r="I5127" t="s">
        <v>1500</v>
      </c>
    </row>
    <row r="5128" spans="1:11" hidden="1" x14ac:dyDescent="0.3">
      <c r="A5128" s="46">
        <v>45395</v>
      </c>
      <c r="B5128" s="46" t="s">
        <v>727</v>
      </c>
      <c r="D5128" t="s">
        <v>2035</v>
      </c>
      <c r="E5128" s="46" t="s">
        <v>1436</v>
      </c>
      <c r="F5128" s="45">
        <v>210000</v>
      </c>
      <c r="G5128" t="s">
        <v>1463</v>
      </c>
      <c r="H5128" t="s">
        <v>1444</v>
      </c>
      <c r="I5128" t="s">
        <v>2170</v>
      </c>
      <c r="K5128" t="s">
        <v>2171</v>
      </c>
    </row>
    <row r="5129" spans="1:11" hidden="1" x14ac:dyDescent="0.3">
      <c r="A5129" s="46">
        <v>45414</v>
      </c>
      <c r="B5129" s="46" t="s">
        <v>748</v>
      </c>
      <c r="D5129" t="s">
        <v>1474</v>
      </c>
      <c r="E5129" s="46" t="s">
        <v>1436</v>
      </c>
      <c r="F5129" s="45">
        <v>210000</v>
      </c>
      <c r="G5129" t="s">
        <v>1479</v>
      </c>
      <c r="H5129" t="s">
        <v>1475</v>
      </c>
      <c r="I5129" t="s">
        <v>1476</v>
      </c>
    </row>
    <row r="5130" spans="1:11" hidden="1" x14ac:dyDescent="0.3">
      <c r="A5130" s="46">
        <v>45365</v>
      </c>
      <c r="B5130" s="46" t="s">
        <v>734</v>
      </c>
      <c r="D5130" t="s">
        <v>1670</v>
      </c>
      <c r="E5130" s="46" t="s">
        <v>1436</v>
      </c>
      <c r="F5130" s="45">
        <v>196000</v>
      </c>
      <c r="G5130" t="s">
        <v>1441</v>
      </c>
      <c r="H5130" t="s">
        <v>1438</v>
      </c>
      <c r="I5130" t="s">
        <v>1439</v>
      </c>
      <c r="J5130">
        <v>10</v>
      </c>
    </row>
    <row r="5131" spans="1:11" hidden="1" x14ac:dyDescent="0.3">
      <c r="A5131" s="46">
        <v>45379</v>
      </c>
      <c r="B5131" s="46" t="s">
        <v>748</v>
      </c>
      <c r="D5131" t="s">
        <v>1474</v>
      </c>
      <c r="E5131" s="46" t="s">
        <v>1436</v>
      </c>
      <c r="F5131" s="45">
        <v>195000</v>
      </c>
      <c r="G5131" t="s">
        <v>1463</v>
      </c>
      <c r="H5131" t="s">
        <v>1475</v>
      </c>
      <c r="I5131" t="s">
        <v>1476</v>
      </c>
    </row>
    <row r="5132" spans="1:11" hidden="1" x14ac:dyDescent="0.3">
      <c r="A5132" s="46">
        <v>45406</v>
      </c>
      <c r="B5132" s="46" t="s">
        <v>748</v>
      </c>
      <c r="D5132" t="s">
        <v>1474</v>
      </c>
      <c r="E5132" s="46" t="s">
        <v>1436</v>
      </c>
      <c r="F5132" s="45">
        <v>195000</v>
      </c>
      <c r="G5132" t="s">
        <v>1479</v>
      </c>
      <c r="H5132" t="s">
        <v>1475</v>
      </c>
      <c r="I5132" t="s">
        <v>1476</v>
      </c>
    </row>
    <row r="5133" spans="1:11" hidden="1" x14ac:dyDescent="0.3">
      <c r="A5133" s="46">
        <v>45435</v>
      </c>
      <c r="B5133" s="46" t="s">
        <v>748</v>
      </c>
      <c r="D5133" t="s">
        <v>1474</v>
      </c>
      <c r="E5133" s="46" t="s">
        <v>1436</v>
      </c>
      <c r="F5133" s="45">
        <v>195000</v>
      </c>
      <c r="G5133" t="s">
        <v>1479</v>
      </c>
      <c r="H5133" t="s">
        <v>1475</v>
      </c>
      <c r="I5133" t="s">
        <v>1476</v>
      </c>
    </row>
    <row r="5134" spans="1:11" hidden="1" x14ac:dyDescent="0.3">
      <c r="A5134" s="46">
        <v>45328</v>
      </c>
      <c r="B5134" s="46" t="s">
        <v>724</v>
      </c>
      <c r="D5134" t="s">
        <v>802</v>
      </c>
      <c r="E5134" s="46" t="s">
        <v>1436</v>
      </c>
      <c r="F5134" s="45">
        <v>183000</v>
      </c>
      <c r="G5134" t="s">
        <v>1437</v>
      </c>
      <c r="H5134" t="s">
        <v>1438</v>
      </c>
      <c r="I5134" t="s">
        <v>1439</v>
      </c>
      <c r="J5134">
        <v>9</v>
      </c>
      <c r="K5134" t="s">
        <v>1671</v>
      </c>
    </row>
    <row r="5135" spans="1:11" hidden="1" x14ac:dyDescent="0.3">
      <c r="A5135" s="46">
        <v>45448</v>
      </c>
      <c r="B5135" s="46" t="s">
        <v>748</v>
      </c>
      <c r="D5135" t="s">
        <v>1474</v>
      </c>
      <c r="E5135" s="46" t="s">
        <v>1436</v>
      </c>
      <c r="F5135" s="45">
        <v>180000</v>
      </c>
      <c r="G5135" t="s">
        <v>1479</v>
      </c>
      <c r="H5135" t="s">
        <v>1475</v>
      </c>
      <c r="I5135" t="s">
        <v>1476</v>
      </c>
    </row>
    <row r="5136" spans="1:11" hidden="1" x14ac:dyDescent="0.3">
      <c r="A5136" s="46">
        <v>45390</v>
      </c>
      <c r="B5136" s="46" t="s">
        <v>734</v>
      </c>
      <c r="D5136" t="s">
        <v>2172</v>
      </c>
      <c r="E5136" s="46" t="s">
        <v>1436</v>
      </c>
      <c r="F5136" s="45">
        <v>175780</v>
      </c>
      <c r="G5136" t="s">
        <v>1441</v>
      </c>
      <c r="H5136" t="s">
        <v>1442</v>
      </c>
      <c r="I5136" t="s">
        <v>1458</v>
      </c>
      <c r="K5136" t="s">
        <v>2173</v>
      </c>
    </row>
    <row r="5137" spans="1:11" hidden="1" x14ac:dyDescent="0.3">
      <c r="A5137" s="46">
        <v>45435</v>
      </c>
      <c r="B5137" s="46" t="s">
        <v>724</v>
      </c>
      <c r="D5137" s="31" t="s">
        <v>2032</v>
      </c>
      <c r="E5137" s="46" t="s">
        <v>1436</v>
      </c>
      <c r="F5137" s="45">
        <v>174000</v>
      </c>
      <c r="G5137" s="31" t="s">
        <v>1437</v>
      </c>
      <c r="H5137" s="31" t="s">
        <v>1444</v>
      </c>
      <c r="I5137" s="31" t="s">
        <v>2170</v>
      </c>
      <c r="J5137" s="31">
        <v>4</v>
      </c>
      <c r="K5137" s="31" t="s">
        <v>2174</v>
      </c>
    </row>
    <row r="5138" spans="1:11" hidden="1" x14ac:dyDescent="0.3">
      <c r="A5138" s="46">
        <v>45295</v>
      </c>
      <c r="B5138" s="46" t="s">
        <v>734</v>
      </c>
      <c r="D5138" t="s">
        <v>1491</v>
      </c>
      <c r="E5138" s="46" t="s">
        <v>1436</v>
      </c>
      <c r="F5138" s="45">
        <v>170000</v>
      </c>
      <c r="G5138" t="s">
        <v>1441</v>
      </c>
      <c r="H5138" t="s">
        <v>1438</v>
      </c>
      <c r="I5138" t="s">
        <v>1439</v>
      </c>
      <c r="J5138">
        <v>8</v>
      </c>
    </row>
    <row r="5139" spans="1:11" hidden="1" x14ac:dyDescent="0.3">
      <c r="A5139" s="46">
        <v>45344</v>
      </c>
      <c r="B5139" s="46" t="s">
        <v>772</v>
      </c>
      <c r="D5139" t="s">
        <v>810</v>
      </c>
      <c r="E5139" s="46" t="s">
        <v>1436</v>
      </c>
      <c r="F5139" s="45">
        <v>162000</v>
      </c>
      <c r="G5139" t="s">
        <v>1464</v>
      </c>
      <c r="H5139" t="s">
        <v>1438</v>
      </c>
      <c r="I5139" t="s">
        <v>1456</v>
      </c>
      <c r="K5139" t="s">
        <v>1672</v>
      </c>
    </row>
    <row r="5140" spans="1:11" hidden="1" x14ac:dyDescent="0.3">
      <c r="A5140" s="46">
        <v>45441</v>
      </c>
      <c r="B5140" s="46" t="s">
        <v>772</v>
      </c>
      <c r="D5140" t="s">
        <v>810</v>
      </c>
      <c r="E5140" s="46" t="s">
        <v>1436</v>
      </c>
      <c r="F5140" s="45">
        <v>162000</v>
      </c>
      <c r="G5140" t="s">
        <v>1464</v>
      </c>
      <c r="H5140" t="s">
        <v>1438</v>
      </c>
      <c r="I5140" t="s">
        <v>1456</v>
      </c>
      <c r="J5140">
        <v>6</v>
      </c>
    </row>
    <row r="5141" spans="1:11" hidden="1" x14ac:dyDescent="0.3">
      <c r="A5141" s="46">
        <v>45476</v>
      </c>
      <c r="B5141" s="46" t="s">
        <v>772</v>
      </c>
      <c r="D5141" t="s">
        <v>810</v>
      </c>
      <c r="E5141" s="46" t="s">
        <v>1436</v>
      </c>
      <c r="F5141" s="45">
        <v>162000</v>
      </c>
      <c r="G5141" t="s">
        <v>1464</v>
      </c>
      <c r="H5141" t="s">
        <v>1438</v>
      </c>
      <c r="I5141" t="s">
        <v>1456</v>
      </c>
      <c r="J5141">
        <v>6</v>
      </c>
    </row>
    <row r="5142" spans="1:11" hidden="1" x14ac:dyDescent="0.3">
      <c r="A5142" s="46">
        <v>45462</v>
      </c>
      <c r="B5142" s="46" t="s">
        <v>767</v>
      </c>
      <c r="D5142" t="s">
        <v>2175</v>
      </c>
      <c r="E5142" s="46" t="s">
        <v>1436</v>
      </c>
      <c r="F5142" s="45">
        <v>160000</v>
      </c>
      <c r="G5142" t="s">
        <v>1460</v>
      </c>
      <c r="H5142" t="s">
        <v>1484</v>
      </c>
      <c r="I5142" t="s">
        <v>1821</v>
      </c>
      <c r="K5142" t="s">
        <v>2176</v>
      </c>
    </row>
    <row r="5143" spans="1:11" hidden="1" x14ac:dyDescent="0.3">
      <c r="A5143" s="46">
        <v>45407</v>
      </c>
      <c r="B5143" s="46" t="s">
        <v>767</v>
      </c>
      <c r="D5143" t="s">
        <v>2177</v>
      </c>
      <c r="E5143" s="46" t="s">
        <v>1436</v>
      </c>
      <c r="F5143" s="45">
        <v>160000</v>
      </c>
      <c r="G5143" t="s">
        <v>1460</v>
      </c>
      <c r="H5143" t="s">
        <v>1484</v>
      </c>
      <c r="I5143" t="s">
        <v>1821</v>
      </c>
      <c r="K5143" t="s">
        <v>2178</v>
      </c>
    </row>
    <row r="5144" spans="1:11" hidden="1" x14ac:dyDescent="0.3">
      <c r="A5144" s="46">
        <v>45323</v>
      </c>
      <c r="B5144" s="46" t="s">
        <v>729</v>
      </c>
      <c r="D5144" t="s">
        <v>765</v>
      </c>
      <c r="E5144" s="46" t="s">
        <v>1436</v>
      </c>
      <c r="F5144" s="45">
        <v>159000</v>
      </c>
      <c r="G5144" t="s">
        <v>1471</v>
      </c>
      <c r="H5144" t="s">
        <v>1438</v>
      </c>
      <c r="I5144" t="s">
        <v>1454</v>
      </c>
      <c r="K5144" t="s">
        <v>1673</v>
      </c>
    </row>
    <row r="5145" spans="1:11" hidden="1" x14ac:dyDescent="0.3">
      <c r="A5145" s="46">
        <v>45330</v>
      </c>
      <c r="B5145" s="46" t="s">
        <v>724</v>
      </c>
      <c r="D5145" t="s">
        <v>820</v>
      </c>
      <c r="E5145" s="46" t="s">
        <v>1436</v>
      </c>
      <c r="F5145" s="45">
        <v>150000</v>
      </c>
      <c r="G5145" t="s">
        <v>1437</v>
      </c>
      <c r="H5145" t="s">
        <v>1438</v>
      </c>
      <c r="I5145" t="s">
        <v>1454</v>
      </c>
      <c r="J5145">
        <v>5</v>
      </c>
      <c r="K5145" t="s">
        <v>1674</v>
      </c>
    </row>
    <row r="5146" spans="1:11" hidden="1" x14ac:dyDescent="0.3">
      <c r="A5146" s="46">
        <v>45350</v>
      </c>
      <c r="B5146" s="46" t="s">
        <v>772</v>
      </c>
      <c r="D5146" t="s">
        <v>915</v>
      </c>
      <c r="E5146" s="46" t="s">
        <v>1436</v>
      </c>
      <c r="F5146" s="45">
        <v>150000</v>
      </c>
      <c r="G5146" t="s">
        <v>1464</v>
      </c>
      <c r="H5146" t="s">
        <v>1452</v>
      </c>
      <c r="I5146" t="s">
        <v>1494</v>
      </c>
    </row>
    <row r="5147" spans="1:11" hidden="1" x14ac:dyDescent="0.3">
      <c r="A5147" s="46">
        <v>45301</v>
      </c>
      <c r="B5147" s="46" t="s">
        <v>748</v>
      </c>
      <c r="D5147" t="s">
        <v>1474</v>
      </c>
      <c r="E5147" s="46" t="s">
        <v>1436</v>
      </c>
      <c r="F5147" s="45">
        <v>150000</v>
      </c>
      <c r="G5147" t="s">
        <v>1479</v>
      </c>
      <c r="H5147" t="s">
        <v>1475</v>
      </c>
      <c r="I5147" t="s">
        <v>1476</v>
      </c>
    </row>
    <row r="5148" spans="1:11" hidden="1" x14ac:dyDescent="0.3">
      <c r="A5148" s="46">
        <v>45306</v>
      </c>
      <c r="B5148" s="46" t="s">
        <v>772</v>
      </c>
      <c r="D5148" t="s">
        <v>915</v>
      </c>
      <c r="E5148" s="46" t="s">
        <v>1436</v>
      </c>
      <c r="F5148" s="45">
        <v>150000</v>
      </c>
      <c r="G5148" t="s">
        <v>1464</v>
      </c>
      <c r="H5148" t="s">
        <v>1452</v>
      </c>
      <c r="I5148" t="s">
        <v>1494</v>
      </c>
    </row>
    <row r="5149" spans="1:11" hidden="1" x14ac:dyDescent="0.3">
      <c r="A5149" s="46">
        <v>45322</v>
      </c>
      <c r="B5149" s="46" t="s">
        <v>748</v>
      </c>
      <c r="D5149" t="s">
        <v>1474</v>
      </c>
      <c r="E5149" s="46" t="s">
        <v>1436</v>
      </c>
      <c r="F5149" s="45">
        <v>150000</v>
      </c>
      <c r="G5149" t="s">
        <v>1479</v>
      </c>
      <c r="H5149" t="s">
        <v>1475</v>
      </c>
      <c r="I5149" t="s">
        <v>1476</v>
      </c>
    </row>
    <row r="5150" spans="1:11" hidden="1" x14ac:dyDescent="0.3">
      <c r="A5150" s="46">
        <v>45373</v>
      </c>
      <c r="B5150" s="46" t="s">
        <v>772</v>
      </c>
      <c r="D5150" t="s">
        <v>915</v>
      </c>
      <c r="E5150" s="46" t="s">
        <v>1436</v>
      </c>
      <c r="F5150" s="45">
        <v>150000</v>
      </c>
      <c r="G5150" t="s">
        <v>1464</v>
      </c>
      <c r="H5150" t="s">
        <v>1452</v>
      </c>
      <c r="I5150" t="s">
        <v>1494</v>
      </c>
    </row>
    <row r="5151" spans="1:11" hidden="1" x14ac:dyDescent="0.3">
      <c r="A5151" s="46">
        <v>45460</v>
      </c>
      <c r="B5151" s="46" t="s">
        <v>772</v>
      </c>
      <c r="D5151" t="s">
        <v>915</v>
      </c>
      <c r="E5151" s="46" t="s">
        <v>1436</v>
      </c>
      <c r="F5151" s="45">
        <v>150000</v>
      </c>
      <c r="G5151" t="s">
        <v>1464</v>
      </c>
      <c r="H5151" t="s">
        <v>1452</v>
      </c>
      <c r="I5151" t="s">
        <v>1494</v>
      </c>
    </row>
    <row r="5152" spans="1:11" hidden="1" x14ac:dyDescent="0.3">
      <c r="A5152" s="46">
        <v>45439</v>
      </c>
      <c r="B5152" s="46" t="s">
        <v>772</v>
      </c>
      <c r="D5152" t="s">
        <v>915</v>
      </c>
      <c r="E5152" s="46" t="s">
        <v>1436</v>
      </c>
      <c r="F5152" s="45">
        <v>150000</v>
      </c>
      <c r="G5152" t="s">
        <v>1464</v>
      </c>
      <c r="H5152" t="s">
        <v>1452</v>
      </c>
      <c r="I5152" t="s">
        <v>1494</v>
      </c>
    </row>
    <row r="5153" spans="1:11" hidden="1" x14ac:dyDescent="0.3">
      <c r="A5153" s="46">
        <v>45328</v>
      </c>
      <c r="B5153" s="46" t="s">
        <v>772</v>
      </c>
      <c r="D5153" t="s">
        <v>913</v>
      </c>
      <c r="E5153" s="46" t="s">
        <v>1436</v>
      </c>
      <c r="F5153" s="45">
        <v>149900</v>
      </c>
      <c r="G5153" t="s">
        <v>1464</v>
      </c>
      <c r="H5153" t="s">
        <v>1452</v>
      </c>
      <c r="I5153" t="s">
        <v>1494</v>
      </c>
    </row>
    <row r="5154" spans="1:11" hidden="1" x14ac:dyDescent="0.3">
      <c r="A5154" s="46">
        <v>45322</v>
      </c>
      <c r="B5154" s="46" t="s">
        <v>734</v>
      </c>
      <c r="D5154" t="s">
        <v>1440</v>
      </c>
      <c r="E5154" s="46" t="s">
        <v>1436</v>
      </c>
      <c r="F5154" s="45">
        <v>148760</v>
      </c>
      <c r="G5154" t="s">
        <v>1441</v>
      </c>
      <c r="H5154" t="s">
        <v>1442</v>
      </c>
      <c r="I5154" t="s">
        <v>1443</v>
      </c>
      <c r="K5154" t="s">
        <v>1675</v>
      </c>
    </row>
    <row r="5155" spans="1:11" hidden="1" x14ac:dyDescent="0.3">
      <c r="A5155" s="46">
        <v>45363</v>
      </c>
      <c r="B5155" s="46" t="s">
        <v>748</v>
      </c>
      <c r="D5155" t="s">
        <v>1482</v>
      </c>
      <c r="E5155" s="46" t="s">
        <v>1436</v>
      </c>
      <c r="F5155" s="45">
        <v>147664</v>
      </c>
      <c r="G5155" t="s">
        <v>1479</v>
      </c>
      <c r="H5155" t="s">
        <v>1452</v>
      </c>
      <c r="I5155" t="s">
        <v>1453</v>
      </c>
      <c r="K5155" t="s">
        <v>1676</v>
      </c>
    </row>
    <row r="5156" spans="1:11" hidden="1" x14ac:dyDescent="0.3">
      <c r="A5156" s="46">
        <v>45293</v>
      </c>
      <c r="B5156" s="46" t="s">
        <v>734</v>
      </c>
      <c r="D5156" t="s">
        <v>1498</v>
      </c>
      <c r="E5156" s="46" t="s">
        <v>1436</v>
      </c>
      <c r="F5156" s="45">
        <v>144585</v>
      </c>
      <c r="G5156" t="s">
        <v>1441</v>
      </c>
      <c r="H5156" t="s">
        <v>1499</v>
      </c>
      <c r="I5156" t="s">
        <v>1500</v>
      </c>
    </row>
    <row r="5157" spans="1:11" hidden="1" x14ac:dyDescent="0.3">
      <c r="A5157" s="46">
        <v>45393</v>
      </c>
      <c r="B5157" s="46" t="s">
        <v>727</v>
      </c>
      <c r="D5157" t="s">
        <v>2179</v>
      </c>
      <c r="E5157" s="46" t="s">
        <v>1436</v>
      </c>
      <c r="F5157" s="45">
        <v>142000</v>
      </c>
      <c r="G5157" t="s">
        <v>1463</v>
      </c>
      <c r="H5157" t="s">
        <v>1438</v>
      </c>
      <c r="I5157" t="s">
        <v>1439</v>
      </c>
      <c r="J5157">
        <v>8</v>
      </c>
    </row>
    <row r="5158" spans="1:11" hidden="1" x14ac:dyDescent="0.3">
      <c r="A5158" s="46">
        <v>45301</v>
      </c>
      <c r="B5158" s="46" t="s">
        <v>748</v>
      </c>
      <c r="D5158" t="s">
        <v>1440</v>
      </c>
      <c r="E5158" s="46" t="s">
        <v>1436</v>
      </c>
      <c r="F5158" s="45">
        <v>140400</v>
      </c>
      <c r="G5158" t="s">
        <v>1479</v>
      </c>
      <c r="H5158" t="s">
        <v>1442</v>
      </c>
      <c r="I5158" t="s">
        <v>1458</v>
      </c>
    </row>
    <row r="5159" spans="1:11" hidden="1" x14ac:dyDescent="0.3">
      <c r="A5159" s="46">
        <v>45394</v>
      </c>
      <c r="B5159" s="46" t="s">
        <v>772</v>
      </c>
      <c r="D5159" t="s">
        <v>920</v>
      </c>
      <c r="E5159" s="46" t="s">
        <v>1436</v>
      </c>
      <c r="F5159" s="45">
        <v>140000</v>
      </c>
      <c r="G5159" t="s">
        <v>1464</v>
      </c>
      <c r="H5159" t="s">
        <v>1452</v>
      </c>
      <c r="I5159" t="s">
        <v>1494</v>
      </c>
    </row>
    <row r="5160" spans="1:11" hidden="1" x14ac:dyDescent="0.3">
      <c r="A5160" s="46">
        <v>45414</v>
      </c>
      <c r="B5160" s="46" t="s">
        <v>772</v>
      </c>
      <c r="D5160" t="s">
        <v>920</v>
      </c>
      <c r="E5160" s="46" t="s">
        <v>1436</v>
      </c>
      <c r="F5160" s="45">
        <v>140000</v>
      </c>
      <c r="G5160" t="s">
        <v>1464</v>
      </c>
      <c r="H5160" t="s">
        <v>1452</v>
      </c>
    </row>
    <row r="5161" spans="1:11" hidden="1" x14ac:dyDescent="0.3">
      <c r="A5161" s="46">
        <v>45370</v>
      </c>
      <c r="B5161" s="46" t="s">
        <v>720</v>
      </c>
      <c r="D5161" t="s">
        <v>1820</v>
      </c>
      <c r="E5161" s="46" t="s">
        <v>1436</v>
      </c>
      <c r="F5161" s="45">
        <v>138900</v>
      </c>
      <c r="G5161" t="s">
        <v>1463</v>
      </c>
      <c r="H5161" t="s">
        <v>1484</v>
      </c>
      <c r="I5161" t="s">
        <v>1821</v>
      </c>
      <c r="K5161" t="s">
        <v>1822</v>
      </c>
    </row>
    <row r="5162" spans="1:11" hidden="1" x14ac:dyDescent="0.3">
      <c r="A5162" s="46">
        <v>45316</v>
      </c>
      <c r="B5162" s="46" t="s">
        <v>734</v>
      </c>
      <c r="D5162" t="s">
        <v>1520</v>
      </c>
      <c r="E5162" s="46" t="s">
        <v>1436</v>
      </c>
      <c r="F5162" s="45">
        <v>136000</v>
      </c>
      <c r="G5162" t="s">
        <v>1441</v>
      </c>
      <c r="H5162" t="s">
        <v>1438</v>
      </c>
      <c r="I5162" t="s">
        <v>1439</v>
      </c>
      <c r="J5162">
        <v>7</v>
      </c>
    </row>
    <row r="5163" spans="1:11" hidden="1" x14ac:dyDescent="0.3">
      <c r="A5163" s="46">
        <v>45315</v>
      </c>
      <c r="B5163" s="46" t="s">
        <v>748</v>
      </c>
      <c r="D5163" t="s">
        <v>1474</v>
      </c>
      <c r="E5163" s="46" t="s">
        <v>1436</v>
      </c>
      <c r="F5163" s="45">
        <v>135000</v>
      </c>
      <c r="G5163" t="s">
        <v>1479</v>
      </c>
      <c r="H5163" t="s">
        <v>1475</v>
      </c>
      <c r="I5163" t="s">
        <v>1476</v>
      </c>
    </row>
    <row r="5164" spans="1:11" hidden="1" x14ac:dyDescent="0.3">
      <c r="A5164" s="46">
        <v>45356</v>
      </c>
      <c r="B5164" s="46" t="s">
        <v>748</v>
      </c>
      <c r="D5164" t="s">
        <v>1474</v>
      </c>
      <c r="E5164" s="46" t="s">
        <v>1436</v>
      </c>
      <c r="F5164" s="45">
        <v>135000</v>
      </c>
      <c r="G5164" t="s">
        <v>1479</v>
      </c>
      <c r="H5164" t="s">
        <v>1475</v>
      </c>
      <c r="I5164" t="s">
        <v>1476</v>
      </c>
    </row>
    <row r="5165" spans="1:11" hidden="1" x14ac:dyDescent="0.3">
      <c r="A5165" s="46">
        <v>45387</v>
      </c>
      <c r="B5165" s="46" t="s">
        <v>748</v>
      </c>
      <c r="D5165" t="s">
        <v>1474</v>
      </c>
      <c r="E5165" s="46" t="s">
        <v>1436</v>
      </c>
      <c r="F5165" s="45">
        <v>135000</v>
      </c>
      <c r="G5165" t="s">
        <v>1483</v>
      </c>
      <c r="H5165" t="s">
        <v>1475</v>
      </c>
      <c r="I5165" t="s">
        <v>1476</v>
      </c>
    </row>
    <row r="5166" spans="1:11" hidden="1" x14ac:dyDescent="0.3">
      <c r="A5166" s="46">
        <v>45385</v>
      </c>
      <c r="B5166" s="46" t="s">
        <v>748</v>
      </c>
      <c r="D5166" t="s">
        <v>1474</v>
      </c>
      <c r="E5166" s="46" t="s">
        <v>1436</v>
      </c>
      <c r="F5166" s="45">
        <v>135000</v>
      </c>
      <c r="G5166" t="s">
        <v>1479</v>
      </c>
      <c r="H5166" t="s">
        <v>1475</v>
      </c>
      <c r="I5166" t="s">
        <v>1476</v>
      </c>
    </row>
    <row r="5167" spans="1:11" hidden="1" x14ac:dyDescent="0.3">
      <c r="A5167" s="46">
        <v>45426</v>
      </c>
      <c r="B5167" s="46" t="s">
        <v>748</v>
      </c>
      <c r="D5167" t="s">
        <v>1474</v>
      </c>
      <c r="E5167" s="46" t="s">
        <v>1436</v>
      </c>
      <c r="F5167" s="45">
        <v>135000</v>
      </c>
      <c r="G5167" t="s">
        <v>1479</v>
      </c>
      <c r="H5167" t="s">
        <v>1475</v>
      </c>
      <c r="I5167" t="s">
        <v>1476</v>
      </c>
    </row>
    <row r="5168" spans="1:11" hidden="1" x14ac:dyDescent="0.3">
      <c r="A5168" s="46">
        <v>45429</v>
      </c>
      <c r="B5168" s="46" t="s">
        <v>748</v>
      </c>
      <c r="D5168" t="s">
        <v>1474</v>
      </c>
      <c r="E5168" s="46" t="s">
        <v>1436</v>
      </c>
      <c r="F5168" s="45">
        <v>135000</v>
      </c>
      <c r="G5168" t="s">
        <v>1479</v>
      </c>
      <c r="H5168" t="s">
        <v>1475</v>
      </c>
      <c r="I5168" t="s">
        <v>1476</v>
      </c>
    </row>
    <row r="5169" spans="1:11" hidden="1" x14ac:dyDescent="0.3">
      <c r="A5169" s="46">
        <v>45455</v>
      </c>
      <c r="B5169" s="46" t="s">
        <v>748</v>
      </c>
      <c r="D5169" t="s">
        <v>1474</v>
      </c>
      <c r="E5169" s="46" t="s">
        <v>1436</v>
      </c>
      <c r="F5169" s="45">
        <v>135000</v>
      </c>
      <c r="G5169" t="s">
        <v>1479</v>
      </c>
      <c r="H5169" t="s">
        <v>1475</v>
      </c>
      <c r="I5169" t="s">
        <v>1476</v>
      </c>
    </row>
    <row r="5170" spans="1:11" hidden="1" x14ac:dyDescent="0.3">
      <c r="A5170" s="46">
        <v>45386</v>
      </c>
      <c r="B5170" s="46" t="s">
        <v>727</v>
      </c>
      <c r="D5170" t="s">
        <v>1520</v>
      </c>
      <c r="E5170" s="46" t="s">
        <v>1436</v>
      </c>
      <c r="F5170" s="45">
        <v>131000</v>
      </c>
      <c r="G5170" t="s">
        <v>1463</v>
      </c>
      <c r="H5170" t="s">
        <v>1438</v>
      </c>
      <c r="I5170" t="s">
        <v>1439</v>
      </c>
      <c r="J5170">
        <v>6</v>
      </c>
      <c r="K5170" t="s">
        <v>2180</v>
      </c>
    </row>
    <row r="5171" spans="1:11" hidden="1" x14ac:dyDescent="0.3">
      <c r="A5171" s="46">
        <v>45433</v>
      </c>
      <c r="B5171" s="46" t="s">
        <v>727</v>
      </c>
      <c r="D5171" t="s">
        <v>1440</v>
      </c>
      <c r="E5171" s="46" t="s">
        <v>1436</v>
      </c>
      <c r="F5171" s="45">
        <v>130400</v>
      </c>
      <c r="G5171" t="s">
        <v>1460</v>
      </c>
      <c r="H5171" t="s">
        <v>1442</v>
      </c>
      <c r="I5171" t="s">
        <v>1443</v>
      </c>
      <c r="K5171" t="s">
        <v>2181</v>
      </c>
    </row>
    <row r="5172" spans="1:11" hidden="1" x14ac:dyDescent="0.3">
      <c r="A5172" s="46">
        <v>45323</v>
      </c>
      <c r="B5172" s="46" t="s">
        <v>729</v>
      </c>
      <c r="D5172" t="s">
        <v>765</v>
      </c>
      <c r="E5172" s="46" t="s">
        <v>1436</v>
      </c>
      <c r="F5172" s="45">
        <v>127600</v>
      </c>
      <c r="G5172" t="s">
        <v>1471</v>
      </c>
      <c r="H5172" t="s">
        <v>1438</v>
      </c>
      <c r="I5172" t="s">
        <v>1454</v>
      </c>
      <c r="K5172" t="s">
        <v>1673</v>
      </c>
    </row>
    <row r="5173" spans="1:11" hidden="1" x14ac:dyDescent="0.3">
      <c r="A5173" s="46">
        <v>45358</v>
      </c>
      <c r="B5173" s="46" t="s">
        <v>767</v>
      </c>
      <c r="D5173" t="s">
        <v>1677</v>
      </c>
      <c r="E5173" s="46" t="s">
        <v>1436</v>
      </c>
      <c r="F5173" s="45">
        <v>126600</v>
      </c>
      <c r="G5173" t="s">
        <v>1460</v>
      </c>
      <c r="H5173" t="s">
        <v>1438</v>
      </c>
      <c r="I5173" t="s">
        <v>1439</v>
      </c>
      <c r="J5173">
        <v>8</v>
      </c>
    </row>
    <row r="5174" spans="1:11" hidden="1" x14ac:dyDescent="0.3">
      <c r="A5174" s="46">
        <v>45419</v>
      </c>
      <c r="B5174" s="46" t="s">
        <v>724</v>
      </c>
      <c r="D5174" t="s">
        <v>791</v>
      </c>
      <c r="E5174" s="46" t="s">
        <v>1436</v>
      </c>
      <c r="F5174" s="45">
        <v>125000</v>
      </c>
      <c r="G5174" t="s">
        <v>1437</v>
      </c>
      <c r="H5174" t="s">
        <v>1438</v>
      </c>
      <c r="I5174" t="s">
        <v>1439</v>
      </c>
      <c r="J5174">
        <v>6</v>
      </c>
    </row>
    <row r="5175" spans="1:11" hidden="1" x14ac:dyDescent="0.3">
      <c r="A5175" s="46">
        <v>45399</v>
      </c>
      <c r="B5175" s="46" t="s">
        <v>727</v>
      </c>
      <c r="D5175" t="s">
        <v>2182</v>
      </c>
      <c r="E5175" s="46" t="s">
        <v>1436</v>
      </c>
      <c r="F5175" s="45">
        <v>125000</v>
      </c>
      <c r="G5175" t="s">
        <v>1463</v>
      </c>
      <c r="H5175" t="s">
        <v>1484</v>
      </c>
      <c r="I5175" t="s">
        <v>1821</v>
      </c>
      <c r="K5175" t="s">
        <v>2183</v>
      </c>
    </row>
    <row r="5176" spans="1:11" hidden="1" x14ac:dyDescent="0.3">
      <c r="A5176" s="46">
        <v>45400</v>
      </c>
      <c r="B5176" s="46" t="s">
        <v>767</v>
      </c>
      <c r="D5176" t="s">
        <v>2184</v>
      </c>
      <c r="E5176" s="46" t="s">
        <v>1436</v>
      </c>
      <c r="F5176" s="45">
        <v>125000</v>
      </c>
      <c r="G5176" t="s">
        <v>1460</v>
      </c>
      <c r="H5176" t="s">
        <v>1438</v>
      </c>
      <c r="I5176" t="s">
        <v>1439</v>
      </c>
      <c r="J5176">
        <v>8</v>
      </c>
      <c r="K5176" t="s">
        <v>2185</v>
      </c>
    </row>
    <row r="5177" spans="1:11" hidden="1" x14ac:dyDescent="0.3">
      <c r="A5177" s="46">
        <v>45314</v>
      </c>
      <c r="B5177" s="46" t="s">
        <v>722</v>
      </c>
      <c r="D5177" t="s">
        <v>765</v>
      </c>
      <c r="E5177" s="46" t="s">
        <v>1436</v>
      </c>
      <c r="F5177" s="45">
        <v>122584</v>
      </c>
      <c r="G5177" t="s">
        <v>1437</v>
      </c>
      <c r="H5177" t="s">
        <v>1442</v>
      </c>
      <c r="I5177" t="s">
        <v>1458</v>
      </c>
      <c r="J5177">
        <v>4</v>
      </c>
      <c r="K5177" t="s">
        <v>1678</v>
      </c>
    </row>
    <row r="5178" spans="1:11" hidden="1" x14ac:dyDescent="0.3">
      <c r="A5178" s="46">
        <v>45386</v>
      </c>
      <c r="B5178" s="46" t="s">
        <v>734</v>
      </c>
      <c r="D5178" t="s">
        <v>2186</v>
      </c>
      <c r="E5178" s="46" t="s">
        <v>1436</v>
      </c>
      <c r="F5178" s="45">
        <v>122300</v>
      </c>
      <c r="G5178" t="s">
        <v>1441</v>
      </c>
      <c r="H5178" t="s">
        <v>1438</v>
      </c>
      <c r="I5178" t="s">
        <v>1439</v>
      </c>
      <c r="J5178">
        <v>7</v>
      </c>
    </row>
    <row r="5179" spans="1:11" hidden="1" x14ac:dyDescent="0.3">
      <c r="A5179" s="46">
        <v>45463</v>
      </c>
      <c r="B5179" s="46" t="s">
        <v>734</v>
      </c>
      <c r="D5179" t="s">
        <v>1677</v>
      </c>
      <c r="E5179" s="46" t="s">
        <v>1436</v>
      </c>
      <c r="F5179" s="45">
        <v>122000</v>
      </c>
      <c r="G5179" t="s">
        <v>1441</v>
      </c>
      <c r="H5179" t="s">
        <v>1438</v>
      </c>
      <c r="I5179" t="s">
        <v>1439</v>
      </c>
      <c r="J5179">
        <v>12</v>
      </c>
    </row>
    <row r="5180" spans="1:11" hidden="1" x14ac:dyDescent="0.3">
      <c r="A5180" s="46">
        <v>45356</v>
      </c>
      <c r="B5180" s="46" t="s">
        <v>748</v>
      </c>
      <c r="D5180" t="s">
        <v>1474</v>
      </c>
      <c r="E5180" s="46" t="s">
        <v>1436</v>
      </c>
      <c r="F5180" s="45">
        <v>120000</v>
      </c>
      <c r="G5180" t="s">
        <v>1479</v>
      </c>
      <c r="H5180" t="s">
        <v>1475</v>
      </c>
      <c r="I5180" t="s">
        <v>1476</v>
      </c>
    </row>
    <row r="5181" spans="1:11" hidden="1" x14ac:dyDescent="0.3">
      <c r="A5181" s="46">
        <v>45373</v>
      </c>
      <c r="B5181" s="46" t="s">
        <v>748</v>
      </c>
      <c r="D5181" t="s">
        <v>1474</v>
      </c>
      <c r="E5181" s="46" t="s">
        <v>1436</v>
      </c>
      <c r="F5181" s="45">
        <v>120000</v>
      </c>
      <c r="G5181" t="s">
        <v>1479</v>
      </c>
      <c r="H5181" t="s">
        <v>1475</v>
      </c>
      <c r="I5181" t="s">
        <v>1476</v>
      </c>
    </row>
    <row r="5182" spans="1:11" hidden="1" x14ac:dyDescent="0.3">
      <c r="A5182" s="46">
        <v>45310</v>
      </c>
      <c r="B5182" s="46" t="s">
        <v>748</v>
      </c>
      <c r="D5182" t="s">
        <v>1474</v>
      </c>
      <c r="E5182" s="46" t="s">
        <v>1436</v>
      </c>
      <c r="F5182" s="45">
        <v>120000</v>
      </c>
      <c r="G5182" t="s">
        <v>1479</v>
      </c>
      <c r="H5182" t="s">
        <v>1475</v>
      </c>
      <c r="I5182" t="s">
        <v>1476</v>
      </c>
    </row>
    <row r="5183" spans="1:11" hidden="1" x14ac:dyDescent="0.3">
      <c r="A5183" s="46">
        <v>45303</v>
      </c>
      <c r="B5183" s="46" t="s">
        <v>748</v>
      </c>
      <c r="D5183" t="s">
        <v>1657</v>
      </c>
      <c r="E5183" s="46" t="s">
        <v>1436</v>
      </c>
      <c r="F5183" s="45">
        <v>120000</v>
      </c>
      <c r="G5183" t="s">
        <v>1451</v>
      </c>
      <c r="H5183" t="s">
        <v>1442</v>
      </c>
      <c r="I5183" t="s">
        <v>1458</v>
      </c>
      <c r="K5183" t="s">
        <v>1679</v>
      </c>
    </row>
    <row r="5184" spans="1:11" hidden="1" x14ac:dyDescent="0.3">
      <c r="A5184" s="46">
        <v>45308</v>
      </c>
      <c r="B5184" s="46" t="s">
        <v>748</v>
      </c>
      <c r="D5184" t="s">
        <v>1474</v>
      </c>
      <c r="E5184" s="46" t="s">
        <v>1436</v>
      </c>
      <c r="F5184" s="45">
        <v>120000</v>
      </c>
      <c r="G5184" t="s">
        <v>1479</v>
      </c>
      <c r="H5184" t="s">
        <v>1475</v>
      </c>
      <c r="I5184" t="s">
        <v>1476</v>
      </c>
    </row>
    <row r="5185" spans="1:11" hidden="1" x14ac:dyDescent="0.3">
      <c r="A5185" s="46">
        <v>45351</v>
      </c>
      <c r="B5185" s="46" t="s">
        <v>748</v>
      </c>
      <c r="D5185" t="s">
        <v>1474</v>
      </c>
      <c r="E5185" s="46" t="s">
        <v>1436</v>
      </c>
      <c r="F5185" s="45">
        <v>120000</v>
      </c>
      <c r="G5185" t="s">
        <v>1479</v>
      </c>
      <c r="H5185" t="s">
        <v>1475</v>
      </c>
      <c r="I5185" t="s">
        <v>1476</v>
      </c>
    </row>
    <row r="5186" spans="1:11" hidden="1" x14ac:dyDescent="0.3">
      <c r="A5186" s="46">
        <v>45345</v>
      </c>
      <c r="B5186" s="46" t="s">
        <v>748</v>
      </c>
      <c r="D5186" t="s">
        <v>1474</v>
      </c>
      <c r="E5186" s="46" t="s">
        <v>1436</v>
      </c>
      <c r="F5186" s="45">
        <v>120000</v>
      </c>
      <c r="G5186" t="s">
        <v>1479</v>
      </c>
      <c r="H5186" t="s">
        <v>1475</v>
      </c>
      <c r="I5186" t="s">
        <v>1476</v>
      </c>
    </row>
    <row r="5187" spans="1:11" hidden="1" x14ac:dyDescent="0.3">
      <c r="A5187" s="46">
        <v>45324</v>
      </c>
      <c r="B5187" s="46" t="s">
        <v>729</v>
      </c>
      <c r="D5187" t="s">
        <v>765</v>
      </c>
      <c r="E5187" s="46" t="s">
        <v>1436</v>
      </c>
      <c r="F5187" s="45">
        <v>119240</v>
      </c>
      <c r="G5187" t="s">
        <v>1471</v>
      </c>
      <c r="H5187" t="s">
        <v>1438</v>
      </c>
      <c r="I5187" t="s">
        <v>1454</v>
      </c>
      <c r="K5187" t="s">
        <v>1673</v>
      </c>
    </row>
    <row r="5188" spans="1:11" hidden="1" x14ac:dyDescent="0.3">
      <c r="A5188" s="46">
        <v>45329</v>
      </c>
      <c r="B5188" s="46" t="s">
        <v>761</v>
      </c>
      <c r="D5188" t="s">
        <v>848</v>
      </c>
      <c r="E5188" s="46" t="s">
        <v>1436</v>
      </c>
      <c r="F5188" s="45">
        <v>116941</v>
      </c>
      <c r="G5188" t="s">
        <v>1457</v>
      </c>
      <c r="H5188" t="s">
        <v>1452</v>
      </c>
      <c r="I5188" t="s">
        <v>1453</v>
      </c>
      <c r="K5188" t="s">
        <v>1680</v>
      </c>
    </row>
    <row r="5189" spans="1:11" hidden="1" x14ac:dyDescent="0.3">
      <c r="A5189" s="46">
        <v>45349</v>
      </c>
      <c r="B5189" s="46" t="s">
        <v>748</v>
      </c>
      <c r="D5189" t="s">
        <v>1440</v>
      </c>
      <c r="E5189" s="46" t="s">
        <v>1436</v>
      </c>
      <c r="F5189" s="45">
        <v>116200</v>
      </c>
      <c r="G5189" t="s">
        <v>1479</v>
      </c>
      <c r="H5189" t="s">
        <v>1442</v>
      </c>
      <c r="I5189" t="s">
        <v>1458</v>
      </c>
      <c r="K5189" t="s">
        <v>1681</v>
      </c>
    </row>
    <row r="5190" spans="1:11" hidden="1" x14ac:dyDescent="0.3">
      <c r="A5190" s="46">
        <v>45414</v>
      </c>
      <c r="B5190" s="46" t="s">
        <v>772</v>
      </c>
      <c r="D5190" t="s">
        <v>2047</v>
      </c>
      <c r="E5190" s="46" t="s">
        <v>1436</v>
      </c>
      <c r="F5190" s="45">
        <v>115000</v>
      </c>
      <c r="G5190" t="s">
        <v>1464</v>
      </c>
      <c r="H5190" t="s">
        <v>1438</v>
      </c>
      <c r="I5190" t="s">
        <v>1439</v>
      </c>
      <c r="J5190">
        <v>5</v>
      </c>
    </row>
    <row r="5191" spans="1:11" hidden="1" x14ac:dyDescent="0.3">
      <c r="A5191" s="46">
        <v>45324</v>
      </c>
      <c r="B5191" s="46" t="s">
        <v>729</v>
      </c>
      <c r="D5191" t="s">
        <v>765</v>
      </c>
      <c r="E5191" s="46" t="s">
        <v>1436</v>
      </c>
      <c r="F5191" s="45">
        <v>114122</v>
      </c>
      <c r="G5191" t="s">
        <v>1471</v>
      </c>
      <c r="H5191" t="s">
        <v>1438</v>
      </c>
      <c r="I5191" t="s">
        <v>1454</v>
      </c>
      <c r="K5191" t="s">
        <v>1673</v>
      </c>
    </row>
    <row r="5192" spans="1:11" hidden="1" x14ac:dyDescent="0.3">
      <c r="A5192" s="46">
        <v>45337</v>
      </c>
      <c r="B5192" s="46" t="s">
        <v>772</v>
      </c>
      <c r="D5192" t="s">
        <v>807</v>
      </c>
      <c r="E5192" s="46" t="s">
        <v>1436</v>
      </c>
      <c r="F5192" s="45">
        <v>113960</v>
      </c>
      <c r="G5192" t="s">
        <v>1464</v>
      </c>
      <c r="H5192" t="s">
        <v>1452</v>
      </c>
      <c r="I5192" t="s">
        <v>1453</v>
      </c>
      <c r="K5192" t="s">
        <v>1535</v>
      </c>
    </row>
    <row r="5193" spans="1:11" hidden="1" x14ac:dyDescent="0.3">
      <c r="A5193" s="46">
        <v>45386</v>
      </c>
      <c r="B5193" s="46" t="s">
        <v>727</v>
      </c>
      <c r="D5193" t="s">
        <v>1520</v>
      </c>
      <c r="E5193" s="46" t="s">
        <v>1436</v>
      </c>
      <c r="F5193" s="45">
        <v>113000</v>
      </c>
      <c r="G5193" t="s">
        <v>1463</v>
      </c>
      <c r="H5193" t="s">
        <v>1438</v>
      </c>
      <c r="I5193" t="s">
        <v>1439</v>
      </c>
      <c r="J5193">
        <v>6</v>
      </c>
    </row>
    <row r="5194" spans="1:11" hidden="1" x14ac:dyDescent="0.3">
      <c r="A5194" s="46">
        <v>45394</v>
      </c>
      <c r="B5194" s="46" t="s">
        <v>722</v>
      </c>
      <c r="D5194" t="s">
        <v>2187</v>
      </c>
      <c r="E5194" s="46" t="s">
        <v>1436</v>
      </c>
      <c r="F5194" s="45">
        <v>110000</v>
      </c>
      <c r="G5194" t="s">
        <v>1437</v>
      </c>
      <c r="H5194" t="s">
        <v>1448</v>
      </c>
      <c r="I5194" t="s">
        <v>2188</v>
      </c>
      <c r="K5194" t="s">
        <v>2189</v>
      </c>
    </row>
    <row r="5195" spans="1:11" hidden="1" x14ac:dyDescent="0.3">
      <c r="A5195" s="46">
        <v>45349</v>
      </c>
      <c r="B5195" s="46" t="s">
        <v>748</v>
      </c>
      <c r="D5195" t="s">
        <v>1501</v>
      </c>
      <c r="E5195" s="46" t="s">
        <v>1436</v>
      </c>
      <c r="F5195" s="45">
        <v>108470</v>
      </c>
      <c r="G5195" t="s">
        <v>1479</v>
      </c>
      <c r="H5195" t="s">
        <v>1442</v>
      </c>
      <c r="I5195" t="s">
        <v>1458</v>
      </c>
      <c r="K5195" t="s">
        <v>1682</v>
      </c>
    </row>
    <row r="5196" spans="1:11" hidden="1" x14ac:dyDescent="0.3">
      <c r="A5196" s="46">
        <v>45337</v>
      </c>
      <c r="B5196" s="46" t="s">
        <v>734</v>
      </c>
      <c r="D5196" t="s">
        <v>1512</v>
      </c>
      <c r="E5196" s="46" t="s">
        <v>1436</v>
      </c>
      <c r="F5196" s="45">
        <v>108000</v>
      </c>
      <c r="G5196" t="s">
        <v>1480</v>
      </c>
      <c r="H5196" t="s">
        <v>1438</v>
      </c>
      <c r="I5196" t="s">
        <v>1456</v>
      </c>
      <c r="J5196">
        <v>6</v>
      </c>
      <c r="K5196" t="s">
        <v>1683</v>
      </c>
    </row>
    <row r="5197" spans="1:11" hidden="1" x14ac:dyDescent="0.3">
      <c r="A5197" s="46">
        <v>45337</v>
      </c>
      <c r="B5197" s="46" t="s">
        <v>767</v>
      </c>
      <c r="D5197" t="s">
        <v>857</v>
      </c>
      <c r="E5197" s="46" t="s">
        <v>1436</v>
      </c>
      <c r="F5197" s="45">
        <v>106000</v>
      </c>
      <c r="G5197" t="s">
        <v>1460</v>
      </c>
      <c r="H5197" t="s">
        <v>1438</v>
      </c>
      <c r="I5197" t="s">
        <v>1439</v>
      </c>
      <c r="J5197">
        <v>5</v>
      </c>
    </row>
    <row r="5198" spans="1:11" hidden="1" x14ac:dyDescent="0.3">
      <c r="A5198" s="46">
        <v>45323</v>
      </c>
      <c r="B5198" s="46" t="s">
        <v>729</v>
      </c>
      <c r="D5198" t="s">
        <v>857</v>
      </c>
      <c r="E5198" s="46" t="s">
        <v>1436</v>
      </c>
      <c r="F5198" s="45">
        <v>106000</v>
      </c>
      <c r="G5198" t="s">
        <v>1471</v>
      </c>
      <c r="H5198" t="s">
        <v>1438</v>
      </c>
      <c r="I5198" t="s">
        <v>1439</v>
      </c>
      <c r="J5198">
        <v>6</v>
      </c>
    </row>
    <row r="5199" spans="1:11" hidden="1" x14ac:dyDescent="0.3">
      <c r="A5199" s="46">
        <v>45407</v>
      </c>
      <c r="B5199" s="46" t="s">
        <v>724</v>
      </c>
      <c r="D5199" t="s">
        <v>888</v>
      </c>
      <c r="E5199" s="46" t="s">
        <v>1436</v>
      </c>
      <c r="F5199" s="45">
        <v>105500</v>
      </c>
      <c r="G5199" t="s">
        <v>1437</v>
      </c>
      <c r="H5199" t="s">
        <v>1438</v>
      </c>
      <c r="I5199" t="s">
        <v>1439</v>
      </c>
      <c r="J5199">
        <v>6</v>
      </c>
    </row>
    <row r="5200" spans="1:11" hidden="1" x14ac:dyDescent="0.3">
      <c r="A5200" s="46">
        <v>45420</v>
      </c>
      <c r="B5200" s="46" t="s">
        <v>748</v>
      </c>
      <c r="D5200" t="s">
        <v>1474</v>
      </c>
      <c r="E5200" s="46" t="s">
        <v>1436</v>
      </c>
      <c r="F5200" s="45">
        <v>105000</v>
      </c>
      <c r="G5200" t="s">
        <v>1479</v>
      </c>
      <c r="H5200" t="s">
        <v>1475</v>
      </c>
      <c r="I5200" t="s">
        <v>1476</v>
      </c>
    </row>
    <row r="5201" spans="1:11" hidden="1" x14ac:dyDescent="0.3">
      <c r="A5201" s="46">
        <v>45362</v>
      </c>
      <c r="B5201" s="46" t="s">
        <v>748</v>
      </c>
      <c r="D5201" t="s">
        <v>1474</v>
      </c>
      <c r="E5201" s="46" t="s">
        <v>1436</v>
      </c>
      <c r="F5201" s="45">
        <v>105000</v>
      </c>
      <c r="G5201" t="s">
        <v>1483</v>
      </c>
      <c r="H5201" t="s">
        <v>1438</v>
      </c>
      <c r="I5201" t="s">
        <v>1439</v>
      </c>
      <c r="J5201">
        <v>1</v>
      </c>
    </row>
    <row r="5202" spans="1:11" hidden="1" x14ac:dyDescent="0.3">
      <c r="A5202" s="46">
        <v>45433</v>
      </c>
      <c r="B5202" s="46" t="s">
        <v>748</v>
      </c>
      <c r="D5202" s="31" t="s">
        <v>1474</v>
      </c>
      <c r="E5202" s="46" t="s">
        <v>1436</v>
      </c>
      <c r="F5202" s="45">
        <v>105000</v>
      </c>
      <c r="G5202" s="31" t="s">
        <v>1479</v>
      </c>
      <c r="H5202" s="31" t="s">
        <v>1475</v>
      </c>
      <c r="I5202" s="31" t="s">
        <v>1476</v>
      </c>
      <c r="J5202" s="31"/>
      <c r="K5202" s="31"/>
    </row>
    <row r="5203" spans="1:11" hidden="1" x14ac:dyDescent="0.3">
      <c r="A5203" s="46">
        <v>45450</v>
      </c>
      <c r="B5203" s="46" t="s">
        <v>748</v>
      </c>
      <c r="D5203" t="s">
        <v>1474</v>
      </c>
      <c r="E5203" s="46" t="s">
        <v>1436</v>
      </c>
      <c r="F5203" s="45">
        <v>105000</v>
      </c>
      <c r="G5203" t="s">
        <v>1479</v>
      </c>
      <c r="H5203" t="s">
        <v>1475</v>
      </c>
      <c r="I5203" t="s">
        <v>1476</v>
      </c>
    </row>
    <row r="5204" spans="1:11" hidden="1" x14ac:dyDescent="0.3">
      <c r="A5204" s="46">
        <v>45440</v>
      </c>
      <c r="B5204" s="46" t="s">
        <v>748</v>
      </c>
      <c r="D5204" t="s">
        <v>1440</v>
      </c>
      <c r="E5204" s="46" t="s">
        <v>1436</v>
      </c>
      <c r="F5204" s="45">
        <v>104100</v>
      </c>
      <c r="G5204" t="s">
        <v>1479</v>
      </c>
      <c r="H5204" t="s">
        <v>1442</v>
      </c>
      <c r="I5204" t="s">
        <v>1458</v>
      </c>
      <c r="K5204" t="s">
        <v>2190</v>
      </c>
    </row>
    <row r="5205" spans="1:11" hidden="1" x14ac:dyDescent="0.3">
      <c r="A5205" s="46">
        <v>45401</v>
      </c>
      <c r="B5205" s="46" t="s">
        <v>727</v>
      </c>
      <c r="D5205" t="s">
        <v>2050</v>
      </c>
      <c r="E5205" s="46" t="s">
        <v>1436</v>
      </c>
      <c r="F5205" s="45">
        <v>103500</v>
      </c>
      <c r="G5205" t="s">
        <v>1463</v>
      </c>
      <c r="H5205" t="s">
        <v>1484</v>
      </c>
      <c r="I5205" t="s">
        <v>1821</v>
      </c>
      <c r="K5205" t="s">
        <v>2191</v>
      </c>
    </row>
    <row r="5206" spans="1:11" hidden="1" x14ac:dyDescent="0.3">
      <c r="A5206" s="46">
        <v>45316</v>
      </c>
      <c r="B5206" s="46" t="s">
        <v>772</v>
      </c>
      <c r="D5206" t="s">
        <v>865</v>
      </c>
      <c r="E5206" s="46" t="s">
        <v>1436</v>
      </c>
      <c r="F5206" s="45">
        <v>103000</v>
      </c>
      <c r="G5206" t="s">
        <v>1464</v>
      </c>
      <c r="H5206" t="s">
        <v>1438</v>
      </c>
      <c r="I5206" t="s">
        <v>1439</v>
      </c>
      <c r="J5206">
        <v>5</v>
      </c>
    </row>
    <row r="5207" spans="1:11" hidden="1" x14ac:dyDescent="0.3">
      <c r="A5207" s="46">
        <v>45380</v>
      </c>
      <c r="B5207" s="46" t="s">
        <v>734</v>
      </c>
      <c r="D5207" t="s">
        <v>1677</v>
      </c>
      <c r="E5207" s="46" t="s">
        <v>1436</v>
      </c>
      <c r="F5207" s="45">
        <v>102700</v>
      </c>
      <c r="G5207" t="s">
        <v>1441</v>
      </c>
      <c r="H5207" t="s">
        <v>1438</v>
      </c>
      <c r="I5207" t="s">
        <v>1439</v>
      </c>
      <c r="J5207">
        <v>7</v>
      </c>
    </row>
    <row r="5208" spans="1:11" hidden="1" x14ac:dyDescent="0.3">
      <c r="A5208" s="46">
        <v>45372</v>
      </c>
      <c r="B5208" s="46" t="s">
        <v>734</v>
      </c>
      <c r="D5208" t="s">
        <v>1677</v>
      </c>
      <c r="E5208" s="46" t="s">
        <v>1436</v>
      </c>
      <c r="F5208" s="45">
        <v>100700</v>
      </c>
      <c r="G5208" t="s">
        <v>1441</v>
      </c>
      <c r="H5208" t="s">
        <v>1438</v>
      </c>
      <c r="I5208" t="s">
        <v>1439</v>
      </c>
      <c r="J5208">
        <v>6</v>
      </c>
    </row>
    <row r="5209" spans="1:11" hidden="1" x14ac:dyDescent="0.3">
      <c r="A5209" s="46">
        <v>45364</v>
      </c>
      <c r="B5209" s="46" t="s">
        <v>724</v>
      </c>
      <c r="D5209" t="s">
        <v>993</v>
      </c>
      <c r="E5209" s="46" t="s">
        <v>1436</v>
      </c>
      <c r="F5209" s="45">
        <v>100000</v>
      </c>
      <c r="G5209" t="s">
        <v>1437</v>
      </c>
      <c r="H5209" t="s">
        <v>1438</v>
      </c>
      <c r="I5209" t="s">
        <v>1439</v>
      </c>
      <c r="J5209">
        <v>10</v>
      </c>
    </row>
    <row r="5210" spans="1:11" hidden="1" x14ac:dyDescent="0.3">
      <c r="A5210" s="46">
        <v>45345</v>
      </c>
      <c r="B5210" s="46" t="s">
        <v>748</v>
      </c>
      <c r="D5210" t="s">
        <v>1513</v>
      </c>
      <c r="E5210" s="46" t="s">
        <v>1436</v>
      </c>
      <c r="F5210" s="45">
        <v>100000</v>
      </c>
      <c r="G5210" t="s">
        <v>1480</v>
      </c>
      <c r="H5210" t="s">
        <v>1452</v>
      </c>
      <c r="I5210" t="s">
        <v>1494</v>
      </c>
    </row>
    <row r="5211" spans="1:11" hidden="1" x14ac:dyDescent="0.3">
      <c r="A5211" s="46">
        <v>45344</v>
      </c>
      <c r="B5211" s="46" t="s">
        <v>734</v>
      </c>
      <c r="D5211" t="s">
        <v>1515</v>
      </c>
      <c r="E5211" s="46" t="s">
        <v>1436</v>
      </c>
      <c r="F5211" s="45">
        <v>100000</v>
      </c>
      <c r="G5211" t="s">
        <v>1441</v>
      </c>
      <c r="H5211" t="s">
        <v>1438</v>
      </c>
      <c r="I5211" t="s">
        <v>1439</v>
      </c>
      <c r="J5211">
        <v>5</v>
      </c>
    </row>
    <row r="5212" spans="1:11" hidden="1" x14ac:dyDescent="0.3">
      <c r="A5212" s="46">
        <v>45323</v>
      </c>
      <c r="B5212" s="46" t="s">
        <v>729</v>
      </c>
      <c r="D5212" t="s">
        <v>765</v>
      </c>
      <c r="E5212" s="46" t="s">
        <v>1436</v>
      </c>
      <c r="F5212" s="45">
        <v>99750</v>
      </c>
      <c r="G5212" t="s">
        <v>1471</v>
      </c>
      <c r="H5212" t="s">
        <v>1438</v>
      </c>
      <c r="I5212" t="s">
        <v>1454</v>
      </c>
      <c r="K5212" t="s">
        <v>1673</v>
      </c>
    </row>
    <row r="5213" spans="1:11" hidden="1" x14ac:dyDescent="0.3">
      <c r="A5213" s="46">
        <v>45309</v>
      </c>
      <c r="B5213" s="46" t="s">
        <v>748</v>
      </c>
      <c r="D5213" t="s">
        <v>1502</v>
      </c>
      <c r="E5213" s="46" t="s">
        <v>1436</v>
      </c>
      <c r="F5213" s="45">
        <v>99000</v>
      </c>
      <c r="G5213" t="s">
        <v>1462</v>
      </c>
      <c r="H5213" t="s">
        <v>1438</v>
      </c>
      <c r="I5213" t="s">
        <v>1439</v>
      </c>
      <c r="J5213">
        <v>5</v>
      </c>
    </row>
    <row r="5214" spans="1:11" hidden="1" x14ac:dyDescent="0.3">
      <c r="A5214" s="46">
        <v>45323</v>
      </c>
      <c r="B5214" s="46" t="s">
        <v>729</v>
      </c>
      <c r="D5214" t="s">
        <v>765</v>
      </c>
      <c r="E5214" s="46" t="s">
        <v>1436</v>
      </c>
      <c r="F5214" s="45">
        <v>99000</v>
      </c>
      <c r="G5214" t="s">
        <v>1471</v>
      </c>
      <c r="H5214" t="s">
        <v>1438</v>
      </c>
      <c r="I5214" t="s">
        <v>1454</v>
      </c>
      <c r="K5214" t="s">
        <v>1673</v>
      </c>
    </row>
    <row r="5215" spans="1:11" hidden="1" x14ac:dyDescent="0.3">
      <c r="A5215" s="46">
        <v>45315</v>
      </c>
      <c r="B5215" s="46" t="s">
        <v>729</v>
      </c>
      <c r="D5215" t="s">
        <v>765</v>
      </c>
      <c r="E5215" s="46" t="s">
        <v>1436</v>
      </c>
      <c r="F5215" s="45">
        <v>99000</v>
      </c>
      <c r="G5215" t="s">
        <v>1471</v>
      </c>
      <c r="H5215" t="s">
        <v>1438</v>
      </c>
      <c r="I5215" t="s">
        <v>1454</v>
      </c>
      <c r="K5215" t="s">
        <v>1673</v>
      </c>
    </row>
    <row r="5216" spans="1:11" hidden="1" x14ac:dyDescent="0.3">
      <c r="A5216" s="46">
        <v>45477</v>
      </c>
      <c r="B5216" s="46" t="s">
        <v>727</v>
      </c>
      <c r="D5216" t="s">
        <v>2378</v>
      </c>
      <c r="E5216" s="46" t="s">
        <v>1436</v>
      </c>
      <c r="F5216" s="45">
        <v>98000</v>
      </c>
      <c r="G5216" t="s">
        <v>1463</v>
      </c>
      <c r="H5216" t="s">
        <v>1438</v>
      </c>
      <c r="I5216" t="s">
        <v>1439</v>
      </c>
      <c r="J5216">
        <v>5</v>
      </c>
    </row>
    <row r="5217" spans="1:11" hidden="1" x14ac:dyDescent="0.3">
      <c r="A5217" s="46">
        <v>45302</v>
      </c>
      <c r="B5217" s="46" t="s">
        <v>772</v>
      </c>
      <c r="D5217" t="s">
        <v>872</v>
      </c>
      <c r="E5217" s="46" t="s">
        <v>1436</v>
      </c>
      <c r="F5217" s="45">
        <v>97000</v>
      </c>
      <c r="G5217" t="s">
        <v>1464</v>
      </c>
      <c r="H5217" t="s">
        <v>1438</v>
      </c>
      <c r="I5217" t="s">
        <v>1439</v>
      </c>
      <c r="J5217">
        <v>4</v>
      </c>
    </row>
    <row r="5218" spans="1:11" hidden="1" x14ac:dyDescent="0.3">
      <c r="A5218" s="46">
        <v>45321</v>
      </c>
      <c r="B5218" s="46" t="s">
        <v>729</v>
      </c>
      <c r="D5218" t="s">
        <v>765</v>
      </c>
      <c r="E5218" s="46" t="s">
        <v>1436</v>
      </c>
      <c r="F5218" s="45">
        <v>96800</v>
      </c>
      <c r="G5218" t="s">
        <v>1471</v>
      </c>
      <c r="H5218" t="s">
        <v>1438</v>
      </c>
      <c r="I5218" t="s">
        <v>1454</v>
      </c>
      <c r="K5218" t="s">
        <v>1673</v>
      </c>
    </row>
    <row r="5219" spans="1:11" hidden="1" x14ac:dyDescent="0.3">
      <c r="A5219" s="46">
        <v>45343</v>
      </c>
      <c r="B5219" s="46" t="s">
        <v>734</v>
      </c>
      <c r="D5219" t="s">
        <v>1440</v>
      </c>
      <c r="E5219" s="46" t="s">
        <v>1436</v>
      </c>
      <c r="F5219" s="45">
        <v>95500</v>
      </c>
      <c r="G5219" t="s">
        <v>1441</v>
      </c>
      <c r="H5219" t="s">
        <v>1442</v>
      </c>
      <c r="I5219" t="s">
        <v>1443</v>
      </c>
      <c r="K5219" t="s">
        <v>1684</v>
      </c>
    </row>
    <row r="5220" spans="1:11" hidden="1" x14ac:dyDescent="0.3">
      <c r="A5220" s="46">
        <v>45477</v>
      </c>
      <c r="B5220" s="46" t="s">
        <v>767</v>
      </c>
      <c r="D5220" t="s">
        <v>1504</v>
      </c>
      <c r="E5220" s="46" t="s">
        <v>1436</v>
      </c>
      <c r="F5220" s="45">
        <v>95000</v>
      </c>
      <c r="G5220" t="s">
        <v>1460</v>
      </c>
      <c r="H5220" t="s">
        <v>1438</v>
      </c>
      <c r="I5220" t="s">
        <v>1439</v>
      </c>
      <c r="J5220">
        <v>5</v>
      </c>
    </row>
    <row r="5221" spans="1:11" hidden="1" x14ac:dyDescent="0.3">
      <c r="A5221" s="46">
        <v>45321</v>
      </c>
      <c r="B5221" s="46" t="s">
        <v>729</v>
      </c>
      <c r="D5221" t="s">
        <v>765</v>
      </c>
      <c r="E5221" s="46" t="s">
        <v>1436</v>
      </c>
      <c r="F5221" s="45">
        <v>94600</v>
      </c>
      <c r="G5221" t="s">
        <v>1471</v>
      </c>
      <c r="H5221" t="s">
        <v>1438</v>
      </c>
      <c r="I5221" t="s">
        <v>1454</v>
      </c>
      <c r="K5221" t="s">
        <v>1673</v>
      </c>
    </row>
    <row r="5222" spans="1:11" hidden="1" x14ac:dyDescent="0.3">
      <c r="A5222" s="46">
        <v>45433</v>
      </c>
      <c r="B5222" s="46" t="s">
        <v>727</v>
      </c>
      <c r="D5222" t="s">
        <v>1205</v>
      </c>
      <c r="E5222" s="46" t="s">
        <v>1436</v>
      </c>
      <c r="F5222" s="45">
        <v>94490</v>
      </c>
      <c r="G5222" t="s">
        <v>1460</v>
      </c>
      <c r="H5222" t="s">
        <v>1442</v>
      </c>
      <c r="I5222" t="s">
        <v>1443</v>
      </c>
      <c r="K5222" t="s">
        <v>2192</v>
      </c>
    </row>
    <row r="5223" spans="1:11" hidden="1" x14ac:dyDescent="0.3">
      <c r="A5223" s="46">
        <v>45442</v>
      </c>
      <c r="B5223" s="46" t="s">
        <v>772</v>
      </c>
      <c r="D5223" t="s">
        <v>1261</v>
      </c>
      <c r="E5223" s="46" t="s">
        <v>1436</v>
      </c>
      <c r="F5223" s="45">
        <v>93600</v>
      </c>
      <c r="G5223" t="s">
        <v>1464</v>
      </c>
      <c r="H5223" t="s">
        <v>1438</v>
      </c>
      <c r="I5223" t="s">
        <v>1439</v>
      </c>
      <c r="J5223">
        <v>4</v>
      </c>
    </row>
    <row r="5224" spans="1:11" hidden="1" x14ac:dyDescent="0.3">
      <c r="A5224" s="46">
        <v>45309</v>
      </c>
      <c r="B5224" s="46" t="s">
        <v>772</v>
      </c>
      <c r="D5224" t="s">
        <v>791</v>
      </c>
      <c r="E5224" s="46" t="s">
        <v>1436</v>
      </c>
      <c r="F5224" s="45">
        <v>92000</v>
      </c>
      <c r="G5224" t="s">
        <v>1464</v>
      </c>
      <c r="H5224" t="s">
        <v>1438</v>
      </c>
      <c r="I5224" t="s">
        <v>1439</v>
      </c>
      <c r="J5224">
        <v>5</v>
      </c>
    </row>
    <row r="5225" spans="1:11" hidden="1" x14ac:dyDescent="0.3">
      <c r="A5225" s="46">
        <v>45337</v>
      </c>
      <c r="B5225" s="46" t="s">
        <v>729</v>
      </c>
      <c r="D5225" t="s">
        <v>1440</v>
      </c>
      <c r="E5225" s="46" t="s">
        <v>1436</v>
      </c>
      <c r="F5225" s="45">
        <v>92000</v>
      </c>
      <c r="G5225" t="s">
        <v>1471</v>
      </c>
      <c r="H5225" t="s">
        <v>1442</v>
      </c>
      <c r="I5225" t="s">
        <v>1458</v>
      </c>
      <c r="K5225" t="s">
        <v>1685</v>
      </c>
    </row>
    <row r="5226" spans="1:11" hidden="1" x14ac:dyDescent="0.3">
      <c r="A5226" s="46">
        <v>45321</v>
      </c>
      <c r="B5226" s="46" t="s">
        <v>729</v>
      </c>
      <c r="D5226" t="s">
        <v>765</v>
      </c>
      <c r="E5226" s="46" t="s">
        <v>1436</v>
      </c>
      <c r="F5226" s="45">
        <v>91950</v>
      </c>
      <c r="G5226" t="s">
        <v>1471</v>
      </c>
      <c r="H5226" t="s">
        <v>1438</v>
      </c>
      <c r="I5226" t="s">
        <v>1454</v>
      </c>
      <c r="K5226" t="s">
        <v>1673</v>
      </c>
    </row>
    <row r="5227" spans="1:11" hidden="1" x14ac:dyDescent="0.3">
      <c r="A5227" s="46">
        <v>45321</v>
      </c>
      <c r="B5227" s="46" t="s">
        <v>729</v>
      </c>
      <c r="D5227" t="s">
        <v>765</v>
      </c>
      <c r="E5227" s="46" t="s">
        <v>1436</v>
      </c>
      <c r="F5227" s="45">
        <v>90750</v>
      </c>
      <c r="G5227" t="s">
        <v>1471</v>
      </c>
      <c r="H5227" t="s">
        <v>1438</v>
      </c>
      <c r="I5227" t="s">
        <v>1454</v>
      </c>
      <c r="K5227" t="s">
        <v>1673</v>
      </c>
    </row>
    <row r="5228" spans="1:11" hidden="1" x14ac:dyDescent="0.3">
      <c r="A5228" s="46">
        <v>45306</v>
      </c>
      <c r="B5228" s="46" t="s">
        <v>748</v>
      </c>
      <c r="D5228" t="s">
        <v>1474</v>
      </c>
      <c r="E5228" s="46" t="s">
        <v>1436</v>
      </c>
      <c r="F5228" s="45">
        <v>90000</v>
      </c>
      <c r="G5228" t="s">
        <v>1479</v>
      </c>
      <c r="H5228" t="s">
        <v>1475</v>
      </c>
      <c r="I5228" t="s">
        <v>1476</v>
      </c>
    </row>
    <row r="5229" spans="1:11" hidden="1" x14ac:dyDescent="0.3">
      <c r="A5229" s="46">
        <v>45344</v>
      </c>
      <c r="B5229" s="46" t="s">
        <v>727</v>
      </c>
      <c r="D5229" t="s">
        <v>1504</v>
      </c>
      <c r="E5229" s="46" t="s">
        <v>1436</v>
      </c>
      <c r="F5229" s="45">
        <v>90000</v>
      </c>
      <c r="G5229" t="s">
        <v>1463</v>
      </c>
      <c r="H5229" t="s">
        <v>1438</v>
      </c>
      <c r="I5229" t="s">
        <v>1439</v>
      </c>
      <c r="J5229">
        <v>5</v>
      </c>
    </row>
    <row r="5230" spans="1:11" hidden="1" x14ac:dyDescent="0.3">
      <c r="A5230" s="46">
        <v>45401</v>
      </c>
      <c r="B5230" s="46" t="s">
        <v>748</v>
      </c>
      <c r="D5230" t="s">
        <v>1474</v>
      </c>
      <c r="E5230" s="46" t="s">
        <v>1436</v>
      </c>
      <c r="F5230" s="45">
        <v>90000</v>
      </c>
      <c r="G5230" t="s">
        <v>1479</v>
      </c>
      <c r="H5230" t="s">
        <v>1475</v>
      </c>
      <c r="I5230" t="s">
        <v>1476</v>
      </c>
    </row>
    <row r="5231" spans="1:11" hidden="1" x14ac:dyDescent="0.3">
      <c r="A5231" s="46">
        <v>45324</v>
      </c>
      <c r="B5231" s="46" t="s">
        <v>729</v>
      </c>
      <c r="D5231" t="s">
        <v>765</v>
      </c>
      <c r="E5231" s="46" t="s">
        <v>1436</v>
      </c>
      <c r="F5231" s="45">
        <v>89967</v>
      </c>
      <c r="G5231" t="s">
        <v>1471</v>
      </c>
      <c r="H5231" t="s">
        <v>1438</v>
      </c>
      <c r="I5231" t="s">
        <v>1454</v>
      </c>
      <c r="K5231" t="s">
        <v>1673</v>
      </c>
    </row>
    <row r="5232" spans="1:11" hidden="1" x14ac:dyDescent="0.3">
      <c r="A5232" s="46">
        <v>45324</v>
      </c>
      <c r="B5232" s="46" t="s">
        <v>729</v>
      </c>
      <c r="D5232" t="s">
        <v>765</v>
      </c>
      <c r="E5232" s="46" t="s">
        <v>1436</v>
      </c>
      <c r="F5232" s="45">
        <v>89967</v>
      </c>
      <c r="G5232" t="s">
        <v>1471</v>
      </c>
      <c r="H5232" t="s">
        <v>1438</v>
      </c>
      <c r="I5232" t="s">
        <v>1454</v>
      </c>
      <c r="K5232" t="s">
        <v>1673</v>
      </c>
    </row>
    <row r="5233" spans="1:11" hidden="1" x14ac:dyDescent="0.3">
      <c r="A5233" s="46">
        <v>45323</v>
      </c>
      <c r="B5233" s="46" t="s">
        <v>729</v>
      </c>
      <c r="D5233" t="s">
        <v>765</v>
      </c>
      <c r="E5233" s="46" t="s">
        <v>1436</v>
      </c>
      <c r="F5233" s="45">
        <v>89560</v>
      </c>
      <c r="G5233" t="s">
        <v>1471</v>
      </c>
      <c r="H5233" t="s">
        <v>1438</v>
      </c>
      <c r="I5233" t="s">
        <v>1454</v>
      </c>
      <c r="K5233" t="s">
        <v>1673</v>
      </c>
    </row>
    <row r="5234" spans="1:11" hidden="1" x14ac:dyDescent="0.3">
      <c r="A5234" s="46">
        <v>45337</v>
      </c>
      <c r="B5234" s="46" t="s">
        <v>724</v>
      </c>
      <c r="D5234" t="s">
        <v>886</v>
      </c>
      <c r="E5234" s="46" t="s">
        <v>1436</v>
      </c>
      <c r="F5234" s="45">
        <v>88000</v>
      </c>
      <c r="G5234" t="s">
        <v>1437</v>
      </c>
      <c r="H5234" t="s">
        <v>1438</v>
      </c>
      <c r="I5234" t="s">
        <v>1439</v>
      </c>
      <c r="J5234">
        <v>5</v>
      </c>
    </row>
    <row r="5235" spans="1:11" hidden="1" x14ac:dyDescent="0.3">
      <c r="A5235" s="46">
        <v>45406</v>
      </c>
      <c r="B5235" s="46" t="s">
        <v>724</v>
      </c>
      <c r="D5235" t="s">
        <v>791</v>
      </c>
      <c r="E5235" s="46" t="s">
        <v>1436</v>
      </c>
      <c r="F5235" s="45">
        <v>88000</v>
      </c>
      <c r="G5235" t="s">
        <v>1437</v>
      </c>
      <c r="H5235" t="s">
        <v>1438</v>
      </c>
      <c r="I5235" t="s">
        <v>1439</v>
      </c>
      <c r="J5235">
        <v>4</v>
      </c>
    </row>
    <row r="5236" spans="1:11" hidden="1" x14ac:dyDescent="0.3">
      <c r="A5236" s="46">
        <v>45390</v>
      </c>
      <c r="B5236" s="46" t="s">
        <v>724</v>
      </c>
      <c r="D5236" t="s">
        <v>791</v>
      </c>
      <c r="E5236" s="46" t="s">
        <v>1436</v>
      </c>
      <c r="F5236" s="45">
        <v>88000</v>
      </c>
      <c r="G5236" t="s">
        <v>1437</v>
      </c>
      <c r="H5236" t="s">
        <v>1438</v>
      </c>
      <c r="I5236" t="s">
        <v>1439</v>
      </c>
      <c r="J5236">
        <v>4</v>
      </c>
    </row>
    <row r="5237" spans="1:11" hidden="1" x14ac:dyDescent="0.3">
      <c r="A5237" s="46">
        <v>45370</v>
      </c>
      <c r="B5237" s="46" t="s">
        <v>748</v>
      </c>
      <c r="D5237" t="s">
        <v>1486</v>
      </c>
      <c r="E5237" s="46" t="s">
        <v>1436</v>
      </c>
      <c r="F5237" s="45">
        <v>87494</v>
      </c>
      <c r="G5237" t="s">
        <v>1466</v>
      </c>
      <c r="H5237" t="s">
        <v>1438</v>
      </c>
      <c r="I5237" t="s">
        <v>1439</v>
      </c>
      <c r="J5237">
        <v>3</v>
      </c>
    </row>
    <row r="5238" spans="1:11" hidden="1" x14ac:dyDescent="0.3">
      <c r="A5238" s="46">
        <v>45351</v>
      </c>
      <c r="B5238" s="46" t="s">
        <v>727</v>
      </c>
      <c r="D5238" t="s">
        <v>1686</v>
      </c>
      <c r="E5238" s="46" t="s">
        <v>1436</v>
      </c>
      <c r="F5238" s="45">
        <v>87000</v>
      </c>
      <c r="G5238" t="s">
        <v>1463</v>
      </c>
      <c r="H5238" t="s">
        <v>1438</v>
      </c>
      <c r="I5238" t="s">
        <v>1439</v>
      </c>
      <c r="J5238">
        <v>5</v>
      </c>
    </row>
    <row r="5239" spans="1:11" hidden="1" x14ac:dyDescent="0.3">
      <c r="A5239" s="46">
        <v>45304</v>
      </c>
      <c r="B5239" s="46" t="s">
        <v>821</v>
      </c>
      <c r="D5239" t="s">
        <v>1517</v>
      </c>
      <c r="E5239" s="46" t="s">
        <v>1436</v>
      </c>
      <c r="F5239" s="45">
        <v>87000</v>
      </c>
      <c r="G5239" t="s">
        <v>1509</v>
      </c>
      <c r="H5239" t="s">
        <v>1438</v>
      </c>
      <c r="I5239" t="s">
        <v>1456</v>
      </c>
      <c r="J5239">
        <v>3</v>
      </c>
      <c r="K5239" t="s">
        <v>1687</v>
      </c>
    </row>
    <row r="5240" spans="1:11" hidden="1" x14ac:dyDescent="0.3">
      <c r="A5240" s="46">
        <v>45314</v>
      </c>
      <c r="B5240" s="46" t="s">
        <v>748</v>
      </c>
      <c r="D5240" t="s">
        <v>1440</v>
      </c>
      <c r="E5240" s="46" t="s">
        <v>1436</v>
      </c>
      <c r="F5240" s="45">
        <v>86400</v>
      </c>
      <c r="G5240" t="s">
        <v>1479</v>
      </c>
      <c r="H5240" t="s">
        <v>1442</v>
      </c>
      <c r="I5240" t="s">
        <v>1458</v>
      </c>
      <c r="K5240" t="s">
        <v>1688</v>
      </c>
    </row>
    <row r="5241" spans="1:11" hidden="1" x14ac:dyDescent="0.3">
      <c r="A5241" s="46">
        <v>45336</v>
      </c>
      <c r="B5241" s="46" t="s">
        <v>748</v>
      </c>
      <c r="D5241" t="s">
        <v>1440</v>
      </c>
      <c r="E5241" s="46" t="s">
        <v>1436</v>
      </c>
      <c r="F5241" s="45">
        <v>86400</v>
      </c>
      <c r="G5241" t="s">
        <v>1479</v>
      </c>
      <c r="H5241" t="s">
        <v>1442</v>
      </c>
      <c r="I5241" t="s">
        <v>1458</v>
      </c>
      <c r="K5241" t="s">
        <v>1688</v>
      </c>
    </row>
    <row r="5242" spans="1:11" hidden="1" x14ac:dyDescent="0.3">
      <c r="A5242" s="46">
        <v>45380</v>
      </c>
      <c r="B5242" s="46" t="s">
        <v>748</v>
      </c>
      <c r="D5242" t="s">
        <v>1440</v>
      </c>
      <c r="E5242" s="46" t="s">
        <v>1436</v>
      </c>
      <c r="F5242" s="45">
        <v>86400</v>
      </c>
      <c r="G5242" t="s">
        <v>1466</v>
      </c>
      <c r="H5242" t="s">
        <v>1438</v>
      </c>
      <c r="I5242" t="s">
        <v>1439</v>
      </c>
      <c r="J5242">
        <v>3</v>
      </c>
    </row>
    <row r="5243" spans="1:11" hidden="1" x14ac:dyDescent="0.3">
      <c r="A5243" s="46">
        <v>45401</v>
      </c>
      <c r="B5243" s="46" t="s">
        <v>748</v>
      </c>
      <c r="D5243" t="s">
        <v>1440</v>
      </c>
      <c r="E5243" s="46" t="s">
        <v>1436</v>
      </c>
      <c r="F5243" s="45">
        <v>86400</v>
      </c>
      <c r="G5243" t="s">
        <v>1479</v>
      </c>
      <c r="H5243" t="s">
        <v>1442</v>
      </c>
      <c r="I5243" t="s">
        <v>1458</v>
      </c>
    </row>
    <row r="5244" spans="1:11" hidden="1" x14ac:dyDescent="0.3">
      <c r="A5244" s="46">
        <v>45474</v>
      </c>
      <c r="B5244" s="46" t="s">
        <v>748</v>
      </c>
      <c r="D5244" t="s">
        <v>1486</v>
      </c>
      <c r="E5244" s="46" t="s">
        <v>1436</v>
      </c>
      <c r="F5244" s="45">
        <v>86284</v>
      </c>
      <c r="G5244" t="s">
        <v>1479</v>
      </c>
      <c r="H5244" t="s">
        <v>1468</v>
      </c>
      <c r="I5244" t="s">
        <v>1487</v>
      </c>
      <c r="K5244" t="s">
        <v>2379</v>
      </c>
    </row>
    <row r="5245" spans="1:11" hidden="1" x14ac:dyDescent="0.3">
      <c r="A5245" s="46">
        <v>45476</v>
      </c>
      <c r="B5245" s="46" t="s">
        <v>748</v>
      </c>
      <c r="D5245" t="s">
        <v>1440</v>
      </c>
      <c r="E5245" s="46" t="s">
        <v>1436</v>
      </c>
      <c r="F5245" s="45">
        <v>86100</v>
      </c>
      <c r="G5245" t="s">
        <v>1479</v>
      </c>
      <c r="H5245" t="s">
        <v>1442</v>
      </c>
      <c r="I5245" t="s">
        <v>1458</v>
      </c>
      <c r="K5245" t="s">
        <v>2380</v>
      </c>
    </row>
    <row r="5246" spans="1:11" hidden="1" x14ac:dyDescent="0.3">
      <c r="A5246" s="46">
        <v>45420</v>
      </c>
      <c r="B5246" s="46" t="s">
        <v>724</v>
      </c>
      <c r="D5246" t="s">
        <v>1168</v>
      </c>
      <c r="E5246" s="46" t="s">
        <v>1436</v>
      </c>
      <c r="F5246" s="45">
        <v>86000</v>
      </c>
      <c r="G5246" t="s">
        <v>1437</v>
      </c>
      <c r="H5246" t="s">
        <v>1438</v>
      </c>
      <c r="I5246" t="s">
        <v>1439</v>
      </c>
      <c r="J5246">
        <v>4</v>
      </c>
    </row>
    <row r="5247" spans="1:11" hidden="1" x14ac:dyDescent="0.3">
      <c r="A5247" s="46">
        <v>45422</v>
      </c>
      <c r="B5247" s="46" t="s">
        <v>748</v>
      </c>
      <c r="D5247" t="s">
        <v>1440</v>
      </c>
      <c r="E5247" s="46" t="s">
        <v>1436</v>
      </c>
      <c r="F5247" s="45">
        <v>86000</v>
      </c>
      <c r="G5247" t="s">
        <v>1479</v>
      </c>
      <c r="H5247" t="s">
        <v>1442</v>
      </c>
      <c r="I5247" t="s">
        <v>1458</v>
      </c>
      <c r="K5247" t="s">
        <v>2193</v>
      </c>
    </row>
    <row r="5248" spans="1:11" hidden="1" x14ac:dyDescent="0.3">
      <c r="A5248" s="46">
        <v>45372</v>
      </c>
      <c r="B5248" s="46" t="s">
        <v>727</v>
      </c>
      <c r="D5248" t="s">
        <v>1832</v>
      </c>
      <c r="E5248" s="46" t="s">
        <v>1436</v>
      </c>
      <c r="F5248" s="45">
        <v>86000</v>
      </c>
      <c r="G5248" t="s">
        <v>1463</v>
      </c>
      <c r="H5248" t="s">
        <v>1438</v>
      </c>
      <c r="I5248" t="s">
        <v>1439</v>
      </c>
      <c r="J5248">
        <v>5</v>
      </c>
    </row>
    <row r="5249" spans="1:11" hidden="1" x14ac:dyDescent="0.3">
      <c r="A5249" s="46">
        <v>45310</v>
      </c>
      <c r="B5249" s="46" t="s">
        <v>748</v>
      </c>
      <c r="D5249" t="s">
        <v>1440</v>
      </c>
      <c r="E5249" s="46" t="s">
        <v>1436</v>
      </c>
      <c r="F5249" s="45">
        <v>86000</v>
      </c>
      <c r="G5249" t="s">
        <v>1479</v>
      </c>
      <c r="H5249" t="s">
        <v>1442</v>
      </c>
      <c r="I5249" t="s">
        <v>1458</v>
      </c>
      <c r="K5249" t="s">
        <v>1689</v>
      </c>
    </row>
    <row r="5250" spans="1:11" hidden="1" x14ac:dyDescent="0.3">
      <c r="A5250" s="46">
        <v>45386</v>
      </c>
      <c r="B5250" s="46" t="s">
        <v>772</v>
      </c>
      <c r="D5250" t="s">
        <v>934</v>
      </c>
      <c r="E5250" s="46" t="s">
        <v>1436</v>
      </c>
      <c r="F5250" s="45">
        <v>85000</v>
      </c>
      <c r="G5250" t="s">
        <v>1464</v>
      </c>
      <c r="H5250" t="s">
        <v>1452</v>
      </c>
      <c r="I5250" t="s">
        <v>1575</v>
      </c>
    </row>
    <row r="5251" spans="1:11" hidden="1" x14ac:dyDescent="0.3">
      <c r="A5251" s="46">
        <v>45421</v>
      </c>
      <c r="B5251" s="46" t="s">
        <v>727</v>
      </c>
      <c r="D5251" t="s">
        <v>1491</v>
      </c>
      <c r="E5251" s="46" t="s">
        <v>1436</v>
      </c>
      <c r="F5251" s="45">
        <v>85000</v>
      </c>
      <c r="G5251" t="s">
        <v>1463</v>
      </c>
      <c r="H5251" t="s">
        <v>1438</v>
      </c>
      <c r="I5251" t="s">
        <v>1439</v>
      </c>
      <c r="J5251">
        <v>4</v>
      </c>
    </row>
    <row r="5252" spans="1:11" hidden="1" x14ac:dyDescent="0.3">
      <c r="A5252" s="46">
        <v>45476</v>
      </c>
      <c r="B5252" s="46" t="s">
        <v>724</v>
      </c>
      <c r="D5252" t="s">
        <v>2080</v>
      </c>
      <c r="E5252" s="46" t="s">
        <v>1436</v>
      </c>
      <c r="F5252" s="45">
        <v>85000</v>
      </c>
      <c r="G5252" t="s">
        <v>1463</v>
      </c>
      <c r="H5252" t="s">
        <v>1438</v>
      </c>
      <c r="I5252" t="s">
        <v>1439</v>
      </c>
      <c r="K5252" t="s">
        <v>2364</v>
      </c>
    </row>
    <row r="5253" spans="1:11" hidden="1" x14ac:dyDescent="0.3">
      <c r="A5253" s="46">
        <v>45476</v>
      </c>
      <c r="B5253" s="46" t="s">
        <v>724</v>
      </c>
      <c r="D5253" t="s">
        <v>2080</v>
      </c>
      <c r="E5253" s="46" t="s">
        <v>1436</v>
      </c>
      <c r="F5253" s="45">
        <v>85000</v>
      </c>
      <c r="G5253" t="s">
        <v>1463</v>
      </c>
      <c r="H5253" t="s">
        <v>1438</v>
      </c>
      <c r="I5253" t="s">
        <v>1439</v>
      </c>
    </row>
    <row r="5254" spans="1:11" hidden="1" x14ac:dyDescent="0.3">
      <c r="A5254" s="46">
        <v>45310</v>
      </c>
      <c r="B5254" s="46" t="s">
        <v>734</v>
      </c>
      <c r="D5254" t="s">
        <v>850</v>
      </c>
      <c r="E5254" s="46" t="s">
        <v>1436</v>
      </c>
      <c r="F5254" s="45">
        <v>84000</v>
      </c>
      <c r="G5254" t="s">
        <v>1441</v>
      </c>
      <c r="H5254" t="s">
        <v>1438</v>
      </c>
      <c r="I5254" t="s">
        <v>1439</v>
      </c>
      <c r="J5254">
        <v>7</v>
      </c>
    </row>
    <row r="5255" spans="1:11" hidden="1" x14ac:dyDescent="0.3">
      <c r="A5255" s="46">
        <v>45344</v>
      </c>
      <c r="B5255" s="46" t="s">
        <v>772</v>
      </c>
      <c r="D5255" t="s">
        <v>896</v>
      </c>
      <c r="E5255" s="46" t="s">
        <v>1436</v>
      </c>
      <c r="F5255" s="45">
        <v>84000</v>
      </c>
      <c r="G5255" t="s">
        <v>1464</v>
      </c>
      <c r="H5255" t="s">
        <v>1438</v>
      </c>
      <c r="I5255" t="s">
        <v>1439</v>
      </c>
      <c r="J5255">
        <v>5</v>
      </c>
    </row>
    <row r="5256" spans="1:11" hidden="1" x14ac:dyDescent="0.3">
      <c r="A5256" s="46">
        <v>45365</v>
      </c>
      <c r="B5256" s="46" t="s">
        <v>748</v>
      </c>
      <c r="D5256" t="s">
        <v>1440</v>
      </c>
      <c r="E5256" s="46" t="s">
        <v>1436</v>
      </c>
      <c r="F5256" s="45">
        <v>83400</v>
      </c>
      <c r="G5256" t="s">
        <v>1479</v>
      </c>
      <c r="H5256" t="s">
        <v>1442</v>
      </c>
      <c r="I5256" t="s">
        <v>1458</v>
      </c>
      <c r="K5256" t="s">
        <v>1690</v>
      </c>
    </row>
    <row r="5257" spans="1:11" hidden="1" x14ac:dyDescent="0.3">
      <c r="A5257" s="46">
        <v>45322</v>
      </c>
      <c r="B5257" s="46" t="s">
        <v>821</v>
      </c>
      <c r="D5257" t="s">
        <v>902</v>
      </c>
      <c r="E5257" s="46" t="s">
        <v>1436</v>
      </c>
      <c r="F5257" s="45">
        <v>82000</v>
      </c>
      <c r="G5257" t="s">
        <v>1509</v>
      </c>
      <c r="H5257" t="s">
        <v>1438</v>
      </c>
      <c r="I5257" t="s">
        <v>1456</v>
      </c>
      <c r="J5257">
        <v>3</v>
      </c>
      <c r="K5257" t="s">
        <v>1537</v>
      </c>
    </row>
    <row r="5258" spans="1:11" hidden="1" x14ac:dyDescent="0.3">
      <c r="A5258" s="46">
        <v>45307</v>
      </c>
      <c r="B5258" s="46" t="s">
        <v>729</v>
      </c>
      <c r="D5258" t="s">
        <v>1440</v>
      </c>
      <c r="E5258" s="46" t="s">
        <v>1436</v>
      </c>
      <c r="F5258" s="45">
        <v>81300</v>
      </c>
      <c r="G5258" t="s">
        <v>1471</v>
      </c>
      <c r="H5258" t="s">
        <v>1442</v>
      </c>
      <c r="I5258" t="s">
        <v>1458</v>
      </c>
      <c r="K5258" t="s">
        <v>1516</v>
      </c>
    </row>
    <row r="5259" spans="1:11" hidden="1" x14ac:dyDescent="0.3">
      <c r="A5259" s="46">
        <v>45393</v>
      </c>
      <c r="B5259" s="46" t="s">
        <v>748</v>
      </c>
      <c r="D5259" t="s">
        <v>1440</v>
      </c>
      <c r="E5259" s="46" t="s">
        <v>1436</v>
      </c>
      <c r="F5259" s="45">
        <v>81020</v>
      </c>
      <c r="G5259" t="s">
        <v>1483</v>
      </c>
      <c r="H5259" t="s">
        <v>1442</v>
      </c>
      <c r="I5259" t="s">
        <v>1458</v>
      </c>
      <c r="K5259" t="s">
        <v>2194</v>
      </c>
    </row>
    <row r="5260" spans="1:11" hidden="1" x14ac:dyDescent="0.3">
      <c r="A5260" s="46">
        <v>45476</v>
      </c>
      <c r="B5260" s="46" t="s">
        <v>748</v>
      </c>
      <c r="D5260" t="s">
        <v>1440</v>
      </c>
      <c r="E5260" s="46" t="s">
        <v>1436</v>
      </c>
      <c r="F5260" s="45">
        <v>81020</v>
      </c>
      <c r="G5260" t="s">
        <v>1479</v>
      </c>
      <c r="H5260" t="s">
        <v>1442</v>
      </c>
      <c r="I5260" t="s">
        <v>1458</v>
      </c>
      <c r="K5260" t="s">
        <v>2201</v>
      </c>
    </row>
    <row r="5261" spans="1:11" hidden="1" x14ac:dyDescent="0.3">
      <c r="A5261" s="46">
        <v>45372</v>
      </c>
      <c r="B5261" s="46" t="s">
        <v>767</v>
      </c>
      <c r="D5261" t="s">
        <v>1833</v>
      </c>
      <c r="E5261" s="46" t="s">
        <v>1436</v>
      </c>
      <c r="F5261" s="45">
        <v>81000</v>
      </c>
      <c r="G5261" t="s">
        <v>1451</v>
      </c>
      <c r="H5261" t="s">
        <v>1438</v>
      </c>
      <c r="I5261" t="s">
        <v>1439</v>
      </c>
      <c r="J5261">
        <v>4</v>
      </c>
    </row>
    <row r="5262" spans="1:11" hidden="1" x14ac:dyDescent="0.3">
      <c r="A5262" s="46">
        <v>45477</v>
      </c>
      <c r="B5262" s="46" t="s">
        <v>772</v>
      </c>
      <c r="D5262" t="s">
        <v>857</v>
      </c>
      <c r="E5262" s="46" t="s">
        <v>1436</v>
      </c>
      <c r="F5262" s="45">
        <v>80500</v>
      </c>
      <c r="G5262" t="s">
        <v>1464</v>
      </c>
      <c r="H5262" t="s">
        <v>1438</v>
      </c>
      <c r="I5262" t="s">
        <v>1439</v>
      </c>
      <c r="J5262">
        <v>4</v>
      </c>
    </row>
    <row r="5263" spans="1:11" hidden="1" x14ac:dyDescent="0.3">
      <c r="A5263" s="46">
        <v>45372</v>
      </c>
      <c r="B5263" s="46" t="s">
        <v>748</v>
      </c>
      <c r="D5263" t="s">
        <v>1440</v>
      </c>
      <c r="E5263" s="46" t="s">
        <v>1436</v>
      </c>
      <c r="F5263" s="45">
        <v>80270</v>
      </c>
      <c r="G5263" t="s">
        <v>1483</v>
      </c>
      <c r="H5263" t="s">
        <v>1438</v>
      </c>
      <c r="I5263" t="s">
        <v>1439</v>
      </c>
      <c r="J5263">
        <v>1</v>
      </c>
    </row>
    <row r="5264" spans="1:11" hidden="1" x14ac:dyDescent="0.3">
      <c r="A5264" s="46">
        <v>45314</v>
      </c>
      <c r="B5264" s="46" t="s">
        <v>748</v>
      </c>
      <c r="D5264" t="s">
        <v>1440</v>
      </c>
      <c r="E5264" s="46" t="s">
        <v>1436</v>
      </c>
      <c r="F5264" s="45">
        <v>80270</v>
      </c>
      <c r="G5264" t="s">
        <v>1479</v>
      </c>
      <c r="H5264" t="s">
        <v>1442</v>
      </c>
      <c r="I5264" t="s">
        <v>1458</v>
      </c>
      <c r="K5264" t="s">
        <v>1510</v>
      </c>
    </row>
    <row r="5265" spans="1:11" hidden="1" x14ac:dyDescent="0.3">
      <c r="A5265" s="46">
        <v>45336</v>
      </c>
      <c r="B5265" s="46" t="s">
        <v>748</v>
      </c>
      <c r="D5265" t="s">
        <v>1440</v>
      </c>
      <c r="E5265" s="46" t="s">
        <v>1436</v>
      </c>
      <c r="F5265" s="45">
        <v>80270</v>
      </c>
      <c r="G5265" t="s">
        <v>1479</v>
      </c>
      <c r="H5265" t="s">
        <v>1442</v>
      </c>
      <c r="I5265" t="s">
        <v>1442</v>
      </c>
      <c r="K5265" t="s">
        <v>1510</v>
      </c>
    </row>
    <row r="5266" spans="1:11" hidden="1" x14ac:dyDescent="0.3">
      <c r="A5266" s="46">
        <v>45299</v>
      </c>
      <c r="B5266" s="46" t="s">
        <v>748</v>
      </c>
      <c r="D5266" t="s">
        <v>1501</v>
      </c>
      <c r="E5266" s="46" t="s">
        <v>1436</v>
      </c>
      <c r="F5266" s="45">
        <v>79660</v>
      </c>
      <c r="G5266" t="s">
        <v>1479</v>
      </c>
      <c r="H5266" t="s">
        <v>1442</v>
      </c>
      <c r="I5266" t="s">
        <v>1458</v>
      </c>
      <c r="K5266" t="s">
        <v>1522</v>
      </c>
    </row>
    <row r="5267" spans="1:11" hidden="1" x14ac:dyDescent="0.3">
      <c r="A5267" s="46">
        <v>45379</v>
      </c>
      <c r="B5267" s="46" t="s">
        <v>772</v>
      </c>
      <c r="D5267" t="s">
        <v>1864</v>
      </c>
      <c r="E5267" s="46" t="s">
        <v>1436</v>
      </c>
      <c r="F5267" s="45">
        <v>79600</v>
      </c>
      <c r="G5267" t="s">
        <v>1464</v>
      </c>
      <c r="H5267" t="s">
        <v>1438</v>
      </c>
      <c r="I5267" t="s">
        <v>1439</v>
      </c>
      <c r="J5267">
        <v>4</v>
      </c>
    </row>
    <row r="5268" spans="1:11" hidden="1" x14ac:dyDescent="0.3">
      <c r="A5268" s="46">
        <v>45428</v>
      </c>
      <c r="B5268" s="46" t="s">
        <v>724</v>
      </c>
      <c r="D5268" t="s">
        <v>1864</v>
      </c>
      <c r="E5268" s="46" t="s">
        <v>1436</v>
      </c>
      <c r="F5268" s="45">
        <v>79600</v>
      </c>
      <c r="G5268" t="s">
        <v>1437</v>
      </c>
      <c r="H5268" t="s">
        <v>1438</v>
      </c>
      <c r="I5268" t="s">
        <v>1439</v>
      </c>
      <c r="J5268">
        <v>4</v>
      </c>
    </row>
    <row r="5269" spans="1:11" hidden="1" x14ac:dyDescent="0.3">
      <c r="A5269" s="46">
        <v>45407</v>
      </c>
      <c r="B5269" s="46" t="s">
        <v>734</v>
      </c>
      <c r="D5269" t="s">
        <v>1011</v>
      </c>
      <c r="E5269" s="46" t="s">
        <v>1436</v>
      </c>
      <c r="F5269" s="45">
        <v>79000</v>
      </c>
      <c r="G5269" t="s">
        <v>1441</v>
      </c>
      <c r="H5269" t="s">
        <v>1438</v>
      </c>
      <c r="I5269" t="s">
        <v>1439</v>
      </c>
      <c r="J5269">
        <v>4</v>
      </c>
    </row>
    <row r="5270" spans="1:11" hidden="1" x14ac:dyDescent="0.3">
      <c r="A5270" s="46">
        <v>45328</v>
      </c>
      <c r="B5270" s="46" t="s">
        <v>729</v>
      </c>
      <c r="D5270" t="s">
        <v>1490</v>
      </c>
      <c r="E5270" s="46" t="s">
        <v>1436</v>
      </c>
      <c r="F5270" s="45">
        <v>78540</v>
      </c>
      <c r="G5270" t="s">
        <v>1471</v>
      </c>
      <c r="H5270" t="s">
        <v>1469</v>
      </c>
      <c r="I5270" t="s">
        <v>1503</v>
      </c>
      <c r="K5270" t="s">
        <v>1539</v>
      </c>
    </row>
    <row r="5271" spans="1:11" hidden="1" x14ac:dyDescent="0.3">
      <c r="A5271" s="46">
        <v>45351</v>
      </c>
      <c r="B5271" s="46" t="s">
        <v>734</v>
      </c>
      <c r="D5271" t="s">
        <v>1526</v>
      </c>
      <c r="E5271" s="46" t="s">
        <v>1436</v>
      </c>
      <c r="F5271" s="45">
        <v>78500</v>
      </c>
      <c r="G5271" t="s">
        <v>1441</v>
      </c>
      <c r="H5271" t="s">
        <v>1438</v>
      </c>
      <c r="I5271" t="s">
        <v>1439</v>
      </c>
      <c r="J5271">
        <v>4</v>
      </c>
    </row>
    <row r="5272" spans="1:11" hidden="1" x14ac:dyDescent="0.3">
      <c r="A5272" s="46">
        <v>45351</v>
      </c>
      <c r="B5272" s="46" t="s">
        <v>767</v>
      </c>
      <c r="D5272" t="s">
        <v>1520</v>
      </c>
      <c r="E5272" s="46" t="s">
        <v>1436</v>
      </c>
      <c r="F5272" s="45">
        <v>78000</v>
      </c>
      <c r="G5272" t="s">
        <v>1460</v>
      </c>
      <c r="H5272" t="s">
        <v>1438</v>
      </c>
      <c r="I5272" t="s">
        <v>1439</v>
      </c>
      <c r="J5272">
        <v>4</v>
      </c>
    </row>
    <row r="5273" spans="1:11" hidden="1" x14ac:dyDescent="0.3">
      <c r="A5273" s="46">
        <v>45337</v>
      </c>
      <c r="B5273" s="46" t="s">
        <v>727</v>
      </c>
      <c r="D5273" t="s">
        <v>1507</v>
      </c>
      <c r="E5273" s="46" t="s">
        <v>1436</v>
      </c>
      <c r="F5273" s="45">
        <v>78000</v>
      </c>
      <c r="G5273" t="s">
        <v>1463</v>
      </c>
      <c r="H5273" t="s">
        <v>1438</v>
      </c>
      <c r="I5273" t="s">
        <v>1439</v>
      </c>
      <c r="J5273">
        <v>4</v>
      </c>
    </row>
    <row r="5274" spans="1:11" hidden="1" x14ac:dyDescent="0.3">
      <c r="A5274" s="46">
        <v>45393</v>
      </c>
      <c r="B5274" s="46" t="s">
        <v>734</v>
      </c>
      <c r="D5274" t="s">
        <v>1560</v>
      </c>
      <c r="E5274" s="46" t="s">
        <v>1436</v>
      </c>
      <c r="F5274" s="45">
        <v>78000</v>
      </c>
      <c r="G5274" t="s">
        <v>1441</v>
      </c>
      <c r="H5274" t="s">
        <v>1438</v>
      </c>
      <c r="I5274" t="s">
        <v>1439</v>
      </c>
      <c r="J5274">
        <v>5</v>
      </c>
    </row>
    <row r="5275" spans="1:11" hidden="1" x14ac:dyDescent="0.3">
      <c r="A5275" s="46">
        <v>45470</v>
      </c>
      <c r="B5275" s="46" t="s">
        <v>724</v>
      </c>
      <c r="D5275" t="s">
        <v>2195</v>
      </c>
      <c r="E5275" s="46" t="s">
        <v>1436</v>
      </c>
      <c r="F5275" s="45">
        <v>78000</v>
      </c>
      <c r="G5275" t="s">
        <v>1437</v>
      </c>
      <c r="H5275" t="s">
        <v>1438</v>
      </c>
      <c r="I5275" t="s">
        <v>1439</v>
      </c>
      <c r="J5275">
        <v>4</v>
      </c>
    </row>
    <row r="5276" spans="1:11" hidden="1" x14ac:dyDescent="0.3">
      <c r="A5276" s="46">
        <v>45380</v>
      </c>
      <c r="B5276" s="46" t="s">
        <v>748</v>
      </c>
      <c r="D5276" t="s">
        <v>1501</v>
      </c>
      <c r="E5276" s="46" t="s">
        <v>1436</v>
      </c>
      <c r="F5276" s="45">
        <v>77390</v>
      </c>
      <c r="G5276" t="s">
        <v>1463</v>
      </c>
      <c r="H5276" t="s">
        <v>1438</v>
      </c>
      <c r="I5276" t="s">
        <v>1439</v>
      </c>
      <c r="J5276">
        <v>2</v>
      </c>
    </row>
    <row r="5277" spans="1:11" hidden="1" x14ac:dyDescent="0.3">
      <c r="A5277" s="46">
        <v>45481</v>
      </c>
      <c r="B5277" s="46" t="s">
        <v>748</v>
      </c>
      <c r="D5277" t="s">
        <v>1486</v>
      </c>
      <c r="E5277" s="46" t="s">
        <v>1436</v>
      </c>
      <c r="F5277" s="45">
        <v>77231</v>
      </c>
      <c r="G5277" t="s">
        <v>1479</v>
      </c>
      <c r="H5277" t="s">
        <v>1468</v>
      </c>
      <c r="I5277" t="s">
        <v>1487</v>
      </c>
    </row>
    <row r="5278" spans="1:11" hidden="1" x14ac:dyDescent="0.3">
      <c r="A5278" s="46">
        <v>45295</v>
      </c>
      <c r="B5278" s="46" t="s">
        <v>772</v>
      </c>
      <c r="D5278" t="s">
        <v>886</v>
      </c>
      <c r="E5278" s="46" t="s">
        <v>1436</v>
      </c>
      <c r="F5278" s="45">
        <v>77000</v>
      </c>
      <c r="G5278" t="s">
        <v>1464</v>
      </c>
      <c r="H5278" t="s">
        <v>1438</v>
      </c>
      <c r="I5278" t="s">
        <v>1439</v>
      </c>
      <c r="J5278">
        <v>4</v>
      </c>
    </row>
    <row r="5279" spans="1:11" hidden="1" x14ac:dyDescent="0.3">
      <c r="A5279" s="46">
        <v>45421</v>
      </c>
      <c r="B5279" s="46" t="s">
        <v>748</v>
      </c>
      <c r="D5279" t="s">
        <v>1486</v>
      </c>
      <c r="E5279" s="46" t="s">
        <v>1436</v>
      </c>
      <c r="F5279" s="45">
        <v>76351</v>
      </c>
      <c r="G5279" t="s">
        <v>1479</v>
      </c>
      <c r="H5279" t="s">
        <v>1468</v>
      </c>
      <c r="I5279" t="s">
        <v>1487</v>
      </c>
      <c r="K5279" t="s">
        <v>2381</v>
      </c>
    </row>
    <row r="5280" spans="1:11" hidden="1" x14ac:dyDescent="0.3">
      <c r="A5280" s="46">
        <v>45294</v>
      </c>
      <c r="B5280" s="46" t="s">
        <v>729</v>
      </c>
      <c r="D5280" t="s">
        <v>1490</v>
      </c>
      <c r="E5280" s="46" t="s">
        <v>1436</v>
      </c>
      <c r="F5280" s="45">
        <v>76140</v>
      </c>
      <c r="G5280" t="s">
        <v>1471</v>
      </c>
      <c r="H5280" t="s">
        <v>1469</v>
      </c>
      <c r="I5280" t="s">
        <v>1503</v>
      </c>
      <c r="K5280" t="s">
        <v>1525</v>
      </c>
    </row>
    <row r="5281" spans="1:11" hidden="1" x14ac:dyDescent="0.3">
      <c r="A5281" s="46">
        <v>45469</v>
      </c>
      <c r="B5281" s="46" t="s">
        <v>748</v>
      </c>
      <c r="D5281" t="s">
        <v>1501</v>
      </c>
      <c r="E5281" s="46" t="s">
        <v>1436</v>
      </c>
      <c r="F5281" s="45">
        <v>76010</v>
      </c>
      <c r="G5281" t="s">
        <v>1479</v>
      </c>
      <c r="H5281" t="s">
        <v>1442</v>
      </c>
      <c r="I5281" t="s">
        <v>1458</v>
      </c>
      <c r="K5281" t="s">
        <v>2196</v>
      </c>
    </row>
    <row r="5282" spans="1:11" hidden="1" x14ac:dyDescent="0.3">
      <c r="A5282" s="46">
        <v>45469</v>
      </c>
      <c r="B5282" s="46" t="s">
        <v>748</v>
      </c>
      <c r="D5282" t="s">
        <v>1501</v>
      </c>
      <c r="E5282" s="46" t="s">
        <v>1436</v>
      </c>
      <c r="F5282" s="45">
        <v>76010</v>
      </c>
      <c r="G5282" t="s">
        <v>1479</v>
      </c>
      <c r="H5282" t="s">
        <v>1442</v>
      </c>
      <c r="I5282" t="s">
        <v>1458</v>
      </c>
    </row>
    <row r="5283" spans="1:11" hidden="1" x14ac:dyDescent="0.3">
      <c r="A5283" s="46">
        <v>45439</v>
      </c>
      <c r="B5283" s="46" t="s">
        <v>772</v>
      </c>
      <c r="D5283" t="s">
        <v>915</v>
      </c>
      <c r="E5283" s="46" t="s">
        <v>1436</v>
      </c>
      <c r="F5283" s="45">
        <v>76000</v>
      </c>
      <c r="G5283" t="s">
        <v>1464</v>
      </c>
      <c r="H5283" t="s">
        <v>1452</v>
      </c>
      <c r="I5283" t="s">
        <v>1494</v>
      </c>
      <c r="K5283" t="s">
        <v>1533</v>
      </c>
    </row>
    <row r="5284" spans="1:11" hidden="1" x14ac:dyDescent="0.3">
      <c r="A5284" s="46">
        <v>45309</v>
      </c>
      <c r="B5284" s="46" t="s">
        <v>734</v>
      </c>
      <c r="D5284" t="s">
        <v>857</v>
      </c>
      <c r="E5284" s="46" t="s">
        <v>1436</v>
      </c>
      <c r="F5284" s="45">
        <v>76000</v>
      </c>
      <c r="G5284" t="s">
        <v>1441</v>
      </c>
      <c r="H5284" t="s">
        <v>1438</v>
      </c>
      <c r="I5284" t="s">
        <v>1439</v>
      </c>
      <c r="J5284">
        <v>4</v>
      </c>
    </row>
    <row r="5285" spans="1:11" hidden="1" x14ac:dyDescent="0.3">
      <c r="A5285" s="46">
        <v>45330</v>
      </c>
      <c r="B5285" s="46" t="s">
        <v>772</v>
      </c>
      <c r="D5285" t="s">
        <v>921</v>
      </c>
      <c r="E5285" s="46" t="s">
        <v>1436</v>
      </c>
      <c r="F5285" s="45">
        <v>76000</v>
      </c>
      <c r="G5285" t="s">
        <v>1464</v>
      </c>
      <c r="H5285" t="s">
        <v>1438</v>
      </c>
      <c r="I5285" t="s">
        <v>1439</v>
      </c>
      <c r="J5285">
        <v>4</v>
      </c>
    </row>
    <row r="5286" spans="1:11" hidden="1" x14ac:dyDescent="0.3">
      <c r="A5286" s="46">
        <v>45329</v>
      </c>
      <c r="B5286" s="46" t="s">
        <v>722</v>
      </c>
      <c r="D5286" t="s">
        <v>1461</v>
      </c>
      <c r="E5286" s="46" t="s">
        <v>1436</v>
      </c>
      <c r="F5286" s="45">
        <v>75840</v>
      </c>
      <c r="G5286" t="s">
        <v>1437</v>
      </c>
      <c r="H5286" t="s">
        <v>1442</v>
      </c>
      <c r="I5286" t="s">
        <v>1458</v>
      </c>
      <c r="K5286" t="s">
        <v>1691</v>
      </c>
    </row>
    <row r="5287" spans="1:11" hidden="1" x14ac:dyDescent="0.3">
      <c r="A5287" s="46">
        <v>45462</v>
      </c>
      <c r="B5287" s="46" t="s">
        <v>722</v>
      </c>
      <c r="D5287" t="s">
        <v>1461</v>
      </c>
      <c r="E5287" s="46" t="s">
        <v>1436</v>
      </c>
      <c r="F5287" s="45">
        <v>75300</v>
      </c>
      <c r="G5287" t="s">
        <v>1466</v>
      </c>
      <c r="H5287" t="s">
        <v>1438</v>
      </c>
      <c r="I5287" t="s">
        <v>1439</v>
      </c>
      <c r="K5287" t="s">
        <v>2197</v>
      </c>
    </row>
    <row r="5288" spans="1:11" hidden="1" x14ac:dyDescent="0.3">
      <c r="A5288" s="46">
        <v>45471</v>
      </c>
      <c r="B5288" s="46" t="s">
        <v>748</v>
      </c>
      <c r="D5288" t="s">
        <v>1474</v>
      </c>
      <c r="E5288" s="46" t="s">
        <v>1436</v>
      </c>
      <c r="F5288" s="45">
        <v>75000</v>
      </c>
      <c r="G5288" t="s">
        <v>1479</v>
      </c>
      <c r="H5288" t="s">
        <v>1475</v>
      </c>
      <c r="I5288" t="s">
        <v>1476</v>
      </c>
    </row>
    <row r="5289" spans="1:11" hidden="1" x14ac:dyDescent="0.3">
      <c r="A5289" s="46">
        <v>45441</v>
      </c>
      <c r="B5289" s="46" t="s">
        <v>748</v>
      </c>
      <c r="D5289" t="s">
        <v>1474</v>
      </c>
      <c r="E5289" s="46" t="s">
        <v>1436</v>
      </c>
      <c r="F5289" s="45">
        <v>75000</v>
      </c>
      <c r="G5289" t="s">
        <v>1479</v>
      </c>
      <c r="H5289" t="s">
        <v>1475</v>
      </c>
      <c r="I5289" t="s">
        <v>1476</v>
      </c>
    </row>
    <row r="5290" spans="1:11" hidden="1" x14ac:dyDescent="0.3">
      <c r="A5290" s="46">
        <v>45329</v>
      </c>
      <c r="B5290" s="46" t="s">
        <v>748</v>
      </c>
      <c r="D5290" t="s">
        <v>1474</v>
      </c>
      <c r="E5290" s="46" t="s">
        <v>1436</v>
      </c>
      <c r="F5290" s="45">
        <v>75000</v>
      </c>
      <c r="G5290" t="s">
        <v>1479</v>
      </c>
      <c r="H5290" t="s">
        <v>1475</v>
      </c>
      <c r="I5290" t="s">
        <v>1476</v>
      </c>
    </row>
    <row r="5291" spans="1:11" hidden="1" x14ac:dyDescent="0.3">
      <c r="A5291" s="46">
        <v>45355</v>
      </c>
      <c r="B5291" s="46" t="s">
        <v>727</v>
      </c>
      <c r="D5291" t="s">
        <v>1692</v>
      </c>
      <c r="E5291" s="46" t="s">
        <v>1436</v>
      </c>
      <c r="F5291" s="45">
        <v>75000</v>
      </c>
      <c r="G5291" t="s">
        <v>1463</v>
      </c>
      <c r="H5291" t="s">
        <v>1438</v>
      </c>
      <c r="I5291" t="s">
        <v>1456</v>
      </c>
      <c r="J5291">
        <v>8</v>
      </c>
      <c r="K5291" t="s">
        <v>1693</v>
      </c>
    </row>
    <row r="5292" spans="1:11" hidden="1" x14ac:dyDescent="0.3">
      <c r="A5292" s="46">
        <v>45422</v>
      </c>
      <c r="B5292" s="46" t="s">
        <v>729</v>
      </c>
      <c r="D5292" t="s">
        <v>1440</v>
      </c>
      <c r="E5292" s="46" t="s">
        <v>1436</v>
      </c>
      <c r="F5292" s="45">
        <v>75000</v>
      </c>
      <c r="G5292" t="s">
        <v>1471</v>
      </c>
      <c r="H5292" t="s">
        <v>1442</v>
      </c>
      <c r="I5292" t="s">
        <v>1458</v>
      </c>
      <c r="K5292" t="s">
        <v>2198</v>
      </c>
    </row>
    <row r="5293" spans="1:11" hidden="1" x14ac:dyDescent="0.3">
      <c r="A5293" s="46">
        <v>45408</v>
      </c>
      <c r="B5293" s="46" t="s">
        <v>748</v>
      </c>
      <c r="D5293" t="s">
        <v>1474</v>
      </c>
      <c r="E5293" s="46" t="s">
        <v>1436</v>
      </c>
      <c r="F5293" s="45">
        <v>75000</v>
      </c>
      <c r="G5293" t="s">
        <v>1479</v>
      </c>
      <c r="H5293" t="s">
        <v>1475</v>
      </c>
      <c r="I5293" t="s">
        <v>1476</v>
      </c>
    </row>
    <row r="5294" spans="1:11" hidden="1" x14ac:dyDescent="0.3">
      <c r="A5294" s="46">
        <v>45421</v>
      </c>
      <c r="B5294" s="46" t="s">
        <v>748</v>
      </c>
      <c r="D5294" t="s">
        <v>1440</v>
      </c>
      <c r="E5294" s="46" t="s">
        <v>1436</v>
      </c>
      <c r="F5294" s="45">
        <v>74680</v>
      </c>
      <c r="G5294" t="s">
        <v>1479</v>
      </c>
      <c r="H5294" t="s">
        <v>1442</v>
      </c>
      <c r="I5294" t="s">
        <v>1458</v>
      </c>
      <c r="K5294" t="s">
        <v>2199</v>
      </c>
    </row>
    <row r="5295" spans="1:11" hidden="1" x14ac:dyDescent="0.3">
      <c r="A5295" s="46">
        <v>45314</v>
      </c>
      <c r="B5295" s="46" t="s">
        <v>729</v>
      </c>
      <c r="D5295" t="s">
        <v>765</v>
      </c>
      <c r="E5295" s="46" t="s">
        <v>1436</v>
      </c>
      <c r="F5295" s="45">
        <v>74600</v>
      </c>
      <c r="G5295" t="s">
        <v>1471</v>
      </c>
      <c r="H5295" t="s">
        <v>1438</v>
      </c>
      <c r="I5295" t="s">
        <v>1454</v>
      </c>
      <c r="K5295" t="s">
        <v>1673</v>
      </c>
    </row>
    <row r="5296" spans="1:11" hidden="1" x14ac:dyDescent="0.3">
      <c r="A5296" s="46">
        <v>45435</v>
      </c>
      <c r="B5296" s="46" t="s">
        <v>734</v>
      </c>
      <c r="D5296" t="s">
        <v>2186</v>
      </c>
      <c r="E5296" s="46" t="s">
        <v>1436</v>
      </c>
      <c r="F5296" s="45">
        <v>74400</v>
      </c>
      <c r="G5296" t="s">
        <v>1441</v>
      </c>
      <c r="H5296" t="s">
        <v>1438</v>
      </c>
      <c r="I5296" t="s">
        <v>1439</v>
      </c>
      <c r="J5296">
        <v>4</v>
      </c>
    </row>
    <row r="5297" spans="1:11" hidden="1" x14ac:dyDescent="0.3">
      <c r="A5297" s="46">
        <v>45446</v>
      </c>
      <c r="B5297" s="46" t="s">
        <v>724</v>
      </c>
      <c r="D5297" t="s">
        <v>791</v>
      </c>
      <c r="E5297" s="46" t="s">
        <v>1436</v>
      </c>
      <c r="F5297" s="45">
        <v>74000</v>
      </c>
      <c r="G5297" t="s">
        <v>1437</v>
      </c>
      <c r="H5297" t="s">
        <v>1438</v>
      </c>
      <c r="I5297" t="s">
        <v>1439</v>
      </c>
      <c r="J5297">
        <v>4</v>
      </c>
    </row>
    <row r="5298" spans="1:11" hidden="1" x14ac:dyDescent="0.3">
      <c r="A5298" s="46">
        <v>45373</v>
      </c>
      <c r="B5298" s="46" t="s">
        <v>772</v>
      </c>
      <c r="D5298" t="s">
        <v>915</v>
      </c>
      <c r="E5298" s="46" t="s">
        <v>1436</v>
      </c>
      <c r="F5298" s="45">
        <v>72908</v>
      </c>
      <c r="G5298" t="s">
        <v>1464</v>
      </c>
      <c r="H5298" t="s">
        <v>1452</v>
      </c>
      <c r="I5298" t="s">
        <v>1494</v>
      </c>
    </row>
    <row r="5299" spans="1:11" hidden="1" x14ac:dyDescent="0.3">
      <c r="A5299" s="46">
        <v>45477</v>
      </c>
      <c r="B5299" s="46" t="s">
        <v>724</v>
      </c>
      <c r="D5299" t="s">
        <v>2382</v>
      </c>
      <c r="E5299" s="46" t="s">
        <v>1436</v>
      </c>
      <c r="F5299" s="45">
        <v>72600</v>
      </c>
      <c r="G5299" t="s">
        <v>1437</v>
      </c>
    </row>
    <row r="5300" spans="1:11" hidden="1" x14ac:dyDescent="0.3">
      <c r="A5300" s="46">
        <v>45369</v>
      </c>
      <c r="B5300" s="46" t="s">
        <v>734</v>
      </c>
      <c r="D5300" t="s">
        <v>1546</v>
      </c>
      <c r="E5300" s="46" t="s">
        <v>1436</v>
      </c>
      <c r="F5300" s="45">
        <v>72000</v>
      </c>
      <c r="G5300" t="s">
        <v>1441</v>
      </c>
      <c r="H5300" t="s">
        <v>1438</v>
      </c>
      <c r="I5300" t="s">
        <v>1439</v>
      </c>
      <c r="J5300">
        <v>6</v>
      </c>
    </row>
    <row r="5301" spans="1:11" hidden="1" x14ac:dyDescent="0.3">
      <c r="A5301" s="46">
        <v>45359</v>
      </c>
      <c r="B5301" s="46" t="s">
        <v>772</v>
      </c>
      <c r="D5301" t="s">
        <v>850</v>
      </c>
      <c r="E5301" s="46" t="s">
        <v>1436</v>
      </c>
      <c r="F5301" s="45">
        <v>72000</v>
      </c>
      <c r="G5301" t="s">
        <v>1464</v>
      </c>
      <c r="H5301" t="s">
        <v>1438</v>
      </c>
      <c r="I5301" t="s">
        <v>1439</v>
      </c>
      <c r="J5301">
        <v>6</v>
      </c>
    </row>
    <row r="5302" spans="1:11" hidden="1" x14ac:dyDescent="0.3">
      <c r="A5302" s="46">
        <v>45308</v>
      </c>
      <c r="B5302" s="46" t="s">
        <v>734</v>
      </c>
      <c r="D5302" t="s">
        <v>1529</v>
      </c>
      <c r="E5302" s="46" t="s">
        <v>1436</v>
      </c>
      <c r="F5302" s="45">
        <v>72000</v>
      </c>
      <c r="G5302" t="s">
        <v>1441</v>
      </c>
      <c r="H5302" t="s">
        <v>1438</v>
      </c>
      <c r="I5302" t="s">
        <v>1439</v>
      </c>
      <c r="J5302">
        <v>6</v>
      </c>
    </row>
    <row r="5303" spans="1:11" hidden="1" x14ac:dyDescent="0.3">
      <c r="A5303" s="46">
        <v>45299</v>
      </c>
      <c r="B5303" s="46" t="s">
        <v>734</v>
      </c>
      <c r="D5303" t="s">
        <v>928</v>
      </c>
      <c r="E5303" s="46" t="s">
        <v>1436</v>
      </c>
      <c r="F5303" s="45">
        <v>72000</v>
      </c>
      <c r="G5303" t="s">
        <v>1441</v>
      </c>
      <c r="H5303" t="s">
        <v>1438</v>
      </c>
      <c r="I5303" t="s">
        <v>1439</v>
      </c>
      <c r="J5303">
        <v>6</v>
      </c>
    </row>
    <row r="5304" spans="1:11" hidden="1" x14ac:dyDescent="0.3">
      <c r="A5304" s="46">
        <v>45337</v>
      </c>
      <c r="B5304" s="46" t="s">
        <v>734</v>
      </c>
      <c r="D5304" t="s">
        <v>1694</v>
      </c>
      <c r="E5304" s="46" t="s">
        <v>1436</v>
      </c>
      <c r="F5304" s="45">
        <v>72000</v>
      </c>
      <c r="G5304" t="s">
        <v>1441</v>
      </c>
      <c r="H5304" t="s">
        <v>1438</v>
      </c>
      <c r="I5304" t="s">
        <v>1439</v>
      </c>
      <c r="J5304">
        <v>4</v>
      </c>
    </row>
    <row r="5305" spans="1:11" hidden="1" x14ac:dyDescent="0.3">
      <c r="A5305" s="46">
        <v>45377</v>
      </c>
      <c r="B5305" s="46" t="s">
        <v>734</v>
      </c>
      <c r="D5305" t="s">
        <v>1548</v>
      </c>
      <c r="E5305" s="46" t="s">
        <v>1436</v>
      </c>
      <c r="F5305" s="45">
        <v>71900</v>
      </c>
      <c r="G5305" t="s">
        <v>1441</v>
      </c>
      <c r="H5305" t="s">
        <v>1438</v>
      </c>
      <c r="I5305" t="s">
        <v>1439</v>
      </c>
      <c r="J5305">
        <v>6</v>
      </c>
    </row>
    <row r="5306" spans="1:11" hidden="1" x14ac:dyDescent="0.3">
      <c r="A5306" s="46">
        <v>45301</v>
      </c>
      <c r="B5306" s="46" t="s">
        <v>734</v>
      </c>
      <c r="D5306" t="s">
        <v>1531</v>
      </c>
      <c r="E5306" s="46" t="s">
        <v>1436</v>
      </c>
      <c r="F5306" s="45">
        <v>71740</v>
      </c>
      <c r="G5306" t="s">
        <v>1441</v>
      </c>
      <c r="H5306" t="s">
        <v>1438</v>
      </c>
      <c r="I5306" t="s">
        <v>1439</v>
      </c>
      <c r="J5306">
        <v>6</v>
      </c>
    </row>
    <row r="5307" spans="1:11" hidden="1" x14ac:dyDescent="0.3">
      <c r="A5307" s="46">
        <v>45348</v>
      </c>
      <c r="B5307" s="46" t="s">
        <v>734</v>
      </c>
      <c r="D5307" t="s">
        <v>1541</v>
      </c>
      <c r="E5307" s="46" t="s">
        <v>1436</v>
      </c>
      <c r="F5307" s="45">
        <v>71500</v>
      </c>
      <c r="G5307" t="s">
        <v>1441</v>
      </c>
      <c r="H5307" t="s">
        <v>1438</v>
      </c>
      <c r="I5307" t="s">
        <v>1439</v>
      </c>
      <c r="J5307">
        <v>6</v>
      </c>
    </row>
    <row r="5308" spans="1:11" hidden="1" x14ac:dyDescent="0.3">
      <c r="A5308" s="46">
        <v>45421</v>
      </c>
      <c r="B5308" s="46" t="s">
        <v>724</v>
      </c>
      <c r="D5308" t="s">
        <v>885</v>
      </c>
      <c r="E5308" s="46" t="s">
        <v>1436</v>
      </c>
      <c r="F5308" s="45">
        <v>71500</v>
      </c>
      <c r="G5308" t="s">
        <v>1437</v>
      </c>
      <c r="H5308" t="s">
        <v>1438</v>
      </c>
      <c r="I5308" t="s">
        <v>1439</v>
      </c>
      <c r="J5308">
        <v>4</v>
      </c>
      <c r="K5308" t="s">
        <v>2200</v>
      </c>
    </row>
    <row r="5309" spans="1:11" hidden="1" x14ac:dyDescent="0.3">
      <c r="A5309" s="46">
        <v>45317</v>
      </c>
      <c r="B5309" s="46" t="s">
        <v>734</v>
      </c>
      <c r="D5309" t="s">
        <v>1527</v>
      </c>
      <c r="E5309" s="46" t="s">
        <v>1436</v>
      </c>
      <c r="F5309" s="45">
        <v>71200</v>
      </c>
      <c r="G5309" t="s">
        <v>1441</v>
      </c>
      <c r="H5309" t="s">
        <v>1438</v>
      </c>
      <c r="I5309" t="s">
        <v>1439</v>
      </c>
      <c r="J5309">
        <v>6</v>
      </c>
    </row>
    <row r="5310" spans="1:11" hidden="1" x14ac:dyDescent="0.3">
      <c r="A5310" s="46">
        <v>45315</v>
      </c>
      <c r="B5310" s="46" t="s">
        <v>734</v>
      </c>
      <c r="D5310" t="s">
        <v>1542</v>
      </c>
      <c r="E5310" s="46" t="s">
        <v>1436</v>
      </c>
      <c r="F5310" s="45">
        <v>71000</v>
      </c>
      <c r="G5310" t="s">
        <v>1441</v>
      </c>
      <c r="H5310" t="s">
        <v>1438</v>
      </c>
      <c r="I5310" t="s">
        <v>1439</v>
      </c>
      <c r="J5310">
        <v>6</v>
      </c>
    </row>
    <row r="5311" spans="1:11" hidden="1" x14ac:dyDescent="0.3">
      <c r="A5311" s="46">
        <v>45373</v>
      </c>
      <c r="B5311" s="46" t="s">
        <v>734</v>
      </c>
      <c r="D5311" t="s">
        <v>1540</v>
      </c>
      <c r="E5311" s="46" t="s">
        <v>1436</v>
      </c>
      <c r="F5311" s="45">
        <v>70800</v>
      </c>
      <c r="G5311" t="s">
        <v>1441</v>
      </c>
      <c r="H5311" t="s">
        <v>1438</v>
      </c>
      <c r="I5311" t="s">
        <v>1439</v>
      </c>
      <c r="J5311">
        <v>6</v>
      </c>
    </row>
    <row r="5312" spans="1:11" hidden="1" x14ac:dyDescent="0.3">
      <c r="A5312" s="46">
        <v>45406</v>
      </c>
      <c r="B5312" s="46" t="s">
        <v>748</v>
      </c>
      <c r="D5312" t="s">
        <v>1440</v>
      </c>
      <c r="E5312" s="46" t="s">
        <v>1436</v>
      </c>
      <c r="F5312" s="45">
        <v>70570</v>
      </c>
      <c r="G5312" t="s">
        <v>1479</v>
      </c>
      <c r="H5312" t="s">
        <v>1442</v>
      </c>
      <c r="I5312" t="s">
        <v>1458</v>
      </c>
      <c r="K5312" t="s">
        <v>1708</v>
      </c>
    </row>
    <row r="5313" spans="1:11" hidden="1" x14ac:dyDescent="0.3">
      <c r="A5313" s="46">
        <v>45447</v>
      </c>
      <c r="B5313" s="46" t="s">
        <v>748</v>
      </c>
      <c r="D5313" t="s">
        <v>1440</v>
      </c>
      <c r="E5313" s="46" t="s">
        <v>1436</v>
      </c>
      <c r="F5313" s="45">
        <v>70570</v>
      </c>
      <c r="G5313" t="s">
        <v>1479</v>
      </c>
      <c r="H5313" t="s">
        <v>1442</v>
      </c>
      <c r="I5313" t="s">
        <v>1458</v>
      </c>
      <c r="K5313" t="s">
        <v>2201</v>
      </c>
    </row>
    <row r="5314" spans="1:11" hidden="1" x14ac:dyDescent="0.3">
      <c r="A5314" s="46">
        <v>45421</v>
      </c>
      <c r="B5314" s="46" t="s">
        <v>748</v>
      </c>
      <c r="D5314" t="s">
        <v>1501</v>
      </c>
      <c r="E5314" s="46" t="s">
        <v>1436</v>
      </c>
      <c r="F5314" s="45">
        <v>70540</v>
      </c>
      <c r="G5314" t="s">
        <v>1479</v>
      </c>
      <c r="H5314" t="s">
        <v>1442</v>
      </c>
      <c r="I5314" t="s">
        <v>1458</v>
      </c>
      <c r="K5314" t="s">
        <v>2383</v>
      </c>
    </row>
    <row r="5315" spans="1:11" hidden="1" x14ac:dyDescent="0.3">
      <c r="A5315" s="46">
        <v>45435</v>
      </c>
      <c r="B5315" s="46" t="s">
        <v>724</v>
      </c>
      <c r="D5315" t="s">
        <v>885</v>
      </c>
      <c r="E5315" s="46" t="s">
        <v>1436</v>
      </c>
      <c r="F5315" s="45">
        <v>70500</v>
      </c>
      <c r="G5315" t="s">
        <v>1437</v>
      </c>
      <c r="H5315" t="s">
        <v>1438</v>
      </c>
      <c r="I5315" t="s">
        <v>1439</v>
      </c>
      <c r="J5315">
        <v>4</v>
      </c>
    </row>
    <row r="5316" spans="1:11" hidden="1" x14ac:dyDescent="0.3">
      <c r="A5316" s="46">
        <v>45443</v>
      </c>
      <c r="B5316" s="46" t="s">
        <v>748</v>
      </c>
      <c r="D5316" t="s">
        <v>2202</v>
      </c>
      <c r="E5316" s="46" t="s">
        <v>1436</v>
      </c>
      <c r="F5316" s="45">
        <v>70000</v>
      </c>
      <c r="G5316" t="s">
        <v>2203</v>
      </c>
      <c r="H5316" t="s">
        <v>1452</v>
      </c>
      <c r="I5316" t="s">
        <v>1494</v>
      </c>
      <c r="K5316" t="s">
        <v>2204</v>
      </c>
    </row>
    <row r="5317" spans="1:11" hidden="1" x14ac:dyDescent="0.3">
      <c r="A5317" s="46">
        <v>45457</v>
      </c>
      <c r="B5317" s="46" t="s">
        <v>748</v>
      </c>
      <c r="D5317" t="s">
        <v>1495</v>
      </c>
      <c r="E5317" s="46" t="s">
        <v>1436</v>
      </c>
      <c r="F5317" s="45">
        <v>70000</v>
      </c>
      <c r="G5317" t="s">
        <v>1479</v>
      </c>
      <c r="H5317" t="s">
        <v>1452</v>
      </c>
      <c r="I5317" t="s">
        <v>1494</v>
      </c>
      <c r="K5317" t="s">
        <v>2206</v>
      </c>
    </row>
    <row r="5318" spans="1:11" hidden="1" x14ac:dyDescent="0.3">
      <c r="A5318" s="46">
        <v>45460</v>
      </c>
      <c r="B5318" s="46" t="s">
        <v>772</v>
      </c>
      <c r="D5318" t="s">
        <v>915</v>
      </c>
      <c r="E5318" s="46" t="s">
        <v>1436</v>
      </c>
      <c r="F5318" s="45">
        <v>70000</v>
      </c>
      <c r="G5318" t="s">
        <v>1464</v>
      </c>
      <c r="H5318" t="s">
        <v>1452</v>
      </c>
      <c r="I5318" t="s">
        <v>1494</v>
      </c>
      <c r="K5318" t="s">
        <v>1533</v>
      </c>
    </row>
    <row r="5319" spans="1:11" hidden="1" x14ac:dyDescent="0.3">
      <c r="A5319" s="46">
        <v>45474</v>
      </c>
      <c r="B5319" s="46" t="s">
        <v>748</v>
      </c>
      <c r="D5319" t="s">
        <v>2205</v>
      </c>
      <c r="E5319" s="46" t="s">
        <v>1436</v>
      </c>
      <c r="F5319" s="45">
        <v>70000</v>
      </c>
      <c r="G5319" t="s">
        <v>1479</v>
      </c>
      <c r="H5319" t="s">
        <v>1452</v>
      </c>
      <c r="I5319" t="s">
        <v>1494</v>
      </c>
      <c r="K5319" t="s">
        <v>2206</v>
      </c>
    </row>
    <row r="5320" spans="1:11" hidden="1" x14ac:dyDescent="0.3">
      <c r="A5320" s="46">
        <v>45422</v>
      </c>
      <c r="B5320" s="46" t="s">
        <v>748</v>
      </c>
      <c r="D5320" s="31" t="s">
        <v>2207</v>
      </c>
      <c r="E5320" s="46" t="s">
        <v>1436</v>
      </c>
      <c r="F5320" s="45">
        <v>70000</v>
      </c>
      <c r="G5320" s="31" t="s">
        <v>1479</v>
      </c>
      <c r="H5320" s="31" t="s">
        <v>1452</v>
      </c>
      <c r="I5320" s="31" t="s">
        <v>1494</v>
      </c>
      <c r="J5320" s="31"/>
      <c r="K5320" s="31" t="s">
        <v>2208</v>
      </c>
    </row>
    <row r="5321" spans="1:11" hidden="1" x14ac:dyDescent="0.3">
      <c r="A5321" s="46">
        <v>45411</v>
      </c>
      <c r="B5321" s="46" t="s">
        <v>748</v>
      </c>
      <c r="D5321" t="s">
        <v>2202</v>
      </c>
      <c r="E5321" s="46" t="s">
        <v>1436</v>
      </c>
      <c r="F5321" s="45">
        <v>70000</v>
      </c>
      <c r="G5321" t="s">
        <v>1479</v>
      </c>
      <c r="H5321" t="s">
        <v>1452</v>
      </c>
      <c r="I5321" t="s">
        <v>1494</v>
      </c>
      <c r="K5321" t="s">
        <v>2208</v>
      </c>
    </row>
    <row r="5322" spans="1:11" hidden="1" x14ac:dyDescent="0.3">
      <c r="A5322" s="46">
        <v>45401</v>
      </c>
      <c r="B5322" s="46" t="s">
        <v>748</v>
      </c>
      <c r="D5322" t="s">
        <v>2209</v>
      </c>
      <c r="E5322" s="46" t="s">
        <v>1436</v>
      </c>
      <c r="F5322" s="45">
        <v>70000</v>
      </c>
      <c r="G5322" t="s">
        <v>1479</v>
      </c>
      <c r="H5322" t="s">
        <v>1452</v>
      </c>
      <c r="I5322" t="s">
        <v>1494</v>
      </c>
      <c r="K5322" t="s">
        <v>1521</v>
      </c>
    </row>
    <row r="5323" spans="1:11" hidden="1" x14ac:dyDescent="0.3">
      <c r="A5323" s="46">
        <v>45373</v>
      </c>
      <c r="B5323" s="46" t="s">
        <v>748</v>
      </c>
      <c r="D5323" t="s">
        <v>1495</v>
      </c>
      <c r="E5323" s="46" t="s">
        <v>1436</v>
      </c>
      <c r="F5323" s="45">
        <v>70000</v>
      </c>
      <c r="G5323" t="s">
        <v>1479</v>
      </c>
      <c r="H5323" t="s">
        <v>1452</v>
      </c>
      <c r="I5323" t="s">
        <v>1494</v>
      </c>
      <c r="K5323" t="s">
        <v>1697</v>
      </c>
    </row>
    <row r="5324" spans="1:11" hidden="1" x14ac:dyDescent="0.3">
      <c r="A5324" s="46">
        <v>45365</v>
      </c>
      <c r="B5324" s="46" t="s">
        <v>748</v>
      </c>
      <c r="D5324" t="s">
        <v>1696</v>
      </c>
      <c r="E5324" s="46" t="s">
        <v>1436</v>
      </c>
      <c r="F5324" s="45">
        <v>70000</v>
      </c>
      <c r="G5324" t="s">
        <v>1466</v>
      </c>
      <c r="H5324" t="s">
        <v>1438</v>
      </c>
      <c r="I5324" t="s">
        <v>1439</v>
      </c>
      <c r="J5324">
        <v>3</v>
      </c>
    </row>
    <row r="5325" spans="1:11" hidden="1" x14ac:dyDescent="0.3">
      <c r="A5325" s="46">
        <v>45314</v>
      </c>
      <c r="B5325" s="46" t="s">
        <v>748</v>
      </c>
      <c r="D5325" t="s">
        <v>1495</v>
      </c>
      <c r="E5325" s="46" t="s">
        <v>1436</v>
      </c>
      <c r="F5325" s="45">
        <v>70000</v>
      </c>
      <c r="G5325" t="s">
        <v>1479</v>
      </c>
      <c r="H5325" t="s">
        <v>1452</v>
      </c>
      <c r="I5325" t="s">
        <v>1494</v>
      </c>
      <c r="K5325" t="s">
        <v>1521</v>
      </c>
    </row>
    <row r="5326" spans="1:11" hidden="1" x14ac:dyDescent="0.3">
      <c r="A5326" s="46">
        <v>45323</v>
      </c>
      <c r="B5326" s="46" t="s">
        <v>767</v>
      </c>
      <c r="D5326" t="s">
        <v>1504</v>
      </c>
      <c r="E5326" s="46" t="s">
        <v>1436</v>
      </c>
      <c r="F5326" s="45">
        <v>70000</v>
      </c>
      <c r="G5326" t="s">
        <v>1460</v>
      </c>
      <c r="H5326" t="s">
        <v>1438</v>
      </c>
      <c r="I5326" t="s">
        <v>1439</v>
      </c>
      <c r="J5326">
        <v>4</v>
      </c>
    </row>
    <row r="5327" spans="1:11" hidden="1" x14ac:dyDescent="0.3">
      <c r="A5327" s="46">
        <v>45343</v>
      </c>
      <c r="B5327" s="46" t="s">
        <v>748</v>
      </c>
      <c r="D5327" t="s">
        <v>1495</v>
      </c>
      <c r="E5327" s="46" t="s">
        <v>1436</v>
      </c>
      <c r="F5327" s="45">
        <v>70000</v>
      </c>
      <c r="G5327" t="s">
        <v>1479</v>
      </c>
      <c r="H5327" t="s">
        <v>1452</v>
      </c>
      <c r="I5327" t="s">
        <v>1494</v>
      </c>
      <c r="K5327" t="s">
        <v>1695</v>
      </c>
    </row>
    <row r="5328" spans="1:11" hidden="1" x14ac:dyDescent="0.3">
      <c r="A5328" s="46">
        <v>45349</v>
      </c>
      <c r="B5328" s="46" t="s">
        <v>734</v>
      </c>
      <c r="D5328" t="s">
        <v>1546</v>
      </c>
      <c r="E5328" s="46" t="s">
        <v>1436</v>
      </c>
      <c r="F5328" s="45">
        <v>70000</v>
      </c>
      <c r="G5328" t="s">
        <v>1441</v>
      </c>
      <c r="H5328" t="s">
        <v>1438</v>
      </c>
      <c r="I5328" t="s">
        <v>1439</v>
      </c>
      <c r="J5328">
        <v>6</v>
      </c>
    </row>
    <row r="5329" spans="1:11" hidden="1" x14ac:dyDescent="0.3">
      <c r="A5329" s="46">
        <v>45351</v>
      </c>
      <c r="B5329" s="46" t="s">
        <v>722</v>
      </c>
      <c r="D5329" t="s">
        <v>1698</v>
      </c>
      <c r="E5329" s="46" t="s">
        <v>1436</v>
      </c>
      <c r="F5329" s="45">
        <v>69500</v>
      </c>
      <c r="G5329" t="s">
        <v>1462</v>
      </c>
      <c r="H5329" t="s">
        <v>1438</v>
      </c>
      <c r="I5329" t="s">
        <v>1439</v>
      </c>
      <c r="J5329">
        <v>5</v>
      </c>
    </row>
    <row r="5330" spans="1:11" hidden="1" x14ac:dyDescent="0.3">
      <c r="A5330" s="46">
        <v>45474</v>
      </c>
      <c r="B5330" s="46" t="s">
        <v>727</v>
      </c>
      <c r="D5330" t="s">
        <v>1570</v>
      </c>
      <c r="E5330" s="46" t="s">
        <v>1436</v>
      </c>
      <c r="F5330" s="45">
        <v>69500</v>
      </c>
      <c r="G5330" t="s">
        <v>1463</v>
      </c>
      <c r="H5330" t="s">
        <v>1438</v>
      </c>
      <c r="I5330" t="s">
        <v>1439</v>
      </c>
      <c r="J5330">
        <v>6</v>
      </c>
    </row>
    <row r="5331" spans="1:11" hidden="1" x14ac:dyDescent="0.3">
      <c r="A5331" s="46">
        <v>45469</v>
      </c>
      <c r="B5331" s="46" t="s">
        <v>748</v>
      </c>
      <c r="D5331" t="s">
        <v>1440</v>
      </c>
      <c r="E5331" s="46" t="s">
        <v>1436</v>
      </c>
      <c r="F5331" s="45">
        <v>69400</v>
      </c>
      <c r="G5331" t="s">
        <v>1479</v>
      </c>
      <c r="H5331" t="s">
        <v>1442</v>
      </c>
      <c r="I5331" t="s">
        <v>1458</v>
      </c>
      <c r="K5331" t="s">
        <v>2210</v>
      </c>
    </row>
    <row r="5332" spans="1:11" hidden="1" x14ac:dyDescent="0.3">
      <c r="A5332" s="46">
        <v>45349</v>
      </c>
      <c r="B5332" s="46" t="s">
        <v>722</v>
      </c>
      <c r="D5332" t="s">
        <v>1440</v>
      </c>
      <c r="E5332" s="46" t="s">
        <v>1436</v>
      </c>
      <c r="F5332" s="45">
        <v>69000</v>
      </c>
      <c r="G5332" t="s">
        <v>1437</v>
      </c>
      <c r="H5332" t="s">
        <v>1447</v>
      </c>
      <c r="I5332" t="s">
        <v>1455</v>
      </c>
      <c r="K5332" t="s">
        <v>1810</v>
      </c>
    </row>
    <row r="5333" spans="1:11" hidden="1" x14ac:dyDescent="0.3">
      <c r="A5333" s="46">
        <v>45412</v>
      </c>
      <c r="B5333" s="46" t="s">
        <v>734</v>
      </c>
      <c r="D5333" t="s">
        <v>1541</v>
      </c>
      <c r="E5333" s="46" t="s">
        <v>1436</v>
      </c>
      <c r="F5333" s="45">
        <v>69000</v>
      </c>
      <c r="G5333" t="s">
        <v>1441</v>
      </c>
      <c r="H5333" t="s">
        <v>1438</v>
      </c>
      <c r="I5333" t="s">
        <v>1439</v>
      </c>
      <c r="J5333">
        <v>6</v>
      </c>
    </row>
    <row r="5334" spans="1:11" hidden="1" x14ac:dyDescent="0.3">
      <c r="A5334" s="46">
        <v>45477</v>
      </c>
      <c r="B5334" s="46" t="s">
        <v>724</v>
      </c>
      <c r="D5334" t="s">
        <v>2384</v>
      </c>
      <c r="E5334" s="46" t="s">
        <v>1436</v>
      </c>
      <c r="F5334" s="45">
        <v>68600</v>
      </c>
      <c r="G5334" t="s">
        <v>1437</v>
      </c>
      <c r="H5334" t="s">
        <v>1438</v>
      </c>
      <c r="I5334" t="s">
        <v>1439</v>
      </c>
      <c r="J5334">
        <v>4</v>
      </c>
    </row>
    <row r="5335" spans="1:11" hidden="1" x14ac:dyDescent="0.3">
      <c r="A5335" s="46">
        <v>45330</v>
      </c>
      <c r="B5335" s="46" t="s">
        <v>767</v>
      </c>
      <c r="D5335" t="s">
        <v>1536</v>
      </c>
      <c r="E5335" s="46" t="s">
        <v>1436</v>
      </c>
      <c r="F5335" s="45">
        <v>68500</v>
      </c>
      <c r="G5335" t="s">
        <v>1460</v>
      </c>
      <c r="H5335" t="s">
        <v>1438</v>
      </c>
      <c r="I5335" t="s">
        <v>1439</v>
      </c>
      <c r="J5335">
        <v>5</v>
      </c>
    </row>
    <row r="5336" spans="1:11" hidden="1" x14ac:dyDescent="0.3">
      <c r="A5336" s="46">
        <v>45323</v>
      </c>
      <c r="B5336" s="46" t="s">
        <v>724</v>
      </c>
      <c r="D5336" t="s">
        <v>953</v>
      </c>
      <c r="E5336" s="46" t="s">
        <v>1436</v>
      </c>
      <c r="F5336" s="45">
        <v>68500</v>
      </c>
      <c r="G5336" t="s">
        <v>1437</v>
      </c>
      <c r="H5336" t="s">
        <v>1438</v>
      </c>
      <c r="I5336" t="s">
        <v>1439</v>
      </c>
      <c r="J5336">
        <v>4</v>
      </c>
    </row>
    <row r="5337" spans="1:11" hidden="1" x14ac:dyDescent="0.3">
      <c r="A5337" s="46">
        <v>45303</v>
      </c>
      <c r="B5337" s="46" t="s">
        <v>748</v>
      </c>
      <c r="D5337" t="s">
        <v>1440</v>
      </c>
      <c r="E5337" s="46" t="s">
        <v>1436</v>
      </c>
      <c r="F5337" s="45">
        <v>68400</v>
      </c>
      <c r="G5337" t="s">
        <v>1479</v>
      </c>
      <c r="H5337" t="s">
        <v>1442</v>
      </c>
      <c r="I5337" t="s">
        <v>1458</v>
      </c>
      <c r="K5337" t="s">
        <v>1699</v>
      </c>
    </row>
    <row r="5338" spans="1:11" hidden="1" x14ac:dyDescent="0.3">
      <c r="A5338" s="46">
        <v>45349</v>
      </c>
      <c r="B5338" s="46" t="s">
        <v>748</v>
      </c>
      <c r="D5338" t="s">
        <v>1440</v>
      </c>
      <c r="E5338" s="46" t="s">
        <v>1436</v>
      </c>
      <c r="F5338" s="45">
        <v>68400</v>
      </c>
      <c r="G5338" t="s">
        <v>1479</v>
      </c>
      <c r="H5338" t="s">
        <v>1442</v>
      </c>
      <c r="I5338" t="s">
        <v>1458</v>
      </c>
      <c r="K5338" t="s">
        <v>1700</v>
      </c>
    </row>
    <row r="5339" spans="1:11" hidden="1" x14ac:dyDescent="0.3">
      <c r="A5339" s="46">
        <v>45406</v>
      </c>
      <c r="B5339" s="46" t="s">
        <v>748</v>
      </c>
      <c r="D5339" t="s">
        <v>1440</v>
      </c>
      <c r="E5339" s="46" t="s">
        <v>1436</v>
      </c>
      <c r="F5339" s="45">
        <v>68400</v>
      </c>
      <c r="G5339" t="s">
        <v>1479</v>
      </c>
      <c r="H5339" t="s">
        <v>1442</v>
      </c>
      <c r="I5339" t="s">
        <v>1458</v>
      </c>
      <c r="K5339" t="s">
        <v>1700</v>
      </c>
    </row>
    <row r="5340" spans="1:11" hidden="1" x14ac:dyDescent="0.3">
      <c r="A5340" s="46">
        <v>45380</v>
      </c>
      <c r="B5340" s="46" t="s">
        <v>748</v>
      </c>
      <c r="D5340" t="s">
        <v>1440</v>
      </c>
      <c r="E5340" s="46" t="s">
        <v>1436</v>
      </c>
      <c r="F5340" s="45">
        <v>68400</v>
      </c>
      <c r="G5340" t="s">
        <v>1483</v>
      </c>
      <c r="H5340" t="s">
        <v>1438</v>
      </c>
      <c r="I5340" t="s">
        <v>1439</v>
      </c>
      <c r="J5340">
        <v>1</v>
      </c>
    </row>
    <row r="5341" spans="1:11" hidden="1" x14ac:dyDescent="0.3">
      <c r="A5341" s="46">
        <v>45313</v>
      </c>
      <c r="B5341" s="46" t="s">
        <v>734</v>
      </c>
      <c r="D5341" t="s">
        <v>1527</v>
      </c>
      <c r="E5341" s="46" t="s">
        <v>1436</v>
      </c>
      <c r="F5341" s="45">
        <v>68100</v>
      </c>
      <c r="G5341" t="s">
        <v>1441</v>
      </c>
      <c r="H5341" t="s">
        <v>1438</v>
      </c>
      <c r="I5341" t="s">
        <v>1439</v>
      </c>
      <c r="J5341">
        <v>6</v>
      </c>
    </row>
    <row r="5342" spans="1:11" hidden="1" x14ac:dyDescent="0.3">
      <c r="A5342" s="46">
        <v>45341</v>
      </c>
      <c r="B5342" s="46" t="s">
        <v>734</v>
      </c>
      <c r="D5342" t="s">
        <v>954</v>
      </c>
      <c r="E5342" s="46" t="s">
        <v>1436</v>
      </c>
      <c r="F5342" s="45">
        <v>68000</v>
      </c>
      <c r="G5342" t="s">
        <v>1441</v>
      </c>
      <c r="H5342" t="s">
        <v>1438</v>
      </c>
      <c r="I5342" t="s">
        <v>1439</v>
      </c>
      <c r="J5342">
        <v>6</v>
      </c>
    </row>
    <row r="5343" spans="1:11" hidden="1" x14ac:dyDescent="0.3">
      <c r="A5343" s="46">
        <v>45363</v>
      </c>
      <c r="B5343" s="46" t="s">
        <v>734</v>
      </c>
      <c r="D5343" t="s">
        <v>954</v>
      </c>
      <c r="E5343" s="46" t="s">
        <v>1436</v>
      </c>
      <c r="F5343" s="45">
        <v>68000</v>
      </c>
      <c r="G5343" t="s">
        <v>1441</v>
      </c>
      <c r="H5343" t="s">
        <v>1438</v>
      </c>
      <c r="I5343" t="s">
        <v>1439</v>
      </c>
      <c r="J5343">
        <v>6</v>
      </c>
    </row>
    <row r="5344" spans="1:11" hidden="1" x14ac:dyDescent="0.3">
      <c r="A5344" s="46">
        <v>45357</v>
      </c>
      <c r="B5344" s="46" t="s">
        <v>767</v>
      </c>
      <c r="D5344" t="s">
        <v>1545</v>
      </c>
      <c r="E5344" s="46" t="s">
        <v>1436</v>
      </c>
      <c r="F5344" s="45">
        <v>68000</v>
      </c>
      <c r="G5344" t="s">
        <v>1460</v>
      </c>
      <c r="H5344" t="s">
        <v>1438</v>
      </c>
      <c r="I5344" t="s">
        <v>1439</v>
      </c>
      <c r="J5344">
        <v>6</v>
      </c>
    </row>
    <row r="5345" spans="1:11" hidden="1" x14ac:dyDescent="0.3">
      <c r="A5345" s="46">
        <v>45414</v>
      </c>
      <c r="B5345" s="46" t="s">
        <v>772</v>
      </c>
      <c r="D5345" t="s">
        <v>920</v>
      </c>
      <c r="E5345" s="46" t="s">
        <v>1436</v>
      </c>
      <c r="F5345" s="45">
        <v>68000</v>
      </c>
      <c r="G5345" t="s">
        <v>1464</v>
      </c>
      <c r="H5345" t="s">
        <v>1452</v>
      </c>
      <c r="I5345" t="s">
        <v>1494</v>
      </c>
    </row>
    <row r="5346" spans="1:11" hidden="1" x14ac:dyDescent="0.3">
      <c r="A5346" s="46">
        <v>45322</v>
      </c>
      <c r="B5346" s="46" t="s">
        <v>734</v>
      </c>
      <c r="D5346" t="s">
        <v>1541</v>
      </c>
      <c r="E5346" s="46" t="s">
        <v>1436</v>
      </c>
      <c r="F5346" s="45">
        <v>67500</v>
      </c>
      <c r="G5346" t="s">
        <v>1441</v>
      </c>
      <c r="H5346" t="s">
        <v>1438</v>
      </c>
      <c r="I5346" t="s">
        <v>1439</v>
      </c>
      <c r="J5346">
        <v>6</v>
      </c>
    </row>
    <row r="5347" spans="1:11" hidden="1" x14ac:dyDescent="0.3">
      <c r="A5347" s="46">
        <v>45456</v>
      </c>
      <c r="B5347" s="46" t="s">
        <v>727</v>
      </c>
      <c r="D5347" t="s">
        <v>2186</v>
      </c>
      <c r="E5347" s="46" t="s">
        <v>1436</v>
      </c>
      <c r="F5347" s="45">
        <v>67500</v>
      </c>
      <c r="G5347" t="s">
        <v>1463</v>
      </c>
      <c r="H5347" t="s">
        <v>1438</v>
      </c>
      <c r="I5347" t="s">
        <v>1439</v>
      </c>
      <c r="J5347">
        <v>4</v>
      </c>
    </row>
    <row r="5348" spans="1:11" hidden="1" x14ac:dyDescent="0.3">
      <c r="A5348" s="46">
        <v>45293</v>
      </c>
      <c r="B5348" s="46" t="s">
        <v>748</v>
      </c>
      <c r="D5348" t="s">
        <v>1534</v>
      </c>
      <c r="E5348" s="46" t="s">
        <v>1436</v>
      </c>
      <c r="F5348" s="45">
        <v>67000</v>
      </c>
      <c r="G5348" t="s">
        <v>1479</v>
      </c>
      <c r="H5348" t="s">
        <v>1452</v>
      </c>
      <c r="I5348" t="s">
        <v>1494</v>
      </c>
      <c r="K5348" t="s">
        <v>1532</v>
      </c>
    </row>
    <row r="5349" spans="1:11" hidden="1" x14ac:dyDescent="0.3">
      <c r="A5349" s="46">
        <v>45356</v>
      </c>
      <c r="B5349" s="46" t="s">
        <v>734</v>
      </c>
      <c r="D5349" t="s">
        <v>1558</v>
      </c>
      <c r="E5349" s="46" t="s">
        <v>1436</v>
      </c>
      <c r="F5349" s="45">
        <v>67000</v>
      </c>
      <c r="G5349" t="s">
        <v>1441</v>
      </c>
      <c r="H5349" t="s">
        <v>1438</v>
      </c>
      <c r="I5349" t="s">
        <v>1439</v>
      </c>
      <c r="J5349">
        <v>6</v>
      </c>
    </row>
    <row r="5350" spans="1:11" hidden="1" x14ac:dyDescent="0.3">
      <c r="A5350" s="46">
        <v>45294</v>
      </c>
      <c r="B5350" s="46" t="s">
        <v>734</v>
      </c>
      <c r="D5350" t="s">
        <v>1529</v>
      </c>
      <c r="E5350" s="46" t="s">
        <v>1436</v>
      </c>
      <c r="F5350" s="45">
        <v>66500</v>
      </c>
      <c r="G5350" t="s">
        <v>1441</v>
      </c>
      <c r="H5350" t="s">
        <v>1438</v>
      </c>
      <c r="I5350" t="s">
        <v>1439</v>
      </c>
      <c r="J5350">
        <v>6</v>
      </c>
    </row>
    <row r="5351" spans="1:11" hidden="1" x14ac:dyDescent="0.3">
      <c r="A5351" s="46">
        <v>45421</v>
      </c>
      <c r="B5351" s="46" t="s">
        <v>748</v>
      </c>
      <c r="D5351" t="s">
        <v>1440</v>
      </c>
      <c r="E5351" s="46" t="s">
        <v>1436</v>
      </c>
      <c r="F5351" s="45">
        <v>66400</v>
      </c>
      <c r="G5351" t="s">
        <v>1479</v>
      </c>
      <c r="H5351" t="s">
        <v>1442</v>
      </c>
      <c r="I5351" t="s">
        <v>1458</v>
      </c>
      <c r="K5351" t="s">
        <v>2385</v>
      </c>
    </row>
    <row r="5352" spans="1:11" hidden="1" x14ac:dyDescent="0.3">
      <c r="A5352" s="46">
        <v>45447</v>
      </c>
      <c r="B5352" s="46" t="s">
        <v>748</v>
      </c>
      <c r="D5352" t="s">
        <v>1440</v>
      </c>
      <c r="E5352" s="46" t="s">
        <v>1436</v>
      </c>
      <c r="F5352" s="45">
        <v>66400</v>
      </c>
      <c r="G5352" t="s">
        <v>1479</v>
      </c>
      <c r="H5352" t="s">
        <v>1442</v>
      </c>
      <c r="I5352" t="s">
        <v>1458</v>
      </c>
      <c r="K5352" t="s">
        <v>2190</v>
      </c>
    </row>
    <row r="5353" spans="1:11" hidden="1" x14ac:dyDescent="0.3">
      <c r="A5353" s="46">
        <v>45350</v>
      </c>
      <c r="B5353" s="46" t="s">
        <v>772</v>
      </c>
      <c r="D5353" t="s">
        <v>915</v>
      </c>
      <c r="E5353" s="46" t="s">
        <v>1436</v>
      </c>
      <c r="F5353" s="45">
        <v>66280</v>
      </c>
      <c r="G5353" t="s">
        <v>1464</v>
      </c>
      <c r="H5353" t="s">
        <v>1452</v>
      </c>
      <c r="I5353" t="s">
        <v>1494</v>
      </c>
      <c r="K5353" t="s">
        <v>1533</v>
      </c>
    </row>
    <row r="5354" spans="1:11" hidden="1" x14ac:dyDescent="0.3">
      <c r="A5354" s="46">
        <v>45419</v>
      </c>
      <c r="B5354" s="46" t="s">
        <v>734</v>
      </c>
      <c r="D5354" t="s">
        <v>2211</v>
      </c>
      <c r="E5354" s="46" t="s">
        <v>1436</v>
      </c>
      <c r="F5354" s="45">
        <v>66000</v>
      </c>
      <c r="G5354" t="s">
        <v>1441</v>
      </c>
      <c r="H5354" t="s">
        <v>1438</v>
      </c>
      <c r="I5354" t="s">
        <v>1439</v>
      </c>
      <c r="J5354">
        <v>6</v>
      </c>
    </row>
    <row r="5355" spans="1:11" hidden="1" x14ac:dyDescent="0.3">
      <c r="A5355" s="46">
        <v>45428</v>
      </c>
      <c r="B5355" s="46" t="s">
        <v>767</v>
      </c>
      <c r="D5355" t="s">
        <v>1524</v>
      </c>
      <c r="E5355" s="46" t="s">
        <v>1436</v>
      </c>
      <c r="F5355" s="45">
        <v>65500</v>
      </c>
      <c r="G5355" t="s">
        <v>1460</v>
      </c>
      <c r="H5355" t="s">
        <v>1438</v>
      </c>
      <c r="I5355" t="s">
        <v>1439</v>
      </c>
      <c r="J5355">
        <v>4</v>
      </c>
    </row>
    <row r="5356" spans="1:11" hidden="1" x14ac:dyDescent="0.3">
      <c r="A5356" s="46">
        <v>45302</v>
      </c>
      <c r="B5356" s="46" t="s">
        <v>729</v>
      </c>
      <c r="D5356" t="s">
        <v>1524</v>
      </c>
      <c r="E5356" s="46" t="s">
        <v>1436</v>
      </c>
      <c r="F5356" s="45">
        <v>65500</v>
      </c>
      <c r="G5356" t="s">
        <v>1471</v>
      </c>
      <c r="H5356" t="s">
        <v>1438</v>
      </c>
      <c r="I5356" t="s">
        <v>1439</v>
      </c>
      <c r="J5356">
        <v>4</v>
      </c>
    </row>
    <row r="5357" spans="1:11" hidden="1" x14ac:dyDescent="0.3">
      <c r="A5357" s="46">
        <v>45474</v>
      </c>
      <c r="B5357" s="46" t="s">
        <v>722</v>
      </c>
      <c r="D5357" t="s">
        <v>1490</v>
      </c>
      <c r="E5357" s="46" t="s">
        <v>1436</v>
      </c>
      <c r="F5357" s="45">
        <v>65450</v>
      </c>
      <c r="G5357" t="s">
        <v>1466</v>
      </c>
      <c r="H5357" t="s">
        <v>1469</v>
      </c>
      <c r="I5357" t="s">
        <v>1503</v>
      </c>
      <c r="K5357" t="s">
        <v>2212</v>
      </c>
    </row>
    <row r="5358" spans="1:11" hidden="1" x14ac:dyDescent="0.3">
      <c r="A5358" s="46">
        <v>45328</v>
      </c>
      <c r="B5358" s="46" t="s">
        <v>772</v>
      </c>
      <c r="D5358" t="s">
        <v>913</v>
      </c>
      <c r="E5358" s="46" t="s">
        <v>1436</v>
      </c>
      <c r="F5358" s="45">
        <v>65000</v>
      </c>
      <c r="G5358" t="s">
        <v>1464</v>
      </c>
      <c r="H5358" t="s">
        <v>1452</v>
      </c>
      <c r="I5358" t="s">
        <v>1494</v>
      </c>
      <c r="K5358" t="s">
        <v>1533</v>
      </c>
    </row>
    <row r="5359" spans="1:11" hidden="1" x14ac:dyDescent="0.3">
      <c r="A5359" s="46">
        <v>45394</v>
      </c>
      <c r="B5359" s="46" t="s">
        <v>772</v>
      </c>
      <c r="D5359" t="s">
        <v>920</v>
      </c>
      <c r="E5359" s="46" t="s">
        <v>1436</v>
      </c>
      <c r="F5359" s="45">
        <v>65000</v>
      </c>
      <c r="G5359" t="s">
        <v>1464</v>
      </c>
      <c r="H5359" t="s">
        <v>1452</v>
      </c>
      <c r="I5359" t="s">
        <v>1494</v>
      </c>
    </row>
    <row r="5360" spans="1:11" hidden="1" x14ac:dyDescent="0.3">
      <c r="A5360" s="46">
        <v>45421</v>
      </c>
      <c r="B5360" s="46" t="s">
        <v>767</v>
      </c>
      <c r="D5360" t="s">
        <v>1515</v>
      </c>
      <c r="E5360" s="46" t="s">
        <v>1436</v>
      </c>
      <c r="F5360" s="45">
        <v>64500</v>
      </c>
      <c r="G5360" t="s">
        <v>1460</v>
      </c>
      <c r="H5360" t="s">
        <v>1438</v>
      </c>
      <c r="I5360" t="s">
        <v>1439</v>
      </c>
      <c r="J5360">
        <v>4</v>
      </c>
    </row>
    <row r="5361" spans="1:11" hidden="1" x14ac:dyDescent="0.3">
      <c r="A5361" s="46">
        <v>45456</v>
      </c>
      <c r="B5361" s="46" t="s">
        <v>734</v>
      </c>
      <c r="D5361" t="s">
        <v>1491</v>
      </c>
      <c r="E5361" s="46" t="s">
        <v>1436</v>
      </c>
      <c r="F5361" s="45">
        <v>64400</v>
      </c>
      <c r="G5361" t="s">
        <v>1441</v>
      </c>
      <c r="H5361" t="s">
        <v>1438</v>
      </c>
      <c r="I5361" t="s">
        <v>1439</v>
      </c>
      <c r="J5361">
        <v>4</v>
      </c>
    </row>
    <row r="5362" spans="1:11" hidden="1" x14ac:dyDescent="0.3">
      <c r="A5362" s="46">
        <v>45461</v>
      </c>
      <c r="B5362" s="46" t="s">
        <v>767</v>
      </c>
      <c r="D5362" t="s">
        <v>2159</v>
      </c>
      <c r="E5362" s="46" t="s">
        <v>1436</v>
      </c>
      <c r="F5362" s="45">
        <v>64000</v>
      </c>
      <c r="G5362" t="s">
        <v>1460</v>
      </c>
      <c r="H5362" t="s">
        <v>1484</v>
      </c>
      <c r="I5362" t="s">
        <v>1821</v>
      </c>
      <c r="K5362" t="s">
        <v>2176</v>
      </c>
    </row>
    <row r="5363" spans="1:11" hidden="1" x14ac:dyDescent="0.3">
      <c r="A5363" s="46">
        <v>45345</v>
      </c>
      <c r="B5363" s="46" t="s">
        <v>748</v>
      </c>
      <c r="D5363" t="s">
        <v>1513</v>
      </c>
      <c r="E5363" s="46" t="s">
        <v>1436</v>
      </c>
      <c r="F5363" s="45">
        <v>64000</v>
      </c>
      <c r="G5363" t="s">
        <v>1480</v>
      </c>
      <c r="H5363" t="s">
        <v>1452</v>
      </c>
      <c r="I5363" t="s">
        <v>1494</v>
      </c>
      <c r="K5363" t="s">
        <v>1701</v>
      </c>
    </row>
    <row r="5364" spans="1:11" hidden="1" x14ac:dyDescent="0.3">
      <c r="A5364" s="46">
        <v>45470</v>
      </c>
      <c r="B5364" s="46" t="s">
        <v>727</v>
      </c>
      <c r="D5364" t="s">
        <v>2213</v>
      </c>
      <c r="E5364" s="46" t="s">
        <v>1436</v>
      </c>
      <c r="F5364" s="45">
        <v>63600</v>
      </c>
      <c r="G5364" t="s">
        <v>1463</v>
      </c>
      <c r="H5364" t="s">
        <v>1438</v>
      </c>
      <c r="I5364" t="s">
        <v>1439</v>
      </c>
      <c r="J5364">
        <v>3</v>
      </c>
    </row>
    <row r="5365" spans="1:11" hidden="1" x14ac:dyDescent="0.3">
      <c r="A5365" s="46">
        <v>45384</v>
      </c>
      <c r="B5365" s="46" t="s">
        <v>727</v>
      </c>
      <c r="D5365" t="s">
        <v>2214</v>
      </c>
      <c r="E5365" s="46" t="s">
        <v>1436</v>
      </c>
      <c r="F5365" s="45">
        <v>63469</v>
      </c>
      <c r="G5365" t="s">
        <v>1460</v>
      </c>
      <c r="H5365" t="s">
        <v>1469</v>
      </c>
      <c r="I5365" t="s">
        <v>1470</v>
      </c>
      <c r="K5365" t="s">
        <v>2215</v>
      </c>
    </row>
    <row r="5366" spans="1:11" hidden="1" x14ac:dyDescent="0.3">
      <c r="A5366" s="46">
        <v>45447</v>
      </c>
      <c r="B5366" s="46" t="s">
        <v>748</v>
      </c>
      <c r="D5366" t="s">
        <v>1440</v>
      </c>
      <c r="E5366" s="46" t="s">
        <v>1436</v>
      </c>
      <c r="F5366" s="45">
        <v>63100</v>
      </c>
      <c r="G5366" t="s">
        <v>1479</v>
      </c>
      <c r="H5366" t="s">
        <v>1442</v>
      </c>
      <c r="I5366" t="s">
        <v>1458</v>
      </c>
      <c r="K5366" t="s">
        <v>2216</v>
      </c>
    </row>
    <row r="5367" spans="1:11" hidden="1" x14ac:dyDescent="0.3">
      <c r="A5367" s="46">
        <v>45476</v>
      </c>
      <c r="B5367" s="46" t="s">
        <v>748</v>
      </c>
      <c r="D5367" t="s">
        <v>1440</v>
      </c>
      <c r="E5367" s="46" t="s">
        <v>1436</v>
      </c>
      <c r="F5367" s="45">
        <v>63100</v>
      </c>
      <c r="G5367" t="s">
        <v>1479</v>
      </c>
      <c r="H5367" t="s">
        <v>1442</v>
      </c>
      <c r="I5367" t="s">
        <v>1458</v>
      </c>
      <c r="K5367" t="s">
        <v>2386</v>
      </c>
    </row>
    <row r="5368" spans="1:11" hidden="1" x14ac:dyDescent="0.3">
      <c r="A5368" s="46">
        <v>45302</v>
      </c>
      <c r="B5368" s="46" t="s">
        <v>727</v>
      </c>
      <c r="D5368" t="s">
        <v>908</v>
      </c>
      <c r="E5368" s="46" t="s">
        <v>1436</v>
      </c>
      <c r="F5368" s="45">
        <v>63000</v>
      </c>
      <c r="G5368" t="s">
        <v>1463</v>
      </c>
      <c r="H5368" t="s">
        <v>1438</v>
      </c>
      <c r="I5368" t="s">
        <v>1439</v>
      </c>
      <c r="J5368">
        <v>4</v>
      </c>
    </row>
    <row r="5369" spans="1:11" hidden="1" x14ac:dyDescent="0.3">
      <c r="A5369" s="46">
        <v>45363</v>
      </c>
      <c r="B5369" s="46" t="s">
        <v>722</v>
      </c>
      <c r="D5369" t="s">
        <v>1528</v>
      </c>
      <c r="E5369" s="46" t="s">
        <v>1436</v>
      </c>
      <c r="F5369" s="45">
        <v>62770</v>
      </c>
      <c r="G5369" t="s">
        <v>1466</v>
      </c>
      <c r="H5369" t="s">
        <v>1448</v>
      </c>
      <c r="I5369" t="s">
        <v>1702</v>
      </c>
      <c r="K5369" t="s">
        <v>1703</v>
      </c>
    </row>
    <row r="5370" spans="1:11" hidden="1" x14ac:dyDescent="0.3">
      <c r="A5370" s="46">
        <v>45447</v>
      </c>
      <c r="B5370" s="46" t="s">
        <v>748</v>
      </c>
      <c r="D5370" t="s">
        <v>1486</v>
      </c>
      <c r="E5370" s="46" t="s">
        <v>1436</v>
      </c>
      <c r="F5370" s="45">
        <v>62557</v>
      </c>
      <c r="G5370" t="s">
        <v>1479</v>
      </c>
      <c r="H5370" t="s">
        <v>1468</v>
      </c>
      <c r="I5370" t="s">
        <v>1487</v>
      </c>
      <c r="K5370" t="s">
        <v>2387</v>
      </c>
    </row>
    <row r="5371" spans="1:11" hidden="1" x14ac:dyDescent="0.3">
      <c r="A5371" s="46">
        <v>45408</v>
      </c>
      <c r="B5371" s="46" t="s">
        <v>772</v>
      </c>
      <c r="D5371" t="s">
        <v>755</v>
      </c>
      <c r="E5371" s="46" t="s">
        <v>1436</v>
      </c>
      <c r="F5371" s="45">
        <v>62460</v>
      </c>
      <c r="G5371" t="s">
        <v>1464</v>
      </c>
      <c r="H5371" t="s">
        <v>1438</v>
      </c>
      <c r="I5371" t="s">
        <v>1439</v>
      </c>
      <c r="K5371" t="s">
        <v>2217</v>
      </c>
    </row>
    <row r="5372" spans="1:11" hidden="1" x14ac:dyDescent="0.3">
      <c r="A5372" s="46">
        <v>45414</v>
      </c>
      <c r="B5372" s="46" t="s">
        <v>734</v>
      </c>
      <c r="D5372" s="31" t="s">
        <v>2184</v>
      </c>
      <c r="E5372" s="46" t="s">
        <v>1436</v>
      </c>
      <c r="F5372" s="45">
        <v>62000</v>
      </c>
      <c r="G5372" s="31" t="s">
        <v>1441</v>
      </c>
      <c r="H5372" s="31" t="s">
        <v>1438</v>
      </c>
      <c r="I5372" s="31" t="s">
        <v>1439</v>
      </c>
      <c r="J5372" s="31">
        <v>4</v>
      </c>
      <c r="K5372" s="31"/>
    </row>
    <row r="5373" spans="1:11" hidden="1" x14ac:dyDescent="0.3">
      <c r="A5373" s="46">
        <v>45428</v>
      </c>
      <c r="B5373" s="46" t="s">
        <v>734</v>
      </c>
      <c r="D5373" t="s">
        <v>2184</v>
      </c>
      <c r="E5373" s="46" t="s">
        <v>1436</v>
      </c>
      <c r="F5373" s="45">
        <v>62000</v>
      </c>
      <c r="G5373" t="s">
        <v>1441</v>
      </c>
      <c r="H5373" t="s">
        <v>1438</v>
      </c>
      <c r="I5373" t="s">
        <v>1439</v>
      </c>
      <c r="J5373">
        <v>4</v>
      </c>
    </row>
    <row r="5374" spans="1:11" hidden="1" x14ac:dyDescent="0.3">
      <c r="A5374" s="46">
        <v>45377</v>
      </c>
      <c r="B5374" s="46" t="s">
        <v>734</v>
      </c>
      <c r="D5374" t="s">
        <v>1855</v>
      </c>
      <c r="E5374" s="46" t="s">
        <v>1436</v>
      </c>
      <c r="F5374" s="45">
        <v>62000</v>
      </c>
      <c r="G5374" t="s">
        <v>1441</v>
      </c>
      <c r="H5374" t="s">
        <v>1438</v>
      </c>
      <c r="I5374" t="s">
        <v>1439</v>
      </c>
      <c r="J5374">
        <v>5</v>
      </c>
    </row>
    <row r="5375" spans="1:11" hidden="1" x14ac:dyDescent="0.3">
      <c r="A5375" s="46">
        <v>45306</v>
      </c>
      <c r="B5375" s="46" t="s">
        <v>772</v>
      </c>
      <c r="D5375" t="s">
        <v>915</v>
      </c>
      <c r="E5375" s="46" t="s">
        <v>1436</v>
      </c>
      <c r="F5375" s="45">
        <v>62000</v>
      </c>
      <c r="G5375" t="s">
        <v>1464</v>
      </c>
      <c r="H5375" t="s">
        <v>1452</v>
      </c>
      <c r="I5375" t="s">
        <v>1494</v>
      </c>
      <c r="K5375" t="s">
        <v>1533</v>
      </c>
    </row>
    <row r="5376" spans="1:11" hidden="1" x14ac:dyDescent="0.3">
      <c r="A5376" s="46">
        <v>45441</v>
      </c>
      <c r="B5376" s="46" t="s">
        <v>724</v>
      </c>
      <c r="D5376" t="s">
        <v>986</v>
      </c>
      <c r="E5376" s="46" t="s">
        <v>1436</v>
      </c>
      <c r="F5376" s="45">
        <v>62000</v>
      </c>
      <c r="G5376" t="s">
        <v>1437</v>
      </c>
      <c r="H5376" t="s">
        <v>1438</v>
      </c>
      <c r="I5376" t="s">
        <v>1439</v>
      </c>
      <c r="J5376">
        <v>4</v>
      </c>
    </row>
    <row r="5377" spans="1:11" hidden="1" x14ac:dyDescent="0.3">
      <c r="A5377" s="46">
        <v>45295</v>
      </c>
      <c r="B5377" s="46" t="s">
        <v>767</v>
      </c>
      <c r="D5377" t="s">
        <v>1526</v>
      </c>
      <c r="E5377" s="46" t="s">
        <v>1436</v>
      </c>
      <c r="F5377" s="45">
        <v>61500</v>
      </c>
      <c r="G5377" t="s">
        <v>1460</v>
      </c>
      <c r="H5377" t="s">
        <v>1438</v>
      </c>
      <c r="I5377" t="s">
        <v>1439</v>
      </c>
      <c r="J5377">
        <v>4</v>
      </c>
    </row>
    <row r="5378" spans="1:11" hidden="1" x14ac:dyDescent="0.3">
      <c r="A5378" s="46">
        <v>45306</v>
      </c>
      <c r="B5378" s="46" t="s">
        <v>734</v>
      </c>
      <c r="D5378" t="s">
        <v>1540</v>
      </c>
      <c r="E5378" s="46" t="s">
        <v>1436</v>
      </c>
      <c r="F5378" s="45">
        <v>61400</v>
      </c>
      <c r="G5378" t="s">
        <v>1441</v>
      </c>
      <c r="H5378" t="s">
        <v>1438</v>
      </c>
      <c r="I5378" t="s">
        <v>1439</v>
      </c>
      <c r="J5378">
        <v>5</v>
      </c>
    </row>
    <row r="5379" spans="1:11" hidden="1" x14ac:dyDescent="0.3">
      <c r="A5379" s="46">
        <v>45323</v>
      </c>
      <c r="B5379" s="46" t="s">
        <v>729</v>
      </c>
      <c r="D5379" t="s">
        <v>765</v>
      </c>
      <c r="E5379" s="46" t="s">
        <v>1436</v>
      </c>
      <c r="F5379" s="45">
        <v>61400</v>
      </c>
      <c r="G5379" t="s">
        <v>1471</v>
      </c>
      <c r="H5379" t="s">
        <v>1438</v>
      </c>
      <c r="I5379" t="s">
        <v>1454</v>
      </c>
      <c r="K5379" t="s">
        <v>1673</v>
      </c>
    </row>
    <row r="5380" spans="1:11" hidden="1" x14ac:dyDescent="0.3">
      <c r="A5380" s="46">
        <v>45377</v>
      </c>
      <c r="B5380" s="46" t="s">
        <v>748</v>
      </c>
      <c r="D5380" t="s">
        <v>1856</v>
      </c>
      <c r="E5380" s="46" t="s">
        <v>1436</v>
      </c>
      <c r="F5380" s="45">
        <v>61000</v>
      </c>
      <c r="G5380" t="s">
        <v>1451</v>
      </c>
      <c r="H5380" t="s">
        <v>1452</v>
      </c>
      <c r="I5380" t="s">
        <v>1453</v>
      </c>
      <c r="K5380" t="s">
        <v>1857</v>
      </c>
    </row>
    <row r="5381" spans="1:11" hidden="1" x14ac:dyDescent="0.3">
      <c r="A5381" s="46">
        <v>45435</v>
      </c>
      <c r="B5381" s="46" t="s">
        <v>727</v>
      </c>
      <c r="D5381" t="s">
        <v>2184</v>
      </c>
      <c r="E5381" s="46" t="s">
        <v>1436</v>
      </c>
      <c r="F5381" s="45">
        <v>61000</v>
      </c>
      <c r="G5381" t="s">
        <v>1463</v>
      </c>
      <c r="H5381" t="s">
        <v>1438</v>
      </c>
      <c r="I5381" t="s">
        <v>1439</v>
      </c>
      <c r="J5381">
        <v>4</v>
      </c>
    </row>
    <row r="5382" spans="1:11" hidden="1" x14ac:dyDescent="0.3">
      <c r="A5382" s="46">
        <v>45432</v>
      </c>
      <c r="B5382" s="46" t="s">
        <v>748</v>
      </c>
      <c r="D5382" t="s">
        <v>1495</v>
      </c>
      <c r="E5382" s="46" t="s">
        <v>1436</v>
      </c>
      <c r="F5382" s="45">
        <v>60000</v>
      </c>
      <c r="G5382" t="s">
        <v>1451</v>
      </c>
      <c r="H5382" t="s">
        <v>1452</v>
      </c>
      <c r="I5382" t="s">
        <v>1494</v>
      </c>
      <c r="K5382" t="s">
        <v>1543</v>
      </c>
    </row>
    <row r="5383" spans="1:11" hidden="1" x14ac:dyDescent="0.3">
      <c r="A5383" s="46">
        <v>45433</v>
      </c>
      <c r="B5383" s="46" t="s">
        <v>748</v>
      </c>
      <c r="D5383" t="s">
        <v>1495</v>
      </c>
      <c r="E5383" s="46" t="s">
        <v>1436</v>
      </c>
      <c r="F5383" s="45">
        <v>60000</v>
      </c>
      <c r="G5383" t="s">
        <v>1479</v>
      </c>
      <c r="H5383" t="s">
        <v>1452</v>
      </c>
      <c r="I5383" t="s">
        <v>1494</v>
      </c>
      <c r="K5383" t="s">
        <v>2208</v>
      </c>
    </row>
    <row r="5384" spans="1:11" hidden="1" x14ac:dyDescent="0.3">
      <c r="A5384" s="46">
        <v>45433</v>
      </c>
      <c r="B5384" s="46" t="s">
        <v>722</v>
      </c>
      <c r="D5384" t="s">
        <v>1544</v>
      </c>
      <c r="E5384" s="46" t="s">
        <v>1436</v>
      </c>
      <c r="F5384" s="45">
        <v>60000</v>
      </c>
      <c r="G5384" t="s">
        <v>1437</v>
      </c>
      <c r="H5384" t="s">
        <v>1444</v>
      </c>
      <c r="I5384" t="s">
        <v>2170</v>
      </c>
    </row>
    <row r="5385" spans="1:11" hidden="1" x14ac:dyDescent="0.3">
      <c r="A5385" s="46">
        <v>45443</v>
      </c>
      <c r="B5385" s="46" t="s">
        <v>767</v>
      </c>
      <c r="D5385" t="s">
        <v>850</v>
      </c>
      <c r="E5385" s="46" t="s">
        <v>1436</v>
      </c>
      <c r="F5385" s="45">
        <v>60000</v>
      </c>
      <c r="G5385" t="s">
        <v>1460</v>
      </c>
      <c r="H5385" t="s">
        <v>1438</v>
      </c>
      <c r="I5385" t="s">
        <v>1439</v>
      </c>
      <c r="J5385">
        <v>4</v>
      </c>
    </row>
    <row r="5386" spans="1:11" hidden="1" x14ac:dyDescent="0.3">
      <c r="A5386" s="46">
        <v>45443</v>
      </c>
      <c r="B5386" s="46" t="s">
        <v>748</v>
      </c>
      <c r="D5386" t="s">
        <v>1474</v>
      </c>
      <c r="E5386" s="46" t="s">
        <v>1436</v>
      </c>
      <c r="F5386" s="45">
        <v>60000</v>
      </c>
      <c r="G5386" t="s">
        <v>1479</v>
      </c>
      <c r="H5386" t="s">
        <v>1475</v>
      </c>
      <c r="I5386" t="s">
        <v>1476</v>
      </c>
    </row>
    <row r="5387" spans="1:11" hidden="1" x14ac:dyDescent="0.3">
      <c r="A5387" s="46">
        <v>45448</v>
      </c>
      <c r="B5387" s="46" t="s">
        <v>748</v>
      </c>
      <c r="D5387" t="s">
        <v>1495</v>
      </c>
      <c r="E5387" s="46" t="s">
        <v>1436</v>
      </c>
      <c r="F5387" s="45">
        <v>60000</v>
      </c>
      <c r="G5387" t="s">
        <v>1451</v>
      </c>
      <c r="H5387" t="s">
        <v>1452</v>
      </c>
      <c r="I5387" t="s">
        <v>1494</v>
      </c>
    </row>
    <row r="5388" spans="1:11" hidden="1" x14ac:dyDescent="0.3">
      <c r="A5388" s="46">
        <v>45471</v>
      </c>
      <c r="B5388" s="46" t="s">
        <v>748</v>
      </c>
      <c r="D5388" t="s">
        <v>2209</v>
      </c>
      <c r="E5388" s="46" t="s">
        <v>1436</v>
      </c>
      <c r="F5388" s="45">
        <v>60000</v>
      </c>
      <c r="G5388" t="s">
        <v>1451</v>
      </c>
      <c r="H5388" t="s">
        <v>1452</v>
      </c>
      <c r="I5388" t="s">
        <v>1494</v>
      </c>
      <c r="K5388" t="s">
        <v>1543</v>
      </c>
    </row>
    <row r="5389" spans="1:11" hidden="1" x14ac:dyDescent="0.3">
      <c r="A5389" s="46">
        <v>45478</v>
      </c>
      <c r="B5389" s="46" t="s">
        <v>748</v>
      </c>
      <c r="D5389" t="s">
        <v>1474</v>
      </c>
      <c r="E5389" s="46" t="s">
        <v>1436</v>
      </c>
      <c r="F5389" s="45">
        <v>60000</v>
      </c>
      <c r="G5389" t="s">
        <v>1479</v>
      </c>
      <c r="H5389" t="s">
        <v>1475</v>
      </c>
      <c r="I5389" t="s">
        <v>1476</v>
      </c>
    </row>
    <row r="5390" spans="1:11" hidden="1" x14ac:dyDescent="0.3">
      <c r="A5390" s="46">
        <v>45478</v>
      </c>
      <c r="B5390" s="46" t="s">
        <v>767</v>
      </c>
      <c r="D5390" t="s">
        <v>850</v>
      </c>
      <c r="E5390" s="46" t="s">
        <v>1436</v>
      </c>
      <c r="F5390" s="45">
        <v>60000</v>
      </c>
      <c r="G5390" t="s">
        <v>1460</v>
      </c>
      <c r="H5390" t="s">
        <v>1438</v>
      </c>
      <c r="I5390" t="s">
        <v>1439</v>
      </c>
      <c r="J5390">
        <v>5</v>
      </c>
    </row>
    <row r="5391" spans="1:11" hidden="1" x14ac:dyDescent="0.3">
      <c r="A5391" s="46">
        <v>45384</v>
      </c>
      <c r="B5391" s="46" t="s">
        <v>748</v>
      </c>
      <c r="D5391" t="s">
        <v>2209</v>
      </c>
      <c r="E5391" s="46" t="s">
        <v>1436</v>
      </c>
      <c r="F5391" s="45">
        <v>60000</v>
      </c>
      <c r="G5391" t="s">
        <v>1466</v>
      </c>
      <c r="H5391" t="s">
        <v>1452</v>
      </c>
      <c r="I5391" t="s">
        <v>1494</v>
      </c>
    </row>
    <row r="5392" spans="1:11" hidden="1" x14ac:dyDescent="0.3">
      <c r="A5392" s="46">
        <v>45391</v>
      </c>
      <c r="B5392" s="46" t="s">
        <v>724</v>
      </c>
      <c r="D5392" t="s">
        <v>2076</v>
      </c>
      <c r="E5392" s="46" t="s">
        <v>1436</v>
      </c>
      <c r="F5392" s="45">
        <v>60000</v>
      </c>
      <c r="G5392" t="s">
        <v>1437</v>
      </c>
      <c r="H5392" t="s">
        <v>1448</v>
      </c>
      <c r="I5392" t="s">
        <v>1519</v>
      </c>
      <c r="K5392" t="s">
        <v>2218</v>
      </c>
    </row>
    <row r="5393" spans="1:11" hidden="1" x14ac:dyDescent="0.3">
      <c r="A5393" s="46">
        <v>45362</v>
      </c>
      <c r="B5393" s="46" t="s">
        <v>734</v>
      </c>
      <c r="D5393" t="s">
        <v>1013</v>
      </c>
      <c r="E5393" s="46" t="s">
        <v>1436</v>
      </c>
      <c r="F5393" s="45">
        <v>60000</v>
      </c>
      <c r="G5393" t="s">
        <v>1441</v>
      </c>
      <c r="H5393" t="s">
        <v>1438</v>
      </c>
      <c r="I5393" t="s">
        <v>1439</v>
      </c>
      <c r="J5393">
        <v>5</v>
      </c>
    </row>
    <row r="5394" spans="1:11" hidden="1" x14ac:dyDescent="0.3">
      <c r="A5394" s="46">
        <v>45397</v>
      </c>
      <c r="B5394" s="46" t="s">
        <v>727</v>
      </c>
      <c r="D5394" t="s">
        <v>2075</v>
      </c>
      <c r="E5394" s="46" t="s">
        <v>1436</v>
      </c>
      <c r="F5394" s="45">
        <v>60000</v>
      </c>
      <c r="G5394" t="s">
        <v>1463</v>
      </c>
      <c r="H5394" t="s">
        <v>1444</v>
      </c>
      <c r="I5394" t="s">
        <v>2170</v>
      </c>
      <c r="K5394" t="s">
        <v>2219</v>
      </c>
    </row>
    <row r="5395" spans="1:11" hidden="1" x14ac:dyDescent="0.3">
      <c r="A5395" s="46">
        <v>45397</v>
      </c>
      <c r="B5395" s="46" t="s">
        <v>748</v>
      </c>
      <c r="D5395" t="s">
        <v>1495</v>
      </c>
      <c r="E5395" s="46" t="s">
        <v>1436</v>
      </c>
      <c r="F5395" s="45">
        <v>60000</v>
      </c>
      <c r="G5395" t="s">
        <v>1451</v>
      </c>
      <c r="H5395" t="s">
        <v>1452</v>
      </c>
      <c r="I5395" t="s">
        <v>1494</v>
      </c>
      <c r="K5395" t="s">
        <v>1543</v>
      </c>
    </row>
    <row r="5396" spans="1:11" hidden="1" x14ac:dyDescent="0.3">
      <c r="A5396" s="46">
        <v>45393</v>
      </c>
      <c r="B5396" s="46" t="s">
        <v>748</v>
      </c>
      <c r="D5396" t="s">
        <v>1495</v>
      </c>
      <c r="E5396" s="46" t="s">
        <v>1436</v>
      </c>
      <c r="F5396" s="45">
        <v>60000</v>
      </c>
      <c r="G5396" t="s">
        <v>1479</v>
      </c>
      <c r="H5396" t="s">
        <v>1452</v>
      </c>
      <c r="I5396" t="s">
        <v>1494</v>
      </c>
      <c r="K5396" t="s">
        <v>1521</v>
      </c>
    </row>
    <row r="5397" spans="1:11" hidden="1" x14ac:dyDescent="0.3">
      <c r="A5397" s="46">
        <v>45399</v>
      </c>
      <c r="B5397" s="46" t="s">
        <v>748</v>
      </c>
      <c r="D5397" t="s">
        <v>1474</v>
      </c>
      <c r="E5397" s="46" t="s">
        <v>1436</v>
      </c>
      <c r="F5397" s="45">
        <v>60000</v>
      </c>
      <c r="G5397" t="s">
        <v>1479</v>
      </c>
      <c r="H5397" t="s">
        <v>1475</v>
      </c>
      <c r="I5397" t="s">
        <v>1476</v>
      </c>
    </row>
    <row r="5398" spans="1:11" hidden="1" x14ac:dyDescent="0.3">
      <c r="A5398" s="46">
        <v>45406</v>
      </c>
      <c r="B5398" s="46" t="s">
        <v>734</v>
      </c>
      <c r="D5398" t="s">
        <v>1011</v>
      </c>
      <c r="E5398" s="46" t="s">
        <v>1436</v>
      </c>
      <c r="F5398" s="45">
        <v>60000</v>
      </c>
      <c r="G5398" t="s">
        <v>1441</v>
      </c>
      <c r="H5398" t="s">
        <v>1438</v>
      </c>
      <c r="I5398" t="s">
        <v>1439</v>
      </c>
      <c r="J5398">
        <v>5</v>
      </c>
    </row>
    <row r="5399" spans="1:11" hidden="1" x14ac:dyDescent="0.3">
      <c r="A5399" s="46">
        <v>45322</v>
      </c>
      <c r="B5399" s="46" t="s">
        <v>772</v>
      </c>
      <c r="D5399" t="s">
        <v>915</v>
      </c>
      <c r="E5399" s="46" t="s">
        <v>1436</v>
      </c>
      <c r="F5399" s="45">
        <v>60000</v>
      </c>
      <c r="G5399" t="s">
        <v>1479</v>
      </c>
      <c r="H5399" t="s">
        <v>1452</v>
      </c>
      <c r="I5399" t="s">
        <v>1494</v>
      </c>
      <c r="K5399" t="s">
        <v>1695</v>
      </c>
    </row>
    <row r="5400" spans="1:11" hidden="1" x14ac:dyDescent="0.3">
      <c r="A5400" s="46">
        <v>45316</v>
      </c>
      <c r="B5400" s="46" t="s">
        <v>727</v>
      </c>
      <c r="D5400" t="s">
        <v>1704</v>
      </c>
      <c r="E5400" s="46" t="s">
        <v>1436</v>
      </c>
      <c r="F5400" s="45">
        <v>60000</v>
      </c>
      <c r="G5400" t="s">
        <v>1463</v>
      </c>
      <c r="H5400" t="s">
        <v>1438</v>
      </c>
      <c r="I5400" t="s">
        <v>1439</v>
      </c>
      <c r="J5400">
        <v>5</v>
      </c>
    </row>
    <row r="5401" spans="1:11" hidden="1" x14ac:dyDescent="0.3">
      <c r="A5401" s="46">
        <v>45307</v>
      </c>
      <c r="B5401" s="46" t="s">
        <v>748</v>
      </c>
      <c r="D5401" t="s">
        <v>1495</v>
      </c>
      <c r="E5401" s="46" t="s">
        <v>1436</v>
      </c>
      <c r="F5401" s="45">
        <v>60000</v>
      </c>
      <c r="G5401" t="s">
        <v>1479</v>
      </c>
      <c r="H5401" t="s">
        <v>1452</v>
      </c>
      <c r="I5401" t="s">
        <v>1494</v>
      </c>
      <c r="K5401" t="s">
        <v>1521</v>
      </c>
    </row>
    <row r="5402" spans="1:11" hidden="1" x14ac:dyDescent="0.3">
      <c r="A5402" s="46">
        <v>45343</v>
      </c>
      <c r="B5402" s="46" t="s">
        <v>734</v>
      </c>
      <c r="D5402" t="s">
        <v>1705</v>
      </c>
      <c r="E5402" s="46" t="s">
        <v>1436</v>
      </c>
      <c r="F5402" s="45">
        <v>60000</v>
      </c>
      <c r="G5402" t="s">
        <v>1441</v>
      </c>
      <c r="H5402" t="s">
        <v>1438</v>
      </c>
      <c r="I5402" t="s">
        <v>1439</v>
      </c>
      <c r="J5402">
        <v>5</v>
      </c>
    </row>
    <row r="5403" spans="1:11" hidden="1" x14ac:dyDescent="0.3">
      <c r="A5403" s="46">
        <v>45355</v>
      </c>
      <c r="B5403" s="46" t="s">
        <v>748</v>
      </c>
      <c r="D5403" t="s">
        <v>1495</v>
      </c>
      <c r="E5403" s="46" t="s">
        <v>1436</v>
      </c>
      <c r="F5403" s="45">
        <v>60000</v>
      </c>
      <c r="G5403" t="s">
        <v>1466</v>
      </c>
      <c r="H5403" t="s">
        <v>1438</v>
      </c>
      <c r="I5403" t="s">
        <v>1439</v>
      </c>
      <c r="J5403">
        <v>3</v>
      </c>
    </row>
    <row r="5404" spans="1:11" hidden="1" x14ac:dyDescent="0.3">
      <c r="A5404" s="46">
        <v>45336</v>
      </c>
      <c r="B5404" s="46" t="s">
        <v>748</v>
      </c>
      <c r="D5404" t="s">
        <v>1474</v>
      </c>
      <c r="E5404" s="46" t="s">
        <v>1436</v>
      </c>
      <c r="F5404" s="45">
        <v>60000</v>
      </c>
      <c r="G5404" t="s">
        <v>1479</v>
      </c>
      <c r="H5404" t="s">
        <v>1475</v>
      </c>
      <c r="I5404" t="s">
        <v>1476</v>
      </c>
    </row>
    <row r="5405" spans="1:11" hidden="1" x14ac:dyDescent="0.3">
      <c r="A5405" s="46">
        <v>45335</v>
      </c>
      <c r="B5405" s="46" t="s">
        <v>748</v>
      </c>
      <c r="D5405" t="s">
        <v>1496</v>
      </c>
      <c r="E5405" s="46" t="s">
        <v>1436</v>
      </c>
      <c r="F5405" s="45">
        <v>60000</v>
      </c>
      <c r="G5405" t="s">
        <v>1479</v>
      </c>
      <c r="H5405" t="s">
        <v>1452</v>
      </c>
      <c r="I5405" t="s">
        <v>1494</v>
      </c>
      <c r="K5405" t="s">
        <v>1695</v>
      </c>
    </row>
    <row r="5406" spans="1:11" hidden="1" x14ac:dyDescent="0.3">
      <c r="A5406" s="46">
        <v>45330</v>
      </c>
      <c r="B5406" s="46" t="s">
        <v>748</v>
      </c>
      <c r="D5406" t="s">
        <v>1474</v>
      </c>
      <c r="E5406" s="46" t="s">
        <v>1436</v>
      </c>
      <c r="F5406" s="45">
        <v>60000</v>
      </c>
      <c r="G5406" t="s">
        <v>1479</v>
      </c>
      <c r="H5406" t="s">
        <v>1475</v>
      </c>
      <c r="I5406" t="s">
        <v>1476</v>
      </c>
    </row>
    <row r="5407" spans="1:11" hidden="1" x14ac:dyDescent="0.3">
      <c r="A5407" s="46">
        <v>45379</v>
      </c>
      <c r="B5407" s="46" t="s">
        <v>734</v>
      </c>
      <c r="D5407" t="s">
        <v>1865</v>
      </c>
      <c r="E5407" s="46" t="s">
        <v>1436</v>
      </c>
      <c r="F5407" s="45">
        <v>59700</v>
      </c>
      <c r="G5407" t="s">
        <v>1441</v>
      </c>
      <c r="H5407" t="s">
        <v>1438</v>
      </c>
      <c r="I5407" t="s">
        <v>1439</v>
      </c>
      <c r="J5407">
        <v>4</v>
      </c>
    </row>
    <row r="5408" spans="1:11" hidden="1" x14ac:dyDescent="0.3">
      <c r="A5408" s="46">
        <v>45309</v>
      </c>
      <c r="B5408" s="46" t="s">
        <v>729</v>
      </c>
      <c r="D5408" t="s">
        <v>1536</v>
      </c>
      <c r="E5408" s="46" t="s">
        <v>1436</v>
      </c>
      <c r="F5408" s="45">
        <v>59600</v>
      </c>
      <c r="G5408" t="s">
        <v>1471</v>
      </c>
      <c r="H5408" t="s">
        <v>1438</v>
      </c>
      <c r="I5408" t="s">
        <v>1439</v>
      </c>
      <c r="J5408">
        <v>4</v>
      </c>
    </row>
    <row r="5409" spans="1:11" hidden="1" x14ac:dyDescent="0.3">
      <c r="A5409" s="46">
        <v>45296</v>
      </c>
      <c r="B5409" s="46" t="s">
        <v>734</v>
      </c>
      <c r="D5409" t="s">
        <v>1527</v>
      </c>
      <c r="E5409" s="46" t="s">
        <v>1436</v>
      </c>
      <c r="F5409" s="45">
        <v>59500</v>
      </c>
      <c r="G5409" t="s">
        <v>1441</v>
      </c>
      <c r="H5409" t="s">
        <v>1438</v>
      </c>
      <c r="I5409" t="s">
        <v>1439</v>
      </c>
      <c r="J5409">
        <v>5</v>
      </c>
    </row>
    <row r="5410" spans="1:11" hidden="1" x14ac:dyDescent="0.3">
      <c r="A5410" s="46">
        <v>45391</v>
      </c>
      <c r="B5410" s="46" t="s">
        <v>734</v>
      </c>
      <c r="D5410" t="s">
        <v>1548</v>
      </c>
      <c r="E5410" s="46" t="s">
        <v>1436</v>
      </c>
      <c r="F5410" s="45">
        <v>59400</v>
      </c>
      <c r="G5410" t="s">
        <v>1441</v>
      </c>
      <c r="H5410" t="s">
        <v>1438</v>
      </c>
      <c r="I5410" t="s">
        <v>1439</v>
      </c>
      <c r="J5410">
        <v>5</v>
      </c>
    </row>
    <row r="5411" spans="1:11" hidden="1" x14ac:dyDescent="0.3">
      <c r="A5411" s="46">
        <v>45345</v>
      </c>
      <c r="B5411" s="46" t="s">
        <v>734</v>
      </c>
      <c r="D5411" t="s">
        <v>999</v>
      </c>
      <c r="E5411" s="46" t="s">
        <v>1436</v>
      </c>
      <c r="F5411" s="45">
        <v>59200</v>
      </c>
      <c r="G5411" t="s">
        <v>1441</v>
      </c>
      <c r="H5411" t="s">
        <v>1438</v>
      </c>
      <c r="I5411" t="s">
        <v>1439</v>
      </c>
      <c r="J5411">
        <v>5</v>
      </c>
    </row>
    <row r="5412" spans="1:11" hidden="1" x14ac:dyDescent="0.3">
      <c r="A5412" s="46">
        <v>45336</v>
      </c>
      <c r="B5412" s="46" t="s">
        <v>724</v>
      </c>
      <c r="D5412" t="s">
        <v>1003</v>
      </c>
      <c r="E5412" s="46" t="s">
        <v>1436</v>
      </c>
      <c r="F5412" s="45">
        <v>59000</v>
      </c>
      <c r="G5412" t="s">
        <v>1437</v>
      </c>
      <c r="H5412" t="s">
        <v>1438</v>
      </c>
      <c r="I5412" t="s">
        <v>1439</v>
      </c>
      <c r="J5412">
        <v>4</v>
      </c>
    </row>
    <row r="5413" spans="1:11" hidden="1" x14ac:dyDescent="0.3">
      <c r="A5413" s="46">
        <v>45329</v>
      </c>
      <c r="B5413" s="46" t="s">
        <v>734</v>
      </c>
      <c r="D5413" t="s">
        <v>1542</v>
      </c>
      <c r="E5413" s="46" t="s">
        <v>1436</v>
      </c>
      <c r="F5413" s="45">
        <v>59000</v>
      </c>
      <c r="G5413" t="s">
        <v>1441</v>
      </c>
      <c r="H5413" t="s">
        <v>1438</v>
      </c>
      <c r="I5413" t="s">
        <v>1439</v>
      </c>
      <c r="J5413">
        <v>5</v>
      </c>
    </row>
    <row r="5414" spans="1:11" hidden="1" x14ac:dyDescent="0.3">
      <c r="A5414" s="46">
        <v>45390</v>
      </c>
      <c r="B5414" s="46" t="s">
        <v>767</v>
      </c>
      <c r="D5414" t="s">
        <v>1834</v>
      </c>
      <c r="E5414" s="46" t="s">
        <v>1436</v>
      </c>
      <c r="F5414" s="45">
        <v>59000</v>
      </c>
      <c r="G5414" t="s">
        <v>1460</v>
      </c>
      <c r="H5414" t="s">
        <v>1444</v>
      </c>
      <c r="I5414" t="s">
        <v>2170</v>
      </c>
      <c r="K5414" t="s">
        <v>2220</v>
      </c>
    </row>
    <row r="5415" spans="1:11" hidden="1" x14ac:dyDescent="0.3">
      <c r="A5415" s="46">
        <v>45380</v>
      </c>
      <c r="B5415" s="46" t="s">
        <v>772</v>
      </c>
      <c r="D5415" t="s">
        <v>939</v>
      </c>
      <c r="E5415" s="46" t="s">
        <v>1436</v>
      </c>
      <c r="F5415" s="45">
        <v>59000</v>
      </c>
      <c r="G5415" t="s">
        <v>1464</v>
      </c>
      <c r="H5415" t="s">
        <v>1438</v>
      </c>
      <c r="I5415" t="s">
        <v>1439</v>
      </c>
      <c r="J5415">
        <v>5</v>
      </c>
    </row>
    <row r="5416" spans="1:11" hidden="1" x14ac:dyDescent="0.3">
      <c r="A5416" s="46">
        <v>45447</v>
      </c>
      <c r="B5416" s="46" t="s">
        <v>727</v>
      </c>
      <c r="D5416" t="s">
        <v>2221</v>
      </c>
      <c r="E5416" s="46" t="s">
        <v>1436</v>
      </c>
      <c r="F5416" s="45">
        <v>59000</v>
      </c>
      <c r="G5416" t="s">
        <v>1463</v>
      </c>
      <c r="H5416" t="s">
        <v>1438</v>
      </c>
      <c r="I5416" t="s">
        <v>1439</v>
      </c>
      <c r="J5416">
        <v>5</v>
      </c>
    </row>
    <row r="5417" spans="1:11" hidden="1" x14ac:dyDescent="0.3">
      <c r="A5417" s="46">
        <v>45470</v>
      </c>
      <c r="B5417" s="46" t="s">
        <v>772</v>
      </c>
      <c r="D5417" t="s">
        <v>2222</v>
      </c>
      <c r="E5417" s="46" t="s">
        <v>1436</v>
      </c>
      <c r="F5417" s="45">
        <v>59000</v>
      </c>
      <c r="G5417" t="s">
        <v>1464</v>
      </c>
      <c r="H5417" t="s">
        <v>1438</v>
      </c>
      <c r="I5417" t="s">
        <v>1439</v>
      </c>
      <c r="J5417">
        <v>3</v>
      </c>
    </row>
    <row r="5418" spans="1:11" hidden="1" x14ac:dyDescent="0.3">
      <c r="A5418" s="46">
        <v>45400</v>
      </c>
      <c r="B5418" s="46" t="s">
        <v>727</v>
      </c>
      <c r="D5418" t="s">
        <v>2050</v>
      </c>
      <c r="E5418" s="46" t="s">
        <v>1436</v>
      </c>
      <c r="F5418" s="45">
        <v>58500</v>
      </c>
      <c r="G5418" t="s">
        <v>1463</v>
      </c>
      <c r="H5418" t="s">
        <v>1484</v>
      </c>
      <c r="I5418" t="s">
        <v>1821</v>
      </c>
      <c r="K5418" t="s">
        <v>2223</v>
      </c>
    </row>
    <row r="5419" spans="1:11" hidden="1" x14ac:dyDescent="0.3">
      <c r="A5419" s="46">
        <v>45440</v>
      </c>
      <c r="B5419" s="46" t="s">
        <v>748</v>
      </c>
      <c r="D5419" t="s">
        <v>1486</v>
      </c>
      <c r="E5419" s="46" t="s">
        <v>1436</v>
      </c>
      <c r="F5419" s="45">
        <v>58366</v>
      </c>
      <c r="G5419" t="s">
        <v>1479</v>
      </c>
      <c r="H5419" t="s">
        <v>1468</v>
      </c>
      <c r="I5419" t="s">
        <v>1487</v>
      </c>
      <c r="K5419" t="s">
        <v>2388</v>
      </c>
    </row>
    <row r="5420" spans="1:11" hidden="1" x14ac:dyDescent="0.3">
      <c r="A5420" s="46">
        <v>45463</v>
      </c>
      <c r="B5420" s="46" t="s">
        <v>767</v>
      </c>
      <c r="D5420" t="s">
        <v>2224</v>
      </c>
      <c r="E5420" s="46" t="s">
        <v>1436</v>
      </c>
      <c r="F5420" s="45">
        <v>58000</v>
      </c>
      <c r="G5420" t="s">
        <v>1460</v>
      </c>
      <c r="H5420" t="s">
        <v>1438</v>
      </c>
      <c r="I5420" t="s">
        <v>1439</v>
      </c>
      <c r="K5420" t="s">
        <v>2225</v>
      </c>
    </row>
    <row r="5421" spans="1:11" hidden="1" x14ac:dyDescent="0.3">
      <c r="A5421" s="46">
        <v>45336</v>
      </c>
      <c r="B5421" s="46" t="s">
        <v>734</v>
      </c>
      <c r="D5421" t="s">
        <v>1589</v>
      </c>
      <c r="E5421" s="46" t="s">
        <v>1436</v>
      </c>
      <c r="F5421" s="45">
        <v>58000</v>
      </c>
      <c r="G5421" t="s">
        <v>1441</v>
      </c>
      <c r="H5421" t="s">
        <v>1438</v>
      </c>
      <c r="I5421" t="s">
        <v>1439</v>
      </c>
      <c r="J5421">
        <v>5</v>
      </c>
    </row>
    <row r="5422" spans="1:11" hidden="1" x14ac:dyDescent="0.3">
      <c r="A5422" s="46">
        <v>45314</v>
      </c>
      <c r="B5422" s="46" t="s">
        <v>734</v>
      </c>
      <c r="D5422" t="s">
        <v>1541</v>
      </c>
      <c r="E5422" s="46" t="s">
        <v>1436</v>
      </c>
      <c r="F5422" s="45">
        <v>58000</v>
      </c>
      <c r="G5422" t="s">
        <v>1441</v>
      </c>
      <c r="H5422" t="s">
        <v>1438</v>
      </c>
      <c r="I5422" t="s">
        <v>1439</v>
      </c>
      <c r="J5422">
        <v>5</v>
      </c>
    </row>
    <row r="5423" spans="1:11" hidden="1" x14ac:dyDescent="0.3">
      <c r="A5423" s="46">
        <v>45393</v>
      </c>
      <c r="B5423" s="46" t="s">
        <v>727</v>
      </c>
      <c r="D5423" t="s">
        <v>1481</v>
      </c>
      <c r="E5423" s="46" t="s">
        <v>1436</v>
      </c>
      <c r="F5423" s="45">
        <v>57200</v>
      </c>
      <c r="G5423" t="s">
        <v>1463</v>
      </c>
      <c r="H5423" t="s">
        <v>1438</v>
      </c>
      <c r="I5423" t="s">
        <v>1439</v>
      </c>
      <c r="J5423">
        <v>8</v>
      </c>
    </row>
    <row r="5424" spans="1:11" hidden="1" x14ac:dyDescent="0.3">
      <c r="A5424" s="46">
        <v>45364</v>
      </c>
      <c r="B5424" s="46" t="s">
        <v>724</v>
      </c>
      <c r="D5424" t="s">
        <v>1014</v>
      </c>
      <c r="E5424" s="46" t="s">
        <v>1436</v>
      </c>
      <c r="F5424" s="45">
        <v>57200</v>
      </c>
      <c r="G5424" t="s">
        <v>1437</v>
      </c>
      <c r="H5424" t="s">
        <v>1438</v>
      </c>
      <c r="I5424" t="s">
        <v>1439</v>
      </c>
      <c r="K5424" t="s">
        <v>1706</v>
      </c>
    </row>
    <row r="5425" spans="1:11" hidden="1" x14ac:dyDescent="0.3">
      <c r="A5425" s="46">
        <v>45365</v>
      </c>
      <c r="B5425" s="46" t="s">
        <v>748</v>
      </c>
      <c r="D5425" t="s">
        <v>1440</v>
      </c>
      <c r="E5425" s="46" t="s">
        <v>1436</v>
      </c>
      <c r="F5425" s="45">
        <v>57000</v>
      </c>
      <c r="G5425" t="s">
        <v>1479</v>
      </c>
      <c r="H5425" t="s">
        <v>1442</v>
      </c>
      <c r="I5425" t="s">
        <v>1458</v>
      </c>
      <c r="K5425" t="s">
        <v>1707</v>
      </c>
    </row>
    <row r="5426" spans="1:11" hidden="1" x14ac:dyDescent="0.3">
      <c r="A5426" s="46">
        <v>45406</v>
      </c>
      <c r="B5426" s="46" t="s">
        <v>748</v>
      </c>
      <c r="D5426" t="s">
        <v>1440</v>
      </c>
      <c r="E5426" s="46" t="s">
        <v>1436</v>
      </c>
      <c r="F5426" s="45">
        <v>57000</v>
      </c>
      <c r="G5426" t="s">
        <v>1479</v>
      </c>
      <c r="H5426" t="s">
        <v>1442</v>
      </c>
      <c r="I5426" t="s">
        <v>1458</v>
      </c>
      <c r="K5426" t="s">
        <v>2201</v>
      </c>
    </row>
    <row r="5427" spans="1:11" hidden="1" x14ac:dyDescent="0.3">
      <c r="A5427" s="46">
        <v>45314</v>
      </c>
      <c r="B5427" s="46" t="s">
        <v>748</v>
      </c>
      <c r="D5427" t="s">
        <v>1440</v>
      </c>
      <c r="E5427" s="46" t="s">
        <v>1436</v>
      </c>
      <c r="F5427" s="45">
        <v>57000</v>
      </c>
      <c r="G5427" t="s">
        <v>1479</v>
      </c>
      <c r="H5427" t="s">
        <v>1442</v>
      </c>
      <c r="I5427" t="s">
        <v>1458</v>
      </c>
      <c r="K5427" t="s">
        <v>1708</v>
      </c>
    </row>
    <row r="5428" spans="1:11" hidden="1" x14ac:dyDescent="0.3">
      <c r="A5428" s="46">
        <v>45293</v>
      </c>
      <c r="B5428" s="46" t="s">
        <v>734</v>
      </c>
      <c r="D5428" t="s">
        <v>954</v>
      </c>
      <c r="E5428" s="46" t="s">
        <v>1436</v>
      </c>
      <c r="F5428" s="45">
        <v>57000</v>
      </c>
      <c r="G5428" t="s">
        <v>1441</v>
      </c>
      <c r="H5428" t="s">
        <v>1438</v>
      </c>
      <c r="I5428" t="s">
        <v>1439</v>
      </c>
      <c r="J5428">
        <v>5</v>
      </c>
    </row>
    <row r="5429" spans="1:11" hidden="1" x14ac:dyDescent="0.3">
      <c r="A5429" s="46">
        <v>45447</v>
      </c>
      <c r="B5429" s="46" t="s">
        <v>748</v>
      </c>
      <c r="D5429" t="s">
        <v>1440</v>
      </c>
      <c r="E5429" s="46" t="s">
        <v>1436</v>
      </c>
      <c r="F5429" s="45">
        <v>57000</v>
      </c>
      <c r="G5429" t="s">
        <v>1479</v>
      </c>
      <c r="H5429" t="s">
        <v>1442</v>
      </c>
      <c r="I5429" t="s">
        <v>1458</v>
      </c>
      <c r="K5429" t="s">
        <v>1708</v>
      </c>
    </row>
    <row r="5430" spans="1:11" hidden="1" x14ac:dyDescent="0.3">
      <c r="A5430" s="46">
        <v>45448</v>
      </c>
      <c r="B5430" s="46" t="s">
        <v>767</v>
      </c>
      <c r="D5430" t="s">
        <v>1548</v>
      </c>
      <c r="E5430" s="46" t="s">
        <v>1436</v>
      </c>
      <c r="F5430" s="45">
        <v>56800</v>
      </c>
      <c r="G5430" t="s">
        <v>1460</v>
      </c>
      <c r="H5430" t="s">
        <v>1438</v>
      </c>
      <c r="I5430" t="s">
        <v>1439</v>
      </c>
      <c r="J5430">
        <v>5</v>
      </c>
    </row>
    <row r="5431" spans="1:11" hidden="1" x14ac:dyDescent="0.3">
      <c r="A5431" s="46">
        <v>45474</v>
      </c>
      <c r="B5431" s="46" t="s">
        <v>722</v>
      </c>
      <c r="D5431" t="s">
        <v>1461</v>
      </c>
      <c r="E5431" s="46" t="s">
        <v>1436</v>
      </c>
      <c r="F5431" s="45">
        <v>56480</v>
      </c>
      <c r="G5431" t="s">
        <v>1466</v>
      </c>
      <c r="H5431" t="s">
        <v>1438</v>
      </c>
      <c r="I5431" t="s">
        <v>1439</v>
      </c>
      <c r="K5431" t="s">
        <v>2389</v>
      </c>
    </row>
    <row r="5432" spans="1:11" hidden="1" x14ac:dyDescent="0.3">
      <c r="A5432" s="46">
        <v>45471</v>
      </c>
      <c r="B5432" s="46" t="s">
        <v>734</v>
      </c>
      <c r="D5432" t="s">
        <v>2226</v>
      </c>
      <c r="E5432" s="46" t="s">
        <v>1436</v>
      </c>
      <c r="F5432" s="45">
        <v>56000</v>
      </c>
      <c r="G5432" t="s">
        <v>1441</v>
      </c>
      <c r="H5432" t="s">
        <v>1438</v>
      </c>
      <c r="I5432" t="s">
        <v>1439</v>
      </c>
      <c r="J5432">
        <v>4</v>
      </c>
    </row>
    <row r="5433" spans="1:11" hidden="1" x14ac:dyDescent="0.3">
      <c r="A5433" s="46">
        <v>45432</v>
      </c>
      <c r="B5433" s="46" t="s">
        <v>734</v>
      </c>
      <c r="D5433" t="s">
        <v>1705</v>
      </c>
      <c r="E5433" s="46" t="s">
        <v>1436</v>
      </c>
      <c r="F5433" s="45">
        <v>56000</v>
      </c>
      <c r="G5433" t="s">
        <v>1441</v>
      </c>
      <c r="H5433" t="s">
        <v>1438</v>
      </c>
      <c r="I5433" t="s">
        <v>1439</v>
      </c>
      <c r="J5433">
        <v>5</v>
      </c>
    </row>
    <row r="5434" spans="1:11" hidden="1" x14ac:dyDescent="0.3">
      <c r="A5434" s="46">
        <v>45379</v>
      </c>
      <c r="B5434" s="46" t="s">
        <v>727</v>
      </c>
      <c r="D5434" t="s">
        <v>1520</v>
      </c>
      <c r="E5434" s="46" t="s">
        <v>1436</v>
      </c>
      <c r="F5434" s="45">
        <v>55000</v>
      </c>
      <c r="G5434" t="s">
        <v>1463</v>
      </c>
      <c r="H5434" t="s">
        <v>1438</v>
      </c>
      <c r="I5434" t="s">
        <v>1439</v>
      </c>
      <c r="J5434">
        <v>3</v>
      </c>
    </row>
    <row r="5435" spans="1:11" hidden="1" x14ac:dyDescent="0.3">
      <c r="A5435" s="46">
        <v>45330</v>
      </c>
      <c r="B5435" s="46" t="s">
        <v>724</v>
      </c>
      <c r="D5435" t="s">
        <v>907</v>
      </c>
      <c r="E5435" s="46" t="s">
        <v>1436</v>
      </c>
      <c r="F5435" s="45">
        <v>55000</v>
      </c>
      <c r="G5435" t="s">
        <v>1437</v>
      </c>
      <c r="H5435" t="s">
        <v>1438</v>
      </c>
      <c r="I5435" t="s">
        <v>1439</v>
      </c>
      <c r="J5435">
        <v>3</v>
      </c>
    </row>
    <row r="5436" spans="1:11" hidden="1" x14ac:dyDescent="0.3">
      <c r="A5436" s="46">
        <v>45355</v>
      </c>
      <c r="B5436" s="46" t="s">
        <v>734</v>
      </c>
      <c r="D5436" t="s">
        <v>1553</v>
      </c>
      <c r="E5436" s="46" t="s">
        <v>1436</v>
      </c>
      <c r="F5436" s="45">
        <v>55000</v>
      </c>
      <c r="G5436" t="s">
        <v>1441</v>
      </c>
      <c r="H5436" t="s">
        <v>1438</v>
      </c>
      <c r="I5436" t="s">
        <v>1439</v>
      </c>
      <c r="J5436">
        <v>5</v>
      </c>
    </row>
    <row r="5437" spans="1:11" hidden="1" x14ac:dyDescent="0.3">
      <c r="A5437" s="46">
        <v>45442</v>
      </c>
      <c r="B5437" s="46" t="s">
        <v>767</v>
      </c>
      <c r="D5437" t="s">
        <v>1504</v>
      </c>
      <c r="E5437" s="46" t="s">
        <v>1436</v>
      </c>
      <c r="F5437" s="45">
        <v>55000</v>
      </c>
      <c r="G5437" t="s">
        <v>1460</v>
      </c>
      <c r="H5437" t="s">
        <v>1438</v>
      </c>
      <c r="I5437" t="s">
        <v>1439</v>
      </c>
      <c r="J5437">
        <v>3</v>
      </c>
    </row>
    <row r="5438" spans="1:11" hidden="1" x14ac:dyDescent="0.3">
      <c r="A5438" s="46">
        <v>45329</v>
      </c>
      <c r="B5438" s="46" t="s">
        <v>748</v>
      </c>
      <c r="D5438" t="s">
        <v>1486</v>
      </c>
      <c r="E5438" s="46" t="s">
        <v>1436</v>
      </c>
      <c r="F5438" s="45">
        <v>54725</v>
      </c>
      <c r="G5438" t="s">
        <v>1479</v>
      </c>
      <c r="H5438" t="s">
        <v>1468</v>
      </c>
      <c r="I5438" t="s">
        <v>1487</v>
      </c>
      <c r="K5438" t="s">
        <v>1709</v>
      </c>
    </row>
    <row r="5439" spans="1:11" hidden="1" x14ac:dyDescent="0.3">
      <c r="A5439" s="46">
        <v>45336</v>
      </c>
      <c r="B5439" s="46" t="s">
        <v>748</v>
      </c>
      <c r="D5439" t="s">
        <v>1440</v>
      </c>
      <c r="E5439" s="46" t="s">
        <v>1436</v>
      </c>
      <c r="F5439" s="45">
        <v>54700</v>
      </c>
      <c r="G5439" t="s">
        <v>1479</v>
      </c>
      <c r="H5439" t="s">
        <v>1442</v>
      </c>
      <c r="I5439" t="s">
        <v>1442</v>
      </c>
      <c r="K5439" t="s">
        <v>1710</v>
      </c>
    </row>
    <row r="5440" spans="1:11" hidden="1" x14ac:dyDescent="0.3">
      <c r="A5440" s="46">
        <v>45400</v>
      </c>
      <c r="B5440" s="46" t="s">
        <v>767</v>
      </c>
      <c r="D5440" t="s">
        <v>1197</v>
      </c>
      <c r="E5440" s="46" t="s">
        <v>1436</v>
      </c>
      <c r="F5440" s="45">
        <v>54500</v>
      </c>
      <c r="G5440" t="s">
        <v>1460</v>
      </c>
      <c r="H5440" t="s">
        <v>1438</v>
      </c>
      <c r="I5440" t="s">
        <v>1439</v>
      </c>
      <c r="J5440">
        <v>8</v>
      </c>
    </row>
    <row r="5441" spans="1:11" hidden="1" x14ac:dyDescent="0.3">
      <c r="A5441" s="46">
        <v>45338</v>
      </c>
      <c r="B5441" s="46" t="s">
        <v>722</v>
      </c>
      <c r="D5441" t="s">
        <v>1461</v>
      </c>
      <c r="E5441" s="46" t="s">
        <v>1436</v>
      </c>
      <c r="F5441" s="45">
        <v>54000</v>
      </c>
      <c r="G5441" t="s">
        <v>1466</v>
      </c>
      <c r="H5441" t="s">
        <v>1442</v>
      </c>
      <c r="I5441" t="s">
        <v>1458</v>
      </c>
      <c r="J5441">
        <v>5</v>
      </c>
      <c r="K5441" t="s">
        <v>1711</v>
      </c>
    </row>
    <row r="5442" spans="1:11" hidden="1" x14ac:dyDescent="0.3">
      <c r="A5442" s="46">
        <v>45327</v>
      </c>
      <c r="B5442" s="46" t="s">
        <v>734</v>
      </c>
      <c r="D5442" t="s">
        <v>1553</v>
      </c>
      <c r="E5442" s="46" t="s">
        <v>1436</v>
      </c>
      <c r="F5442" s="45">
        <v>54000</v>
      </c>
      <c r="G5442" t="s">
        <v>1441</v>
      </c>
      <c r="H5442" t="s">
        <v>1438</v>
      </c>
      <c r="I5442" t="s">
        <v>1439</v>
      </c>
      <c r="J5442">
        <v>5</v>
      </c>
    </row>
    <row r="5443" spans="1:11" hidden="1" x14ac:dyDescent="0.3">
      <c r="A5443" s="46">
        <v>45414</v>
      </c>
      <c r="B5443" s="46" t="s">
        <v>767</v>
      </c>
      <c r="D5443" t="s">
        <v>2227</v>
      </c>
      <c r="E5443" s="46" t="s">
        <v>1436</v>
      </c>
      <c r="F5443" s="45">
        <v>53500</v>
      </c>
      <c r="G5443" t="s">
        <v>1460</v>
      </c>
      <c r="H5443" t="s">
        <v>1438</v>
      </c>
      <c r="I5443" t="s">
        <v>1439</v>
      </c>
      <c r="J5443">
        <v>3</v>
      </c>
    </row>
    <row r="5444" spans="1:11" hidden="1" x14ac:dyDescent="0.3">
      <c r="A5444" s="46">
        <v>45463</v>
      </c>
      <c r="B5444" s="46" t="s">
        <v>734</v>
      </c>
      <c r="D5444" t="s">
        <v>1552</v>
      </c>
      <c r="E5444" s="46" t="s">
        <v>1436</v>
      </c>
      <c r="F5444" s="45">
        <v>53280</v>
      </c>
      <c r="G5444" t="s">
        <v>1441</v>
      </c>
      <c r="H5444" t="s">
        <v>1438</v>
      </c>
      <c r="I5444" t="s">
        <v>1439</v>
      </c>
      <c r="J5444">
        <v>12</v>
      </c>
    </row>
    <row r="5445" spans="1:11" hidden="1" x14ac:dyDescent="0.3">
      <c r="A5445" s="46">
        <v>45468</v>
      </c>
      <c r="B5445" s="46" t="s">
        <v>748</v>
      </c>
      <c r="D5445" t="s">
        <v>1440</v>
      </c>
      <c r="E5445" s="46" t="s">
        <v>1436</v>
      </c>
      <c r="F5445" s="45">
        <v>53000</v>
      </c>
      <c r="G5445" t="s">
        <v>1462</v>
      </c>
      <c r="H5445" t="s">
        <v>1438</v>
      </c>
      <c r="I5445" t="s">
        <v>1439</v>
      </c>
      <c r="K5445" t="s">
        <v>1511</v>
      </c>
    </row>
    <row r="5446" spans="1:11" hidden="1" x14ac:dyDescent="0.3">
      <c r="A5446" s="46">
        <v>45475</v>
      </c>
      <c r="B5446" s="46" t="s">
        <v>727</v>
      </c>
      <c r="D5446" t="s">
        <v>1555</v>
      </c>
      <c r="E5446" s="46" t="s">
        <v>1436</v>
      </c>
      <c r="F5446" s="45">
        <v>53000</v>
      </c>
      <c r="G5446" t="s">
        <v>1463</v>
      </c>
      <c r="H5446" t="s">
        <v>1438</v>
      </c>
      <c r="I5446" t="s">
        <v>1439</v>
      </c>
      <c r="J5446">
        <v>5</v>
      </c>
    </row>
    <row r="5447" spans="1:11" hidden="1" x14ac:dyDescent="0.3">
      <c r="A5447" s="46">
        <v>45412</v>
      </c>
      <c r="B5447" s="46" t="s">
        <v>748</v>
      </c>
      <c r="D5447" t="s">
        <v>1440</v>
      </c>
      <c r="E5447" s="46" t="s">
        <v>1436</v>
      </c>
      <c r="F5447" s="45">
        <v>53000</v>
      </c>
      <c r="G5447" t="s">
        <v>1479</v>
      </c>
      <c r="H5447" t="s">
        <v>1438</v>
      </c>
      <c r="I5447" t="s">
        <v>1439</v>
      </c>
      <c r="K5447" t="s">
        <v>1511</v>
      </c>
    </row>
    <row r="5448" spans="1:11" hidden="1" x14ac:dyDescent="0.3">
      <c r="A5448" s="46">
        <v>45421</v>
      </c>
      <c r="B5448" s="46" t="s">
        <v>734</v>
      </c>
      <c r="D5448" t="s">
        <v>1526</v>
      </c>
      <c r="E5448" s="46" t="s">
        <v>1436</v>
      </c>
      <c r="F5448" s="45">
        <v>52500</v>
      </c>
      <c r="G5448" t="s">
        <v>1441</v>
      </c>
      <c r="H5448" t="s">
        <v>1438</v>
      </c>
      <c r="I5448" t="s">
        <v>1439</v>
      </c>
      <c r="J5448">
        <v>4</v>
      </c>
    </row>
    <row r="5449" spans="1:11" hidden="1" x14ac:dyDescent="0.3">
      <c r="A5449" s="46">
        <v>45414</v>
      </c>
      <c r="B5449" s="46" t="s">
        <v>729</v>
      </c>
      <c r="D5449" t="s">
        <v>1490</v>
      </c>
      <c r="E5449" s="46" t="s">
        <v>1436</v>
      </c>
      <c r="F5449" s="45">
        <v>52360</v>
      </c>
      <c r="G5449" t="s">
        <v>1471</v>
      </c>
      <c r="H5449" t="s">
        <v>1469</v>
      </c>
      <c r="I5449" t="s">
        <v>1503</v>
      </c>
      <c r="K5449" t="s">
        <v>2212</v>
      </c>
    </row>
    <row r="5450" spans="1:11" hidden="1" x14ac:dyDescent="0.3">
      <c r="A5450" s="46">
        <v>45383</v>
      </c>
      <c r="B5450" s="46" t="s">
        <v>729</v>
      </c>
      <c r="D5450" t="s">
        <v>1490</v>
      </c>
      <c r="E5450" s="46" t="s">
        <v>1436</v>
      </c>
      <c r="F5450" s="45">
        <v>52360</v>
      </c>
      <c r="G5450" t="s">
        <v>1471</v>
      </c>
      <c r="H5450" t="s">
        <v>1469</v>
      </c>
      <c r="I5450" t="s">
        <v>1503</v>
      </c>
      <c r="K5450" t="s">
        <v>1539</v>
      </c>
    </row>
    <row r="5451" spans="1:11" hidden="1" x14ac:dyDescent="0.3">
      <c r="A5451" s="46">
        <v>45362</v>
      </c>
      <c r="B5451" s="46" t="s">
        <v>729</v>
      </c>
      <c r="D5451" t="s">
        <v>1490</v>
      </c>
      <c r="E5451" s="46" t="s">
        <v>1436</v>
      </c>
      <c r="F5451" s="45">
        <v>52360</v>
      </c>
      <c r="G5451" t="s">
        <v>1471</v>
      </c>
      <c r="H5451" t="s">
        <v>1469</v>
      </c>
      <c r="I5451" t="s">
        <v>1503</v>
      </c>
      <c r="K5451" t="s">
        <v>1539</v>
      </c>
    </row>
    <row r="5452" spans="1:11" hidden="1" x14ac:dyDescent="0.3">
      <c r="A5452" s="46">
        <v>45372</v>
      </c>
      <c r="B5452" s="46" t="s">
        <v>724</v>
      </c>
      <c r="D5452" t="s">
        <v>1131</v>
      </c>
      <c r="E5452" s="46" t="s">
        <v>1436</v>
      </c>
      <c r="F5452" s="45">
        <v>52200</v>
      </c>
      <c r="G5452" t="s">
        <v>1437</v>
      </c>
      <c r="H5452" t="s">
        <v>1438</v>
      </c>
      <c r="I5452" t="s">
        <v>1439</v>
      </c>
      <c r="J5452">
        <v>4</v>
      </c>
    </row>
    <row r="5453" spans="1:11" hidden="1" x14ac:dyDescent="0.3">
      <c r="A5453" s="46">
        <v>45411</v>
      </c>
      <c r="B5453" s="46" t="s">
        <v>734</v>
      </c>
      <c r="D5453" t="s">
        <v>928</v>
      </c>
      <c r="E5453" s="46" t="s">
        <v>1436</v>
      </c>
      <c r="F5453" s="45">
        <v>52000</v>
      </c>
      <c r="G5453" t="s">
        <v>1441</v>
      </c>
      <c r="H5453" t="s">
        <v>1438</v>
      </c>
      <c r="I5453" t="s">
        <v>1439</v>
      </c>
      <c r="J5453">
        <v>5</v>
      </c>
    </row>
    <row r="5454" spans="1:11" hidden="1" x14ac:dyDescent="0.3">
      <c r="A5454" s="46">
        <v>45414</v>
      </c>
      <c r="B5454" s="46" t="s">
        <v>724</v>
      </c>
      <c r="D5454" t="s">
        <v>2079</v>
      </c>
      <c r="E5454" s="46" t="s">
        <v>1436</v>
      </c>
      <c r="F5454" s="45">
        <v>51700</v>
      </c>
      <c r="G5454" t="s">
        <v>1437</v>
      </c>
      <c r="H5454" t="s">
        <v>1438</v>
      </c>
      <c r="I5454" t="s">
        <v>1439</v>
      </c>
      <c r="J5454">
        <v>3</v>
      </c>
    </row>
    <row r="5455" spans="1:11" hidden="1" x14ac:dyDescent="0.3">
      <c r="A5455" s="46">
        <v>45428</v>
      </c>
      <c r="B5455" s="46" t="s">
        <v>772</v>
      </c>
      <c r="D5455" t="s">
        <v>934</v>
      </c>
      <c r="E5455" s="46" t="s">
        <v>1436</v>
      </c>
      <c r="F5455" s="45">
        <v>51000</v>
      </c>
      <c r="G5455" t="s">
        <v>1464</v>
      </c>
      <c r="H5455" t="s">
        <v>1438</v>
      </c>
      <c r="I5455" t="s">
        <v>1439</v>
      </c>
      <c r="J5455">
        <v>3</v>
      </c>
    </row>
    <row r="5456" spans="1:11" hidden="1" x14ac:dyDescent="0.3">
      <c r="A5456" s="46">
        <v>45373</v>
      </c>
      <c r="B5456" s="46" t="s">
        <v>724</v>
      </c>
      <c r="D5456" t="s">
        <v>934</v>
      </c>
      <c r="E5456" s="46" t="s">
        <v>1436</v>
      </c>
      <c r="F5456" s="45">
        <v>51000</v>
      </c>
      <c r="G5456" t="s">
        <v>1437</v>
      </c>
      <c r="H5456" t="s">
        <v>1438</v>
      </c>
      <c r="I5456" t="s">
        <v>1439</v>
      </c>
      <c r="J5456">
        <v>3</v>
      </c>
    </row>
    <row r="5457" spans="1:11" hidden="1" x14ac:dyDescent="0.3">
      <c r="A5457" s="46">
        <v>45436</v>
      </c>
      <c r="B5457" s="46" t="s">
        <v>734</v>
      </c>
      <c r="D5457" t="s">
        <v>1868</v>
      </c>
      <c r="E5457" s="46" t="s">
        <v>1436</v>
      </c>
      <c r="F5457" s="45">
        <v>51000</v>
      </c>
      <c r="G5457" t="s">
        <v>1441</v>
      </c>
      <c r="H5457" t="s">
        <v>1438</v>
      </c>
      <c r="I5457" t="s">
        <v>1439</v>
      </c>
      <c r="J5457">
        <v>6</v>
      </c>
    </row>
    <row r="5458" spans="1:11" hidden="1" x14ac:dyDescent="0.3">
      <c r="A5458" s="46">
        <v>45467</v>
      </c>
      <c r="B5458" s="46" t="s">
        <v>748</v>
      </c>
      <c r="D5458" t="s">
        <v>2205</v>
      </c>
      <c r="E5458" s="46" t="s">
        <v>1436</v>
      </c>
      <c r="F5458" s="45">
        <v>50000</v>
      </c>
      <c r="G5458" t="s">
        <v>1479</v>
      </c>
      <c r="H5458" t="s">
        <v>1452</v>
      </c>
      <c r="I5458" t="s">
        <v>1494</v>
      </c>
      <c r="K5458" t="s">
        <v>2206</v>
      </c>
    </row>
    <row r="5459" spans="1:11" hidden="1" x14ac:dyDescent="0.3">
      <c r="A5459" s="46">
        <v>45391</v>
      </c>
      <c r="B5459" s="46" t="s">
        <v>772</v>
      </c>
      <c r="D5459" t="s">
        <v>2081</v>
      </c>
      <c r="E5459" s="46" t="s">
        <v>1436</v>
      </c>
      <c r="F5459" s="45">
        <v>50000</v>
      </c>
      <c r="G5459" t="s">
        <v>1451</v>
      </c>
      <c r="H5459" t="s">
        <v>1448</v>
      </c>
      <c r="I5459" t="s">
        <v>1519</v>
      </c>
      <c r="K5459" t="s">
        <v>2228</v>
      </c>
    </row>
    <row r="5460" spans="1:11" hidden="1" x14ac:dyDescent="0.3">
      <c r="A5460" s="46">
        <v>45401</v>
      </c>
      <c r="B5460" s="46" t="s">
        <v>772</v>
      </c>
      <c r="D5460" t="s">
        <v>915</v>
      </c>
      <c r="E5460" s="46" t="s">
        <v>1436</v>
      </c>
      <c r="F5460" s="45">
        <v>50000</v>
      </c>
      <c r="G5460" t="s">
        <v>1464</v>
      </c>
      <c r="H5460" t="s">
        <v>1452</v>
      </c>
      <c r="I5460" t="s">
        <v>1494</v>
      </c>
      <c r="K5460" t="s">
        <v>2208</v>
      </c>
    </row>
    <row r="5461" spans="1:11" hidden="1" x14ac:dyDescent="0.3">
      <c r="A5461" s="46">
        <v>45303</v>
      </c>
      <c r="B5461" s="46" t="s">
        <v>748</v>
      </c>
      <c r="D5461" t="s">
        <v>1495</v>
      </c>
      <c r="E5461" s="46" t="s">
        <v>1436</v>
      </c>
      <c r="F5461" s="45">
        <v>50000</v>
      </c>
      <c r="G5461" t="s">
        <v>1451</v>
      </c>
      <c r="H5461" t="s">
        <v>1452</v>
      </c>
      <c r="I5461" t="s">
        <v>1494</v>
      </c>
      <c r="K5461" t="s">
        <v>1543</v>
      </c>
    </row>
    <row r="5462" spans="1:11" hidden="1" x14ac:dyDescent="0.3">
      <c r="A5462" s="46">
        <v>45301</v>
      </c>
      <c r="B5462" s="46" t="s">
        <v>748</v>
      </c>
      <c r="D5462" t="s">
        <v>1550</v>
      </c>
      <c r="E5462" s="46" t="s">
        <v>1436</v>
      </c>
      <c r="F5462" s="45">
        <v>50000</v>
      </c>
      <c r="G5462" t="s">
        <v>1479</v>
      </c>
      <c r="H5462" t="s">
        <v>1452</v>
      </c>
      <c r="I5462" t="s">
        <v>1494</v>
      </c>
      <c r="K5462" t="s">
        <v>1521</v>
      </c>
    </row>
    <row r="5463" spans="1:11" hidden="1" x14ac:dyDescent="0.3">
      <c r="A5463" s="46">
        <v>45309</v>
      </c>
      <c r="B5463" s="46" t="s">
        <v>734</v>
      </c>
      <c r="D5463" t="s">
        <v>1551</v>
      </c>
      <c r="E5463" s="46" t="s">
        <v>1436</v>
      </c>
      <c r="F5463" s="45">
        <v>50000</v>
      </c>
      <c r="G5463" t="s">
        <v>1441</v>
      </c>
      <c r="H5463" t="s">
        <v>1448</v>
      </c>
      <c r="I5463" t="s">
        <v>1449</v>
      </c>
    </row>
    <row r="5464" spans="1:11" hidden="1" x14ac:dyDescent="0.3">
      <c r="A5464" s="46">
        <v>45322</v>
      </c>
      <c r="B5464" s="46" t="s">
        <v>748</v>
      </c>
      <c r="D5464" t="s">
        <v>1495</v>
      </c>
      <c r="E5464" s="46" t="s">
        <v>1436</v>
      </c>
      <c r="F5464" s="45">
        <v>50000</v>
      </c>
      <c r="G5464" t="s">
        <v>1437</v>
      </c>
      <c r="H5464" t="s">
        <v>1438</v>
      </c>
      <c r="I5464" t="s">
        <v>1439</v>
      </c>
      <c r="J5464">
        <v>1</v>
      </c>
      <c r="K5464">
        <v>0</v>
      </c>
    </row>
    <row r="5465" spans="1:11" hidden="1" x14ac:dyDescent="0.3">
      <c r="A5465" s="46">
        <v>45324</v>
      </c>
      <c r="B5465" s="46" t="s">
        <v>748</v>
      </c>
      <c r="D5465" t="s">
        <v>1486</v>
      </c>
      <c r="E5465" s="46" t="s">
        <v>1436</v>
      </c>
      <c r="F5465" s="45">
        <v>49874</v>
      </c>
      <c r="G5465" t="s">
        <v>1479</v>
      </c>
      <c r="H5465" t="s">
        <v>1468</v>
      </c>
      <c r="I5465" t="s">
        <v>1487</v>
      </c>
    </row>
    <row r="5466" spans="1:11" hidden="1" x14ac:dyDescent="0.3">
      <c r="A5466" s="46">
        <v>45323</v>
      </c>
      <c r="B5466" s="46" t="s">
        <v>821</v>
      </c>
      <c r="D5466" t="s">
        <v>1592</v>
      </c>
      <c r="E5466" s="46" t="s">
        <v>1436</v>
      </c>
      <c r="F5466" s="45">
        <v>48600</v>
      </c>
      <c r="G5466" t="s">
        <v>1509</v>
      </c>
      <c r="H5466" t="s">
        <v>1438</v>
      </c>
      <c r="I5466" t="s">
        <v>1439</v>
      </c>
      <c r="J5466">
        <v>3</v>
      </c>
    </row>
    <row r="5467" spans="1:11" hidden="1" x14ac:dyDescent="0.3">
      <c r="A5467" s="46">
        <v>45321</v>
      </c>
      <c r="B5467" s="46" t="s">
        <v>734</v>
      </c>
      <c r="D5467" t="s">
        <v>1538</v>
      </c>
      <c r="E5467" s="46" t="s">
        <v>1436</v>
      </c>
      <c r="F5467" s="45">
        <v>48000</v>
      </c>
      <c r="G5467" t="s">
        <v>1441</v>
      </c>
      <c r="H5467" t="s">
        <v>1438</v>
      </c>
      <c r="I5467" t="s">
        <v>1439</v>
      </c>
      <c r="J5467">
        <v>4</v>
      </c>
    </row>
    <row r="5468" spans="1:11" hidden="1" x14ac:dyDescent="0.3">
      <c r="A5468" s="46">
        <v>45329</v>
      </c>
      <c r="B5468" s="46" t="s">
        <v>727</v>
      </c>
      <c r="D5468" t="s">
        <v>850</v>
      </c>
      <c r="E5468" s="46" t="s">
        <v>1436</v>
      </c>
      <c r="F5468" s="45">
        <v>48000</v>
      </c>
      <c r="G5468" t="s">
        <v>1463</v>
      </c>
      <c r="H5468" t="s">
        <v>1438</v>
      </c>
      <c r="I5468" t="s">
        <v>1439</v>
      </c>
      <c r="J5468">
        <v>4</v>
      </c>
    </row>
    <row r="5469" spans="1:11" hidden="1" x14ac:dyDescent="0.3">
      <c r="A5469" s="46">
        <v>45345</v>
      </c>
      <c r="B5469" s="46" t="s">
        <v>767</v>
      </c>
      <c r="D5469" t="s">
        <v>1030</v>
      </c>
      <c r="E5469" s="46" t="s">
        <v>1436</v>
      </c>
      <c r="F5469" s="45">
        <v>48000</v>
      </c>
      <c r="G5469" t="s">
        <v>1460</v>
      </c>
      <c r="H5469" t="s">
        <v>1438</v>
      </c>
      <c r="I5469" t="s">
        <v>1439</v>
      </c>
      <c r="J5469">
        <v>4</v>
      </c>
    </row>
    <row r="5470" spans="1:11" hidden="1" x14ac:dyDescent="0.3">
      <c r="A5470" s="46">
        <v>45404</v>
      </c>
      <c r="B5470" s="46" t="s">
        <v>734</v>
      </c>
      <c r="D5470" t="s">
        <v>1013</v>
      </c>
      <c r="E5470" s="46" t="s">
        <v>1436</v>
      </c>
      <c r="F5470" s="45">
        <v>48000</v>
      </c>
      <c r="G5470" t="s">
        <v>1441</v>
      </c>
      <c r="H5470" t="s">
        <v>1438</v>
      </c>
      <c r="I5470" t="s">
        <v>1439</v>
      </c>
      <c r="J5470">
        <v>4</v>
      </c>
    </row>
    <row r="5471" spans="1:11" hidden="1" x14ac:dyDescent="0.3">
      <c r="A5471" s="46">
        <v>45404</v>
      </c>
      <c r="B5471" s="46" t="s">
        <v>772</v>
      </c>
      <c r="D5471" t="s">
        <v>850</v>
      </c>
      <c r="E5471" s="46" t="s">
        <v>1436</v>
      </c>
      <c r="F5471" s="45">
        <v>48000</v>
      </c>
      <c r="G5471" t="s">
        <v>1464</v>
      </c>
      <c r="H5471" t="s">
        <v>1438</v>
      </c>
      <c r="I5471" t="s">
        <v>1439</v>
      </c>
      <c r="J5471">
        <v>4</v>
      </c>
    </row>
    <row r="5472" spans="1:11" hidden="1" x14ac:dyDescent="0.3">
      <c r="A5472" s="46">
        <v>45399</v>
      </c>
      <c r="B5472" s="46" t="s">
        <v>724</v>
      </c>
      <c r="D5472" t="s">
        <v>1724</v>
      </c>
      <c r="E5472" s="46" t="s">
        <v>1436</v>
      </c>
      <c r="F5472" s="45">
        <v>48000</v>
      </c>
      <c r="G5472" t="s">
        <v>1437</v>
      </c>
      <c r="H5472" t="s">
        <v>1438</v>
      </c>
      <c r="I5472" t="s">
        <v>1439</v>
      </c>
      <c r="J5472">
        <v>4</v>
      </c>
    </row>
    <row r="5473" spans="1:10" hidden="1" x14ac:dyDescent="0.3">
      <c r="A5473" s="46">
        <v>45397</v>
      </c>
      <c r="B5473" s="46" t="s">
        <v>734</v>
      </c>
      <c r="D5473" t="s">
        <v>1538</v>
      </c>
      <c r="E5473" s="46" t="s">
        <v>1436</v>
      </c>
      <c r="F5473" s="45">
        <v>48000</v>
      </c>
      <c r="G5473" t="s">
        <v>1441</v>
      </c>
      <c r="H5473" t="s">
        <v>1438</v>
      </c>
      <c r="I5473" t="s">
        <v>1439</v>
      </c>
      <c r="J5473">
        <v>4</v>
      </c>
    </row>
    <row r="5474" spans="1:10" hidden="1" x14ac:dyDescent="0.3">
      <c r="A5474" s="46">
        <v>45425</v>
      </c>
      <c r="B5474" s="46" t="s">
        <v>772</v>
      </c>
      <c r="D5474" t="s">
        <v>2083</v>
      </c>
      <c r="E5474" s="46" t="s">
        <v>1436</v>
      </c>
      <c r="F5474" s="45">
        <v>48000</v>
      </c>
      <c r="G5474" t="s">
        <v>1464</v>
      </c>
      <c r="H5474" t="s">
        <v>1438</v>
      </c>
      <c r="I5474" t="s">
        <v>1439</v>
      </c>
      <c r="J5474">
        <v>4</v>
      </c>
    </row>
    <row r="5475" spans="1:10" hidden="1" x14ac:dyDescent="0.3">
      <c r="A5475" s="46">
        <v>45425</v>
      </c>
      <c r="B5475" s="46" t="s">
        <v>734</v>
      </c>
      <c r="D5475" t="s">
        <v>1527</v>
      </c>
      <c r="E5475" s="46" t="s">
        <v>1436</v>
      </c>
      <c r="F5475" s="45">
        <v>48000</v>
      </c>
      <c r="G5475" t="s">
        <v>1441</v>
      </c>
      <c r="H5475" t="s">
        <v>1438</v>
      </c>
      <c r="I5475" t="s">
        <v>1439</v>
      </c>
      <c r="J5475">
        <v>4</v>
      </c>
    </row>
    <row r="5476" spans="1:10" hidden="1" x14ac:dyDescent="0.3">
      <c r="A5476" s="46">
        <v>45420</v>
      </c>
      <c r="B5476" s="46" t="s">
        <v>772</v>
      </c>
      <c r="D5476" t="s">
        <v>1108</v>
      </c>
      <c r="E5476" s="46" t="s">
        <v>1436</v>
      </c>
      <c r="F5476" s="45">
        <v>48000</v>
      </c>
      <c r="G5476" t="s">
        <v>1464</v>
      </c>
      <c r="H5476" t="s">
        <v>1438</v>
      </c>
      <c r="I5476" t="s">
        <v>1439</v>
      </c>
      <c r="J5476">
        <v>4</v>
      </c>
    </row>
    <row r="5477" spans="1:10" hidden="1" x14ac:dyDescent="0.3">
      <c r="A5477" s="46">
        <v>45415</v>
      </c>
      <c r="B5477" s="46" t="s">
        <v>772</v>
      </c>
      <c r="D5477" t="s">
        <v>989</v>
      </c>
      <c r="E5477" s="46" t="s">
        <v>1436</v>
      </c>
      <c r="F5477" s="45">
        <v>48000</v>
      </c>
      <c r="G5477" t="s">
        <v>1464</v>
      </c>
      <c r="H5477" t="s">
        <v>1438</v>
      </c>
      <c r="I5477" t="s">
        <v>1439</v>
      </c>
      <c r="J5477">
        <v>4</v>
      </c>
    </row>
    <row r="5478" spans="1:10" hidden="1" x14ac:dyDescent="0.3">
      <c r="A5478" s="46">
        <v>45378</v>
      </c>
      <c r="B5478" s="46" t="s">
        <v>772</v>
      </c>
      <c r="D5478" t="s">
        <v>989</v>
      </c>
      <c r="E5478" s="46" t="s">
        <v>1436</v>
      </c>
      <c r="F5478" s="45">
        <v>48000</v>
      </c>
      <c r="G5478" t="s">
        <v>1464</v>
      </c>
      <c r="H5478" t="s">
        <v>1438</v>
      </c>
      <c r="I5478" t="s">
        <v>1439</v>
      </c>
      <c r="J5478">
        <v>4</v>
      </c>
    </row>
    <row r="5479" spans="1:10" hidden="1" x14ac:dyDescent="0.3">
      <c r="A5479" s="46">
        <v>45377</v>
      </c>
      <c r="B5479" s="46" t="s">
        <v>767</v>
      </c>
      <c r="D5479" t="s">
        <v>850</v>
      </c>
      <c r="E5479" s="46" t="s">
        <v>1436</v>
      </c>
      <c r="F5479" s="45">
        <v>48000</v>
      </c>
      <c r="G5479" t="s">
        <v>1460</v>
      </c>
      <c r="H5479" t="s">
        <v>1438</v>
      </c>
      <c r="I5479" t="s">
        <v>1439</v>
      </c>
      <c r="J5479">
        <v>4</v>
      </c>
    </row>
    <row r="5480" spans="1:10" hidden="1" x14ac:dyDescent="0.3">
      <c r="A5480" s="46">
        <v>45370</v>
      </c>
      <c r="B5480" s="46" t="s">
        <v>767</v>
      </c>
      <c r="D5480" t="s">
        <v>850</v>
      </c>
      <c r="E5480" s="46" t="s">
        <v>1436</v>
      </c>
      <c r="F5480" s="45">
        <v>48000</v>
      </c>
      <c r="G5480" t="s">
        <v>1460</v>
      </c>
      <c r="H5480" t="s">
        <v>1438</v>
      </c>
      <c r="I5480" t="s">
        <v>1439</v>
      </c>
      <c r="J5480">
        <v>4</v>
      </c>
    </row>
    <row r="5481" spans="1:10" hidden="1" x14ac:dyDescent="0.3">
      <c r="A5481" s="46">
        <v>45468</v>
      </c>
      <c r="B5481" s="46" t="s">
        <v>734</v>
      </c>
      <c r="D5481" t="s">
        <v>1548</v>
      </c>
      <c r="E5481" s="46" t="s">
        <v>1436</v>
      </c>
      <c r="F5481" s="45">
        <v>48000</v>
      </c>
      <c r="G5481" t="s">
        <v>1441</v>
      </c>
      <c r="H5481" t="s">
        <v>1438</v>
      </c>
      <c r="I5481" t="s">
        <v>1439</v>
      </c>
      <c r="J5481">
        <v>4</v>
      </c>
    </row>
    <row r="5482" spans="1:10" hidden="1" x14ac:dyDescent="0.3">
      <c r="A5482" s="46">
        <v>45469</v>
      </c>
      <c r="B5482" s="46" t="s">
        <v>772</v>
      </c>
      <c r="D5482" t="s">
        <v>1117</v>
      </c>
      <c r="E5482" s="46" t="s">
        <v>1436</v>
      </c>
      <c r="F5482" s="45">
        <v>48000</v>
      </c>
      <c r="G5482" t="s">
        <v>1464</v>
      </c>
      <c r="H5482" t="s">
        <v>1438</v>
      </c>
      <c r="I5482" t="s">
        <v>1439</v>
      </c>
      <c r="J5482">
        <v>4</v>
      </c>
    </row>
    <row r="5483" spans="1:10" hidden="1" x14ac:dyDescent="0.3">
      <c r="A5483" s="46">
        <v>45467</v>
      </c>
      <c r="B5483" s="46" t="s">
        <v>772</v>
      </c>
      <c r="D5483" t="s">
        <v>1119</v>
      </c>
      <c r="E5483" s="46" t="s">
        <v>1436</v>
      </c>
      <c r="F5483" s="45">
        <v>48000</v>
      </c>
      <c r="G5483" t="s">
        <v>1464</v>
      </c>
      <c r="H5483" t="s">
        <v>1438</v>
      </c>
      <c r="I5483" t="s">
        <v>1439</v>
      </c>
      <c r="J5483">
        <v>4</v>
      </c>
    </row>
    <row r="5484" spans="1:10" hidden="1" x14ac:dyDescent="0.3">
      <c r="A5484" s="46">
        <v>45460</v>
      </c>
      <c r="B5484" s="46" t="s">
        <v>767</v>
      </c>
      <c r="D5484" t="s">
        <v>850</v>
      </c>
      <c r="E5484" s="46" t="s">
        <v>1436</v>
      </c>
      <c r="F5484" s="45">
        <v>48000</v>
      </c>
      <c r="G5484" t="s">
        <v>1460</v>
      </c>
      <c r="H5484" t="s">
        <v>1438</v>
      </c>
      <c r="I5484" t="s">
        <v>1439</v>
      </c>
      <c r="J5484">
        <v>4</v>
      </c>
    </row>
    <row r="5485" spans="1:10" hidden="1" x14ac:dyDescent="0.3">
      <c r="A5485" s="46">
        <v>45460</v>
      </c>
      <c r="B5485" s="46" t="s">
        <v>772</v>
      </c>
      <c r="D5485" t="s">
        <v>1108</v>
      </c>
      <c r="E5485" s="46" t="s">
        <v>1436</v>
      </c>
      <c r="F5485" s="45">
        <v>48000</v>
      </c>
      <c r="G5485" t="s">
        <v>1464</v>
      </c>
      <c r="H5485" t="s">
        <v>1438</v>
      </c>
      <c r="I5485" t="s">
        <v>1439</v>
      </c>
      <c r="J5485">
        <v>4</v>
      </c>
    </row>
    <row r="5486" spans="1:10" hidden="1" x14ac:dyDescent="0.3">
      <c r="A5486" s="46">
        <v>45453</v>
      </c>
      <c r="B5486" s="46" t="s">
        <v>772</v>
      </c>
      <c r="D5486" t="s">
        <v>2091</v>
      </c>
      <c r="E5486" s="46" t="s">
        <v>1436</v>
      </c>
      <c r="F5486" s="45">
        <v>48000</v>
      </c>
      <c r="G5486" t="s">
        <v>1464</v>
      </c>
      <c r="H5486" t="s">
        <v>1438</v>
      </c>
      <c r="I5486" t="s">
        <v>1439</v>
      </c>
      <c r="J5486">
        <v>4</v>
      </c>
    </row>
    <row r="5487" spans="1:10" hidden="1" x14ac:dyDescent="0.3">
      <c r="A5487" s="46">
        <v>45439</v>
      </c>
      <c r="B5487" s="46" t="s">
        <v>772</v>
      </c>
      <c r="D5487" t="s">
        <v>1139</v>
      </c>
      <c r="E5487" s="46" t="s">
        <v>1436</v>
      </c>
      <c r="F5487" s="45">
        <v>48000</v>
      </c>
      <c r="G5487" t="s">
        <v>1464</v>
      </c>
      <c r="H5487" t="s">
        <v>1438</v>
      </c>
      <c r="I5487" t="s">
        <v>1439</v>
      </c>
      <c r="J5487">
        <v>4</v>
      </c>
    </row>
    <row r="5488" spans="1:10" hidden="1" x14ac:dyDescent="0.3">
      <c r="A5488" s="46">
        <v>45443</v>
      </c>
      <c r="B5488" s="46" t="s">
        <v>772</v>
      </c>
      <c r="D5488" t="s">
        <v>1041</v>
      </c>
      <c r="E5488" s="46" t="s">
        <v>1436</v>
      </c>
      <c r="F5488" s="45">
        <v>48000</v>
      </c>
      <c r="G5488" t="s">
        <v>1464</v>
      </c>
      <c r="H5488" t="s">
        <v>1438</v>
      </c>
      <c r="I5488" t="s">
        <v>1439</v>
      </c>
      <c r="J5488">
        <v>4</v>
      </c>
    </row>
    <row r="5489" spans="1:11" hidden="1" x14ac:dyDescent="0.3">
      <c r="A5489" s="46">
        <v>45446</v>
      </c>
      <c r="B5489" s="46" t="s">
        <v>772</v>
      </c>
      <c r="D5489" t="s">
        <v>1012</v>
      </c>
      <c r="E5489" s="46" t="s">
        <v>1436</v>
      </c>
      <c r="F5489" s="45">
        <v>48000</v>
      </c>
      <c r="G5489" t="s">
        <v>1464</v>
      </c>
      <c r="H5489" t="s">
        <v>1438</v>
      </c>
      <c r="I5489" t="s">
        <v>1439</v>
      </c>
      <c r="J5489">
        <v>4</v>
      </c>
    </row>
    <row r="5490" spans="1:11" hidden="1" x14ac:dyDescent="0.3">
      <c r="A5490" s="46">
        <v>45481</v>
      </c>
      <c r="B5490" s="46" t="s">
        <v>772</v>
      </c>
      <c r="D5490" t="s">
        <v>1138</v>
      </c>
      <c r="E5490" s="46" t="s">
        <v>1436</v>
      </c>
      <c r="F5490" s="45">
        <v>48000</v>
      </c>
      <c r="G5490" t="s">
        <v>1464</v>
      </c>
      <c r="H5490" t="s">
        <v>1438</v>
      </c>
      <c r="I5490" t="s">
        <v>1439</v>
      </c>
      <c r="J5490">
        <v>4</v>
      </c>
    </row>
    <row r="5491" spans="1:11" hidden="1" x14ac:dyDescent="0.3">
      <c r="A5491" s="46">
        <v>45476</v>
      </c>
      <c r="B5491" s="46" t="s">
        <v>772</v>
      </c>
      <c r="D5491" t="s">
        <v>1011</v>
      </c>
      <c r="E5491" s="46" t="s">
        <v>1436</v>
      </c>
      <c r="F5491" s="45">
        <v>48000</v>
      </c>
      <c r="G5491" t="s">
        <v>1464</v>
      </c>
      <c r="H5491" t="s">
        <v>1438</v>
      </c>
      <c r="I5491" t="s">
        <v>1439</v>
      </c>
      <c r="J5491">
        <v>4</v>
      </c>
    </row>
    <row r="5492" spans="1:11" hidden="1" x14ac:dyDescent="0.3">
      <c r="A5492" s="46">
        <v>45462</v>
      </c>
      <c r="B5492" s="46" t="s">
        <v>748</v>
      </c>
      <c r="D5492" t="s">
        <v>1518</v>
      </c>
      <c r="E5492" s="46" t="s">
        <v>1436</v>
      </c>
      <c r="F5492" s="45">
        <v>47800</v>
      </c>
      <c r="G5492" t="s">
        <v>1451</v>
      </c>
      <c r="H5492" t="s">
        <v>1438</v>
      </c>
      <c r="I5492" t="s">
        <v>1439</v>
      </c>
      <c r="J5492">
        <v>4</v>
      </c>
    </row>
    <row r="5493" spans="1:11" hidden="1" x14ac:dyDescent="0.3">
      <c r="A5493" s="46">
        <v>45434</v>
      </c>
      <c r="B5493" s="46" t="s">
        <v>734</v>
      </c>
      <c r="D5493" t="s">
        <v>2229</v>
      </c>
      <c r="E5493" s="46" t="s">
        <v>1436</v>
      </c>
      <c r="F5493" s="45">
        <v>47600</v>
      </c>
      <c r="G5493" t="s">
        <v>1441</v>
      </c>
      <c r="H5493" t="s">
        <v>1438</v>
      </c>
      <c r="I5493" t="s">
        <v>1439</v>
      </c>
      <c r="J5493">
        <v>4</v>
      </c>
    </row>
    <row r="5494" spans="1:11" hidden="1" x14ac:dyDescent="0.3">
      <c r="A5494" s="46">
        <v>45405</v>
      </c>
      <c r="B5494" s="46" t="s">
        <v>724</v>
      </c>
      <c r="D5494" t="s">
        <v>2085</v>
      </c>
      <c r="E5494" s="46" t="s">
        <v>1436</v>
      </c>
      <c r="F5494" s="45">
        <v>47600</v>
      </c>
      <c r="G5494" t="s">
        <v>1437</v>
      </c>
      <c r="H5494" t="s">
        <v>1438</v>
      </c>
      <c r="I5494" t="s">
        <v>1439</v>
      </c>
      <c r="J5494">
        <v>4</v>
      </c>
    </row>
    <row r="5495" spans="1:11" hidden="1" x14ac:dyDescent="0.3">
      <c r="A5495" s="46">
        <v>45408</v>
      </c>
      <c r="B5495" s="46" t="s">
        <v>772</v>
      </c>
      <c r="D5495" t="s">
        <v>2086</v>
      </c>
      <c r="E5495" s="46" t="s">
        <v>1436</v>
      </c>
      <c r="F5495" s="45">
        <v>47500</v>
      </c>
      <c r="G5495" t="s">
        <v>1464</v>
      </c>
      <c r="H5495" t="s">
        <v>1438</v>
      </c>
      <c r="I5495" t="s">
        <v>1439</v>
      </c>
      <c r="J5495">
        <v>4</v>
      </c>
    </row>
    <row r="5496" spans="1:11" hidden="1" x14ac:dyDescent="0.3">
      <c r="A5496" s="46">
        <v>45411</v>
      </c>
      <c r="B5496" s="46" t="s">
        <v>772</v>
      </c>
      <c r="D5496" t="s">
        <v>939</v>
      </c>
      <c r="E5496" s="46" t="s">
        <v>1436</v>
      </c>
      <c r="F5496" s="45">
        <v>47500</v>
      </c>
      <c r="G5496" t="s">
        <v>1464</v>
      </c>
      <c r="H5496" t="s">
        <v>1438</v>
      </c>
      <c r="I5496" t="s">
        <v>1439</v>
      </c>
      <c r="J5496">
        <v>4</v>
      </c>
    </row>
    <row r="5497" spans="1:11" hidden="1" x14ac:dyDescent="0.3">
      <c r="A5497" s="46">
        <v>45461</v>
      </c>
      <c r="B5497" s="46" t="s">
        <v>734</v>
      </c>
      <c r="D5497" t="s">
        <v>2230</v>
      </c>
      <c r="E5497" s="46" t="s">
        <v>1436</v>
      </c>
      <c r="F5497" s="45">
        <v>47500</v>
      </c>
      <c r="G5497" t="s">
        <v>1441</v>
      </c>
      <c r="H5497" t="s">
        <v>1438</v>
      </c>
      <c r="I5497" t="s">
        <v>1439</v>
      </c>
      <c r="J5497">
        <v>4</v>
      </c>
    </row>
    <row r="5498" spans="1:11" hidden="1" x14ac:dyDescent="0.3">
      <c r="A5498" s="46">
        <v>45478</v>
      </c>
      <c r="B5498" s="46" t="s">
        <v>772</v>
      </c>
      <c r="D5498" t="s">
        <v>1215</v>
      </c>
      <c r="E5498" s="46" t="s">
        <v>1436</v>
      </c>
      <c r="F5498" s="45">
        <v>47500</v>
      </c>
      <c r="G5498" t="s">
        <v>1464</v>
      </c>
      <c r="H5498" t="s">
        <v>1438</v>
      </c>
      <c r="I5498" t="s">
        <v>1439</v>
      </c>
      <c r="J5498">
        <v>4</v>
      </c>
    </row>
    <row r="5499" spans="1:11" hidden="1" x14ac:dyDescent="0.3">
      <c r="A5499" s="46">
        <v>45432</v>
      </c>
      <c r="B5499" s="46" t="s">
        <v>772</v>
      </c>
      <c r="D5499" t="s">
        <v>2087</v>
      </c>
      <c r="E5499" s="46" t="s">
        <v>1436</v>
      </c>
      <c r="F5499" s="45">
        <v>47400</v>
      </c>
      <c r="G5499" t="s">
        <v>1464</v>
      </c>
      <c r="H5499" t="s">
        <v>1438</v>
      </c>
      <c r="I5499" t="s">
        <v>1439</v>
      </c>
      <c r="J5499">
        <v>4</v>
      </c>
    </row>
    <row r="5500" spans="1:11" hidden="1" x14ac:dyDescent="0.3">
      <c r="A5500" s="46">
        <v>45335</v>
      </c>
      <c r="B5500" s="46" t="s">
        <v>722</v>
      </c>
      <c r="D5500" t="s">
        <v>1461</v>
      </c>
      <c r="E5500" s="46" t="s">
        <v>1436</v>
      </c>
      <c r="F5500" s="45">
        <v>47150</v>
      </c>
      <c r="G5500" t="s">
        <v>1466</v>
      </c>
      <c r="H5500" t="s">
        <v>1438</v>
      </c>
      <c r="I5500" t="s">
        <v>1439</v>
      </c>
      <c r="K5500" t="s">
        <v>1712</v>
      </c>
    </row>
    <row r="5501" spans="1:11" hidden="1" x14ac:dyDescent="0.3">
      <c r="A5501" s="46">
        <v>45301</v>
      </c>
      <c r="B5501" s="46" t="s">
        <v>722</v>
      </c>
      <c r="D5501" t="s">
        <v>1461</v>
      </c>
      <c r="E5501" s="46" t="s">
        <v>1436</v>
      </c>
      <c r="F5501" s="45">
        <v>47040</v>
      </c>
      <c r="G5501" t="s">
        <v>1466</v>
      </c>
      <c r="H5501" t="s">
        <v>1438</v>
      </c>
      <c r="I5501" t="s">
        <v>1439</v>
      </c>
      <c r="K5501" t="s">
        <v>1713</v>
      </c>
    </row>
    <row r="5502" spans="1:11" hidden="1" x14ac:dyDescent="0.3">
      <c r="A5502" s="46">
        <v>45313</v>
      </c>
      <c r="B5502" s="46" t="s">
        <v>821</v>
      </c>
      <c r="D5502" t="s">
        <v>1714</v>
      </c>
      <c r="E5502" s="46" t="s">
        <v>1436</v>
      </c>
      <c r="F5502" s="45">
        <v>47000</v>
      </c>
      <c r="G5502" t="s">
        <v>1509</v>
      </c>
      <c r="H5502" t="s">
        <v>1438</v>
      </c>
      <c r="I5502" t="s">
        <v>1439</v>
      </c>
      <c r="J5502">
        <v>4</v>
      </c>
    </row>
    <row r="5503" spans="1:11" hidden="1" x14ac:dyDescent="0.3">
      <c r="A5503" s="46">
        <v>45478</v>
      </c>
      <c r="B5503" s="46" t="s">
        <v>734</v>
      </c>
      <c r="D5503" t="s">
        <v>2226</v>
      </c>
      <c r="E5503" s="46" t="s">
        <v>1436</v>
      </c>
      <c r="F5503" s="45">
        <v>47000</v>
      </c>
      <c r="G5503" t="s">
        <v>1441</v>
      </c>
      <c r="H5503" t="s">
        <v>1438</v>
      </c>
      <c r="I5503" t="s">
        <v>1439</v>
      </c>
      <c r="J5503">
        <v>4</v>
      </c>
    </row>
    <row r="5504" spans="1:11" hidden="1" x14ac:dyDescent="0.3">
      <c r="A5504" s="46">
        <v>45457</v>
      </c>
      <c r="B5504" s="46" t="s">
        <v>772</v>
      </c>
      <c r="D5504" t="s">
        <v>977</v>
      </c>
      <c r="E5504" s="46" t="s">
        <v>1436</v>
      </c>
      <c r="F5504" s="45">
        <v>47000</v>
      </c>
      <c r="G5504" t="s">
        <v>1464</v>
      </c>
      <c r="H5504" t="s">
        <v>1438</v>
      </c>
      <c r="I5504" t="s">
        <v>1439</v>
      </c>
      <c r="J5504">
        <v>4</v>
      </c>
    </row>
    <row r="5505" spans="1:11" hidden="1" x14ac:dyDescent="0.3">
      <c r="A5505" s="46">
        <v>45455</v>
      </c>
      <c r="B5505" s="46" t="s">
        <v>772</v>
      </c>
      <c r="D5505" t="s">
        <v>989</v>
      </c>
      <c r="E5505" s="46" t="s">
        <v>1436</v>
      </c>
      <c r="F5505" s="45">
        <v>47000</v>
      </c>
      <c r="G5505" t="s">
        <v>1464</v>
      </c>
      <c r="H5505" t="s">
        <v>1438</v>
      </c>
      <c r="I5505" t="s">
        <v>1439</v>
      </c>
      <c r="J5505">
        <v>4</v>
      </c>
    </row>
    <row r="5506" spans="1:11" hidden="1" x14ac:dyDescent="0.3">
      <c r="A5506" s="46">
        <v>45464</v>
      </c>
      <c r="B5506" s="46" t="s">
        <v>772</v>
      </c>
      <c r="D5506" t="s">
        <v>1530</v>
      </c>
      <c r="E5506" s="46" t="s">
        <v>1436</v>
      </c>
      <c r="F5506" s="45">
        <v>47000</v>
      </c>
      <c r="G5506" t="s">
        <v>1464</v>
      </c>
      <c r="H5506" t="s">
        <v>1438</v>
      </c>
      <c r="I5506" t="s">
        <v>1439</v>
      </c>
      <c r="J5506">
        <v>4</v>
      </c>
    </row>
    <row r="5507" spans="1:11" hidden="1" x14ac:dyDescent="0.3">
      <c r="A5507" s="46">
        <v>45471</v>
      </c>
      <c r="B5507" s="46" t="s">
        <v>772</v>
      </c>
      <c r="D5507" t="s">
        <v>1132</v>
      </c>
      <c r="E5507" s="46" t="s">
        <v>1436</v>
      </c>
      <c r="F5507" s="45">
        <v>46900</v>
      </c>
      <c r="G5507" t="s">
        <v>1464</v>
      </c>
    </row>
    <row r="5508" spans="1:11" hidden="1" x14ac:dyDescent="0.3">
      <c r="A5508" s="46">
        <v>45453</v>
      </c>
      <c r="B5508" s="46" t="s">
        <v>722</v>
      </c>
      <c r="D5508" t="s">
        <v>1461</v>
      </c>
      <c r="E5508" s="46" t="s">
        <v>1436</v>
      </c>
      <c r="F5508" s="45">
        <v>46710</v>
      </c>
      <c r="G5508" t="s">
        <v>1466</v>
      </c>
      <c r="H5508" t="s">
        <v>1438</v>
      </c>
      <c r="I5508" t="s">
        <v>1439</v>
      </c>
      <c r="K5508" t="s">
        <v>2231</v>
      </c>
    </row>
    <row r="5509" spans="1:11" hidden="1" x14ac:dyDescent="0.3">
      <c r="A5509" s="46">
        <v>45474</v>
      </c>
      <c r="B5509" s="46" t="s">
        <v>748</v>
      </c>
      <c r="D5509" t="s">
        <v>1518</v>
      </c>
      <c r="E5509" s="46" t="s">
        <v>1436</v>
      </c>
      <c r="F5509" s="45">
        <v>46600</v>
      </c>
      <c r="G5509" t="s">
        <v>1479</v>
      </c>
      <c r="H5509" t="s">
        <v>1438</v>
      </c>
      <c r="I5509" t="s">
        <v>1439</v>
      </c>
      <c r="J5509">
        <v>4</v>
      </c>
    </row>
    <row r="5510" spans="1:11" hidden="1" x14ac:dyDescent="0.3">
      <c r="A5510" s="46">
        <v>45425</v>
      </c>
      <c r="B5510" s="46" t="s">
        <v>767</v>
      </c>
      <c r="D5510" t="s">
        <v>2083</v>
      </c>
      <c r="E5510" s="46" t="s">
        <v>1436</v>
      </c>
      <c r="F5510" s="45">
        <v>46600</v>
      </c>
      <c r="G5510" t="s">
        <v>1460</v>
      </c>
      <c r="H5510" t="s">
        <v>1438</v>
      </c>
      <c r="I5510" t="s">
        <v>1439</v>
      </c>
      <c r="J5510">
        <v>4</v>
      </c>
    </row>
    <row r="5511" spans="1:11" hidden="1" x14ac:dyDescent="0.3">
      <c r="A5511" s="46">
        <v>45364</v>
      </c>
      <c r="B5511" s="46" t="s">
        <v>734</v>
      </c>
      <c r="D5511" t="s">
        <v>1549</v>
      </c>
      <c r="E5511" s="46" t="s">
        <v>1436</v>
      </c>
      <c r="F5511" s="45">
        <v>46500</v>
      </c>
      <c r="G5511" t="s">
        <v>1441</v>
      </c>
      <c r="H5511" t="s">
        <v>1438</v>
      </c>
      <c r="I5511" t="s">
        <v>1439</v>
      </c>
      <c r="J5511">
        <v>4</v>
      </c>
    </row>
    <row r="5512" spans="1:11" hidden="1" x14ac:dyDescent="0.3">
      <c r="A5512" s="46">
        <v>45460</v>
      </c>
      <c r="B5512" s="46" t="s">
        <v>734</v>
      </c>
      <c r="D5512" t="s">
        <v>1527</v>
      </c>
      <c r="E5512" s="46" t="s">
        <v>1436</v>
      </c>
      <c r="F5512" s="45">
        <v>46500</v>
      </c>
      <c r="G5512" t="s">
        <v>1441</v>
      </c>
      <c r="H5512" t="s">
        <v>1438</v>
      </c>
      <c r="I5512" t="s">
        <v>1439</v>
      </c>
      <c r="J5512">
        <v>4</v>
      </c>
    </row>
    <row r="5513" spans="1:11" hidden="1" x14ac:dyDescent="0.3">
      <c r="A5513" s="46">
        <v>45469</v>
      </c>
      <c r="B5513" s="46" t="s">
        <v>734</v>
      </c>
      <c r="D5513" t="s">
        <v>2230</v>
      </c>
      <c r="E5513" s="46" t="s">
        <v>1436</v>
      </c>
      <c r="F5513" s="45">
        <v>46500</v>
      </c>
      <c r="G5513" t="s">
        <v>1441</v>
      </c>
      <c r="H5513" t="s">
        <v>1438</v>
      </c>
      <c r="I5513" t="s">
        <v>1439</v>
      </c>
      <c r="J5513">
        <v>4</v>
      </c>
    </row>
    <row r="5514" spans="1:11" hidden="1" x14ac:dyDescent="0.3">
      <c r="A5514" s="46">
        <v>45439</v>
      </c>
      <c r="B5514" s="46" t="s">
        <v>722</v>
      </c>
      <c r="D5514" t="s">
        <v>1461</v>
      </c>
      <c r="E5514" s="46" t="s">
        <v>1436</v>
      </c>
      <c r="F5514" s="45">
        <v>46480</v>
      </c>
      <c r="G5514" t="s">
        <v>1466</v>
      </c>
      <c r="H5514" t="s">
        <v>1438</v>
      </c>
      <c r="I5514" t="s">
        <v>1439</v>
      </c>
      <c r="K5514" t="s">
        <v>2231</v>
      </c>
    </row>
    <row r="5515" spans="1:11" hidden="1" x14ac:dyDescent="0.3">
      <c r="A5515" s="46">
        <v>45469</v>
      </c>
      <c r="B5515" s="46" t="s">
        <v>767</v>
      </c>
      <c r="D5515" t="s">
        <v>1565</v>
      </c>
      <c r="E5515" s="46" t="s">
        <v>1436</v>
      </c>
      <c r="F5515" s="45">
        <v>46300</v>
      </c>
      <c r="G5515" t="s">
        <v>1460</v>
      </c>
      <c r="H5515" t="s">
        <v>1438</v>
      </c>
      <c r="I5515" t="s">
        <v>1439</v>
      </c>
      <c r="J5515">
        <v>4</v>
      </c>
    </row>
    <row r="5516" spans="1:11" hidden="1" x14ac:dyDescent="0.3">
      <c r="A5516" s="46">
        <v>45366</v>
      </c>
      <c r="B5516" s="46" t="s">
        <v>734</v>
      </c>
      <c r="D5516" t="s">
        <v>1515</v>
      </c>
      <c r="E5516" s="46" t="s">
        <v>1436</v>
      </c>
      <c r="F5516" s="45">
        <v>46000</v>
      </c>
      <c r="G5516" t="s">
        <v>1441</v>
      </c>
      <c r="H5516" t="s">
        <v>1438</v>
      </c>
      <c r="I5516" t="s">
        <v>1439</v>
      </c>
      <c r="J5516">
        <v>4</v>
      </c>
    </row>
    <row r="5517" spans="1:11" hidden="1" x14ac:dyDescent="0.3">
      <c r="A5517" s="46">
        <v>45344</v>
      </c>
      <c r="B5517" s="46" t="s">
        <v>722</v>
      </c>
      <c r="D5517" t="s">
        <v>1502</v>
      </c>
      <c r="E5517" s="46" t="s">
        <v>1436</v>
      </c>
      <c r="F5517" s="45">
        <v>46000</v>
      </c>
      <c r="G5517" t="s">
        <v>1437</v>
      </c>
      <c r="H5517" t="s">
        <v>1438</v>
      </c>
      <c r="I5517" t="s">
        <v>1439</v>
      </c>
      <c r="J5517">
        <v>3</v>
      </c>
    </row>
    <row r="5518" spans="1:11" hidden="1" x14ac:dyDescent="0.3">
      <c r="A5518" s="46">
        <v>45351</v>
      </c>
      <c r="B5518" s="46" t="s">
        <v>724</v>
      </c>
      <c r="D5518" t="s">
        <v>1057</v>
      </c>
      <c r="E5518" s="46" t="s">
        <v>1436</v>
      </c>
      <c r="F5518" s="45">
        <v>46000</v>
      </c>
      <c r="G5518" t="s">
        <v>1437</v>
      </c>
      <c r="H5518" t="s">
        <v>1438</v>
      </c>
      <c r="I5518" t="s">
        <v>1439</v>
      </c>
      <c r="K5518" t="s">
        <v>1715</v>
      </c>
    </row>
    <row r="5519" spans="1:11" hidden="1" x14ac:dyDescent="0.3">
      <c r="A5519" s="46">
        <v>45313</v>
      </c>
      <c r="B5519" s="46" t="s">
        <v>722</v>
      </c>
      <c r="D5519" t="s">
        <v>1461</v>
      </c>
      <c r="E5519" s="46" t="s">
        <v>1436</v>
      </c>
      <c r="F5519" s="45">
        <v>45890</v>
      </c>
      <c r="G5519" t="s">
        <v>1437</v>
      </c>
      <c r="H5519" t="s">
        <v>1438</v>
      </c>
      <c r="I5519" t="s">
        <v>1439</v>
      </c>
      <c r="K5519" t="s">
        <v>1713</v>
      </c>
    </row>
    <row r="5520" spans="1:11" hidden="1" x14ac:dyDescent="0.3">
      <c r="A5520" s="46">
        <v>45441</v>
      </c>
      <c r="B5520" s="46" t="s">
        <v>734</v>
      </c>
      <c r="D5520" t="s">
        <v>1724</v>
      </c>
      <c r="E5520" s="46" t="s">
        <v>1436</v>
      </c>
      <c r="F5520" s="45">
        <v>45700</v>
      </c>
      <c r="G5520" t="s">
        <v>1441</v>
      </c>
      <c r="H5520" t="s">
        <v>1438</v>
      </c>
      <c r="I5520" t="s">
        <v>1439</v>
      </c>
      <c r="J5520">
        <v>4</v>
      </c>
    </row>
    <row r="5521" spans="1:11" hidden="1" x14ac:dyDescent="0.3">
      <c r="A5521" s="46">
        <v>45322</v>
      </c>
      <c r="B5521" s="46" t="s">
        <v>767</v>
      </c>
      <c r="D5521" t="s">
        <v>1589</v>
      </c>
      <c r="E5521" s="46" t="s">
        <v>1436</v>
      </c>
      <c r="F5521" s="45">
        <v>45500</v>
      </c>
      <c r="G5521" t="s">
        <v>1460</v>
      </c>
      <c r="H5521" t="s">
        <v>1438</v>
      </c>
      <c r="I5521" t="s">
        <v>1439</v>
      </c>
      <c r="J5521">
        <v>4</v>
      </c>
    </row>
    <row r="5522" spans="1:11" hidden="1" x14ac:dyDescent="0.3">
      <c r="A5522" s="46">
        <v>45411</v>
      </c>
      <c r="B5522" s="46" t="s">
        <v>772</v>
      </c>
      <c r="D5522" t="s">
        <v>939</v>
      </c>
      <c r="E5522" s="46" t="s">
        <v>1436</v>
      </c>
      <c r="F5522" s="45">
        <v>45500</v>
      </c>
      <c r="G5522" t="s">
        <v>1464</v>
      </c>
      <c r="H5522" t="s">
        <v>1438</v>
      </c>
      <c r="I5522" t="s">
        <v>1439</v>
      </c>
    </row>
    <row r="5523" spans="1:11" hidden="1" x14ac:dyDescent="0.3">
      <c r="A5523" s="46">
        <v>45404</v>
      </c>
      <c r="B5523" s="46" t="s">
        <v>767</v>
      </c>
      <c r="D5523" t="s">
        <v>1541</v>
      </c>
      <c r="E5523" s="46" t="s">
        <v>1436</v>
      </c>
      <c r="F5523" s="45">
        <v>45500</v>
      </c>
      <c r="G5523" t="s">
        <v>1460</v>
      </c>
      <c r="H5523" t="s">
        <v>1438</v>
      </c>
      <c r="I5523" t="s">
        <v>1439</v>
      </c>
      <c r="J5523">
        <v>5</v>
      </c>
    </row>
    <row r="5524" spans="1:11" hidden="1" x14ac:dyDescent="0.3">
      <c r="A5524" s="46">
        <v>45387</v>
      </c>
      <c r="B5524" s="46" t="s">
        <v>724</v>
      </c>
      <c r="D5524" t="s">
        <v>2088</v>
      </c>
      <c r="E5524" s="46" t="s">
        <v>1436</v>
      </c>
      <c r="F5524" s="45">
        <v>45000</v>
      </c>
      <c r="G5524" t="s">
        <v>1437</v>
      </c>
      <c r="H5524" t="s">
        <v>1438</v>
      </c>
      <c r="I5524" t="s">
        <v>1439</v>
      </c>
      <c r="J5524">
        <v>3</v>
      </c>
    </row>
    <row r="5525" spans="1:11" hidden="1" x14ac:dyDescent="0.3">
      <c r="A5525" s="46">
        <v>45320</v>
      </c>
      <c r="B5525" s="46" t="s">
        <v>821</v>
      </c>
      <c r="D5525" t="s">
        <v>1589</v>
      </c>
      <c r="E5525" s="46" t="s">
        <v>1436</v>
      </c>
      <c r="F5525" s="45">
        <v>45000</v>
      </c>
      <c r="G5525" t="s">
        <v>1509</v>
      </c>
      <c r="H5525" t="s">
        <v>1438</v>
      </c>
      <c r="I5525" t="s">
        <v>1439</v>
      </c>
      <c r="J5525">
        <v>4</v>
      </c>
    </row>
    <row r="5526" spans="1:11" hidden="1" x14ac:dyDescent="0.3">
      <c r="A5526" s="46">
        <v>45307</v>
      </c>
      <c r="B5526" s="46" t="s">
        <v>748</v>
      </c>
      <c r="D5526" t="s">
        <v>1474</v>
      </c>
      <c r="E5526" s="46" t="s">
        <v>1436</v>
      </c>
      <c r="F5526" s="45">
        <v>45000</v>
      </c>
      <c r="G5526" t="s">
        <v>1479</v>
      </c>
      <c r="H5526" t="s">
        <v>1475</v>
      </c>
      <c r="I5526" t="s">
        <v>1476</v>
      </c>
    </row>
    <row r="5527" spans="1:11" hidden="1" x14ac:dyDescent="0.3">
      <c r="A5527" s="46">
        <v>45443</v>
      </c>
      <c r="B5527" s="46" t="s">
        <v>734</v>
      </c>
      <c r="D5527" t="s">
        <v>1515</v>
      </c>
      <c r="E5527" s="46" t="s">
        <v>1436</v>
      </c>
      <c r="F5527" s="45">
        <v>45000</v>
      </c>
      <c r="G5527" t="s">
        <v>1441</v>
      </c>
      <c r="H5527" t="s">
        <v>1438</v>
      </c>
      <c r="I5527" t="s">
        <v>1439</v>
      </c>
      <c r="J5527">
        <v>4</v>
      </c>
    </row>
    <row r="5528" spans="1:11" hidden="1" x14ac:dyDescent="0.3">
      <c r="A5528" s="46">
        <v>45464</v>
      </c>
      <c r="B5528" s="46" t="s">
        <v>767</v>
      </c>
      <c r="D5528" t="s">
        <v>1606</v>
      </c>
      <c r="E5528" s="46" t="s">
        <v>1436</v>
      </c>
      <c r="F5528" s="45">
        <v>45000</v>
      </c>
      <c r="G5528" t="s">
        <v>1460</v>
      </c>
      <c r="H5528" t="s">
        <v>1442</v>
      </c>
      <c r="I5528" t="s">
        <v>1458</v>
      </c>
      <c r="K5528" t="s">
        <v>2232</v>
      </c>
    </row>
    <row r="5529" spans="1:11" hidden="1" x14ac:dyDescent="0.3">
      <c r="A5529" s="46">
        <v>45460</v>
      </c>
      <c r="B5529" s="46" t="s">
        <v>724</v>
      </c>
      <c r="D5529" t="s">
        <v>2088</v>
      </c>
      <c r="E5529" s="46" t="s">
        <v>1436</v>
      </c>
      <c r="F5529" s="45">
        <v>45000</v>
      </c>
      <c r="G5529" t="s">
        <v>1437</v>
      </c>
      <c r="H5529" t="s">
        <v>1438</v>
      </c>
      <c r="I5529" t="s">
        <v>1439</v>
      </c>
      <c r="J5529">
        <v>3</v>
      </c>
    </row>
    <row r="5530" spans="1:11" hidden="1" x14ac:dyDescent="0.3">
      <c r="A5530" s="46">
        <v>45454</v>
      </c>
      <c r="B5530" s="46" t="s">
        <v>767</v>
      </c>
      <c r="D5530" t="s">
        <v>2230</v>
      </c>
      <c r="E5530" s="46" t="s">
        <v>1436</v>
      </c>
      <c r="F5530" s="45">
        <v>45000</v>
      </c>
      <c r="G5530" t="s">
        <v>1460</v>
      </c>
      <c r="H5530" t="s">
        <v>1438</v>
      </c>
      <c r="I5530" t="s">
        <v>1439</v>
      </c>
      <c r="J5530">
        <v>5</v>
      </c>
    </row>
    <row r="5531" spans="1:11" hidden="1" x14ac:dyDescent="0.3">
      <c r="A5531" s="46">
        <v>45476</v>
      </c>
      <c r="B5531" s="46" t="s">
        <v>748</v>
      </c>
      <c r="D5531" t="s">
        <v>1474</v>
      </c>
      <c r="E5531" s="46" t="s">
        <v>1436</v>
      </c>
      <c r="F5531" s="45">
        <v>45000</v>
      </c>
      <c r="G5531" t="s">
        <v>1479</v>
      </c>
      <c r="H5531" t="s">
        <v>1475</v>
      </c>
      <c r="I5531" t="s">
        <v>1476</v>
      </c>
    </row>
    <row r="5532" spans="1:11" hidden="1" x14ac:dyDescent="0.3">
      <c r="A5532" s="46">
        <v>45393</v>
      </c>
      <c r="B5532" s="46" t="s">
        <v>767</v>
      </c>
      <c r="D5532" t="s">
        <v>2233</v>
      </c>
      <c r="E5532" s="46" t="s">
        <v>1436</v>
      </c>
      <c r="F5532" s="45">
        <v>44700</v>
      </c>
      <c r="G5532" t="s">
        <v>1460</v>
      </c>
      <c r="H5532" t="s">
        <v>1438</v>
      </c>
      <c r="I5532" t="s">
        <v>1439</v>
      </c>
      <c r="J5532">
        <v>3</v>
      </c>
    </row>
    <row r="5533" spans="1:11" hidden="1" x14ac:dyDescent="0.3">
      <c r="A5533" s="46">
        <v>45335</v>
      </c>
      <c r="B5533" s="46" t="s">
        <v>722</v>
      </c>
      <c r="D5533" t="s">
        <v>1461</v>
      </c>
      <c r="E5533" s="46" t="s">
        <v>1436</v>
      </c>
      <c r="F5533" s="45">
        <v>44550</v>
      </c>
      <c r="G5533" t="s">
        <v>1466</v>
      </c>
      <c r="H5533" t="s">
        <v>1438</v>
      </c>
      <c r="I5533" t="s">
        <v>1439</v>
      </c>
      <c r="K5533" t="s">
        <v>1712</v>
      </c>
    </row>
    <row r="5534" spans="1:11" hidden="1" x14ac:dyDescent="0.3">
      <c r="A5534" s="46">
        <v>45321</v>
      </c>
      <c r="B5534" s="46" t="s">
        <v>748</v>
      </c>
      <c r="D5534" t="s">
        <v>1440</v>
      </c>
      <c r="E5534" s="46" t="s">
        <v>1436</v>
      </c>
      <c r="F5534" s="45">
        <v>44500</v>
      </c>
      <c r="G5534" t="s">
        <v>1479</v>
      </c>
      <c r="H5534" t="s">
        <v>1438</v>
      </c>
      <c r="I5534" t="s">
        <v>1439</v>
      </c>
      <c r="K5534" t="s">
        <v>1511</v>
      </c>
    </row>
    <row r="5535" spans="1:11" hidden="1" x14ac:dyDescent="0.3">
      <c r="A5535" s="46">
        <v>45349</v>
      </c>
      <c r="B5535" s="46" t="s">
        <v>748</v>
      </c>
      <c r="D5535" t="s">
        <v>1440</v>
      </c>
      <c r="E5535" s="46" t="s">
        <v>1436</v>
      </c>
      <c r="F5535" s="45">
        <v>44460</v>
      </c>
      <c r="G5535" t="s">
        <v>1479</v>
      </c>
      <c r="H5535" t="s">
        <v>1442</v>
      </c>
      <c r="I5535" t="s">
        <v>1458</v>
      </c>
      <c r="K5535" t="s">
        <v>1716</v>
      </c>
    </row>
    <row r="5536" spans="1:11" hidden="1" x14ac:dyDescent="0.3">
      <c r="A5536" s="46">
        <v>45387</v>
      </c>
      <c r="B5536" s="46" t="s">
        <v>734</v>
      </c>
      <c r="D5536" t="s">
        <v>1541</v>
      </c>
      <c r="E5536" s="46" t="s">
        <v>1436</v>
      </c>
      <c r="F5536" s="45">
        <v>44000</v>
      </c>
      <c r="G5536" t="s">
        <v>1441</v>
      </c>
      <c r="H5536" t="s">
        <v>1438</v>
      </c>
      <c r="I5536" t="s">
        <v>1439</v>
      </c>
      <c r="J5536">
        <v>4</v>
      </c>
    </row>
    <row r="5537" spans="1:11" hidden="1" x14ac:dyDescent="0.3">
      <c r="A5537" s="46">
        <v>45422</v>
      </c>
      <c r="B5537" s="46" t="s">
        <v>772</v>
      </c>
      <c r="D5537" t="s">
        <v>1138</v>
      </c>
      <c r="E5537" s="46" t="s">
        <v>1436</v>
      </c>
      <c r="F5537" s="45">
        <v>44000</v>
      </c>
      <c r="G5537" t="s">
        <v>1464</v>
      </c>
      <c r="H5537" t="s">
        <v>1438</v>
      </c>
      <c r="I5537" t="s">
        <v>1439</v>
      </c>
      <c r="J5537">
        <v>4</v>
      </c>
    </row>
    <row r="5538" spans="1:11" hidden="1" x14ac:dyDescent="0.3">
      <c r="A5538" s="46">
        <v>45453</v>
      </c>
      <c r="B5538" s="46" t="s">
        <v>734</v>
      </c>
      <c r="D5538" t="s">
        <v>1541</v>
      </c>
      <c r="E5538" s="46" t="s">
        <v>1436</v>
      </c>
      <c r="F5538" s="45">
        <v>44000</v>
      </c>
      <c r="G5538" t="s">
        <v>1441</v>
      </c>
      <c r="H5538" t="s">
        <v>1438</v>
      </c>
      <c r="I5538" t="s">
        <v>1439</v>
      </c>
      <c r="J5538">
        <v>4</v>
      </c>
    </row>
    <row r="5539" spans="1:11" hidden="1" x14ac:dyDescent="0.3">
      <c r="A5539" s="46">
        <v>45441</v>
      </c>
      <c r="B5539" s="46" t="s">
        <v>772</v>
      </c>
      <c r="D5539" t="s">
        <v>2092</v>
      </c>
      <c r="E5539" s="46" t="s">
        <v>1436</v>
      </c>
      <c r="F5539" s="45">
        <v>44000</v>
      </c>
      <c r="G5539" t="s">
        <v>1464</v>
      </c>
      <c r="H5539" t="s">
        <v>1438</v>
      </c>
      <c r="I5539" t="s">
        <v>1439</v>
      </c>
      <c r="J5539">
        <v>4</v>
      </c>
    </row>
    <row r="5540" spans="1:11" hidden="1" x14ac:dyDescent="0.3">
      <c r="A5540" s="46">
        <v>45439</v>
      </c>
      <c r="B5540" s="46" t="s">
        <v>734</v>
      </c>
      <c r="D5540" t="s">
        <v>2091</v>
      </c>
      <c r="E5540" s="46" t="s">
        <v>1436</v>
      </c>
      <c r="F5540" s="45">
        <v>44000</v>
      </c>
      <c r="G5540" t="s">
        <v>1441</v>
      </c>
      <c r="H5540" t="s">
        <v>1438</v>
      </c>
      <c r="I5540" t="s">
        <v>1439</v>
      </c>
      <c r="J5540">
        <v>4</v>
      </c>
    </row>
    <row r="5541" spans="1:11" hidden="1" x14ac:dyDescent="0.3">
      <c r="A5541" s="46">
        <v>45365</v>
      </c>
      <c r="B5541" s="46" t="s">
        <v>727</v>
      </c>
      <c r="D5541" t="s">
        <v>1057</v>
      </c>
      <c r="E5541" s="46" t="s">
        <v>1436</v>
      </c>
      <c r="F5541" s="45">
        <v>43200</v>
      </c>
      <c r="G5541" t="s">
        <v>1463</v>
      </c>
      <c r="H5541" t="s">
        <v>1438</v>
      </c>
      <c r="I5541" t="s">
        <v>1439</v>
      </c>
      <c r="J5541">
        <v>10</v>
      </c>
      <c r="K5541" t="s">
        <v>1603</v>
      </c>
    </row>
    <row r="5542" spans="1:11" hidden="1" x14ac:dyDescent="0.3">
      <c r="A5542" s="46">
        <v>45294</v>
      </c>
      <c r="B5542" s="46" t="s">
        <v>729</v>
      </c>
      <c r="D5542" t="s">
        <v>1561</v>
      </c>
      <c r="E5542" s="46" t="s">
        <v>1436</v>
      </c>
      <c r="F5542" s="45">
        <v>43200</v>
      </c>
      <c r="G5542" t="s">
        <v>1471</v>
      </c>
      <c r="H5542" t="s">
        <v>1488</v>
      </c>
      <c r="I5542" t="s">
        <v>1489</v>
      </c>
      <c r="K5542" t="s">
        <v>1562</v>
      </c>
    </row>
    <row r="5543" spans="1:11" hidden="1" x14ac:dyDescent="0.3">
      <c r="A5543" s="46">
        <v>45399</v>
      </c>
      <c r="B5543" s="46" t="s">
        <v>727</v>
      </c>
      <c r="D5543" t="s">
        <v>2234</v>
      </c>
      <c r="E5543" s="46" t="s">
        <v>1436</v>
      </c>
      <c r="F5543" s="45">
        <v>43000</v>
      </c>
      <c r="G5543" t="s">
        <v>1463</v>
      </c>
      <c r="H5543" t="s">
        <v>1484</v>
      </c>
      <c r="I5543" t="s">
        <v>1821</v>
      </c>
      <c r="K5543" t="s">
        <v>2235</v>
      </c>
    </row>
    <row r="5544" spans="1:11" hidden="1" x14ac:dyDescent="0.3">
      <c r="A5544" s="46">
        <v>45378</v>
      </c>
      <c r="B5544" s="46" t="s">
        <v>748</v>
      </c>
      <c r="D5544" t="s">
        <v>1077</v>
      </c>
      <c r="E5544" s="46" t="s">
        <v>1436</v>
      </c>
      <c r="F5544" s="45">
        <v>42900</v>
      </c>
      <c r="G5544" t="s">
        <v>1466</v>
      </c>
      <c r="H5544" t="s">
        <v>1438</v>
      </c>
      <c r="I5544" t="s">
        <v>1439</v>
      </c>
      <c r="J5544">
        <v>3</v>
      </c>
    </row>
    <row r="5545" spans="1:11" hidden="1" x14ac:dyDescent="0.3">
      <c r="A5545" s="46">
        <v>45319</v>
      </c>
      <c r="B5545" s="46" t="s">
        <v>748</v>
      </c>
      <c r="D5545" t="s">
        <v>1077</v>
      </c>
      <c r="E5545" s="46" t="s">
        <v>1436</v>
      </c>
      <c r="F5545" s="45">
        <v>42900</v>
      </c>
      <c r="G5545" t="s">
        <v>1479</v>
      </c>
      <c r="H5545" t="s">
        <v>1448</v>
      </c>
      <c r="I5545" t="s">
        <v>1449</v>
      </c>
      <c r="K5545" t="s">
        <v>1563</v>
      </c>
    </row>
    <row r="5546" spans="1:11" hidden="1" x14ac:dyDescent="0.3">
      <c r="A5546" s="46">
        <v>45350</v>
      </c>
      <c r="B5546" s="46" t="s">
        <v>748</v>
      </c>
      <c r="D5546" t="s">
        <v>1077</v>
      </c>
      <c r="E5546" s="46" t="s">
        <v>1436</v>
      </c>
      <c r="F5546" s="45">
        <v>42900</v>
      </c>
      <c r="G5546" t="s">
        <v>1479</v>
      </c>
      <c r="H5546" t="s">
        <v>1448</v>
      </c>
      <c r="I5546" t="s">
        <v>1449</v>
      </c>
      <c r="K5546" t="s">
        <v>1563</v>
      </c>
    </row>
    <row r="5547" spans="1:11" hidden="1" x14ac:dyDescent="0.3">
      <c r="A5547" s="46">
        <v>45450</v>
      </c>
      <c r="B5547" s="46" t="s">
        <v>767</v>
      </c>
      <c r="D5547" t="s">
        <v>1868</v>
      </c>
      <c r="E5547" s="46" t="s">
        <v>1436</v>
      </c>
      <c r="F5547" s="45">
        <v>42500</v>
      </c>
      <c r="G5547" t="s">
        <v>1460</v>
      </c>
      <c r="H5547" t="s">
        <v>1438</v>
      </c>
      <c r="I5547" t="s">
        <v>1439</v>
      </c>
      <c r="J5547">
        <v>5</v>
      </c>
    </row>
    <row r="5548" spans="1:11" hidden="1" x14ac:dyDescent="0.3">
      <c r="A5548" s="46">
        <v>45467</v>
      </c>
      <c r="B5548" s="46" t="s">
        <v>767</v>
      </c>
      <c r="D5548" t="s">
        <v>1868</v>
      </c>
      <c r="E5548" s="46" t="s">
        <v>1436</v>
      </c>
      <c r="F5548" s="45">
        <v>42500</v>
      </c>
      <c r="G5548" t="s">
        <v>1460</v>
      </c>
      <c r="H5548" t="s">
        <v>1438</v>
      </c>
      <c r="I5548" t="s">
        <v>1439</v>
      </c>
      <c r="J5548">
        <v>5</v>
      </c>
    </row>
    <row r="5549" spans="1:11" hidden="1" x14ac:dyDescent="0.3">
      <c r="A5549" s="46">
        <v>45355</v>
      </c>
      <c r="B5549" s="46" t="s">
        <v>772</v>
      </c>
      <c r="D5549" t="s">
        <v>1717</v>
      </c>
      <c r="E5549" s="46" t="s">
        <v>1436</v>
      </c>
      <c r="F5549" s="45">
        <v>42400</v>
      </c>
      <c r="G5549" t="s">
        <v>1480</v>
      </c>
      <c r="H5549" t="s">
        <v>1438</v>
      </c>
      <c r="I5549" t="s">
        <v>1456</v>
      </c>
      <c r="J5549">
        <v>6</v>
      </c>
      <c r="K5549" t="s">
        <v>1718</v>
      </c>
    </row>
    <row r="5550" spans="1:11" hidden="1" x14ac:dyDescent="0.3">
      <c r="A5550" s="46">
        <v>45336</v>
      </c>
      <c r="B5550" s="46" t="s">
        <v>767</v>
      </c>
      <c r="D5550" t="s">
        <v>1565</v>
      </c>
      <c r="E5550" s="46" t="s">
        <v>1436</v>
      </c>
      <c r="F5550" s="45">
        <v>42100</v>
      </c>
      <c r="G5550" t="s">
        <v>1460</v>
      </c>
      <c r="H5550" t="s">
        <v>1438</v>
      </c>
      <c r="I5550" t="s">
        <v>1439</v>
      </c>
      <c r="J5550">
        <v>4</v>
      </c>
    </row>
    <row r="5551" spans="1:11" hidden="1" x14ac:dyDescent="0.3">
      <c r="A5551" s="46">
        <v>45324</v>
      </c>
      <c r="B5551" s="46" t="s">
        <v>772</v>
      </c>
      <c r="D5551" t="s">
        <v>1082</v>
      </c>
      <c r="E5551" s="46" t="s">
        <v>1436</v>
      </c>
      <c r="F5551" s="45">
        <v>42000</v>
      </c>
      <c r="G5551" t="s">
        <v>1464</v>
      </c>
      <c r="H5551" t="s">
        <v>1438</v>
      </c>
      <c r="I5551" t="s">
        <v>1439</v>
      </c>
      <c r="J5551">
        <v>4</v>
      </c>
    </row>
    <row r="5552" spans="1:11" hidden="1" x14ac:dyDescent="0.3">
      <c r="A5552" s="46">
        <v>45324</v>
      </c>
      <c r="B5552" s="46" t="s">
        <v>724</v>
      </c>
      <c r="D5552" t="s">
        <v>1003</v>
      </c>
      <c r="E5552" s="46" t="s">
        <v>1436</v>
      </c>
      <c r="F5552" s="45">
        <v>42000</v>
      </c>
      <c r="G5552" t="s">
        <v>1437</v>
      </c>
      <c r="H5552" t="s">
        <v>1438</v>
      </c>
      <c r="I5552" t="s">
        <v>1439</v>
      </c>
      <c r="J5552">
        <v>3</v>
      </c>
    </row>
    <row r="5553" spans="1:11" hidden="1" x14ac:dyDescent="0.3">
      <c r="A5553" s="46">
        <v>45320</v>
      </c>
      <c r="B5553" s="46" t="s">
        <v>734</v>
      </c>
      <c r="D5553" t="s">
        <v>1553</v>
      </c>
      <c r="E5553" s="46" t="s">
        <v>1436</v>
      </c>
      <c r="F5553" s="45">
        <v>42000</v>
      </c>
      <c r="G5553" t="s">
        <v>1441</v>
      </c>
      <c r="H5553" t="s">
        <v>1438</v>
      </c>
      <c r="I5553" t="s">
        <v>1439</v>
      </c>
      <c r="J5553">
        <v>4</v>
      </c>
    </row>
    <row r="5554" spans="1:11" hidden="1" x14ac:dyDescent="0.3">
      <c r="A5554" s="46">
        <v>45303</v>
      </c>
      <c r="B5554" s="46" t="s">
        <v>724</v>
      </c>
      <c r="D5554" t="s">
        <v>949</v>
      </c>
      <c r="E5554" s="46" t="s">
        <v>1436</v>
      </c>
      <c r="F5554" s="45">
        <v>42000</v>
      </c>
      <c r="G5554" t="s">
        <v>1437</v>
      </c>
      <c r="H5554" t="s">
        <v>1438</v>
      </c>
      <c r="I5554" t="s">
        <v>1439</v>
      </c>
      <c r="J5554">
        <v>3</v>
      </c>
    </row>
    <row r="5555" spans="1:11" hidden="1" x14ac:dyDescent="0.3">
      <c r="A5555" s="46">
        <v>45415</v>
      </c>
      <c r="B5555" s="46" t="s">
        <v>734</v>
      </c>
      <c r="D5555" t="s">
        <v>2236</v>
      </c>
      <c r="E5555" s="46" t="s">
        <v>1436</v>
      </c>
      <c r="F5555" s="45">
        <v>42000</v>
      </c>
      <c r="G5555" t="s">
        <v>1441</v>
      </c>
      <c r="H5555" t="s">
        <v>1438</v>
      </c>
      <c r="I5555" t="s">
        <v>1439</v>
      </c>
      <c r="J5555">
        <v>4</v>
      </c>
    </row>
    <row r="5556" spans="1:11" hidden="1" x14ac:dyDescent="0.3">
      <c r="A5556" s="46">
        <v>45415</v>
      </c>
      <c r="B5556" s="46" t="s">
        <v>724</v>
      </c>
      <c r="D5556" t="s">
        <v>1003</v>
      </c>
      <c r="E5556" s="46" t="s">
        <v>1436</v>
      </c>
      <c r="F5556" s="45">
        <v>42000</v>
      </c>
      <c r="G5556" t="s">
        <v>1437</v>
      </c>
      <c r="H5556" t="s">
        <v>1438</v>
      </c>
      <c r="I5556" t="s">
        <v>1439</v>
      </c>
      <c r="J5556">
        <v>3</v>
      </c>
    </row>
    <row r="5557" spans="1:11" hidden="1" x14ac:dyDescent="0.3">
      <c r="A5557" s="46">
        <v>45468</v>
      </c>
      <c r="B5557" s="46" t="s">
        <v>722</v>
      </c>
      <c r="D5557" t="s">
        <v>1003</v>
      </c>
      <c r="E5557" s="46" t="s">
        <v>1436</v>
      </c>
      <c r="F5557" s="45">
        <v>42000</v>
      </c>
      <c r="G5557" t="s">
        <v>1437</v>
      </c>
      <c r="H5557" t="s">
        <v>1438</v>
      </c>
      <c r="I5557" t="s">
        <v>1439</v>
      </c>
      <c r="J5557">
        <v>3</v>
      </c>
    </row>
    <row r="5558" spans="1:11" hidden="1" x14ac:dyDescent="0.3">
      <c r="A5558" s="46">
        <v>45448</v>
      </c>
      <c r="B5558" s="46" t="s">
        <v>734</v>
      </c>
      <c r="D5558" t="s">
        <v>1705</v>
      </c>
      <c r="E5558" s="46" t="s">
        <v>1436</v>
      </c>
      <c r="F5558" s="45">
        <v>42000</v>
      </c>
      <c r="G5558" t="s">
        <v>1441</v>
      </c>
      <c r="H5558" t="s">
        <v>1438</v>
      </c>
      <c r="I5558" t="s">
        <v>1439</v>
      </c>
      <c r="J5558">
        <v>4</v>
      </c>
    </row>
    <row r="5559" spans="1:11" hidden="1" x14ac:dyDescent="0.3">
      <c r="A5559" s="46">
        <v>45475</v>
      </c>
      <c r="B5559" s="46" t="s">
        <v>734</v>
      </c>
      <c r="D5559" t="s">
        <v>1518</v>
      </c>
      <c r="E5559" s="46" t="s">
        <v>1436</v>
      </c>
      <c r="F5559" s="45">
        <v>41600</v>
      </c>
      <c r="G5559" t="s">
        <v>1441</v>
      </c>
      <c r="H5559" t="s">
        <v>1438</v>
      </c>
      <c r="I5559" t="s">
        <v>1439</v>
      </c>
      <c r="J5559">
        <v>4</v>
      </c>
    </row>
    <row r="5560" spans="1:11" hidden="1" x14ac:dyDescent="0.3">
      <c r="A5560" s="46">
        <v>45474</v>
      </c>
      <c r="B5560" s="46" t="s">
        <v>734</v>
      </c>
      <c r="D5560" t="s">
        <v>1559</v>
      </c>
      <c r="E5560" s="46" t="s">
        <v>1436</v>
      </c>
      <c r="F5560" s="45">
        <v>41000</v>
      </c>
      <c r="G5560" t="s">
        <v>1441</v>
      </c>
      <c r="H5560" t="s">
        <v>1438</v>
      </c>
      <c r="I5560" t="s">
        <v>1439</v>
      </c>
      <c r="J5560">
        <v>4</v>
      </c>
    </row>
    <row r="5561" spans="1:11" hidden="1" x14ac:dyDescent="0.3">
      <c r="A5561" s="46">
        <v>45408</v>
      </c>
      <c r="B5561" s="46" t="s">
        <v>734</v>
      </c>
      <c r="D5561" t="s">
        <v>2236</v>
      </c>
      <c r="E5561" s="46" t="s">
        <v>1436</v>
      </c>
      <c r="F5561" s="45">
        <v>41000</v>
      </c>
      <c r="G5561" t="s">
        <v>1441</v>
      </c>
      <c r="H5561" t="s">
        <v>1438</v>
      </c>
      <c r="I5561" t="s">
        <v>1439</v>
      </c>
      <c r="J5561">
        <v>4</v>
      </c>
    </row>
    <row r="5562" spans="1:11" hidden="1" x14ac:dyDescent="0.3">
      <c r="A5562" s="46">
        <v>45412</v>
      </c>
      <c r="B5562" s="46" t="s">
        <v>767</v>
      </c>
      <c r="D5562" t="s">
        <v>1548</v>
      </c>
      <c r="E5562" s="46" t="s">
        <v>1436</v>
      </c>
      <c r="F5562" s="45">
        <v>40900</v>
      </c>
      <c r="G5562" t="s">
        <v>1460</v>
      </c>
      <c r="H5562" t="s">
        <v>1438</v>
      </c>
      <c r="I5562" t="s">
        <v>1439</v>
      </c>
      <c r="J5562">
        <v>4</v>
      </c>
    </row>
    <row r="5563" spans="1:11" hidden="1" x14ac:dyDescent="0.3">
      <c r="A5563" s="46">
        <v>45357</v>
      </c>
      <c r="B5563" s="46" t="s">
        <v>767</v>
      </c>
      <c r="D5563" t="s">
        <v>1552</v>
      </c>
      <c r="E5563" s="46" t="s">
        <v>1436</v>
      </c>
      <c r="F5563" s="45">
        <v>40860</v>
      </c>
      <c r="G5563" t="s">
        <v>1460</v>
      </c>
      <c r="H5563" t="s">
        <v>1438</v>
      </c>
      <c r="I5563" t="s">
        <v>1439</v>
      </c>
      <c r="J5563">
        <v>6</v>
      </c>
    </row>
    <row r="5564" spans="1:11" hidden="1" x14ac:dyDescent="0.3">
      <c r="A5564" s="46">
        <v>45393</v>
      </c>
      <c r="B5564" s="46" t="s">
        <v>748</v>
      </c>
      <c r="D5564" t="s">
        <v>1440</v>
      </c>
      <c r="E5564" s="46" t="s">
        <v>1436</v>
      </c>
      <c r="F5564" s="45">
        <v>40200</v>
      </c>
      <c r="G5564" t="s">
        <v>1466</v>
      </c>
      <c r="H5564" t="s">
        <v>1442</v>
      </c>
      <c r="I5564" t="s">
        <v>1458</v>
      </c>
      <c r="K5564" t="s">
        <v>2190</v>
      </c>
    </row>
    <row r="5565" spans="1:11" hidden="1" x14ac:dyDescent="0.3">
      <c r="A5565" s="46">
        <v>45481</v>
      </c>
      <c r="B5565" s="46" t="s">
        <v>727</v>
      </c>
      <c r="D5565" t="s">
        <v>1565</v>
      </c>
      <c r="E5565" s="46" t="s">
        <v>1436</v>
      </c>
      <c r="F5565" s="45">
        <v>40200</v>
      </c>
      <c r="G5565" t="s">
        <v>1463</v>
      </c>
    </row>
    <row r="5566" spans="1:11" hidden="1" x14ac:dyDescent="0.3">
      <c r="A5566" s="46">
        <v>45441</v>
      </c>
      <c r="B5566" s="46" t="s">
        <v>767</v>
      </c>
      <c r="D5566" t="s">
        <v>1095</v>
      </c>
      <c r="E5566" s="46" t="s">
        <v>1436</v>
      </c>
      <c r="F5566" s="45">
        <v>40000</v>
      </c>
      <c r="G5566" t="s">
        <v>1460</v>
      </c>
      <c r="H5566" t="s">
        <v>1438</v>
      </c>
      <c r="I5566" t="s">
        <v>1439</v>
      </c>
      <c r="J5566">
        <v>4</v>
      </c>
    </row>
    <row r="5567" spans="1:11" hidden="1" x14ac:dyDescent="0.3">
      <c r="A5567" s="46">
        <v>45454</v>
      </c>
      <c r="B5567" s="46" t="s">
        <v>724</v>
      </c>
      <c r="D5567" t="s">
        <v>949</v>
      </c>
      <c r="E5567" s="46" t="s">
        <v>1436</v>
      </c>
      <c r="F5567" s="45">
        <v>40000</v>
      </c>
      <c r="G5567" t="s">
        <v>1437</v>
      </c>
      <c r="H5567" t="s">
        <v>1438</v>
      </c>
      <c r="I5567" t="s">
        <v>1439</v>
      </c>
      <c r="J5567">
        <v>3</v>
      </c>
    </row>
    <row r="5568" spans="1:11" hidden="1" x14ac:dyDescent="0.3">
      <c r="A5568" s="46">
        <v>45363</v>
      </c>
      <c r="B5568" s="46" t="s">
        <v>734</v>
      </c>
      <c r="D5568" t="s">
        <v>1495</v>
      </c>
      <c r="E5568" s="46" t="s">
        <v>1436</v>
      </c>
      <c r="F5568" s="45">
        <v>40000</v>
      </c>
      <c r="G5568" t="s">
        <v>1441</v>
      </c>
      <c r="H5568" t="s">
        <v>1452</v>
      </c>
      <c r="I5568" t="s">
        <v>1494</v>
      </c>
    </row>
    <row r="5569" spans="1:11" hidden="1" x14ac:dyDescent="0.3">
      <c r="A5569" s="46">
        <v>45391</v>
      </c>
      <c r="B5569" s="46" t="s">
        <v>767</v>
      </c>
      <c r="D5569" t="s">
        <v>1542</v>
      </c>
      <c r="E5569" s="46" t="s">
        <v>1436</v>
      </c>
      <c r="F5569" s="45">
        <v>40000</v>
      </c>
      <c r="G5569" t="s">
        <v>1460</v>
      </c>
      <c r="H5569" t="s">
        <v>1438</v>
      </c>
      <c r="I5569" t="s">
        <v>1439</v>
      </c>
      <c r="J5569">
        <v>4</v>
      </c>
    </row>
    <row r="5570" spans="1:11" hidden="1" x14ac:dyDescent="0.3">
      <c r="A5570" s="46">
        <v>45315</v>
      </c>
      <c r="B5570" s="46" t="s">
        <v>727</v>
      </c>
      <c r="D5570" t="s">
        <v>1559</v>
      </c>
      <c r="E5570" s="46" t="s">
        <v>1436</v>
      </c>
      <c r="F5570" s="45">
        <v>40000</v>
      </c>
      <c r="G5570" t="s">
        <v>1463</v>
      </c>
      <c r="H5570" t="s">
        <v>1438</v>
      </c>
      <c r="I5570" t="s">
        <v>1439</v>
      </c>
      <c r="J5570">
        <v>4</v>
      </c>
    </row>
    <row r="5571" spans="1:11" hidden="1" x14ac:dyDescent="0.3">
      <c r="A5571" s="46">
        <v>45433</v>
      </c>
      <c r="B5571" s="46" t="s">
        <v>734</v>
      </c>
      <c r="D5571" t="s">
        <v>2230</v>
      </c>
      <c r="E5571" s="46" t="s">
        <v>1436</v>
      </c>
      <c r="F5571" s="45">
        <v>39500</v>
      </c>
      <c r="G5571" t="s">
        <v>1441</v>
      </c>
      <c r="H5571" t="s">
        <v>1438</v>
      </c>
      <c r="I5571" t="s">
        <v>1439</v>
      </c>
      <c r="J5571">
        <v>4</v>
      </c>
    </row>
    <row r="5572" spans="1:11" hidden="1" x14ac:dyDescent="0.3">
      <c r="A5572" s="46">
        <v>45446</v>
      </c>
      <c r="B5572" s="46" t="s">
        <v>722</v>
      </c>
      <c r="D5572" t="s">
        <v>1490</v>
      </c>
      <c r="E5572" s="46" t="s">
        <v>1436</v>
      </c>
      <c r="F5572" s="45">
        <v>39270</v>
      </c>
      <c r="G5572" t="s">
        <v>1466</v>
      </c>
      <c r="H5572" t="s">
        <v>1469</v>
      </c>
      <c r="I5572" t="s">
        <v>1503</v>
      </c>
      <c r="K5572" t="s">
        <v>2212</v>
      </c>
    </row>
    <row r="5573" spans="1:11" hidden="1" x14ac:dyDescent="0.3">
      <c r="A5573" s="46">
        <v>45440</v>
      </c>
      <c r="B5573" s="46" t="s">
        <v>748</v>
      </c>
      <c r="D5573" t="s">
        <v>1552</v>
      </c>
      <c r="E5573" s="46" t="s">
        <v>1436</v>
      </c>
      <c r="F5573" s="45">
        <v>39060</v>
      </c>
      <c r="G5573" t="s">
        <v>1479</v>
      </c>
      <c r="H5573" t="s">
        <v>1438</v>
      </c>
      <c r="I5573" t="s">
        <v>1439</v>
      </c>
      <c r="K5573" t="s">
        <v>1547</v>
      </c>
    </row>
    <row r="5574" spans="1:11" hidden="1" x14ac:dyDescent="0.3">
      <c r="A5574" s="46">
        <v>45440</v>
      </c>
      <c r="B5574" s="46" t="s">
        <v>748</v>
      </c>
      <c r="D5574" t="s">
        <v>1552</v>
      </c>
      <c r="E5574" s="46" t="s">
        <v>1436</v>
      </c>
      <c r="F5574" s="45">
        <v>39060</v>
      </c>
      <c r="G5574" t="s">
        <v>1479</v>
      </c>
      <c r="H5574" t="s">
        <v>1438</v>
      </c>
      <c r="I5574" t="s">
        <v>1439</v>
      </c>
      <c r="K5574" t="s">
        <v>1547</v>
      </c>
    </row>
    <row r="5575" spans="1:11" hidden="1" x14ac:dyDescent="0.3">
      <c r="A5575" s="46">
        <v>45358</v>
      </c>
      <c r="B5575" s="46" t="s">
        <v>767</v>
      </c>
      <c r="D5575" t="s">
        <v>1552</v>
      </c>
      <c r="E5575" s="46" t="s">
        <v>1436</v>
      </c>
      <c r="F5575" s="45">
        <v>39060</v>
      </c>
      <c r="G5575" t="s">
        <v>1460</v>
      </c>
      <c r="H5575" t="s">
        <v>1438</v>
      </c>
      <c r="I5575" t="s">
        <v>1439</v>
      </c>
      <c r="J5575">
        <v>8</v>
      </c>
    </row>
    <row r="5576" spans="1:11" hidden="1" x14ac:dyDescent="0.3">
      <c r="A5576" s="46">
        <v>45373</v>
      </c>
      <c r="B5576" s="46" t="s">
        <v>767</v>
      </c>
      <c r="D5576" t="s">
        <v>1834</v>
      </c>
      <c r="E5576" s="46" t="s">
        <v>1436</v>
      </c>
      <c r="F5576" s="45">
        <v>39000</v>
      </c>
      <c r="G5576" t="s">
        <v>1460</v>
      </c>
      <c r="H5576" t="s">
        <v>1438</v>
      </c>
      <c r="I5576" t="s">
        <v>1439</v>
      </c>
      <c r="K5576" t="s">
        <v>1845</v>
      </c>
    </row>
    <row r="5577" spans="1:11" hidden="1" x14ac:dyDescent="0.3">
      <c r="A5577" s="46">
        <v>45384</v>
      </c>
      <c r="B5577" s="46" t="s">
        <v>767</v>
      </c>
      <c r="D5577" t="s">
        <v>1545</v>
      </c>
      <c r="E5577" s="46" t="s">
        <v>1436</v>
      </c>
      <c r="F5577" s="45">
        <v>39000</v>
      </c>
      <c r="G5577" t="s">
        <v>1460</v>
      </c>
      <c r="H5577" t="s">
        <v>1438</v>
      </c>
      <c r="I5577" t="s">
        <v>1439</v>
      </c>
      <c r="J5577">
        <v>4</v>
      </c>
    </row>
    <row r="5578" spans="1:11" hidden="1" x14ac:dyDescent="0.3">
      <c r="A5578" s="46">
        <v>45379</v>
      </c>
      <c r="B5578" s="46" t="s">
        <v>724</v>
      </c>
      <c r="D5578" t="s">
        <v>1866</v>
      </c>
      <c r="E5578" s="46" t="s">
        <v>1436</v>
      </c>
      <c r="F5578" s="45">
        <v>39000</v>
      </c>
      <c r="G5578" t="s">
        <v>1437</v>
      </c>
      <c r="H5578" t="s">
        <v>1438</v>
      </c>
      <c r="I5578" t="s">
        <v>1439</v>
      </c>
      <c r="J5578">
        <v>3</v>
      </c>
    </row>
    <row r="5579" spans="1:11" hidden="1" x14ac:dyDescent="0.3">
      <c r="A5579" s="46">
        <v>45394</v>
      </c>
      <c r="B5579" s="46" t="s">
        <v>767</v>
      </c>
      <c r="D5579" t="s">
        <v>1095</v>
      </c>
      <c r="E5579" s="46" t="s">
        <v>1436</v>
      </c>
      <c r="F5579" s="45">
        <v>39000</v>
      </c>
      <c r="G5579" t="s">
        <v>1460</v>
      </c>
      <c r="H5579" t="s">
        <v>1438</v>
      </c>
      <c r="I5579" t="s">
        <v>1439</v>
      </c>
      <c r="J5579">
        <v>4</v>
      </c>
    </row>
    <row r="5580" spans="1:11" hidden="1" x14ac:dyDescent="0.3">
      <c r="A5580" s="46">
        <v>45302</v>
      </c>
      <c r="B5580" s="46" t="s">
        <v>734</v>
      </c>
      <c r="D5580" t="s">
        <v>850</v>
      </c>
      <c r="E5580" s="46" t="s">
        <v>1436</v>
      </c>
      <c r="F5580" s="45">
        <v>39000</v>
      </c>
      <c r="G5580" t="s">
        <v>1441</v>
      </c>
      <c r="H5580" t="s">
        <v>1438</v>
      </c>
      <c r="I5580" t="s">
        <v>1439</v>
      </c>
      <c r="J5580">
        <v>6</v>
      </c>
    </row>
    <row r="5581" spans="1:11" hidden="1" x14ac:dyDescent="0.3">
      <c r="A5581" s="46">
        <v>45335</v>
      </c>
      <c r="B5581" s="46" t="s">
        <v>767</v>
      </c>
      <c r="D5581" t="s">
        <v>1095</v>
      </c>
      <c r="E5581" s="46" t="s">
        <v>1436</v>
      </c>
      <c r="F5581" s="45">
        <v>39000</v>
      </c>
      <c r="G5581" t="s">
        <v>1460</v>
      </c>
      <c r="H5581" t="s">
        <v>1438</v>
      </c>
      <c r="I5581" t="s">
        <v>1439</v>
      </c>
      <c r="J5581">
        <v>4</v>
      </c>
    </row>
    <row r="5582" spans="1:11" hidden="1" x14ac:dyDescent="0.3">
      <c r="A5582" s="46">
        <v>45343</v>
      </c>
      <c r="B5582" s="46" t="s">
        <v>767</v>
      </c>
      <c r="D5582" t="s">
        <v>1545</v>
      </c>
      <c r="E5582" s="46" t="s">
        <v>1436</v>
      </c>
      <c r="F5582" s="45">
        <v>39000</v>
      </c>
      <c r="G5582" t="s">
        <v>1460</v>
      </c>
      <c r="H5582" t="s">
        <v>1438</v>
      </c>
      <c r="I5582" t="s">
        <v>1439</v>
      </c>
      <c r="J5582">
        <v>4</v>
      </c>
    </row>
    <row r="5583" spans="1:11" hidden="1" x14ac:dyDescent="0.3">
      <c r="A5583" s="46">
        <v>45349</v>
      </c>
      <c r="B5583" s="46" t="s">
        <v>767</v>
      </c>
      <c r="D5583" t="s">
        <v>1095</v>
      </c>
      <c r="E5583" s="46" t="s">
        <v>1436</v>
      </c>
      <c r="F5583" s="45">
        <v>39000</v>
      </c>
      <c r="G5583" t="s">
        <v>1460</v>
      </c>
      <c r="H5583" t="s">
        <v>1438</v>
      </c>
      <c r="I5583" t="s">
        <v>1439</v>
      </c>
      <c r="J5583">
        <v>4</v>
      </c>
    </row>
    <row r="5584" spans="1:11" hidden="1" x14ac:dyDescent="0.3">
      <c r="A5584" s="46">
        <v>45441</v>
      </c>
      <c r="B5584" s="46" t="s">
        <v>772</v>
      </c>
      <c r="D5584" t="s">
        <v>1098</v>
      </c>
      <c r="E5584" s="46" t="s">
        <v>1436</v>
      </c>
      <c r="F5584" s="45">
        <v>39000</v>
      </c>
      <c r="G5584" t="s">
        <v>1464</v>
      </c>
      <c r="H5584" t="s">
        <v>1438</v>
      </c>
      <c r="I5584" t="s">
        <v>1456</v>
      </c>
      <c r="J5584">
        <v>6</v>
      </c>
    </row>
    <row r="5585" spans="1:11" hidden="1" x14ac:dyDescent="0.3">
      <c r="A5585" s="46">
        <v>45442</v>
      </c>
      <c r="B5585" s="46" t="s">
        <v>724</v>
      </c>
      <c r="D5585" t="s">
        <v>952</v>
      </c>
      <c r="E5585" s="46" t="s">
        <v>1436</v>
      </c>
      <c r="F5585" s="45">
        <v>38700</v>
      </c>
      <c r="G5585" t="s">
        <v>1437</v>
      </c>
      <c r="H5585" t="s">
        <v>1438</v>
      </c>
      <c r="I5585" t="s">
        <v>1439</v>
      </c>
      <c r="J5585">
        <v>3</v>
      </c>
    </row>
    <row r="5586" spans="1:11" hidden="1" x14ac:dyDescent="0.3">
      <c r="A5586" s="46">
        <v>45467</v>
      </c>
      <c r="B5586" s="46" t="s">
        <v>724</v>
      </c>
      <c r="D5586" t="s">
        <v>1508</v>
      </c>
      <c r="E5586" s="46" t="s">
        <v>1436</v>
      </c>
      <c r="F5586" s="45">
        <v>38500</v>
      </c>
      <c r="G5586" t="s">
        <v>1479</v>
      </c>
      <c r="H5586" t="s">
        <v>1468</v>
      </c>
      <c r="I5586" t="s">
        <v>1487</v>
      </c>
      <c r="K5586" t="s">
        <v>2390</v>
      </c>
    </row>
    <row r="5587" spans="1:11" hidden="1" x14ac:dyDescent="0.3">
      <c r="A5587" s="46">
        <v>45422</v>
      </c>
      <c r="B5587" s="46" t="s">
        <v>748</v>
      </c>
      <c r="D5587" t="s">
        <v>1440</v>
      </c>
      <c r="E5587" s="46" t="s">
        <v>1436</v>
      </c>
      <c r="F5587" s="45">
        <v>38400</v>
      </c>
      <c r="G5587" t="s">
        <v>1479</v>
      </c>
      <c r="H5587" t="s">
        <v>1442</v>
      </c>
      <c r="I5587" t="s">
        <v>1458</v>
      </c>
      <c r="K5587" t="s">
        <v>2237</v>
      </c>
    </row>
    <row r="5588" spans="1:11" hidden="1" x14ac:dyDescent="0.3">
      <c r="A5588" s="46">
        <v>45372</v>
      </c>
      <c r="B5588" s="46" t="s">
        <v>724</v>
      </c>
      <c r="D5588" t="s">
        <v>1835</v>
      </c>
      <c r="E5588" s="46" t="s">
        <v>1436</v>
      </c>
      <c r="F5588" s="45">
        <v>38000</v>
      </c>
      <c r="G5588" t="s">
        <v>1437</v>
      </c>
      <c r="H5588" t="s">
        <v>1438</v>
      </c>
      <c r="I5588" t="s">
        <v>1439</v>
      </c>
      <c r="J5588">
        <v>4</v>
      </c>
    </row>
    <row r="5589" spans="1:11" hidden="1" x14ac:dyDescent="0.3">
      <c r="A5589" s="46">
        <v>45351</v>
      </c>
      <c r="B5589" s="46" t="s">
        <v>767</v>
      </c>
      <c r="D5589" t="s">
        <v>1564</v>
      </c>
      <c r="E5589" s="46" t="s">
        <v>1436</v>
      </c>
      <c r="F5589" s="45">
        <v>38000</v>
      </c>
      <c r="G5589" t="s">
        <v>1460</v>
      </c>
      <c r="H5589" t="s">
        <v>1438</v>
      </c>
      <c r="I5589" t="s">
        <v>1439</v>
      </c>
      <c r="K5589" t="s">
        <v>1715</v>
      </c>
    </row>
    <row r="5590" spans="1:11" hidden="1" x14ac:dyDescent="0.3">
      <c r="A5590" s="46">
        <v>45335</v>
      </c>
      <c r="B5590" s="46" t="s">
        <v>724</v>
      </c>
      <c r="D5590" t="s">
        <v>1099</v>
      </c>
      <c r="E5590" s="46" t="s">
        <v>1436</v>
      </c>
      <c r="F5590" s="45">
        <v>38000</v>
      </c>
      <c r="G5590" t="s">
        <v>1437</v>
      </c>
      <c r="H5590" t="s">
        <v>1438</v>
      </c>
      <c r="I5590" t="s">
        <v>1439</v>
      </c>
      <c r="J5590">
        <v>3</v>
      </c>
    </row>
    <row r="5591" spans="1:11" hidden="1" x14ac:dyDescent="0.3">
      <c r="A5591" s="46">
        <v>45324</v>
      </c>
      <c r="B5591" s="46" t="s">
        <v>727</v>
      </c>
      <c r="D5591" t="s">
        <v>1545</v>
      </c>
      <c r="E5591" s="46" t="s">
        <v>1436</v>
      </c>
      <c r="F5591" s="45">
        <v>38000</v>
      </c>
      <c r="G5591" t="s">
        <v>1463</v>
      </c>
      <c r="H5591" t="s">
        <v>1438</v>
      </c>
      <c r="I5591" t="s">
        <v>1439</v>
      </c>
      <c r="J5591">
        <v>4</v>
      </c>
    </row>
    <row r="5592" spans="1:11" hidden="1" x14ac:dyDescent="0.3">
      <c r="A5592" s="46">
        <v>45306</v>
      </c>
      <c r="B5592" s="46" t="s">
        <v>724</v>
      </c>
      <c r="D5592" t="s">
        <v>989</v>
      </c>
      <c r="E5592" s="46" t="s">
        <v>1436</v>
      </c>
      <c r="F5592" s="45">
        <v>38000</v>
      </c>
      <c r="G5592" t="s">
        <v>1437</v>
      </c>
      <c r="H5592" t="s">
        <v>1438</v>
      </c>
      <c r="I5592" t="s">
        <v>1439</v>
      </c>
      <c r="J5592">
        <v>3</v>
      </c>
    </row>
    <row r="5593" spans="1:11" hidden="1" x14ac:dyDescent="0.3">
      <c r="A5593" s="46">
        <v>45296</v>
      </c>
      <c r="B5593" s="46" t="s">
        <v>748</v>
      </c>
      <c r="D5593" t="s">
        <v>1564</v>
      </c>
      <c r="E5593" s="46" t="s">
        <v>1436</v>
      </c>
      <c r="F5593" s="45">
        <v>38000</v>
      </c>
      <c r="G5593" t="s">
        <v>1479</v>
      </c>
      <c r="H5593" t="s">
        <v>1438</v>
      </c>
      <c r="I5593" t="s">
        <v>1439</v>
      </c>
      <c r="K5593" t="s">
        <v>1567</v>
      </c>
    </row>
    <row r="5594" spans="1:11" hidden="1" x14ac:dyDescent="0.3">
      <c r="A5594" s="46">
        <v>45313</v>
      </c>
      <c r="B5594" s="46" t="s">
        <v>727</v>
      </c>
      <c r="D5594" t="s">
        <v>1564</v>
      </c>
      <c r="E5594" s="46" t="s">
        <v>1436</v>
      </c>
      <c r="F5594" s="45">
        <v>38000</v>
      </c>
      <c r="G5594" t="s">
        <v>1463</v>
      </c>
      <c r="H5594" t="s">
        <v>1438</v>
      </c>
      <c r="I5594" t="s">
        <v>1439</v>
      </c>
      <c r="K5594" t="s">
        <v>1719</v>
      </c>
    </row>
    <row r="5595" spans="1:11" hidden="1" x14ac:dyDescent="0.3">
      <c r="A5595" s="46">
        <v>45436</v>
      </c>
      <c r="B5595" s="46" t="s">
        <v>772</v>
      </c>
      <c r="D5595" t="s">
        <v>2097</v>
      </c>
      <c r="E5595" s="46" t="s">
        <v>1436</v>
      </c>
      <c r="F5595" s="45">
        <v>38000</v>
      </c>
      <c r="G5595" t="s">
        <v>1463</v>
      </c>
      <c r="H5595" t="s">
        <v>1438</v>
      </c>
      <c r="I5595" t="s">
        <v>1439</v>
      </c>
      <c r="J5595">
        <v>4</v>
      </c>
    </row>
    <row r="5596" spans="1:11" hidden="1" x14ac:dyDescent="0.3">
      <c r="A5596" s="46">
        <v>45362</v>
      </c>
      <c r="B5596" s="46" t="s">
        <v>724</v>
      </c>
      <c r="D5596" t="s">
        <v>755</v>
      </c>
      <c r="E5596" s="46" t="s">
        <v>1436</v>
      </c>
      <c r="F5596" s="45">
        <v>37800</v>
      </c>
      <c r="G5596" t="s">
        <v>1437</v>
      </c>
      <c r="H5596" t="s">
        <v>1438</v>
      </c>
      <c r="I5596" t="s">
        <v>1439</v>
      </c>
      <c r="K5596" t="s">
        <v>1720</v>
      </c>
    </row>
    <row r="5597" spans="1:11" hidden="1" x14ac:dyDescent="0.3">
      <c r="A5597" s="46">
        <v>45386</v>
      </c>
      <c r="B5597" s="46" t="s">
        <v>772</v>
      </c>
      <c r="D5597" t="s">
        <v>2098</v>
      </c>
      <c r="E5597" s="46" t="s">
        <v>1436</v>
      </c>
      <c r="F5597" s="45">
        <v>37500</v>
      </c>
      <c r="G5597" t="s">
        <v>1464</v>
      </c>
      <c r="H5597" t="s">
        <v>1438</v>
      </c>
      <c r="I5597" t="s">
        <v>1439</v>
      </c>
      <c r="J5597">
        <v>5</v>
      </c>
    </row>
    <row r="5598" spans="1:11" hidden="1" x14ac:dyDescent="0.3">
      <c r="A5598" s="46">
        <v>45422</v>
      </c>
      <c r="B5598" s="46" t="s">
        <v>748</v>
      </c>
      <c r="D5598" t="s">
        <v>1440</v>
      </c>
      <c r="E5598" s="46" t="s">
        <v>1436</v>
      </c>
      <c r="F5598" s="45">
        <v>37500</v>
      </c>
      <c r="G5598" t="s">
        <v>1479</v>
      </c>
      <c r="H5598" t="s">
        <v>1442</v>
      </c>
      <c r="I5598" t="s">
        <v>1458</v>
      </c>
      <c r="K5598" t="s">
        <v>2238</v>
      </c>
    </row>
    <row r="5599" spans="1:11" hidden="1" x14ac:dyDescent="0.3">
      <c r="A5599" s="46">
        <v>45300</v>
      </c>
      <c r="B5599" s="46" t="s">
        <v>724</v>
      </c>
      <c r="D5599" t="s">
        <v>939</v>
      </c>
      <c r="E5599" s="46" t="s">
        <v>1436</v>
      </c>
      <c r="F5599" s="45">
        <v>37500</v>
      </c>
      <c r="G5599" t="s">
        <v>1437</v>
      </c>
      <c r="H5599" t="s">
        <v>1438</v>
      </c>
      <c r="I5599" t="s">
        <v>1439</v>
      </c>
      <c r="J5599">
        <v>3</v>
      </c>
    </row>
    <row r="5600" spans="1:11" hidden="1" x14ac:dyDescent="0.3">
      <c r="A5600" s="46">
        <v>45307</v>
      </c>
      <c r="B5600" s="46" t="s">
        <v>724</v>
      </c>
      <c r="D5600" t="s">
        <v>1106</v>
      </c>
      <c r="E5600" s="46" t="s">
        <v>1436</v>
      </c>
      <c r="F5600" s="45">
        <v>37000</v>
      </c>
      <c r="G5600" t="s">
        <v>1437</v>
      </c>
      <c r="H5600" t="s">
        <v>1438</v>
      </c>
      <c r="I5600" t="s">
        <v>1439</v>
      </c>
      <c r="J5600">
        <v>3</v>
      </c>
    </row>
    <row r="5601" spans="1:10" hidden="1" x14ac:dyDescent="0.3">
      <c r="A5601" s="46">
        <v>45317</v>
      </c>
      <c r="B5601" s="46" t="s">
        <v>767</v>
      </c>
      <c r="D5601" t="s">
        <v>1095</v>
      </c>
      <c r="E5601" s="46" t="s">
        <v>1436</v>
      </c>
      <c r="F5601" s="45">
        <v>37000</v>
      </c>
      <c r="G5601" t="s">
        <v>1460</v>
      </c>
      <c r="H5601" t="s">
        <v>1438</v>
      </c>
      <c r="I5601" t="s">
        <v>1439</v>
      </c>
      <c r="J5601">
        <v>4</v>
      </c>
    </row>
    <row r="5602" spans="1:10" hidden="1" x14ac:dyDescent="0.3">
      <c r="A5602" s="46">
        <v>45397</v>
      </c>
      <c r="B5602" s="46" t="s">
        <v>772</v>
      </c>
      <c r="D5602" t="s">
        <v>1138</v>
      </c>
      <c r="E5602" s="46" t="s">
        <v>1436</v>
      </c>
      <c r="F5602" s="45">
        <v>37000</v>
      </c>
      <c r="G5602" t="s">
        <v>1464</v>
      </c>
      <c r="H5602" t="s">
        <v>1438</v>
      </c>
      <c r="I5602" t="s">
        <v>1439</v>
      </c>
      <c r="J5602">
        <v>3</v>
      </c>
    </row>
    <row r="5603" spans="1:10" hidden="1" x14ac:dyDescent="0.3">
      <c r="A5603" s="46">
        <v>45383</v>
      </c>
      <c r="B5603" s="46" t="s">
        <v>767</v>
      </c>
      <c r="D5603" t="s">
        <v>1095</v>
      </c>
      <c r="E5603" s="46" t="s">
        <v>1436</v>
      </c>
      <c r="F5603" s="45">
        <v>37000</v>
      </c>
      <c r="G5603" t="s">
        <v>1460</v>
      </c>
      <c r="H5603" t="s">
        <v>1438</v>
      </c>
      <c r="I5603" t="s">
        <v>1439</v>
      </c>
      <c r="J5603">
        <v>4</v>
      </c>
    </row>
    <row r="5604" spans="1:10" hidden="1" x14ac:dyDescent="0.3">
      <c r="A5604" s="46">
        <v>45362</v>
      </c>
      <c r="B5604" s="46" t="s">
        <v>767</v>
      </c>
      <c r="D5604" t="s">
        <v>1095</v>
      </c>
      <c r="E5604" s="46" t="s">
        <v>1436</v>
      </c>
      <c r="F5604" s="45">
        <v>37000</v>
      </c>
      <c r="G5604" t="s">
        <v>1460</v>
      </c>
      <c r="H5604" t="s">
        <v>1438</v>
      </c>
      <c r="I5604" t="s">
        <v>1439</v>
      </c>
      <c r="J5604">
        <v>3</v>
      </c>
    </row>
    <row r="5605" spans="1:10" hidden="1" x14ac:dyDescent="0.3">
      <c r="A5605" s="46">
        <v>45369</v>
      </c>
      <c r="B5605" s="46" t="s">
        <v>767</v>
      </c>
      <c r="D5605" t="s">
        <v>1095</v>
      </c>
      <c r="E5605" s="46" t="s">
        <v>1436</v>
      </c>
      <c r="F5605" s="45">
        <v>37000</v>
      </c>
      <c r="G5605" t="s">
        <v>1460</v>
      </c>
      <c r="H5605" t="s">
        <v>1438</v>
      </c>
      <c r="I5605" t="s">
        <v>1439</v>
      </c>
      <c r="J5605">
        <v>4</v>
      </c>
    </row>
    <row r="5606" spans="1:10" hidden="1" x14ac:dyDescent="0.3">
      <c r="A5606" s="46">
        <v>45441</v>
      </c>
      <c r="B5606" s="46" t="s">
        <v>720</v>
      </c>
      <c r="D5606" t="s">
        <v>1569</v>
      </c>
      <c r="E5606" s="46" t="s">
        <v>1436</v>
      </c>
      <c r="F5606" s="45">
        <v>37000</v>
      </c>
      <c r="G5606" t="s">
        <v>1441</v>
      </c>
      <c r="H5606" t="s">
        <v>1448</v>
      </c>
      <c r="I5606" t="s">
        <v>1449</v>
      </c>
    </row>
    <row r="5607" spans="1:10" hidden="1" x14ac:dyDescent="0.3">
      <c r="A5607" s="46">
        <v>45448</v>
      </c>
      <c r="B5607" s="46" t="s">
        <v>724</v>
      </c>
      <c r="D5607" t="s">
        <v>2239</v>
      </c>
      <c r="E5607" s="46" t="s">
        <v>1436</v>
      </c>
      <c r="F5607" s="45">
        <v>36800</v>
      </c>
      <c r="G5607" t="s">
        <v>1437</v>
      </c>
      <c r="H5607" t="s">
        <v>1438</v>
      </c>
      <c r="I5607" t="s">
        <v>1439</v>
      </c>
      <c r="J5607">
        <v>3</v>
      </c>
    </row>
    <row r="5608" spans="1:10" hidden="1" x14ac:dyDescent="0.3">
      <c r="A5608" s="46">
        <v>45429</v>
      </c>
      <c r="B5608" s="46" t="s">
        <v>724</v>
      </c>
      <c r="D5608" t="s">
        <v>2083</v>
      </c>
      <c r="E5608" s="46" t="s">
        <v>1436</v>
      </c>
      <c r="F5608" s="45">
        <v>36700</v>
      </c>
      <c r="G5608" t="s">
        <v>1437</v>
      </c>
      <c r="H5608" t="s">
        <v>1438</v>
      </c>
      <c r="I5608" t="s">
        <v>1439</v>
      </c>
      <c r="J5608">
        <v>3</v>
      </c>
    </row>
    <row r="5609" spans="1:10" hidden="1" x14ac:dyDescent="0.3">
      <c r="A5609" s="46">
        <v>45435</v>
      </c>
      <c r="B5609" s="46" t="s">
        <v>727</v>
      </c>
      <c r="D5609" t="s">
        <v>2240</v>
      </c>
      <c r="E5609" s="46" t="s">
        <v>1436</v>
      </c>
      <c r="F5609" s="45">
        <v>36600</v>
      </c>
      <c r="G5609" t="s">
        <v>1463</v>
      </c>
      <c r="H5609" t="s">
        <v>1438</v>
      </c>
      <c r="I5609" t="s">
        <v>1439</v>
      </c>
      <c r="J5609">
        <v>4</v>
      </c>
    </row>
    <row r="5610" spans="1:10" hidden="1" x14ac:dyDescent="0.3">
      <c r="A5610" s="46">
        <v>45373</v>
      </c>
      <c r="B5610" s="46" t="s">
        <v>767</v>
      </c>
      <c r="D5610" t="s">
        <v>1565</v>
      </c>
      <c r="E5610" s="46" t="s">
        <v>1436</v>
      </c>
      <c r="F5610" s="45">
        <v>36100</v>
      </c>
      <c r="G5610" t="s">
        <v>1460</v>
      </c>
      <c r="H5610" t="s">
        <v>1438</v>
      </c>
      <c r="I5610" t="s">
        <v>1439</v>
      </c>
      <c r="J5610">
        <v>4</v>
      </c>
    </row>
    <row r="5611" spans="1:10" hidden="1" x14ac:dyDescent="0.3">
      <c r="A5611" s="46">
        <v>45373</v>
      </c>
      <c r="B5611" s="46" t="s">
        <v>772</v>
      </c>
      <c r="D5611" t="s">
        <v>1082</v>
      </c>
      <c r="E5611" s="46" t="s">
        <v>1436</v>
      </c>
      <c r="F5611" s="45">
        <v>36000</v>
      </c>
      <c r="G5611" t="s">
        <v>1464</v>
      </c>
      <c r="H5611" t="s">
        <v>1438</v>
      </c>
      <c r="I5611" t="s">
        <v>1439</v>
      </c>
      <c r="J5611">
        <v>3</v>
      </c>
    </row>
    <row r="5612" spans="1:10" hidden="1" x14ac:dyDescent="0.3">
      <c r="A5612" s="46">
        <v>45370</v>
      </c>
      <c r="B5612" s="46" t="s">
        <v>772</v>
      </c>
      <c r="D5612" t="s">
        <v>878</v>
      </c>
      <c r="E5612" s="46" t="s">
        <v>1436</v>
      </c>
      <c r="F5612" s="45">
        <v>36000</v>
      </c>
      <c r="G5612" t="s">
        <v>1464</v>
      </c>
      <c r="H5612" t="s">
        <v>1438</v>
      </c>
      <c r="I5612" t="s">
        <v>1439</v>
      </c>
      <c r="J5612">
        <v>3</v>
      </c>
    </row>
    <row r="5613" spans="1:10" hidden="1" x14ac:dyDescent="0.3">
      <c r="A5613" s="46">
        <v>45371</v>
      </c>
      <c r="B5613" s="46" t="s">
        <v>734</v>
      </c>
      <c r="D5613" t="s">
        <v>1705</v>
      </c>
      <c r="E5613" s="46" t="s">
        <v>1436</v>
      </c>
      <c r="F5613" s="45">
        <v>36000</v>
      </c>
      <c r="G5613" t="s">
        <v>1441</v>
      </c>
      <c r="H5613" t="s">
        <v>1438</v>
      </c>
      <c r="I5613" t="s">
        <v>1439</v>
      </c>
      <c r="J5613">
        <v>3</v>
      </c>
    </row>
    <row r="5614" spans="1:10" hidden="1" x14ac:dyDescent="0.3">
      <c r="A5614" s="46">
        <v>45362</v>
      </c>
      <c r="B5614" s="46" t="s">
        <v>772</v>
      </c>
      <c r="D5614" t="s">
        <v>928</v>
      </c>
      <c r="E5614" s="46" t="s">
        <v>1436</v>
      </c>
      <c r="F5614" s="45">
        <v>36000</v>
      </c>
      <c r="G5614" t="s">
        <v>1464</v>
      </c>
      <c r="H5614" t="s">
        <v>1438</v>
      </c>
      <c r="I5614" t="s">
        <v>1439</v>
      </c>
      <c r="J5614">
        <v>3</v>
      </c>
    </row>
    <row r="5615" spans="1:10" hidden="1" x14ac:dyDescent="0.3">
      <c r="A5615" s="46">
        <v>45383</v>
      </c>
      <c r="B5615" s="46" t="s">
        <v>734</v>
      </c>
      <c r="D5615" t="s">
        <v>1705</v>
      </c>
      <c r="E5615" s="46" t="s">
        <v>1436</v>
      </c>
      <c r="F5615" s="45">
        <v>36000</v>
      </c>
      <c r="G5615" t="s">
        <v>1441</v>
      </c>
      <c r="H5615" t="s">
        <v>1438</v>
      </c>
      <c r="I5615" t="s">
        <v>1439</v>
      </c>
      <c r="J5615">
        <v>3</v>
      </c>
    </row>
    <row r="5616" spans="1:10" hidden="1" x14ac:dyDescent="0.3">
      <c r="A5616" s="46">
        <v>45384</v>
      </c>
      <c r="B5616" s="46" t="s">
        <v>724</v>
      </c>
      <c r="D5616" t="s">
        <v>1812</v>
      </c>
      <c r="E5616" s="46" t="s">
        <v>1436</v>
      </c>
      <c r="F5616" s="45">
        <v>36000</v>
      </c>
      <c r="G5616" t="s">
        <v>1437</v>
      </c>
      <c r="H5616" t="s">
        <v>1438</v>
      </c>
      <c r="I5616" t="s">
        <v>1439</v>
      </c>
      <c r="J5616">
        <v>3</v>
      </c>
    </row>
    <row r="5617" spans="1:10" hidden="1" x14ac:dyDescent="0.3">
      <c r="A5617" s="46">
        <v>45378</v>
      </c>
      <c r="B5617" s="46" t="s">
        <v>727</v>
      </c>
      <c r="D5617" t="s">
        <v>1692</v>
      </c>
      <c r="E5617" s="46" t="s">
        <v>1436</v>
      </c>
      <c r="F5617" s="45">
        <v>36000</v>
      </c>
      <c r="G5617" t="s">
        <v>1463</v>
      </c>
      <c r="H5617" t="s">
        <v>1438</v>
      </c>
      <c r="I5617" t="s">
        <v>1439</v>
      </c>
      <c r="J5617">
        <v>3</v>
      </c>
    </row>
    <row r="5618" spans="1:10" hidden="1" x14ac:dyDescent="0.3">
      <c r="A5618" s="46">
        <v>45376</v>
      </c>
      <c r="B5618" s="46" t="s">
        <v>772</v>
      </c>
      <c r="D5618" t="s">
        <v>850</v>
      </c>
      <c r="E5618" s="46" t="s">
        <v>1436</v>
      </c>
      <c r="F5618" s="45">
        <v>36000</v>
      </c>
      <c r="G5618" t="s">
        <v>1464</v>
      </c>
      <c r="H5618" t="s">
        <v>1438</v>
      </c>
      <c r="I5618" t="s">
        <v>1439</v>
      </c>
      <c r="J5618">
        <v>3</v>
      </c>
    </row>
    <row r="5619" spans="1:10" hidden="1" x14ac:dyDescent="0.3">
      <c r="A5619" s="46">
        <v>45376</v>
      </c>
      <c r="B5619" s="46" t="s">
        <v>734</v>
      </c>
      <c r="D5619" t="s">
        <v>1548</v>
      </c>
      <c r="E5619" s="46" t="s">
        <v>1436</v>
      </c>
      <c r="F5619" s="45">
        <v>36000</v>
      </c>
      <c r="G5619" t="s">
        <v>1441</v>
      </c>
      <c r="H5619" t="s">
        <v>1438</v>
      </c>
      <c r="I5619" t="s">
        <v>1439</v>
      </c>
      <c r="J5619">
        <v>3</v>
      </c>
    </row>
    <row r="5620" spans="1:10" hidden="1" x14ac:dyDescent="0.3">
      <c r="A5620" s="46">
        <v>45384</v>
      </c>
      <c r="B5620" s="46" t="s">
        <v>772</v>
      </c>
      <c r="D5620" t="s">
        <v>2102</v>
      </c>
      <c r="E5620" s="46" t="s">
        <v>1436</v>
      </c>
      <c r="F5620" s="45">
        <v>36000</v>
      </c>
      <c r="G5620" t="s">
        <v>1464</v>
      </c>
      <c r="H5620" t="s">
        <v>1438</v>
      </c>
      <c r="I5620" t="s">
        <v>1439</v>
      </c>
      <c r="J5620">
        <v>3</v>
      </c>
    </row>
    <row r="5621" spans="1:10" hidden="1" x14ac:dyDescent="0.3">
      <c r="A5621" s="46">
        <v>45385</v>
      </c>
      <c r="B5621" s="46" t="s">
        <v>772</v>
      </c>
      <c r="D5621" t="s">
        <v>1138</v>
      </c>
      <c r="E5621" s="46" t="s">
        <v>1436</v>
      </c>
      <c r="F5621" s="45">
        <v>36000</v>
      </c>
      <c r="G5621" t="s">
        <v>1464</v>
      </c>
      <c r="H5621" t="s">
        <v>1438</v>
      </c>
      <c r="I5621" t="s">
        <v>1439</v>
      </c>
      <c r="J5621">
        <v>3</v>
      </c>
    </row>
    <row r="5622" spans="1:10" hidden="1" x14ac:dyDescent="0.3">
      <c r="A5622" s="46">
        <v>45387</v>
      </c>
      <c r="B5622" s="46" t="s">
        <v>772</v>
      </c>
      <c r="D5622" t="s">
        <v>1041</v>
      </c>
      <c r="E5622" s="46" t="s">
        <v>1436</v>
      </c>
      <c r="F5622" s="45">
        <v>36000</v>
      </c>
      <c r="G5622" t="s">
        <v>1464</v>
      </c>
      <c r="H5622" t="s">
        <v>1438</v>
      </c>
      <c r="I5622" t="s">
        <v>1439</v>
      </c>
      <c r="J5622">
        <v>3</v>
      </c>
    </row>
    <row r="5623" spans="1:10" hidden="1" x14ac:dyDescent="0.3">
      <c r="A5623" s="46">
        <v>45390</v>
      </c>
      <c r="B5623" s="46" t="s">
        <v>772</v>
      </c>
      <c r="D5623" t="s">
        <v>1215</v>
      </c>
      <c r="E5623" s="46" t="s">
        <v>1436</v>
      </c>
      <c r="F5623" s="45">
        <v>36000</v>
      </c>
      <c r="G5623" t="s">
        <v>1464</v>
      </c>
      <c r="H5623" t="s">
        <v>1438</v>
      </c>
      <c r="I5623" t="s">
        <v>1439</v>
      </c>
      <c r="J5623">
        <v>3</v>
      </c>
    </row>
    <row r="5624" spans="1:10" hidden="1" x14ac:dyDescent="0.3">
      <c r="A5624" s="46">
        <v>45426</v>
      </c>
      <c r="B5624" s="46" t="s">
        <v>724</v>
      </c>
      <c r="D5624" t="s">
        <v>850</v>
      </c>
      <c r="E5624" s="46" t="s">
        <v>1436</v>
      </c>
      <c r="F5624" s="45">
        <v>36000</v>
      </c>
      <c r="G5624" t="s">
        <v>1466</v>
      </c>
      <c r="H5624" t="s">
        <v>1438</v>
      </c>
      <c r="I5624" t="s">
        <v>1439</v>
      </c>
      <c r="J5624">
        <v>3</v>
      </c>
    </row>
    <row r="5625" spans="1:10" hidden="1" x14ac:dyDescent="0.3">
      <c r="A5625" s="46">
        <v>45426</v>
      </c>
      <c r="B5625" s="46" t="s">
        <v>772</v>
      </c>
      <c r="D5625" t="s">
        <v>2101</v>
      </c>
      <c r="E5625" s="46" t="s">
        <v>1436</v>
      </c>
      <c r="F5625" s="45">
        <v>36000</v>
      </c>
      <c r="G5625" t="s">
        <v>1464</v>
      </c>
      <c r="H5625" t="s">
        <v>1438</v>
      </c>
      <c r="I5625" t="s">
        <v>1439</v>
      </c>
      <c r="J5625">
        <v>3</v>
      </c>
    </row>
    <row r="5626" spans="1:10" hidden="1" x14ac:dyDescent="0.3">
      <c r="A5626" s="46">
        <v>45412</v>
      </c>
      <c r="B5626" s="46" t="s">
        <v>772</v>
      </c>
      <c r="D5626" t="s">
        <v>1011</v>
      </c>
      <c r="E5626" s="46" t="s">
        <v>1436</v>
      </c>
      <c r="F5626" s="45">
        <v>36000</v>
      </c>
      <c r="G5626" t="s">
        <v>1464</v>
      </c>
      <c r="H5626" t="s">
        <v>1438</v>
      </c>
      <c r="I5626" t="s">
        <v>1439</v>
      </c>
      <c r="J5626">
        <v>3</v>
      </c>
    </row>
    <row r="5627" spans="1:10" hidden="1" x14ac:dyDescent="0.3">
      <c r="A5627" s="46">
        <v>45394</v>
      </c>
      <c r="B5627" s="46" t="s">
        <v>727</v>
      </c>
      <c r="D5627" t="s">
        <v>1692</v>
      </c>
      <c r="E5627" s="46" t="s">
        <v>1436</v>
      </c>
      <c r="F5627" s="45">
        <v>36000</v>
      </c>
      <c r="G5627" t="s">
        <v>1463</v>
      </c>
      <c r="H5627" t="s">
        <v>1438</v>
      </c>
      <c r="I5627" t="s">
        <v>1439</v>
      </c>
      <c r="J5627">
        <v>3</v>
      </c>
    </row>
    <row r="5628" spans="1:10" hidden="1" x14ac:dyDescent="0.3">
      <c r="A5628" s="46">
        <v>45401</v>
      </c>
      <c r="B5628" s="46" t="s">
        <v>772</v>
      </c>
      <c r="D5628" t="s">
        <v>1082</v>
      </c>
      <c r="E5628" s="46" t="s">
        <v>1436</v>
      </c>
      <c r="F5628" s="45">
        <v>36000</v>
      </c>
      <c r="G5628" t="s">
        <v>1464</v>
      </c>
      <c r="H5628" t="s">
        <v>1438</v>
      </c>
      <c r="I5628" t="s">
        <v>1439</v>
      </c>
      <c r="J5628">
        <v>3</v>
      </c>
    </row>
    <row r="5629" spans="1:10" hidden="1" x14ac:dyDescent="0.3">
      <c r="A5629" s="46">
        <v>45317</v>
      </c>
      <c r="B5629" s="46" t="s">
        <v>772</v>
      </c>
      <c r="D5629" t="s">
        <v>989</v>
      </c>
      <c r="E5629" s="46" t="s">
        <v>1436</v>
      </c>
      <c r="F5629" s="45">
        <v>36000</v>
      </c>
      <c r="G5629" t="s">
        <v>1464</v>
      </c>
      <c r="H5629" t="s">
        <v>1438</v>
      </c>
      <c r="I5629" t="s">
        <v>1439</v>
      </c>
      <c r="J5629">
        <v>3</v>
      </c>
    </row>
    <row r="5630" spans="1:10" hidden="1" x14ac:dyDescent="0.3">
      <c r="A5630" s="46">
        <v>45320</v>
      </c>
      <c r="B5630" s="46" t="s">
        <v>772</v>
      </c>
      <c r="D5630" t="s">
        <v>850</v>
      </c>
      <c r="E5630" s="46" t="s">
        <v>1436</v>
      </c>
      <c r="F5630" s="45">
        <v>36000</v>
      </c>
      <c r="G5630" t="s">
        <v>1464</v>
      </c>
      <c r="H5630" t="s">
        <v>1438</v>
      </c>
      <c r="I5630" t="s">
        <v>1439</v>
      </c>
      <c r="J5630">
        <v>3</v>
      </c>
    </row>
    <row r="5631" spans="1:10" hidden="1" x14ac:dyDescent="0.3">
      <c r="A5631" s="46">
        <v>45322</v>
      </c>
      <c r="B5631" s="46" t="s">
        <v>772</v>
      </c>
      <c r="D5631" t="s">
        <v>1041</v>
      </c>
      <c r="E5631" s="46" t="s">
        <v>1436</v>
      </c>
      <c r="F5631" s="45">
        <v>36000</v>
      </c>
      <c r="G5631" t="s">
        <v>1464</v>
      </c>
      <c r="H5631" t="s">
        <v>1438</v>
      </c>
      <c r="I5631" t="s">
        <v>1439</v>
      </c>
      <c r="J5631">
        <v>3</v>
      </c>
    </row>
    <row r="5632" spans="1:10" hidden="1" x14ac:dyDescent="0.3">
      <c r="A5632" s="46">
        <v>45323</v>
      </c>
      <c r="B5632" s="46" t="s">
        <v>734</v>
      </c>
      <c r="D5632" t="s">
        <v>1113</v>
      </c>
      <c r="E5632" s="46" t="s">
        <v>1436</v>
      </c>
      <c r="F5632" s="45">
        <v>36000</v>
      </c>
      <c r="G5632" t="s">
        <v>1441</v>
      </c>
      <c r="H5632" t="s">
        <v>1438</v>
      </c>
      <c r="I5632" t="s">
        <v>1439</v>
      </c>
      <c r="J5632">
        <v>2</v>
      </c>
    </row>
    <row r="5633" spans="1:10" hidden="1" x14ac:dyDescent="0.3">
      <c r="A5633" s="46">
        <v>45307</v>
      </c>
      <c r="B5633" s="46" t="s">
        <v>767</v>
      </c>
      <c r="D5633" t="s">
        <v>850</v>
      </c>
      <c r="E5633" s="46" t="s">
        <v>1436</v>
      </c>
      <c r="F5633" s="45">
        <v>36000</v>
      </c>
      <c r="G5633" t="s">
        <v>1460</v>
      </c>
      <c r="H5633" t="s">
        <v>1438</v>
      </c>
      <c r="I5633" t="s">
        <v>1439</v>
      </c>
      <c r="J5633">
        <v>3</v>
      </c>
    </row>
    <row r="5634" spans="1:10" hidden="1" x14ac:dyDescent="0.3">
      <c r="A5634" s="46">
        <v>45306</v>
      </c>
      <c r="B5634" s="46" t="s">
        <v>772</v>
      </c>
      <c r="D5634" t="s">
        <v>1082</v>
      </c>
      <c r="E5634" s="46" t="s">
        <v>1436</v>
      </c>
      <c r="F5634" s="45">
        <v>36000</v>
      </c>
      <c r="G5634" t="s">
        <v>1464</v>
      </c>
      <c r="H5634" t="s">
        <v>1438</v>
      </c>
      <c r="I5634" t="s">
        <v>1439</v>
      </c>
      <c r="J5634">
        <v>3</v>
      </c>
    </row>
    <row r="5635" spans="1:10" hidden="1" x14ac:dyDescent="0.3">
      <c r="A5635" s="46">
        <v>45303</v>
      </c>
      <c r="B5635" s="46" t="s">
        <v>772</v>
      </c>
      <c r="D5635" t="s">
        <v>989</v>
      </c>
      <c r="E5635" s="46" t="s">
        <v>1436</v>
      </c>
      <c r="F5635" s="45">
        <v>36000</v>
      </c>
      <c r="G5635" t="s">
        <v>1437</v>
      </c>
      <c r="H5635" t="s">
        <v>1438</v>
      </c>
      <c r="I5635" t="s">
        <v>1439</v>
      </c>
      <c r="J5635">
        <v>3</v>
      </c>
    </row>
    <row r="5636" spans="1:10" hidden="1" x14ac:dyDescent="0.3">
      <c r="A5636" s="46">
        <v>45303</v>
      </c>
      <c r="B5636" s="46" t="s">
        <v>821</v>
      </c>
      <c r="D5636" t="s">
        <v>791</v>
      </c>
      <c r="E5636" s="46" t="s">
        <v>1436</v>
      </c>
      <c r="F5636" s="45">
        <v>36000</v>
      </c>
      <c r="G5636" t="s">
        <v>1509</v>
      </c>
      <c r="H5636" t="s">
        <v>1438</v>
      </c>
      <c r="I5636" t="s">
        <v>1439</v>
      </c>
      <c r="J5636">
        <v>3</v>
      </c>
    </row>
    <row r="5637" spans="1:10" hidden="1" x14ac:dyDescent="0.3">
      <c r="A5637" s="46">
        <v>45301</v>
      </c>
      <c r="B5637" s="46" t="s">
        <v>772</v>
      </c>
      <c r="D5637" t="s">
        <v>1112</v>
      </c>
      <c r="E5637" s="46" t="s">
        <v>1436</v>
      </c>
      <c r="F5637" s="45">
        <v>36000</v>
      </c>
      <c r="G5637" t="s">
        <v>1464</v>
      </c>
      <c r="H5637" t="s">
        <v>1438</v>
      </c>
      <c r="I5637" t="s">
        <v>1439</v>
      </c>
      <c r="J5637">
        <v>3</v>
      </c>
    </row>
    <row r="5638" spans="1:10" hidden="1" x14ac:dyDescent="0.3">
      <c r="A5638" s="46">
        <v>45296</v>
      </c>
      <c r="B5638" s="46" t="s">
        <v>772</v>
      </c>
      <c r="D5638" t="s">
        <v>934</v>
      </c>
      <c r="E5638" s="46" t="s">
        <v>1436</v>
      </c>
      <c r="F5638" s="45">
        <v>36000</v>
      </c>
      <c r="G5638" t="s">
        <v>1464</v>
      </c>
      <c r="H5638" t="s">
        <v>1438</v>
      </c>
      <c r="I5638" t="s">
        <v>1439</v>
      </c>
      <c r="J5638">
        <v>3</v>
      </c>
    </row>
    <row r="5639" spans="1:10" hidden="1" x14ac:dyDescent="0.3">
      <c r="A5639" s="46">
        <v>45327</v>
      </c>
      <c r="B5639" s="46" t="s">
        <v>724</v>
      </c>
      <c r="D5639" t="s">
        <v>850</v>
      </c>
      <c r="E5639" s="46" t="s">
        <v>1436</v>
      </c>
      <c r="F5639" s="45">
        <v>36000</v>
      </c>
      <c r="G5639" t="s">
        <v>1437</v>
      </c>
      <c r="H5639" t="s">
        <v>1438</v>
      </c>
      <c r="I5639" t="s">
        <v>1439</v>
      </c>
      <c r="J5639">
        <v>3</v>
      </c>
    </row>
    <row r="5640" spans="1:10" hidden="1" x14ac:dyDescent="0.3">
      <c r="A5640" s="46">
        <v>45335</v>
      </c>
      <c r="B5640" s="46" t="s">
        <v>772</v>
      </c>
      <c r="D5640" t="s">
        <v>989</v>
      </c>
      <c r="E5640" s="46" t="s">
        <v>1436</v>
      </c>
      <c r="F5640" s="45">
        <v>36000</v>
      </c>
      <c r="G5640" t="s">
        <v>1464</v>
      </c>
      <c r="H5640" t="s">
        <v>1438</v>
      </c>
      <c r="I5640" t="s">
        <v>1439</v>
      </c>
      <c r="J5640">
        <v>3</v>
      </c>
    </row>
    <row r="5641" spans="1:10" hidden="1" x14ac:dyDescent="0.3">
      <c r="A5641" s="46">
        <v>45336</v>
      </c>
      <c r="B5641" s="46" t="s">
        <v>727</v>
      </c>
      <c r="D5641" t="s">
        <v>1589</v>
      </c>
      <c r="E5641" s="46" t="s">
        <v>1436</v>
      </c>
      <c r="F5641" s="45">
        <v>36000</v>
      </c>
      <c r="G5641" t="s">
        <v>1463</v>
      </c>
      <c r="H5641" t="s">
        <v>1438</v>
      </c>
      <c r="I5641" t="s">
        <v>1439</v>
      </c>
      <c r="J5641">
        <v>3</v>
      </c>
    </row>
    <row r="5642" spans="1:10" hidden="1" x14ac:dyDescent="0.3">
      <c r="A5642" s="46">
        <v>45338</v>
      </c>
      <c r="B5642" s="46" t="s">
        <v>772</v>
      </c>
      <c r="D5642" t="s">
        <v>1121</v>
      </c>
      <c r="E5642" s="46" t="s">
        <v>1436</v>
      </c>
      <c r="F5642" s="45">
        <v>36000</v>
      </c>
      <c r="G5642" t="s">
        <v>1464</v>
      </c>
      <c r="H5642" t="s">
        <v>1438</v>
      </c>
      <c r="I5642" t="s">
        <v>1439</v>
      </c>
      <c r="J5642">
        <v>3</v>
      </c>
    </row>
    <row r="5643" spans="1:10" hidden="1" x14ac:dyDescent="0.3">
      <c r="A5643" s="46">
        <v>45338</v>
      </c>
      <c r="B5643" s="46" t="s">
        <v>727</v>
      </c>
      <c r="D5643" t="s">
        <v>791</v>
      </c>
      <c r="E5643" s="46" t="s">
        <v>1436</v>
      </c>
      <c r="F5643" s="45">
        <v>36000</v>
      </c>
      <c r="G5643" t="s">
        <v>1463</v>
      </c>
      <c r="H5643" t="s">
        <v>1438</v>
      </c>
      <c r="I5643" t="s">
        <v>1439</v>
      </c>
      <c r="J5643">
        <v>3</v>
      </c>
    </row>
    <row r="5644" spans="1:10" hidden="1" x14ac:dyDescent="0.3">
      <c r="A5644" s="46">
        <v>45355</v>
      </c>
      <c r="B5644" s="46" t="s">
        <v>772</v>
      </c>
      <c r="D5644" t="s">
        <v>1012</v>
      </c>
      <c r="E5644" s="46" t="s">
        <v>1436</v>
      </c>
      <c r="F5644" s="45">
        <v>36000</v>
      </c>
      <c r="G5644" t="s">
        <v>1464</v>
      </c>
      <c r="H5644" t="s">
        <v>1438</v>
      </c>
      <c r="I5644" t="s">
        <v>1439</v>
      </c>
      <c r="J5644">
        <v>3</v>
      </c>
    </row>
    <row r="5645" spans="1:10" hidden="1" x14ac:dyDescent="0.3">
      <c r="A5645" s="46">
        <v>45350</v>
      </c>
      <c r="B5645" s="46" t="s">
        <v>734</v>
      </c>
      <c r="D5645" t="s">
        <v>1560</v>
      </c>
      <c r="E5645" s="46" t="s">
        <v>1436</v>
      </c>
      <c r="F5645" s="45">
        <v>36000</v>
      </c>
      <c r="G5645" t="s">
        <v>1441</v>
      </c>
      <c r="H5645" t="s">
        <v>1438</v>
      </c>
      <c r="I5645" t="s">
        <v>1439</v>
      </c>
      <c r="J5645">
        <v>3</v>
      </c>
    </row>
    <row r="5646" spans="1:10" hidden="1" x14ac:dyDescent="0.3">
      <c r="A5646" s="46">
        <v>45348</v>
      </c>
      <c r="B5646" s="46" t="s">
        <v>767</v>
      </c>
      <c r="D5646" t="s">
        <v>850</v>
      </c>
      <c r="E5646" s="46" t="s">
        <v>1436</v>
      </c>
      <c r="F5646" s="45">
        <v>36000</v>
      </c>
      <c r="G5646" t="s">
        <v>1460</v>
      </c>
      <c r="H5646" t="s">
        <v>1438</v>
      </c>
      <c r="I5646" t="s">
        <v>1439</v>
      </c>
      <c r="J5646">
        <v>3</v>
      </c>
    </row>
    <row r="5647" spans="1:10" hidden="1" x14ac:dyDescent="0.3">
      <c r="A5647" s="46">
        <v>45343</v>
      </c>
      <c r="B5647" s="46" t="s">
        <v>772</v>
      </c>
      <c r="D5647" t="s">
        <v>1108</v>
      </c>
      <c r="E5647" s="46" t="s">
        <v>1436</v>
      </c>
      <c r="F5647" s="45">
        <v>36000</v>
      </c>
      <c r="G5647" t="s">
        <v>1464</v>
      </c>
      <c r="H5647" t="s">
        <v>1438</v>
      </c>
      <c r="I5647" t="s">
        <v>1439</v>
      </c>
      <c r="J5647">
        <v>3</v>
      </c>
    </row>
    <row r="5648" spans="1:10" hidden="1" x14ac:dyDescent="0.3">
      <c r="A5648" s="46">
        <v>45341</v>
      </c>
      <c r="B5648" s="46" t="s">
        <v>772</v>
      </c>
      <c r="D5648" t="s">
        <v>1082</v>
      </c>
      <c r="E5648" s="46" t="s">
        <v>1436</v>
      </c>
      <c r="F5648" s="45">
        <v>36000</v>
      </c>
      <c r="G5648" t="s">
        <v>1464</v>
      </c>
      <c r="H5648" t="s">
        <v>1438</v>
      </c>
      <c r="I5648" t="s">
        <v>1439</v>
      </c>
      <c r="J5648">
        <v>3</v>
      </c>
    </row>
    <row r="5649" spans="1:10" hidden="1" x14ac:dyDescent="0.3">
      <c r="A5649" s="46">
        <v>45342</v>
      </c>
      <c r="B5649" s="46" t="s">
        <v>767</v>
      </c>
      <c r="D5649" t="s">
        <v>850</v>
      </c>
      <c r="E5649" s="46" t="s">
        <v>1436</v>
      </c>
      <c r="F5649" s="45">
        <v>36000</v>
      </c>
      <c r="G5649" t="s">
        <v>1460</v>
      </c>
      <c r="H5649" t="s">
        <v>1438</v>
      </c>
      <c r="I5649" t="s">
        <v>1439</v>
      </c>
      <c r="J5649">
        <v>3</v>
      </c>
    </row>
    <row r="5650" spans="1:10" hidden="1" x14ac:dyDescent="0.3">
      <c r="A5650" s="46">
        <v>45434</v>
      </c>
      <c r="B5650" s="46" t="s">
        <v>772</v>
      </c>
      <c r="D5650" t="s">
        <v>1724</v>
      </c>
      <c r="E5650" s="46" t="s">
        <v>1436</v>
      </c>
      <c r="F5650" s="45">
        <v>36000</v>
      </c>
      <c r="G5650" t="s">
        <v>1464</v>
      </c>
      <c r="H5650" t="s">
        <v>1438</v>
      </c>
      <c r="I5650" t="s">
        <v>1439</v>
      </c>
      <c r="J5650">
        <v>3</v>
      </c>
    </row>
    <row r="5651" spans="1:10" hidden="1" x14ac:dyDescent="0.3">
      <c r="A5651" s="46">
        <v>45436</v>
      </c>
      <c r="B5651" s="46" t="s">
        <v>772</v>
      </c>
      <c r="D5651" t="s">
        <v>2097</v>
      </c>
      <c r="E5651" s="46" t="s">
        <v>1436</v>
      </c>
      <c r="F5651" s="45">
        <v>36000</v>
      </c>
      <c r="G5651" t="s">
        <v>1464</v>
      </c>
      <c r="H5651" t="s">
        <v>1438</v>
      </c>
      <c r="I5651" t="s">
        <v>1439</v>
      </c>
      <c r="J5651">
        <v>3</v>
      </c>
    </row>
    <row r="5652" spans="1:10" hidden="1" x14ac:dyDescent="0.3">
      <c r="A5652" s="46">
        <v>45448</v>
      </c>
      <c r="B5652" s="46" t="s">
        <v>772</v>
      </c>
      <c r="D5652" t="s">
        <v>1011</v>
      </c>
      <c r="E5652" s="46" t="s">
        <v>1436</v>
      </c>
      <c r="F5652" s="45">
        <v>36000</v>
      </c>
      <c r="G5652" t="s">
        <v>1464</v>
      </c>
      <c r="H5652" t="s">
        <v>1438</v>
      </c>
      <c r="I5652" t="s">
        <v>1439</v>
      </c>
      <c r="J5652">
        <v>3</v>
      </c>
    </row>
    <row r="5653" spans="1:10" hidden="1" x14ac:dyDescent="0.3">
      <c r="A5653" s="46">
        <v>45450</v>
      </c>
      <c r="B5653" s="46" t="s">
        <v>772</v>
      </c>
      <c r="D5653" t="s">
        <v>850</v>
      </c>
      <c r="E5653" s="46" t="s">
        <v>1436</v>
      </c>
      <c r="F5653" s="45">
        <v>36000</v>
      </c>
      <c r="G5653" t="s">
        <v>1464</v>
      </c>
      <c r="H5653" t="s">
        <v>1438</v>
      </c>
      <c r="I5653" t="s">
        <v>1439</v>
      </c>
      <c r="J5653">
        <v>3</v>
      </c>
    </row>
    <row r="5654" spans="1:10" hidden="1" x14ac:dyDescent="0.3">
      <c r="A5654" s="46">
        <v>45467</v>
      </c>
      <c r="B5654" s="46" t="s">
        <v>734</v>
      </c>
      <c r="D5654" t="s">
        <v>1705</v>
      </c>
      <c r="E5654" s="46" t="s">
        <v>1436</v>
      </c>
      <c r="F5654" s="45">
        <v>36000</v>
      </c>
      <c r="G5654" t="s">
        <v>1441</v>
      </c>
      <c r="H5654" t="s">
        <v>1438</v>
      </c>
      <c r="I5654" t="s">
        <v>1439</v>
      </c>
      <c r="J5654">
        <v>3</v>
      </c>
    </row>
    <row r="5655" spans="1:10" hidden="1" x14ac:dyDescent="0.3">
      <c r="A5655" s="46">
        <v>45471</v>
      </c>
      <c r="B5655" s="46" t="s">
        <v>767</v>
      </c>
      <c r="D5655" t="s">
        <v>1570</v>
      </c>
      <c r="E5655" s="46" t="s">
        <v>1436</v>
      </c>
      <c r="F5655" s="45">
        <v>36000</v>
      </c>
      <c r="G5655" t="s">
        <v>1460</v>
      </c>
      <c r="H5655" t="s">
        <v>1438</v>
      </c>
      <c r="I5655" t="s">
        <v>1439</v>
      </c>
      <c r="J5655">
        <v>3</v>
      </c>
    </row>
    <row r="5656" spans="1:10" hidden="1" x14ac:dyDescent="0.3">
      <c r="A5656" s="46">
        <v>45454</v>
      </c>
      <c r="B5656" s="46" t="s">
        <v>772</v>
      </c>
      <c r="D5656" t="s">
        <v>755</v>
      </c>
      <c r="E5656" s="46" t="s">
        <v>1436</v>
      </c>
      <c r="F5656" s="45">
        <v>36000</v>
      </c>
      <c r="G5656" t="s">
        <v>1464</v>
      </c>
      <c r="H5656" t="s">
        <v>1438</v>
      </c>
      <c r="I5656" t="s">
        <v>1439</v>
      </c>
      <c r="J5656">
        <v>3</v>
      </c>
    </row>
    <row r="5657" spans="1:10" hidden="1" x14ac:dyDescent="0.3">
      <c r="A5657" s="46">
        <v>45457</v>
      </c>
      <c r="B5657" s="46" t="s">
        <v>734</v>
      </c>
      <c r="D5657" t="s">
        <v>1705</v>
      </c>
      <c r="E5657" s="46" t="s">
        <v>1436</v>
      </c>
      <c r="F5657" s="45">
        <v>36000</v>
      </c>
      <c r="G5657" t="s">
        <v>1441</v>
      </c>
      <c r="H5657" t="s">
        <v>1438</v>
      </c>
      <c r="I5657" t="s">
        <v>1439</v>
      </c>
      <c r="J5657">
        <v>3</v>
      </c>
    </row>
    <row r="5658" spans="1:10" hidden="1" x14ac:dyDescent="0.3">
      <c r="A5658" s="46">
        <v>45475</v>
      </c>
      <c r="B5658" s="46" t="s">
        <v>772</v>
      </c>
      <c r="D5658" t="s">
        <v>2101</v>
      </c>
      <c r="E5658" s="46" t="s">
        <v>1436</v>
      </c>
      <c r="F5658" s="45">
        <v>36000</v>
      </c>
      <c r="G5658" t="s">
        <v>1464</v>
      </c>
      <c r="H5658" t="s">
        <v>1438</v>
      </c>
      <c r="I5658" t="s">
        <v>1439</v>
      </c>
      <c r="J5658">
        <v>3</v>
      </c>
    </row>
    <row r="5659" spans="1:10" hidden="1" x14ac:dyDescent="0.3">
      <c r="A5659" s="46">
        <v>45461</v>
      </c>
      <c r="B5659" s="46" t="s">
        <v>772</v>
      </c>
      <c r="D5659" t="s">
        <v>2239</v>
      </c>
      <c r="E5659" s="46" t="s">
        <v>1436</v>
      </c>
      <c r="F5659" s="45">
        <v>35900</v>
      </c>
      <c r="G5659" t="s">
        <v>1464</v>
      </c>
      <c r="H5659" t="s">
        <v>1438</v>
      </c>
      <c r="I5659" t="s">
        <v>1439</v>
      </c>
      <c r="J5659">
        <v>3</v>
      </c>
    </row>
    <row r="5660" spans="1:10" hidden="1" x14ac:dyDescent="0.3">
      <c r="A5660" s="46">
        <v>45470</v>
      </c>
      <c r="B5660" s="46" t="s">
        <v>734</v>
      </c>
      <c r="D5660" t="s">
        <v>1544</v>
      </c>
      <c r="E5660" s="46" t="s">
        <v>1436</v>
      </c>
      <c r="F5660" s="45">
        <v>35900</v>
      </c>
      <c r="G5660" t="s">
        <v>1441</v>
      </c>
      <c r="H5660" t="s">
        <v>1438</v>
      </c>
      <c r="I5660" t="s">
        <v>1439</v>
      </c>
      <c r="J5660">
        <v>7</v>
      </c>
    </row>
    <row r="5661" spans="1:10" hidden="1" x14ac:dyDescent="0.3">
      <c r="A5661" s="46">
        <v>45349</v>
      </c>
      <c r="B5661" s="46" t="s">
        <v>772</v>
      </c>
      <c r="D5661" t="s">
        <v>1010</v>
      </c>
      <c r="E5661" s="46" t="s">
        <v>1436</v>
      </c>
      <c r="F5661" s="45">
        <v>35800</v>
      </c>
      <c r="G5661" t="s">
        <v>1464</v>
      </c>
      <c r="H5661" t="s">
        <v>1438</v>
      </c>
      <c r="I5661" t="s">
        <v>1439</v>
      </c>
      <c r="J5661">
        <v>3</v>
      </c>
    </row>
    <row r="5662" spans="1:10" hidden="1" x14ac:dyDescent="0.3">
      <c r="A5662" s="46">
        <v>45314</v>
      </c>
      <c r="B5662" s="46" t="s">
        <v>772</v>
      </c>
      <c r="D5662" t="s">
        <v>1010</v>
      </c>
      <c r="E5662" s="46" t="s">
        <v>1436</v>
      </c>
      <c r="F5662" s="45">
        <v>35800</v>
      </c>
      <c r="G5662" t="s">
        <v>1464</v>
      </c>
      <c r="H5662" t="s">
        <v>1438</v>
      </c>
      <c r="I5662" t="s">
        <v>1439</v>
      </c>
      <c r="J5662">
        <v>3</v>
      </c>
    </row>
    <row r="5663" spans="1:10" hidden="1" x14ac:dyDescent="0.3">
      <c r="A5663" s="46">
        <v>45394</v>
      </c>
      <c r="B5663" s="46" t="s">
        <v>772</v>
      </c>
      <c r="D5663" t="s">
        <v>1010</v>
      </c>
      <c r="E5663" s="46" t="s">
        <v>1436</v>
      </c>
      <c r="F5663" s="45">
        <v>35800</v>
      </c>
      <c r="G5663" t="s">
        <v>1464</v>
      </c>
      <c r="H5663" t="s">
        <v>1438</v>
      </c>
      <c r="I5663" t="s">
        <v>1439</v>
      </c>
      <c r="J5663">
        <v>3</v>
      </c>
    </row>
    <row r="5664" spans="1:10" hidden="1" x14ac:dyDescent="0.3">
      <c r="A5664" s="46">
        <v>45377</v>
      </c>
      <c r="B5664" s="46" t="s">
        <v>772</v>
      </c>
      <c r="D5664" t="s">
        <v>1010</v>
      </c>
      <c r="E5664" s="46" t="s">
        <v>1436</v>
      </c>
      <c r="F5664" s="45">
        <v>35800</v>
      </c>
      <c r="G5664" t="s">
        <v>1464</v>
      </c>
      <c r="H5664" t="s">
        <v>1438</v>
      </c>
      <c r="I5664" t="s">
        <v>1439</v>
      </c>
      <c r="J5664">
        <v>3</v>
      </c>
    </row>
    <row r="5665" spans="1:11" hidden="1" x14ac:dyDescent="0.3">
      <c r="A5665" s="46">
        <v>45369</v>
      </c>
      <c r="B5665" s="46" t="s">
        <v>772</v>
      </c>
      <c r="D5665" t="s">
        <v>1010</v>
      </c>
      <c r="E5665" s="46" t="s">
        <v>1436</v>
      </c>
      <c r="F5665" s="45">
        <v>35800</v>
      </c>
      <c r="G5665" t="s">
        <v>1464</v>
      </c>
      <c r="H5665" t="s">
        <v>1438</v>
      </c>
      <c r="I5665" t="s">
        <v>1439</v>
      </c>
      <c r="J5665">
        <v>3</v>
      </c>
    </row>
    <row r="5666" spans="1:11" hidden="1" x14ac:dyDescent="0.3">
      <c r="A5666" s="46">
        <v>45433</v>
      </c>
      <c r="B5666" s="46" t="s">
        <v>772</v>
      </c>
      <c r="D5666" t="s">
        <v>2085</v>
      </c>
      <c r="E5666" s="46" t="s">
        <v>1436</v>
      </c>
      <c r="F5666" s="45">
        <v>35700</v>
      </c>
      <c r="G5666" t="s">
        <v>1464</v>
      </c>
      <c r="H5666" t="s">
        <v>1438</v>
      </c>
      <c r="I5666" t="s">
        <v>1439</v>
      </c>
      <c r="J5666">
        <v>3</v>
      </c>
    </row>
    <row r="5667" spans="1:11" hidden="1" x14ac:dyDescent="0.3">
      <c r="A5667" s="46">
        <v>45476</v>
      </c>
      <c r="B5667" s="46" t="s">
        <v>722</v>
      </c>
      <c r="D5667" t="s">
        <v>2083</v>
      </c>
      <c r="E5667" s="46" t="s">
        <v>1436</v>
      </c>
      <c r="F5667" s="45">
        <v>35700</v>
      </c>
      <c r="G5667" t="s">
        <v>1437</v>
      </c>
      <c r="H5667" t="s">
        <v>1438</v>
      </c>
      <c r="I5667" t="s">
        <v>1439</v>
      </c>
      <c r="J5667">
        <v>3</v>
      </c>
    </row>
    <row r="5668" spans="1:11" hidden="1" x14ac:dyDescent="0.3">
      <c r="A5668" s="46">
        <v>45371</v>
      </c>
      <c r="B5668" s="46" t="s">
        <v>734</v>
      </c>
      <c r="D5668" t="s">
        <v>1705</v>
      </c>
      <c r="E5668" s="46" t="s">
        <v>1436</v>
      </c>
      <c r="F5668" s="45">
        <v>35500</v>
      </c>
      <c r="G5668" t="s">
        <v>1441</v>
      </c>
      <c r="H5668" t="s">
        <v>1438</v>
      </c>
      <c r="I5668" t="s">
        <v>1439</v>
      </c>
      <c r="J5668">
        <v>3</v>
      </c>
    </row>
    <row r="5669" spans="1:11" hidden="1" x14ac:dyDescent="0.3">
      <c r="A5669" s="46">
        <v>45336</v>
      </c>
      <c r="B5669" s="46" t="s">
        <v>772</v>
      </c>
      <c r="D5669" t="s">
        <v>1130</v>
      </c>
      <c r="E5669" s="46" t="s">
        <v>1436</v>
      </c>
      <c r="F5669" s="45">
        <v>35500</v>
      </c>
      <c r="G5669" t="s">
        <v>1464</v>
      </c>
      <c r="H5669" t="s">
        <v>1438</v>
      </c>
      <c r="I5669" t="s">
        <v>1439</v>
      </c>
      <c r="J5669">
        <v>3</v>
      </c>
    </row>
    <row r="5670" spans="1:11" hidden="1" x14ac:dyDescent="0.3">
      <c r="A5670" s="46">
        <v>45307</v>
      </c>
      <c r="B5670" s="46" t="s">
        <v>772</v>
      </c>
      <c r="D5670" t="s">
        <v>1131</v>
      </c>
      <c r="E5670" s="46" t="s">
        <v>1436</v>
      </c>
      <c r="F5670" s="45">
        <v>35400</v>
      </c>
      <c r="G5670" t="s">
        <v>1464</v>
      </c>
      <c r="H5670" t="s">
        <v>1438</v>
      </c>
      <c r="I5670" t="s">
        <v>1439</v>
      </c>
      <c r="J5670">
        <v>3</v>
      </c>
    </row>
    <row r="5671" spans="1:11" hidden="1" x14ac:dyDescent="0.3">
      <c r="A5671" s="46">
        <v>45295</v>
      </c>
      <c r="B5671" s="46" t="s">
        <v>772</v>
      </c>
      <c r="D5671" t="s">
        <v>1132</v>
      </c>
      <c r="E5671" s="46" t="s">
        <v>1436</v>
      </c>
      <c r="F5671" s="45">
        <v>35300</v>
      </c>
      <c r="G5671" t="s">
        <v>1464</v>
      </c>
      <c r="H5671" t="s">
        <v>1438</v>
      </c>
      <c r="I5671" t="s">
        <v>1439</v>
      </c>
      <c r="J5671">
        <v>3</v>
      </c>
    </row>
    <row r="5672" spans="1:11" hidden="1" x14ac:dyDescent="0.3">
      <c r="A5672" s="46">
        <v>45447</v>
      </c>
      <c r="B5672" s="46" t="s">
        <v>772</v>
      </c>
      <c r="D5672" t="s">
        <v>2239</v>
      </c>
      <c r="E5672" s="46" t="s">
        <v>1436</v>
      </c>
      <c r="F5672" s="45">
        <v>35300</v>
      </c>
      <c r="G5672" t="s">
        <v>1464</v>
      </c>
      <c r="H5672" t="s">
        <v>1438</v>
      </c>
      <c r="I5672" t="s">
        <v>1439</v>
      </c>
      <c r="J5672">
        <v>3</v>
      </c>
    </row>
    <row r="5673" spans="1:11" hidden="1" x14ac:dyDescent="0.3">
      <c r="A5673" s="46">
        <v>45373</v>
      </c>
      <c r="B5673" s="46" t="s">
        <v>767</v>
      </c>
      <c r="D5673" t="s">
        <v>1552</v>
      </c>
      <c r="E5673" s="46" t="s">
        <v>1436</v>
      </c>
      <c r="F5673" s="45">
        <v>35190</v>
      </c>
      <c r="G5673" t="s">
        <v>1460</v>
      </c>
      <c r="H5673" t="s">
        <v>1438</v>
      </c>
      <c r="I5673" t="s">
        <v>1439</v>
      </c>
      <c r="K5673" t="s">
        <v>1846</v>
      </c>
    </row>
    <row r="5674" spans="1:11" hidden="1" x14ac:dyDescent="0.3">
      <c r="A5674" s="46">
        <v>45356</v>
      </c>
      <c r="B5674" s="46" t="s">
        <v>772</v>
      </c>
      <c r="D5674" t="s">
        <v>1112</v>
      </c>
      <c r="E5674" s="46" t="s">
        <v>1436</v>
      </c>
      <c r="F5674" s="45">
        <v>35000</v>
      </c>
      <c r="G5674" t="s">
        <v>1464</v>
      </c>
      <c r="H5674" t="s">
        <v>1438</v>
      </c>
      <c r="I5674" t="s">
        <v>1439</v>
      </c>
      <c r="J5674">
        <v>3</v>
      </c>
    </row>
    <row r="5675" spans="1:11" hidden="1" x14ac:dyDescent="0.3">
      <c r="A5675" s="46">
        <v>45383</v>
      </c>
      <c r="B5675" s="46" t="s">
        <v>772</v>
      </c>
      <c r="D5675" t="s">
        <v>1108</v>
      </c>
      <c r="E5675" s="46" t="s">
        <v>1436</v>
      </c>
      <c r="F5675" s="45">
        <v>35000</v>
      </c>
      <c r="G5675" t="s">
        <v>1464</v>
      </c>
      <c r="H5675" t="s">
        <v>1438</v>
      </c>
      <c r="I5675" t="s">
        <v>1439</v>
      </c>
      <c r="J5675">
        <v>3</v>
      </c>
    </row>
    <row r="5676" spans="1:11" hidden="1" x14ac:dyDescent="0.3">
      <c r="A5676" s="46">
        <v>45397</v>
      </c>
      <c r="B5676" s="46" t="s">
        <v>772</v>
      </c>
      <c r="D5676" t="s">
        <v>1138</v>
      </c>
      <c r="E5676" s="46" t="s">
        <v>1436</v>
      </c>
      <c r="F5676" s="45">
        <v>35000</v>
      </c>
      <c r="G5676" t="s">
        <v>1464</v>
      </c>
      <c r="H5676" t="s">
        <v>1438</v>
      </c>
      <c r="I5676" t="s">
        <v>1439</v>
      </c>
      <c r="J5676">
        <v>3</v>
      </c>
    </row>
    <row r="5677" spans="1:11" hidden="1" x14ac:dyDescent="0.3">
      <c r="A5677" s="46">
        <v>45419</v>
      </c>
      <c r="B5677" s="46" t="s">
        <v>772</v>
      </c>
      <c r="D5677" t="s">
        <v>1012</v>
      </c>
      <c r="E5677" s="46" t="s">
        <v>1436</v>
      </c>
      <c r="F5677" s="45">
        <v>35000</v>
      </c>
      <c r="G5677" t="s">
        <v>1464</v>
      </c>
      <c r="H5677" t="s">
        <v>1438</v>
      </c>
      <c r="I5677" t="s">
        <v>1439</v>
      </c>
      <c r="J5677">
        <v>3</v>
      </c>
    </row>
    <row r="5678" spans="1:11" hidden="1" x14ac:dyDescent="0.3">
      <c r="A5678" s="46">
        <v>45426</v>
      </c>
      <c r="B5678" s="46" t="s">
        <v>734</v>
      </c>
      <c r="D5678" t="s">
        <v>1541</v>
      </c>
      <c r="E5678" s="46" t="s">
        <v>1436</v>
      </c>
      <c r="F5678" s="45">
        <v>35000</v>
      </c>
      <c r="G5678" t="s">
        <v>1441</v>
      </c>
      <c r="H5678" t="s">
        <v>1438</v>
      </c>
      <c r="I5678" t="s">
        <v>1439</v>
      </c>
      <c r="J5678">
        <v>3</v>
      </c>
    </row>
    <row r="5679" spans="1:11" hidden="1" x14ac:dyDescent="0.3">
      <c r="A5679" s="46">
        <v>45429</v>
      </c>
      <c r="B5679" s="46" t="s">
        <v>772</v>
      </c>
      <c r="D5679" t="s">
        <v>2097</v>
      </c>
      <c r="E5679" s="46" t="s">
        <v>1436</v>
      </c>
      <c r="F5679" s="45">
        <v>35000</v>
      </c>
      <c r="G5679" t="s">
        <v>1464</v>
      </c>
      <c r="H5679" t="s">
        <v>1438</v>
      </c>
      <c r="I5679" t="s">
        <v>1439</v>
      </c>
      <c r="J5679">
        <v>3</v>
      </c>
    </row>
    <row r="5680" spans="1:11" hidden="1" x14ac:dyDescent="0.3">
      <c r="A5680" s="46">
        <v>45294</v>
      </c>
      <c r="B5680" s="46" t="s">
        <v>821</v>
      </c>
      <c r="D5680" t="s">
        <v>1546</v>
      </c>
      <c r="E5680" s="46" t="s">
        <v>1436</v>
      </c>
      <c r="F5680" s="45">
        <v>35000</v>
      </c>
      <c r="G5680" t="s">
        <v>1509</v>
      </c>
      <c r="H5680" t="s">
        <v>1438</v>
      </c>
      <c r="I5680" t="s">
        <v>1439</v>
      </c>
      <c r="J5680">
        <v>3</v>
      </c>
    </row>
    <row r="5681" spans="1:11" hidden="1" x14ac:dyDescent="0.3">
      <c r="A5681" s="46">
        <v>45299</v>
      </c>
      <c r="B5681" s="46" t="s">
        <v>772</v>
      </c>
      <c r="D5681" t="s">
        <v>878</v>
      </c>
      <c r="E5681" s="46" t="s">
        <v>1436</v>
      </c>
      <c r="F5681" s="45">
        <v>35000</v>
      </c>
      <c r="G5681" t="s">
        <v>1464</v>
      </c>
      <c r="H5681" t="s">
        <v>1438</v>
      </c>
      <c r="I5681" t="s">
        <v>1439</v>
      </c>
      <c r="J5681">
        <v>3</v>
      </c>
    </row>
    <row r="5682" spans="1:11" hidden="1" x14ac:dyDescent="0.3">
      <c r="A5682" s="46">
        <v>45315</v>
      </c>
      <c r="B5682" s="46" t="s">
        <v>772</v>
      </c>
      <c r="D5682" t="s">
        <v>1139</v>
      </c>
      <c r="E5682" s="46" t="s">
        <v>1436</v>
      </c>
      <c r="F5682" s="45">
        <v>35000</v>
      </c>
      <c r="G5682" t="s">
        <v>1464</v>
      </c>
      <c r="H5682" t="s">
        <v>1438</v>
      </c>
      <c r="I5682" t="s">
        <v>1439</v>
      </c>
      <c r="J5682">
        <v>3</v>
      </c>
    </row>
    <row r="5683" spans="1:11" hidden="1" x14ac:dyDescent="0.3">
      <c r="A5683" s="46">
        <v>45313</v>
      </c>
      <c r="B5683" s="46" t="s">
        <v>772</v>
      </c>
      <c r="D5683" t="s">
        <v>1138</v>
      </c>
      <c r="E5683" s="46" t="s">
        <v>1436</v>
      </c>
      <c r="F5683" s="45">
        <v>35000</v>
      </c>
      <c r="G5683" t="s">
        <v>1464</v>
      </c>
      <c r="H5683" t="s">
        <v>1438</v>
      </c>
      <c r="I5683" t="s">
        <v>1439</v>
      </c>
      <c r="J5683">
        <v>3</v>
      </c>
    </row>
    <row r="5684" spans="1:11" hidden="1" x14ac:dyDescent="0.3">
      <c r="A5684" s="46">
        <v>45308</v>
      </c>
      <c r="B5684" s="46" t="s">
        <v>772</v>
      </c>
      <c r="D5684" t="s">
        <v>989</v>
      </c>
      <c r="E5684" s="46" t="s">
        <v>1436</v>
      </c>
      <c r="F5684" s="45">
        <v>35000</v>
      </c>
      <c r="G5684" t="s">
        <v>1464</v>
      </c>
      <c r="H5684" t="s">
        <v>1438</v>
      </c>
      <c r="I5684" t="s">
        <v>1439</v>
      </c>
      <c r="J5684">
        <v>3</v>
      </c>
    </row>
    <row r="5685" spans="1:11" hidden="1" x14ac:dyDescent="0.3">
      <c r="A5685" s="46">
        <v>45321</v>
      </c>
      <c r="B5685" s="46" t="s">
        <v>772</v>
      </c>
      <c r="D5685" t="s">
        <v>1012</v>
      </c>
      <c r="E5685" s="46" t="s">
        <v>1436</v>
      </c>
      <c r="F5685" s="45">
        <v>35000</v>
      </c>
      <c r="G5685" t="s">
        <v>1464</v>
      </c>
      <c r="H5685" t="s">
        <v>1438</v>
      </c>
      <c r="I5685" t="s">
        <v>1439</v>
      </c>
      <c r="J5685">
        <v>3</v>
      </c>
    </row>
    <row r="5686" spans="1:11" hidden="1" x14ac:dyDescent="0.3">
      <c r="A5686" s="46">
        <v>45329</v>
      </c>
      <c r="B5686" s="46" t="s">
        <v>772</v>
      </c>
      <c r="D5686" t="s">
        <v>1530</v>
      </c>
      <c r="E5686" s="46" t="s">
        <v>1436</v>
      </c>
      <c r="F5686" s="45">
        <v>35000</v>
      </c>
      <c r="G5686" t="s">
        <v>1464</v>
      </c>
      <c r="H5686" t="s">
        <v>1438</v>
      </c>
      <c r="I5686" t="s">
        <v>1439</v>
      </c>
      <c r="J5686">
        <v>3</v>
      </c>
    </row>
    <row r="5687" spans="1:11" hidden="1" x14ac:dyDescent="0.3">
      <c r="A5687" s="46">
        <v>45349</v>
      </c>
      <c r="B5687" s="46" t="s">
        <v>724</v>
      </c>
      <c r="D5687" t="s">
        <v>949</v>
      </c>
      <c r="E5687" s="46" t="s">
        <v>1436</v>
      </c>
      <c r="F5687" s="45">
        <v>35000</v>
      </c>
      <c r="G5687" t="s">
        <v>1437</v>
      </c>
      <c r="H5687" t="s">
        <v>1438</v>
      </c>
      <c r="I5687" t="s">
        <v>1439</v>
      </c>
      <c r="J5687">
        <v>3</v>
      </c>
    </row>
    <row r="5688" spans="1:11" hidden="1" x14ac:dyDescent="0.3">
      <c r="A5688" s="46">
        <v>45344</v>
      </c>
      <c r="B5688" s="46" t="s">
        <v>772</v>
      </c>
      <c r="D5688" t="s">
        <v>1098</v>
      </c>
      <c r="E5688" s="46" t="s">
        <v>1436</v>
      </c>
      <c r="F5688" s="45">
        <v>35000</v>
      </c>
      <c r="G5688" t="s">
        <v>1464</v>
      </c>
      <c r="H5688" t="s">
        <v>1438</v>
      </c>
      <c r="I5688" t="s">
        <v>1439</v>
      </c>
      <c r="J5688">
        <v>6</v>
      </c>
      <c r="K5688" t="s">
        <v>1721</v>
      </c>
    </row>
    <row r="5689" spans="1:11" hidden="1" x14ac:dyDescent="0.3">
      <c r="A5689" s="46">
        <v>45345</v>
      </c>
      <c r="B5689" s="46" t="s">
        <v>727</v>
      </c>
      <c r="D5689" t="s">
        <v>1589</v>
      </c>
      <c r="E5689" s="46" t="s">
        <v>1436</v>
      </c>
      <c r="F5689" s="45">
        <v>35000</v>
      </c>
      <c r="G5689" t="s">
        <v>1463</v>
      </c>
      <c r="H5689" t="s">
        <v>1438</v>
      </c>
      <c r="I5689" t="s">
        <v>1439</v>
      </c>
      <c r="J5689">
        <v>3</v>
      </c>
    </row>
    <row r="5690" spans="1:11" hidden="1" x14ac:dyDescent="0.3">
      <c r="A5690" s="46">
        <v>45342</v>
      </c>
      <c r="B5690" s="46" t="s">
        <v>772</v>
      </c>
      <c r="D5690" t="s">
        <v>1138</v>
      </c>
      <c r="E5690" s="46" t="s">
        <v>1436</v>
      </c>
      <c r="F5690" s="45">
        <v>35000</v>
      </c>
      <c r="G5690" t="s">
        <v>1464</v>
      </c>
      <c r="H5690" t="s">
        <v>1438</v>
      </c>
      <c r="I5690" t="s">
        <v>1439</v>
      </c>
      <c r="J5690">
        <v>3</v>
      </c>
    </row>
    <row r="5691" spans="1:11" hidden="1" x14ac:dyDescent="0.3">
      <c r="A5691" s="46">
        <v>45342</v>
      </c>
      <c r="B5691" s="46" t="s">
        <v>734</v>
      </c>
      <c r="D5691" t="s">
        <v>1523</v>
      </c>
      <c r="E5691" s="46" t="s">
        <v>1436</v>
      </c>
      <c r="F5691" s="45">
        <v>35000</v>
      </c>
      <c r="G5691" t="s">
        <v>1441</v>
      </c>
      <c r="H5691" t="s">
        <v>1438</v>
      </c>
      <c r="I5691" t="s">
        <v>1439</v>
      </c>
      <c r="J5691">
        <v>3</v>
      </c>
    </row>
    <row r="5692" spans="1:11" hidden="1" x14ac:dyDescent="0.3">
      <c r="A5692" s="46">
        <v>45446</v>
      </c>
      <c r="B5692" s="46" t="s">
        <v>748</v>
      </c>
      <c r="D5692" t="s">
        <v>1541</v>
      </c>
      <c r="E5692" s="46" t="s">
        <v>1436</v>
      </c>
      <c r="F5692" s="45">
        <v>35000</v>
      </c>
      <c r="G5692" t="s">
        <v>1479</v>
      </c>
      <c r="H5692" t="s">
        <v>1438</v>
      </c>
      <c r="I5692" t="s">
        <v>1439</v>
      </c>
      <c r="J5692">
        <v>4</v>
      </c>
    </row>
    <row r="5693" spans="1:11" hidden="1" x14ac:dyDescent="0.3">
      <c r="A5693" s="46">
        <v>45481</v>
      </c>
      <c r="B5693" s="46" t="s">
        <v>734</v>
      </c>
      <c r="D5693" t="s">
        <v>1538</v>
      </c>
      <c r="E5693" s="46" t="s">
        <v>1436</v>
      </c>
      <c r="F5693" s="45">
        <v>35000</v>
      </c>
      <c r="G5693" t="s">
        <v>1441</v>
      </c>
      <c r="H5693" t="s">
        <v>1438</v>
      </c>
      <c r="I5693" t="s">
        <v>1439</v>
      </c>
      <c r="J5693">
        <v>3</v>
      </c>
    </row>
    <row r="5694" spans="1:11" hidden="1" x14ac:dyDescent="0.3">
      <c r="A5694" s="46">
        <v>45397</v>
      </c>
      <c r="B5694" s="46" t="s">
        <v>748</v>
      </c>
      <c r="D5694" t="s">
        <v>2241</v>
      </c>
      <c r="E5694" s="46" t="s">
        <v>1436</v>
      </c>
      <c r="F5694" s="45">
        <v>34900</v>
      </c>
      <c r="G5694" t="s">
        <v>1483</v>
      </c>
      <c r="H5694" t="s">
        <v>1438</v>
      </c>
      <c r="I5694" t="s">
        <v>1439</v>
      </c>
      <c r="J5694">
        <v>3</v>
      </c>
    </row>
    <row r="5695" spans="1:11" hidden="1" x14ac:dyDescent="0.3">
      <c r="A5695" s="46">
        <v>45393</v>
      </c>
      <c r="B5695" s="46" t="s">
        <v>748</v>
      </c>
      <c r="D5695" t="s">
        <v>1440</v>
      </c>
      <c r="E5695" s="46" t="s">
        <v>1436</v>
      </c>
      <c r="F5695" s="45">
        <v>34900</v>
      </c>
      <c r="G5695" t="s">
        <v>1451</v>
      </c>
      <c r="H5695" t="s">
        <v>1469</v>
      </c>
      <c r="I5695" t="s">
        <v>1470</v>
      </c>
      <c r="K5695" t="s">
        <v>2242</v>
      </c>
    </row>
    <row r="5696" spans="1:11" hidden="1" x14ac:dyDescent="0.3">
      <c r="A5696" s="46">
        <v>45343</v>
      </c>
      <c r="B5696" s="46" t="s">
        <v>722</v>
      </c>
      <c r="D5696" t="s">
        <v>1555</v>
      </c>
      <c r="E5696" s="46" t="s">
        <v>1436</v>
      </c>
      <c r="F5696" s="45">
        <v>34800</v>
      </c>
      <c r="G5696" t="s">
        <v>1471</v>
      </c>
      <c r="H5696" t="s">
        <v>1438</v>
      </c>
      <c r="I5696" t="s">
        <v>1439</v>
      </c>
      <c r="J5696">
        <v>3</v>
      </c>
    </row>
    <row r="5697" spans="1:11" hidden="1" x14ac:dyDescent="0.3">
      <c r="A5697" s="46">
        <v>45343</v>
      </c>
      <c r="B5697" s="46" t="s">
        <v>722</v>
      </c>
      <c r="D5697" t="s">
        <v>1555</v>
      </c>
      <c r="E5697" s="46" t="s">
        <v>1436</v>
      </c>
      <c r="F5697" s="45">
        <v>34800</v>
      </c>
      <c r="G5697" t="s">
        <v>1471</v>
      </c>
      <c r="H5697" t="s">
        <v>1438</v>
      </c>
      <c r="I5697" t="s">
        <v>1439</v>
      </c>
      <c r="J5697">
        <v>3</v>
      </c>
      <c r="K5697" t="s">
        <v>2243</v>
      </c>
    </row>
    <row r="5698" spans="1:11" hidden="1" x14ac:dyDescent="0.3">
      <c r="A5698" s="46">
        <v>45300</v>
      </c>
      <c r="B5698" s="46" t="s">
        <v>772</v>
      </c>
      <c r="D5698" t="s">
        <v>755</v>
      </c>
      <c r="E5698" s="46" t="s">
        <v>1436</v>
      </c>
      <c r="F5698" s="45">
        <v>34670</v>
      </c>
      <c r="G5698" t="s">
        <v>1464</v>
      </c>
      <c r="H5698" t="s">
        <v>1438</v>
      </c>
      <c r="I5698" t="s">
        <v>1439</v>
      </c>
      <c r="J5698">
        <v>3</v>
      </c>
    </row>
    <row r="5699" spans="1:11" hidden="1" x14ac:dyDescent="0.3">
      <c r="A5699" s="46">
        <v>45299</v>
      </c>
      <c r="B5699" s="46" t="s">
        <v>727</v>
      </c>
      <c r="D5699" t="s">
        <v>1574</v>
      </c>
      <c r="E5699" s="46" t="s">
        <v>1436</v>
      </c>
      <c r="F5699" s="45">
        <v>34500</v>
      </c>
      <c r="G5699" t="s">
        <v>1437</v>
      </c>
      <c r="H5699" t="s">
        <v>1438</v>
      </c>
      <c r="I5699" t="s">
        <v>1439</v>
      </c>
      <c r="J5699">
        <v>3</v>
      </c>
    </row>
    <row r="5700" spans="1:11" hidden="1" x14ac:dyDescent="0.3">
      <c r="A5700" s="46">
        <v>45293</v>
      </c>
      <c r="B5700" s="46" t="s">
        <v>772</v>
      </c>
      <c r="D5700" t="s">
        <v>1139</v>
      </c>
      <c r="E5700" s="46" t="s">
        <v>1436</v>
      </c>
      <c r="F5700" s="45">
        <v>34500</v>
      </c>
      <c r="G5700" t="s">
        <v>1464</v>
      </c>
      <c r="H5700" t="s">
        <v>1438</v>
      </c>
      <c r="I5700" t="s">
        <v>1439</v>
      </c>
      <c r="J5700">
        <v>3</v>
      </c>
    </row>
    <row r="5701" spans="1:11" hidden="1" x14ac:dyDescent="0.3">
      <c r="A5701" s="46">
        <v>45335</v>
      </c>
      <c r="B5701" s="46" t="s">
        <v>727</v>
      </c>
      <c r="D5701" t="s">
        <v>1722</v>
      </c>
      <c r="E5701" s="46" t="s">
        <v>1436</v>
      </c>
      <c r="F5701" s="45">
        <v>34500</v>
      </c>
      <c r="G5701" t="s">
        <v>1463</v>
      </c>
      <c r="H5701" t="s">
        <v>1438</v>
      </c>
      <c r="I5701" t="s">
        <v>1439</v>
      </c>
      <c r="J5701">
        <v>3</v>
      </c>
    </row>
    <row r="5702" spans="1:11" hidden="1" x14ac:dyDescent="0.3">
      <c r="A5702" s="46">
        <v>45411</v>
      </c>
      <c r="B5702" s="46" t="s">
        <v>724</v>
      </c>
      <c r="D5702" t="s">
        <v>939</v>
      </c>
      <c r="E5702" s="46" t="s">
        <v>1436</v>
      </c>
      <c r="F5702" s="45">
        <v>34500</v>
      </c>
      <c r="G5702" t="s">
        <v>1437</v>
      </c>
      <c r="H5702" t="s">
        <v>1438</v>
      </c>
      <c r="I5702" t="s">
        <v>1439</v>
      </c>
      <c r="J5702">
        <v>3</v>
      </c>
    </row>
    <row r="5703" spans="1:11" hidden="1" x14ac:dyDescent="0.3">
      <c r="A5703" s="46">
        <v>45481</v>
      </c>
      <c r="B5703" s="46" t="s">
        <v>724</v>
      </c>
      <c r="D5703" t="s">
        <v>939</v>
      </c>
      <c r="E5703" s="46" t="s">
        <v>1436</v>
      </c>
      <c r="F5703" s="45">
        <v>34500</v>
      </c>
      <c r="G5703" t="s">
        <v>1437</v>
      </c>
    </row>
    <row r="5704" spans="1:11" hidden="1" x14ac:dyDescent="0.3">
      <c r="A5704" s="46">
        <v>45428</v>
      </c>
      <c r="B5704" s="46" t="s">
        <v>767</v>
      </c>
      <c r="D5704" t="s">
        <v>1152</v>
      </c>
      <c r="E5704" s="46" t="s">
        <v>1436</v>
      </c>
      <c r="F5704" s="45">
        <v>34300</v>
      </c>
      <c r="G5704" t="s">
        <v>1460</v>
      </c>
      <c r="H5704" t="s">
        <v>1438</v>
      </c>
      <c r="I5704" t="s">
        <v>1439</v>
      </c>
      <c r="J5704">
        <v>4</v>
      </c>
    </row>
    <row r="5705" spans="1:11" hidden="1" x14ac:dyDescent="0.3">
      <c r="A5705" s="46">
        <v>45407</v>
      </c>
      <c r="B5705" s="46" t="s">
        <v>767</v>
      </c>
      <c r="D5705" t="s">
        <v>2244</v>
      </c>
      <c r="E5705" s="46" t="s">
        <v>1436</v>
      </c>
      <c r="F5705" s="45">
        <v>34300</v>
      </c>
      <c r="G5705" t="s">
        <v>1460</v>
      </c>
      <c r="H5705" t="s">
        <v>1484</v>
      </c>
      <c r="I5705" t="s">
        <v>1821</v>
      </c>
      <c r="K5705" t="s">
        <v>2245</v>
      </c>
    </row>
    <row r="5706" spans="1:11" hidden="1" x14ac:dyDescent="0.3">
      <c r="A5706" s="46">
        <v>45351</v>
      </c>
      <c r="B5706" s="46" t="s">
        <v>727</v>
      </c>
      <c r="D5706" t="s">
        <v>1057</v>
      </c>
      <c r="E5706" s="46" t="s">
        <v>1436</v>
      </c>
      <c r="F5706" s="45">
        <v>34300</v>
      </c>
      <c r="G5706" t="s">
        <v>1463</v>
      </c>
      <c r="H5706" t="s">
        <v>1438</v>
      </c>
      <c r="I5706" t="s">
        <v>1439</v>
      </c>
      <c r="J5706">
        <v>5</v>
      </c>
    </row>
    <row r="5707" spans="1:11" hidden="1" x14ac:dyDescent="0.3">
      <c r="A5707" s="46">
        <v>45302</v>
      </c>
      <c r="B5707" s="46" t="s">
        <v>729</v>
      </c>
      <c r="D5707" t="s">
        <v>1057</v>
      </c>
      <c r="E5707" s="46" t="s">
        <v>1436</v>
      </c>
      <c r="F5707" s="45">
        <v>34300</v>
      </c>
      <c r="G5707" t="s">
        <v>1471</v>
      </c>
      <c r="H5707" t="s">
        <v>1438</v>
      </c>
      <c r="I5707" t="s">
        <v>1439</v>
      </c>
      <c r="J5707">
        <v>4</v>
      </c>
    </row>
    <row r="5708" spans="1:11" hidden="1" x14ac:dyDescent="0.3">
      <c r="A5708" s="46">
        <v>45421</v>
      </c>
      <c r="B5708" s="46" t="s">
        <v>767</v>
      </c>
      <c r="D5708" t="s">
        <v>2240</v>
      </c>
      <c r="E5708" s="46" t="s">
        <v>1436</v>
      </c>
      <c r="F5708" s="45">
        <v>34100</v>
      </c>
      <c r="G5708" t="s">
        <v>1460</v>
      </c>
      <c r="H5708" t="s">
        <v>1438</v>
      </c>
      <c r="I5708" t="s">
        <v>1439</v>
      </c>
      <c r="J5708">
        <v>4</v>
      </c>
    </row>
    <row r="5709" spans="1:11" hidden="1" x14ac:dyDescent="0.3">
      <c r="A5709" s="46">
        <v>45425</v>
      </c>
      <c r="B5709" s="46" t="s">
        <v>724</v>
      </c>
      <c r="D5709" t="s">
        <v>949</v>
      </c>
      <c r="E5709" s="46" t="s">
        <v>1436</v>
      </c>
      <c r="F5709" s="45">
        <v>34000</v>
      </c>
      <c r="G5709" t="s">
        <v>1437</v>
      </c>
      <c r="H5709" t="s">
        <v>1438</v>
      </c>
      <c r="I5709" t="s">
        <v>1439</v>
      </c>
      <c r="J5709">
        <v>3</v>
      </c>
    </row>
    <row r="5710" spans="1:11" hidden="1" x14ac:dyDescent="0.3">
      <c r="A5710" s="46">
        <v>45411</v>
      </c>
      <c r="B5710" s="46" t="s">
        <v>767</v>
      </c>
      <c r="D5710" t="s">
        <v>1868</v>
      </c>
      <c r="E5710" s="46" t="s">
        <v>1436</v>
      </c>
      <c r="F5710" s="45">
        <v>34000</v>
      </c>
      <c r="G5710" t="s">
        <v>1460</v>
      </c>
      <c r="H5710" t="s">
        <v>1438</v>
      </c>
      <c r="I5710" t="s">
        <v>1439</v>
      </c>
      <c r="J5710">
        <v>4</v>
      </c>
    </row>
    <row r="5711" spans="1:11" hidden="1" x14ac:dyDescent="0.3">
      <c r="A5711" s="46">
        <v>45421</v>
      </c>
      <c r="B5711" s="46" t="s">
        <v>748</v>
      </c>
      <c r="D5711" t="s">
        <v>1440</v>
      </c>
      <c r="E5711" s="46" t="s">
        <v>1436</v>
      </c>
      <c r="F5711" s="45">
        <v>34000</v>
      </c>
      <c r="G5711" t="s">
        <v>1479</v>
      </c>
      <c r="H5711" t="s">
        <v>1442</v>
      </c>
      <c r="I5711" t="s">
        <v>1458</v>
      </c>
      <c r="K5711" t="s">
        <v>2391</v>
      </c>
    </row>
    <row r="5712" spans="1:11" hidden="1" x14ac:dyDescent="0.3">
      <c r="A5712" s="46">
        <v>45406</v>
      </c>
      <c r="B5712" s="46" t="s">
        <v>767</v>
      </c>
      <c r="D5712" t="s">
        <v>1868</v>
      </c>
      <c r="E5712" s="46" t="s">
        <v>1436</v>
      </c>
      <c r="F5712" s="45">
        <v>34000</v>
      </c>
      <c r="G5712" t="s">
        <v>1460</v>
      </c>
      <c r="H5712" t="s">
        <v>1438</v>
      </c>
      <c r="I5712" t="s">
        <v>1439</v>
      </c>
      <c r="J5712">
        <v>4</v>
      </c>
    </row>
    <row r="5713" spans="1:11" hidden="1" x14ac:dyDescent="0.3">
      <c r="A5713" s="46">
        <v>45405</v>
      </c>
      <c r="B5713" s="46" t="s">
        <v>767</v>
      </c>
      <c r="D5713" t="s">
        <v>1868</v>
      </c>
      <c r="E5713" s="46" t="s">
        <v>1436</v>
      </c>
      <c r="F5713" s="45">
        <v>34000</v>
      </c>
      <c r="G5713" t="s">
        <v>1460</v>
      </c>
      <c r="H5713" t="s">
        <v>1438</v>
      </c>
      <c r="I5713" t="s">
        <v>1439</v>
      </c>
      <c r="J5713">
        <v>4</v>
      </c>
    </row>
    <row r="5714" spans="1:11" hidden="1" x14ac:dyDescent="0.3">
      <c r="A5714" s="46">
        <v>45394</v>
      </c>
      <c r="B5714" s="46" t="s">
        <v>734</v>
      </c>
      <c r="D5714" t="s">
        <v>1868</v>
      </c>
      <c r="E5714" s="46" t="s">
        <v>1436</v>
      </c>
      <c r="F5714" s="45">
        <v>34000</v>
      </c>
      <c r="G5714" t="s">
        <v>1441</v>
      </c>
      <c r="H5714" t="s">
        <v>1438</v>
      </c>
      <c r="I5714" t="s">
        <v>1439</v>
      </c>
      <c r="J5714">
        <v>4</v>
      </c>
    </row>
    <row r="5715" spans="1:11" hidden="1" x14ac:dyDescent="0.3">
      <c r="A5715" s="46">
        <v>45384</v>
      </c>
      <c r="B5715" s="46" t="s">
        <v>734</v>
      </c>
      <c r="D5715" t="s">
        <v>1868</v>
      </c>
      <c r="E5715" s="46" t="s">
        <v>1436</v>
      </c>
      <c r="F5715" s="45">
        <v>34000</v>
      </c>
      <c r="G5715" t="s">
        <v>1441</v>
      </c>
      <c r="H5715" t="s">
        <v>1438</v>
      </c>
      <c r="I5715" t="s">
        <v>1439</v>
      </c>
      <c r="J5715">
        <v>4</v>
      </c>
    </row>
    <row r="5716" spans="1:11" hidden="1" x14ac:dyDescent="0.3">
      <c r="A5716" s="46">
        <v>45390</v>
      </c>
      <c r="B5716" s="46" t="s">
        <v>767</v>
      </c>
      <c r="D5716" t="s">
        <v>1868</v>
      </c>
      <c r="E5716" s="46" t="s">
        <v>1436</v>
      </c>
      <c r="F5716" s="45">
        <v>34000</v>
      </c>
      <c r="G5716" t="s">
        <v>1460</v>
      </c>
      <c r="H5716" t="s">
        <v>1438</v>
      </c>
      <c r="I5716" t="s">
        <v>1439</v>
      </c>
      <c r="J5716">
        <v>4</v>
      </c>
    </row>
    <row r="5717" spans="1:11" hidden="1" x14ac:dyDescent="0.3">
      <c r="A5717" s="46">
        <v>45385</v>
      </c>
      <c r="B5717" s="46" t="s">
        <v>734</v>
      </c>
      <c r="D5717" t="s">
        <v>1868</v>
      </c>
      <c r="E5717" s="46" t="s">
        <v>1436</v>
      </c>
      <c r="F5717" s="45">
        <v>34000</v>
      </c>
      <c r="G5717" t="s">
        <v>1441</v>
      </c>
      <c r="H5717" t="s">
        <v>1438</v>
      </c>
      <c r="I5717" t="s">
        <v>1439</v>
      </c>
      <c r="J5717">
        <v>4</v>
      </c>
    </row>
    <row r="5718" spans="1:11" hidden="1" x14ac:dyDescent="0.3">
      <c r="A5718" s="46">
        <v>45387</v>
      </c>
      <c r="B5718" s="46" t="s">
        <v>767</v>
      </c>
      <c r="D5718" t="s">
        <v>1868</v>
      </c>
      <c r="E5718" s="46" t="s">
        <v>1436</v>
      </c>
      <c r="F5718" s="45">
        <v>34000</v>
      </c>
      <c r="G5718" t="s">
        <v>1460</v>
      </c>
      <c r="H5718" t="s">
        <v>1438</v>
      </c>
      <c r="I5718" t="s">
        <v>1439</v>
      </c>
      <c r="J5718">
        <v>4</v>
      </c>
    </row>
    <row r="5719" spans="1:11" hidden="1" x14ac:dyDescent="0.3">
      <c r="A5719" s="46">
        <v>45349</v>
      </c>
      <c r="B5719" s="46" t="s">
        <v>727</v>
      </c>
      <c r="D5719" t="s">
        <v>1147</v>
      </c>
      <c r="E5719" s="46" t="s">
        <v>1436</v>
      </c>
      <c r="F5719" s="45">
        <v>34000</v>
      </c>
      <c r="G5719" t="s">
        <v>1463</v>
      </c>
      <c r="H5719" t="s">
        <v>1438</v>
      </c>
      <c r="I5719" t="s">
        <v>1439</v>
      </c>
      <c r="J5719">
        <v>3</v>
      </c>
    </row>
    <row r="5720" spans="1:11" hidden="1" x14ac:dyDescent="0.3">
      <c r="A5720" s="46">
        <v>45348</v>
      </c>
      <c r="B5720" s="46" t="s">
        <v>772</v>
      </c>
      <c r="D5720" t="s">
        <v>1082</v>
      </c>
      <c r="E5720" s="46" t="s">
        <v>1436</v>
      </c>
      <c r="F5720" s="45">
        <v>34000</v>
      </c>
      <c r="G5720" t="s">
        <v>1464</v>
      </c>
      <c r="H5720" t="s">
        <v>1438</v>
      </c>
      <c r="I5720" t="s">
        <v>1439</v>
      </c>
      <c r="J5720">
        <v>3</v>
      </c>
    </row>
    <row r="5721" spans="1:11" hidden="1" x14ac:dyDescent="0.3">
      <c r="A5721" s="46">
        <v>45328</v>
      </c>
      <c r="B5721" s="46" t="s">
        <v>734</v>
      </c>
      <c r="D5721" t="s">
        <v>1538</v>
      </c>
      <c r="E5721" s="46" t="s">
        <v>1436</v>
      </c>
      <c r="F5721" s="45">
        <v>34000</v>
      </c>
      <c r="G5721" t="s">
        <v>1441</v>
      </c>
      <c r="H5721" t="s">
        <v>1438</v>
      </c>
      <c r="I5721" t="s">
        <v>1439</v>
      </c>
      <c r="J5721">
        <v>3</v>
      </c>
    </row>
    <row r="5722" spans="1:11" hidden="1" x14ac:dyDescent="0.3">
      <c r="A5722" s="46">
        <v>45446</v>
      </c>
      <c r="B5722" s="46" t="s">
        <v>734</v>
      </c>
      <c r="D5722" t="s">
        <v>928</v>
      </c>
      <c r="E5722" s="46" t="s">
        <v>1436</v>
      </c>
      <c r="F5722" s="45">
        <v>34000</v>
      </c>
      <c r="G5722" t="s">
        <v>1441</v>
      </c>
      <c r="H5722" t="s">
        <v>1438</v>
      </c>
      <c r="I5722" t="s">
        <v>1439</v>
      </c>
      <c r="J5722">
        <v>3</v>
      </c>
    </row>
    <row r="5723" spans="1:11" hidden="1" x14ac:dyDescent="0.3">
      <c r="A5723" s="46">
        <v>45457</v>
      </c>
      <c r="B5723" s="46" t="s">
        <v>727</v>
      </c>
      <c r="D5723" t="s">
        <v>1868</v>
      </c>
      <c r="E5723" s="46" t="s">
        <v>1436</v>
      </c>
      <c r="F5723" s="45">
        <v>34000</v>
      </c>
      <c r="G5723" t="s">
        <v>1463</v>
      </c>
      <c r="H5723" t="s">
        <v>1438</v>
      </c>
      <c r="I5723" t="s">
        <v>1439</v>
      </c>
      <c r="J5723">
        <v>4</v>
      </c>
    </row>
    <row r="5724" spans="1:11" hidden="1" x14ac:dyDescent="0.3">
      <c r="A5724" s="46">
        <v>45453</v>
      </c>
      <c r="B5724" s="46" t="s">
        <v>767</v>
      </c>
      <c r="D5724" t="s">
        <v>1868</v>
      </c>
      <c r="E5724" s="46" t="s">
        <v>1436</v>
      </c>
      <c r="F5724" s="45">
        <v>34000</v>
      </c>
      <c r="G5724" t="s">
        <v>1460</v>
      </c>
      <c r="H5724" t="s">
        <v>1438</v>
      </c>
      <c r="I5724" t="s">
        <v>1439</v>
      </c>
      <c r="J5724">
        <v>4</v>
      </c>
    </row>
    <row r="5725" spans="1:11" hidden="1" x14ac:dyDescent="0.3">
      <c r="A5725" s="46">
        <v>45420</v>
      </c>
      <c r="B5725" s="46" t="s">
        <v>772</v>
      </c>
      <c r="D5725" t="s">
        <v>1101</v>
      </c>
      <c r="E5725" s="46" t="s">
        <v>1436</v>
      </c>
      <c r="F5725" s="45">
        <v>33950</v>
      </c>
      <c r="G5725" t="s">
        <v>1464</v>
      </c>
      <c r="H5725" t="s">
        <v>1442</v>
      </c>
      <c r="I5725" t="s">
        <v>1458</v>
      </c>
      <c r="K5725" t="s">
        <v>2246</v>
      </c>
    </row>
    <row r="5726" spans="1:11" hidden="1" x14ac:dyDescent="0.3">
      <c r="A5726" s="46">
        <v>45338</v>
      </c>
      <c r="B5726" s="46" t="s">
        <v>722</v>
      </c>
      <c r="D5726" t="s">
        <v>1440</v>
      </c>
      <c r="E5726" s="46" t="s">
        <v>1436</v>
      </c>
      <c r="F5726" s="45">
        <v>33900</v>
      </c>
      <c r="G5726" t="s">
        <v>1466</v>
      </c>
      <c r="H5726" t="s">
        <v>1442</v>
      </c>
      <c r="I5726" t="s">
        <v>1458</v>
      </c>
      <c r="K5726" t="s">
        <v>1723</v>
      </c>
    </row>
    <row r="5727" spans="1:11" hidden="1" x14ac:dyDescent="0.3">
      <c r="A5727" s="46">
        <v>45477</v>
      </c>
      <c r="B5727" s="46" t="s">
        <v>748</v>
      </c>
      <c r="D5727" t="s">
        <v>1440</v>
      </c>
      <c r="E5727" s="46" t="s">
        <v>1436</v>
      </c>
      <c r="F5727" s="45">
        <v>33900</v>
      </c>
      <c r="G5727" t="s">
        <v>1479</v>
      </c>
      <c r="H5727" t="s">
        <v>1442</v>
      </c>
      <c r="I5727" t="s">
        <v>1458</v>
      </c>
      <c r="K5727" t="s">
        <v>2392</v>
      </c>
    </row>
    <row r="5728" spans="1:11" hidden="1" x14ac:dyDescent="0.3">
      <c r="A5728" s="46">
        <v>45330</v>
      </c>
      <c r="B5728" s="46" t="s">
        <v>767</v>
      </c>
      <c r="D5728" t="s">
        <v>1152</v>
      </c>
      <c r="E5728" s="46" t="s">
        <v>1436</v>
      </c>
      <c r="F5728" s="45">
        <v>33600</v>
      </c>
      <c r="G5728" t="s">
        <v>1460</v>
      </c>
      <c r="H5728" t="s">
        <v>1438</v>
      </c>
      <c r="I5728" t="s">
        <v>1439</v>
      </c>
      <c r="J5728">
        <v>5</v>
      </c>
    </row>
    <row r="5729" spans="1:11" hidden="1" x14ac:dyDescent="0.3">
      <c r="A5729" s="46">
        <v>45293</v>
      </c>
      <c r="B5729" s="46" t="s">
        <v>727</v>
      </c>
      <c r="D5729" t="s">
        <v>1570</v>
      </c>
      <c r="E5729" s="46" t="s">
        <v>1436</v>
      </c>
      <c r="F5729" s="45">
        <v>33500</v>
      </c>
      <c r="G5729" t="s">
        <v>1463</v>
      </c>
      <c r="H5729" t="s">
        <v>1438</v>
      </c>
      <c r="I5729" t="s">
        <v>1439</v>
      </c>
      <c r="J5729">
        <v>3</v>
      </c>
    </row>
    <row r="5730" spans="1:11" hidden="1" x14ac:dyDescent="0.3">
      <c r="A5730" s="46">
        <v>45366</v>
      </c>
      <c r="B5730" s="46" t="s">
        <v>724</v>
      </c>
      <c r="D5730" t="s">
        <v>882</v>
      </c>
      <c r="E5730" s="46" t="s">
        <v>1436</v>
      </c>
      <c r="F5730" s="45">
        <v>33500</v>
      </c>
      <c r="G5730" t="s">
        <v>1437</v>
      </c>
      <c r="H5730" t="s">
        <v>1438</v>
      </c>
      <c r="I5730" t="s">
        <v>1439</v>
      </c>
      <c r="J5730">
        <v>3</v>
      </c>
    </row>
    <row r="5731" spans="1:11" hidden="1" x14ac:dyDescent="0.3">
      <c r="A5731" s="46">
        <v>45363</v>
      </c>
      <c r="B5731" s="46" t="s">
        <v>727</v>
      </c>
      <c r="D5731" t="s">
        <v>1724</v>
      </c>
      <c r="E5731" s="46" t="s">
        <v>1436</v>
      </c>
      <c r="F5731" s="45">
        <v>33000</v>
      </c>
      <c r="G5731" t="s">
        <v>1463</v>
      </c>
      <c r="H5731" t="s">
        <v>1438</v>
      </c>
      <c r="I5731" t="s">
        <v>1439</v>
      </c>
      <c r="J5731">
        <v>3</v>
      </c>
    </row>
    <row r="5732" spans="1:11" hidden="1" x14ac:dyDescent="0.3">
      <c r="A5732" s="46">
        <v>45363</v>
      </c>
      <c r="B5732" s="46" t="s">
        <v>767</v>
      </c>
      <c r="D5732" t="s">
        <v>1030</v>
      </c>
      <c r="E5732" s="46" t="s">
        <v>1436</v>
      </c>
      <c r="F5732" s="45">
        <v>33000</v>
      </c>
      <c r="G5732" t="s">
        <v>1460</v>
      </c>
      <c r="H5732" t="s">
        <v>1438</v>
      </c>
      <c r="I5732" t="s">
        <v>1439</v>
      </c>
      <c r="J5732">
        <v>3</v>
      </c>
    </row>
    <row r="5733" spans="1:11" hidden="1" x14ac:dyDescent="0.3">
      <c r="A5733" s="46">
        <v>45371</v>
      </c>
      <c r="B5733" s="46" t="s">
        <v>724</v>
      </c>
      <c r="D5733" t="s">
        <v>1030</v>
      </c>
      <c r="E5733" s="46" t="s">
        <v>1436</v>
      </c>
      <c r="F5733" s="45">
        <v>33000</v>
      </c>
      <c r="G5733" t="s">
        <v>1437</v>
      </c>
      <c r="H5733" t="s">
        <v>1438</v>
      </c>
      <c r="I5733" t="s">
        <v>1439</v>
      </c>
      <c r="J5733">
        <v>3</v>
      </c>
    </row>
    <row r="5734" spans="1:11" hidden="1" x14ac:dyDescent="0.3">
      <c r="A5734" s="46">
        <v>45370</v>
      </c>
      <c r="B5734" s="46" t="s">
        <v>727</v>
      </c>
      <c r="D5734" t="s">
        <v>1030</v>
      </c>
      <c r="E5734" s="46" t="s">
        <v>1436</v>
      </c>
      <c r="F5734" s="45">
        <v>33000</v>
      </c>
      <c r="G5734" t="s">
        <v>1463</v>
      </c>
      <c r="H5734" t="s">
        <v>1438</v>
      </c>
      <c r="I5734" t="s">
        <v>1439</v>
      </c>
      <c r="J5734">
        <v>3</v>
      </c>
    </row>
    <row r="5735" spans="1:11" hidden="1" x14ac:dyDescent="0.3">
      <c r="A5735" s="46">
        <v>45385</v>
      </c>
      <c r="B5735" s="46" t="s">
        <v>727</v>
      </c>
      <c r="D5735" t="s">
        <v>1593</v>
      </c>
      <c r="E5735" s="46" t="s">
        <v>1436</v>
      </c>
      <c r="F5735" s="45">
        <v>33000</v>
      </c>
      <c r="G5735" t="s">
        <v>1463</v>
      </c>
      <c r="H5735" t="s">
        <v>1438</v>
      </c>
      <c r="I5735" t="s">
        <v>1439</v>
      </c>
      <c r="J5735">
        <v>3</v>
      </c>
    </row>
    <row r="5736" spans="1:11" hidden="1" x14ac:dyDescent="0.3">
      <c r="A5736" s="46">
        <v>45384</v>
      </c>
      <c r="B5736" s="46" t="s">
        <v>734</v>
      </c>
      <c r="D5736" t="s">
        <v>1705</v>
      </c>
      <c r="E5736" s="46" t="s">
        <v>1436</v>
      </c>
      <c r="F5736" s="45">
        <v>33000</v>
      </c>
      <c r="G5736" t="s">
        <v>1441</v>
      </c>
      <c r="H5736" t="s">
        <v>1438</v>
      </c>
      <c r="I5736" t="s">
        <v>1439</v>
      </c>
      <c r="J5736">
        <v>3</v>
      </c>
    </row>
    <row r="5737" spans="1:11" hidden="1" x14ac:dyDescent="0.3">
      <c r="A5737" s="46">
        <v>45376</v>
      </c>
      <c r="B5737" s="46" t="s">
        <v>734</v>
      </c>
      <c r="D5737" t="s">
        <v>1548</v>
      </c>
      <c r="E5737" s="46" t="s">
        <v>1436</v>
      </c>
      <c r="F5737" s="45">
        <v>33000</v>
      </c>
      <c r="G5737" t="s">
        <v>1441</v>
      </c>
      <c r="H5737" t="s">
        <v>1438</v>
      </c>
      <c r="I5737" t="s">
        <v>1439</v>
      </c>
      <c r="J5737">
        <v>3</v>
      </c>
    </row>
    <row r="5738" spans="1:11" hidden="1" x14ac:dyDescent="0.3">
      <c r="A5738" s="46">
        <v>45377</v>
      </c>
      <c r="B5738" s="46" t="s">
        <v>727</v>
      </c>
      <c r="D5738" t="s">
        <v>1593</v>
      </c>
      <c r="E5738" s="46" t="s">
        <v>1436</v>
      </c>
      <c r="F5738" s="45">
        <v>33000</v>
      </c>
      <c r="G5738" t="s">
        <v>1509</v>
      </c>
      <c r="H5738" t="s">
        <v>1438</v>
      </c>
      <c r="I5738" t="s">
        <v>1439</v>
      </c>
      <c r="J5738">
        <v>3</v>
      </c>
    </row>
    <row r="5739" spans="1:11" hidden="1" x14ac:dyDescent="0.3">
      <c r="A5739" s="46">
        <v>45419</v>
      </c>
      <c r="B5739" s="46" t="s">
        <v>767</v>
      </c>
      <c r="D5739" t="s">
        <v>1030</v>
      </c>
      <c r="E5739" s="46" t="s">
        <v>1436</v>
      </c>
      <c r="F5739" s="45">
        <v>33000</v>
      </c>
      <c r="G5739" t="s">
        <v>1462</v>
      </c>
      <c r="H5739" t="s">
        <v>1438</v>
      </c>
      <c r="I5739" t="s">
        <v>1439</v>
      </c>
      <c r="J5739">
        <v>3</v>
      </c>
    </row>
    <row r="5740" spans="1:11" hidden="1" x14ac:dyDescent="0.3">
      <c r="A5740" s="46">
        <v>45412</v>
      </c>
      <c r="B5740" s="46" t="s">
        <v>722</v>
      </c>
      <c r="D5740" t="s">
        <v>1030</v>
      </c>
      <c r="E5740" s="46" t="s">
        <v>1436</v>
      </c>
      <c r="F5740" s="45">
        <v>33000</v>
      </c>
      <c r="G5740" t="s">
        <v>1437</v>
      </c>
      <c r="H5740" t="s">
        <v>1438</v>
      </c>
      <c r="I5740" t="s">
        <v>1439</v>
      </c>
      <c r="J5740">
        <v>3</v>
      </c>
    </row>
    <row r="5741" spans="1:11" hidden="1" x14ac:dyDescent="0.3">
      <c r="A5741" s="46">
        <v>45394</v>
      </c>
      <c r="B5741" s="46" t="s">
        <v>724</v>
      </c>
      <c r="D5741" t="s">
        <v>949</v>
      </c>
      <c r="E5741" s="46" t="s">
        <v>1436</v>
      </c>
      <c r="F5741" s="45">
        <v>33000</v>
      </c>
      <c r="G5741" t="s">
        <v>1437</v>
      </c>
      <c r="H5741" t="s">
        <v>1438</v>
      </c>
      <c r="I5741" t="s">
        <v>1439</v>
      </c>
      <c r="J5741">
        <v>3</v>
      </c>
    </row>
    <row r="5742" spans="1:11" hidden="1" x14ac:dyDescent="0.3">
      <c r="A5742" s="46">
        <v>45394</v>
      </c>
      <c r="B5742" s="46" t="s">
        <v>722</v>
      </c>
      <c r="D5742" t="s">
        <v>2187</v>
      </c>
      <c r="E5742" s="46" t="s">
        <v>1436</v>
      </c>
      <c r="F5742" s="45">
        <v>33000</v>
      </c>
      <c r="G5742" t="s">
        <v>1437</v>
      </c>
      <c r="H5742" t="s">
        <v>1448</v>
      </c>
      <c r="I5742" t="s">
        <v>2188</v>
      </c>
      <c r="K5742" t="s">
        <v>2189</v>
      </c>
    </row>
    <row r="5743" spans="1:11" hidden="1" x14ac:dyDescent="0.3">
      <c r="A5743" s="46">
        <v>45315</v>
      </c>
      <c r="B5743" s="46" t="s">
        <v>724</v>
      </c>
      <c r="D5743" t="s">
        <v>1508</v>
      </c>
      <c r="E5743" s="46" t="s">
        <v>1436</v>
      </c>
      <c r="F5743" s="45">
        <v>33000</v>
      </c>
      <c r="G5743" t="s">
        <v>1479</v>
      </c>
      <c r="H5743" t="s">
        <v>1468</v>
      </c>
      <c r="I5743" t="s">
        <v>1487</v>
      </c>
      <c r="K5743" t="s">
        <v>1725</v>
      </c>
    </row>
    <row r="5744" spans="1:11" hidden="1" x14ac:dyDescent="0.3">
      <c r="A5744" s="46">
        <v>45327</v>
      </c>
      <c r="B5744" s="46" t="s">
        <v>772</v>
      </c>
      <c r="D5744" t="s">
        <v>1138</v>
      </c>
      <c r="E5744" s="46" t="s">
        <v>1436</v>
      </c>
      <c r="F5744" s="45">
        <v>33000</v>
      </c>
      <c r="G5744" t="s">
        <v>1464</v>
      </c>
      <c r="H5744" t="s">
        <v>1438</v>
      </c>
      <c r="I5744" t="s">
        <v>1439</v>
      </c>
      <c r="J5744">
        <v>3</v>
      </c>
    </row>
    <row r="5745" spans="1:11" hidden="1" x14ac:dyDescent="0.3">
      <c r="A5745" s="46">
        <v>45328</v>
      </c>
      <c r="B5745" s="46" t="s">
        <v>767</v>
      </c>
      <c r="D5745" t="s">
        <v>1030</v>
      </c>
      <c r="E5745" s="46" t="s">
        <v>1436</v>
      </c>
      <c r="F5745" s="45">
        <v>33000</v>
      </c>
      <c r="G5745" t="s">
        <v>1509</v>
      </c>
      <c r="H5745" t="s">
        <v>1438</v>
      </c>
      <c r="I5745" t="s">
        <v>1439</v>
      </c>
      <c r="J5745">
        <v>3</v>
      </c>
    </row>
    <row r="5746" spans="1:11" hidden="1" x14ac:dyDescent="0.3">
      <c r="A5746" s="46">
        <v>45324</v>
      </c>
      <c r="B5746" s="46" t="s">
        <v>734</v>
      </c>
      <c r="D5746" t="s">
        <v>1548</v>
      </c>
      <c r="E5746" s="46" t="s">
        <v>1436</v>
      </c>
      <c r="F5746" s="45">
        <v>33000</v>
      </c>
      <c r="G5746" t="s">
        <v>1441</v>
      </c>
      <c r="H5746" t="s">
        <v>1438</v>
      </c>
      <c r="I5746" t="s">
        <v>1439</v>
      </c>
      <c r="J5746">
        <v>3</v>
      </c>
    </row>
    <row r="5747" spans="1:11" hidden="1" x14ac:dyDescent="0.3">
      <c r="A5747" s="46">
        <v>45338</v>
      </c>
      <c r="B5747" s="46" t="s">
        <v>724</v>
      </c>
      <c r="D5747" t="s">
        <v>1030</v>
      </c>
      <c r="E5747" s="46" t="s">
        <v>1436</v>
      </c>
      <c r="F5747" s="45">
        <v>33000</v>
      </c>
      <c r="G5747" t="s">
        <v>1437</v>
      </c>
      <c r="H5747" t="s">
        <v>1438</v>
      </c>
      <c r="I5747" t="s">
        <v>1439</v>
      </c>
      <c r="J5747">
        <v>3</v>
      </c>
    </row>
    <row r="5748" spans="1:11" hidden="1" x14ac:dyDescent="0.3">
      <c r="A5748" s="46">
        <v>45335</v>
      </c>
      <c r="B5748" s="46" t="s">
        <v>734</v>
      </c>
      <c r="D5748" t="s">
        <v>1548</v>
      </c>
      <c r="E5748" s="46" t="s">
        <v>1436</v>
      </c>
      <c r="F5748" s="45">
        <v>33000</v>
      </c>
      <c r="G5748" t="s">
        <v>1441</v>
      </c>
      <c r="H5748" t="s">
        <v>1438</v>
      </c>
      <c r="I5748" t="s">
        <v>1439</v>
      </c>
      <c r="J5748">
        <v>3</v>
      </c>
    </row>
    <row r="5749" spans="1:11" hidden="1" x14ac:dyDescent="0.3">
      <c r="A5749" s="46">
        <v>45348</v>
      </c>
      <c r="B5749" s="46" t="s">
        <v>722</v>
      </c>
      <c r="D5749" t="s">
        <v>1593</v>
      </c>
      <c r="E5749" s="46" t="s">
        <v>1436</v>
      </c>
      <c r="F5749" s="45">
        <v>33000</v>
      </c>
      <c r="G5749" t="s">
        <v>1471</v>
      </c>
      <c r="H5749" t="s">
        <v>1438</v>
      </c>
      <c r="I5749" t="s">
        <v>1439</v>
      </c>
      <c r="J5749">
        <v>3</v>
      </c>
    </row>
    <row r="5750" spans="1:11" hidden="1" x14ac:dyDescent="0.3">
      <c r="A5750" s="46">
        <v>45342</v>
      </c>
      <c r="B5750" s="46" t="s">
        <v>727</v>
      </c>
      <c r="D5750" t="s">
        <v>1030</v>
      </c>
      <c r="E5750" s="46" t="s">
        <v>1436</v>
      </c>
      <c r="F5750" s="45">
        <v>33000</v>
      </c>
      <c r="G5750" t="s">
        <v>1463</v>
      </c>
      <c r="H5750" t="s">
        <v>1438</v>
      </c>
      <c r="I5750" t="s">
        <v>1439</v>
      </c>
      <c r="J5750">
        <v>3</v>
      </c>
    </row>
    <row r="5751" spans="1:11" hidden="1" x14ac:dyDescent="0.3">
      <c r="A5751" s="46">
        <v>45478</v>
      </c>
      <c r="B5751" s="46" t="s">
        <v>724</v>
      </c>
      <c r="D5751" t="s">
        <v>1030</v>
      </c>
      <c r="E5751" s="46" t="s">
        <v>1436</v>
      </c>
      <c r="F5751" s="45">
        <v>33000</v>
      </c>
      <c r="G5751" t="s">
        <v>1437</v>
      </c>
    </row>
    <row r="5752" spans="1:11" hidden="1" x14ac:dyDescent="0.3">
      <c r="A5752" s="46">
        <v>45471</v>
      </c>
      <c r="B5752" s="46" t="s">
        <v>724</v>
      </c>
      <c r="D5752" t="s">
        <v>1508</v>
      </c>
      <c r="E5752" s="46" t="s">
        <v>1436</v>
      </c>
      <c r="F5752" s="45">
        <v>33000</v>
      </c>
      <c r="G5752" t="s">
        <v>1479</v>
      </c>
      <c r="H5752" t="s">
        <v>1468</v>
      </c>
      <c r="I5752" t="s">
        <v>1487</v>
      </c>
      <c r="K5752" t="s">
        <v>2393</v>
      </c>
    </row>
    <row r="5753" spans="1:11" hidden="1" x14ac:dyDescent="0.3">
      <c r="A5753" s="46">
        <v>45454</v>
      </c>
      <c r="B5753" s="46" t="s">
        <v>734</v>
      </c>
      <c r="D5753" t="s">
        <v>1548</v>
      </c>
      <c r="E5753" s="46" t="s">
        <v>1436</v>
      </c>
      <c r="F5753" s="45">
        <v>33000</v>
      </c>
      <c r="G5753" t="s">
        <v>1441</v>
      </c>
      <c r="H5753" t="s">
        <v>1438</v>
      </c>
      <c r="I5753" t="s">
        <v>1439</v>
      </c>
      <c r="J5753">
        <v>3</v>
      </c>
    </row>
    <row r="5754" spans="1:11" hidden="1" x14ac:dyDescent="0.3">
      <c r="A5754" s="46">
        <v>45468</v>
      </c>
      <c r="B5754" s="46" t="s">
        <v>772</v>
      </c>
      <c r="D5754" t="s">
        <v>2092</v>
      </c>
      <c r="E5754" s="46" t="s">
        <v>1436</v>
      </c>
      <c r="F5754" s="45">
        <v>33000</v>
      </c>
      <c r="G5754" t="s">
        <v>1464</v>
      </c>
      <c r="H5754" t="s">
        <v>1438</v>
      </c>
      <c r="I5754" t="s">
        <v>1439</v>
      </c>
      <c r="J5754">
        <v>3</v>
      </c>
    </row>
    <row r="5755" spans="1:11" hidden="1" x14ac:dyDescent="0.3">
      <c r="A5755" s="46">
        <v>45467</v>
      </c>
      <c r="B5755" s="46" t="s">
        <v>724</v>
      </c>
      <c r="D5755" t="s">
        <v>989</v>
      </c>
      <c r="E5755" s="46" t="s">
        <v>1436</v>
      </c>
      <c r="F5755" s="45">
        <v>33000</v>
      </c>
      <c r="G5755" t="s">
        <v>1437</v>
      </c>
      <c r="H5755" t="s">
        <v>1438</v>
      </c>
      <c r="I5755" t="s">
        <v>1439</v>
      </c>
      <c r="J5755">
        <v>3</v>
      </c>
    </row>
    <row r="5756" spans="1:11" hidden="1" x14ac:dyDescent="0.3">
      <c r="A5756" s="46">
        <v>45450</v>
      </c>
      <c r="B5756" s="46" t="s">
        <v>724</v>
      </c>
      <c r="D5756" t="s">
        <v>989</v>
      </c>
      <c r="E5756" s="46" t="s">
        <v>1436</v>
      </c>
      <c r="F5756" s="45">
        <v>33000</v>
      </c>
      <c r="G5756" t="s">
        <v>1437</v>
      </c>
      <c r="H5756" t="s">
        <v>1438</v>
      </c>
      <c r="I5756" t="s">
        <v>1439</v>
      </c>
      <c r="J5756">
        <v>3</v>
      </c>
    </row>
    <row r="5757" spans="1:11" hidden="1" x14ac:dyDescent="0.3">
      <c r="A5757" s="46">
        <v>45433</v>
      </c>
      <c r="B5757" s="46" t="s">
        <v>724</v>
      </c>
      <c r="D5757" t="s">
        <v>1030</v>
      </c>
      <c r="E5757" s="46" t="s">
        <v>1436</v>
      </c>
      <c r="F5757" s="45">
        <v>33000</v>
      </c>
      <c r="G5757" t="s">
        <v>1437</v>
      </c>
      <c r="H5757" t="s">
        <v>1438</v>
      </c>
      <c r="I5757" t="s">
        <v>1439</v>
      </c>
      <c r="J5757">
        <v>3</v>
      </c>
    </row>
    <row r="5758" spans="1:11" hidden="1" x14ac:dyDescent="0.3">
      <c r="A5758" s="46">
        <v>45439</v>
      </c>
      <c r="B5758" s="46" t="s">
        <v>767</v>
      </c>
      <c r="D5758" t="s">
        <v>2091</v>
      </c>
      <c r="E5758" s="46" t="s">
        <v>1436</v>
      </c>
      <c r="F5758" s="45">
        <v>33000</v>
      </c>
      <c r="G5758" t="s">
        <v>1463</v>
      </c>
      <c r="H5758" t="s">
        <v>1438</v>
      </c>
      <c r="I5758" t="s">
        <v>1439</v>
      </c>
      <c r="J5758">
        <v>3</v>
      </c>
    </row>
    <row r="5759" spans="1:11" hidden="1" x14ac:dyDescent="0.3">
      <c r="A5759" s="46">
        <v>45323</v>
      </c>
      <c r="B5759" s="46" t="s">
        <v>729</v>
      </c>
      <c r="D5759" t="s">
        <v>1159</v>
      </c>
      <c r="E5759" s="46" t="s">
        <v>1436</v>
      </c>
      <c r="F5759" s="45">
        <v>32800</v>
      </c>
      <c r="G5759" t="s">
        <v>1471</v>
      </c>
      <c r="H5759" t="s">
        <v>1438</v>
      </c>
      <c r="I5759" t="s">
        <v>1439</v>
      </c>
      <c r="J5759">
        <v>6</v>
      </c>
    </row>
    <row r="5760" spans="1:11" hidden="1" x14ac:dyDescent="0.3">
      <c r="A5760" s="46">
        <v>45316</v>
      </c>
      <c r="B5760" s="46" t="s">
        <v>727</v>
      </c>
      <c r="D5760" t="s">
        <v>1595</v>
      </c>
      <c r="E5760" s="46" t="s">
        <v>1436</v>
      </c>
      <c r="F5760" s="45">
        <v>32700</v>
      </c>
      <c r="G5760" t="s">
        <v>1463</v>
      </c>
      <c r="H5760" t="s">
        <v>1438</v>
      </c>
      <c r="I5760" t="s">
        <v>1439</v>
      </c>
      <c r="J5760">
        <v>5</v>
      </c>
    </row>
    <row r="5761" spans="1:11" hidden="1" x14ac:dyDescent="0.3">
      <c r="A5761" s="46">
        <v>45432</v>
      </c>
      <c r="B5761" s="46" t="s">
        <v>722</v>
      </c>
      <c r="D5761" t="s">
        <v>2229</v>
      </c>
      <c r="E5761" s="46" t="s">
        <v>1436</v>
      </c>
      <c r="F5761" s="45">
        <v>32700</v>
      </c>
      <c r="G5761" t="s">
        <v>1437</v>
      </c>
      <c r="H5761" t="s">
        <v>1438</v>
      </c>
      <c r="I5761" t="s">
        <v>1439</v>
      </c>
      <c r="J5761">
        <v>3</v>
      </c>
    </row>
    <row r="5762" spans="1:11" hidden="1" x14ac:dyDescent="0.3">
      <c r="A5762" s="46">
        <v>45439</v>
      </c>
      <c r="B5762" s="46" t="s">
        <v>724</v>
      </c>
      <c r="D5762" t="s">
        <v>2083</v>
      </c>
      <c r="E5762" s="46" t="s">
        <v>1436</v>
      </c>
      <c r="F5762" s="45">
        <v>32700</v>
      </c>
      <c r="G5762" t="s">
        <v>1437</v>
      </c>
      <c r="H5762" t="s">
        <v>1438</v>
      </c>
      <c r="I5762" t="s">
        <v>1439</v>
      </c>
      <c r="J5762">
        <v>3</v>
      </c>
    </row>
    <row r="5763" spans="1:11" hidden="1" x14ac:dyDescent="0.3">
      <c r="A5763" s="46">
        <v>45447</v>
      </c>
      <c r="B5763" s="46" t="s">
        <v>724</v>
      </c>
      <c r="D5763" t="s">
        <v>2083</v>
      </c>
      <c r="E5763" s="46" t="s">
        <v>1436</v>
      </c>
      <c r="F5763" s="45">
        <v>32700</v>
      </c>
      <c r="G5763" t="s">
        <v>1437</v>
      </c>
      <c r="H5763" t="s">
        <v>1438</v>
      </c>
      <c r="I5763" t="s">
        <v>1439</v>
      </c>
      <c r="J5763">
        <v>3</v>
      </c>
    </row>
    <row r="5764" spans="1:11" hidden="1" x14ac:dyDescent="0.3">
      <c r="A5764" s="46">
        <v>45468</v>
      </c>
      <c r="B5764" s="46" t="s">
        <v>724</v>
      </c>
      <c r="D5764" t="s">
        <v>2087</v>
      </c>
      <c r="E5764" s="46" t="s">
        <v>1436</v>
      </c>
      <c r="F5764" s="45">
        <v>32500</v>
      </c>
      <c r="G5764" t="s">
        <v>1463</v>
      </c>
      <c r="H5764" t="s">
        <v>1438</v>
      </c>
      <c r="I5764" t="s">
        <v>1439</v>
      </c>
      <c r="J5764">
        <v>3</v>
      </c>
    </row>
    <row r="5765" spans="1:11" hidden="1" x14ac:dyDescent="0.3">
      <c r="A5765" s="46">
        <v>45322</v>
      </c>
      <c r="B5765" s="46" t="s">
        <v>821</v>
      </c>
      <c r="D5765" t="s">
        <v>1164</v>
      </c>
      <c r="E5765" s="46" t="s">
        <v>1436</v>
      </c>
      <c r="F5765" s="45">
        <v>32500</v>
      </c>
      <c r="G5765" t="s">
        <v>1509</v>
      </c>
      <c r="H5765" t="s">
        <v>1438</v>
      </c>
      <c r="I5765" t="s">
        <v>1456</v>
      </c>
      <c r="J5765">
        <v>3</v>
      </c>
      <c r="K5765" t="s">
        <v>1537</v>
      </c>
    </row>
    <row r="5766" spans="1:11" hidden="1" x14ac:dyDescent="0.3">
      <c r="A5766" s="46">
        <v>45351</v>
      </c>
      <c r="B5766" s="46" t="s">
        <v>748</v>
      </c>
      <c r="D5766" t="s">
        <v>1440</v>
      </c>
      <c r="E5766" s="46" t="s">
        <v>1436</v>
      </c>
      <c r="F5766" s="45">
        <v>32500</v>
      </c>
      <c r="G5766" t="s">
        <v>1479</v>
      </c>
      <c r="H5766" t="s">
        <v>1442</v>
      </c>
      <c r="I5766" t="s">
        <v>1458</v>
      </c>
      <c r="K5766" t="s">
        <v>1726</v>
      </c>
    </row>
    <row r="5767" spans="1:11" hidden="1" x14ac:dyDescent="0.3">
      <c r="A5767" s="46">
        <v>45335</v>
      </c>
      <c r="B5767" s="46" t="s">
        <v>734</v>
      </c>
      <c r="D5767" t="s">
        <v>1548</v>
      </c>
      <c r="E5767" s="46" t="s">
        <v>1436</v>
      </c>
      <c r="F5767" s="45">
        <v>32400</v>
      </c>
      <c r="G5767" t="s">
        <v>1441</v>
      </c>
      <c r="H5767" t="s">
        <v>1438</v>
      </c>
      <c r="I5767" t="s">
        <v>1439</v>
      </c>
      <c r="J5767">
        <v>3</v>
      </c>
    </row>
    <row r="5768" spans="1:11" hidden="1" x14ac:dyDescent="0.3">
      <c r="A5768" s="46">
        <v>45324</v>
      </c>
      <c r="B5768" s="46" t="s">
        <v>734</v>
      </c>
      <c r="D5768" t="s">
        <v>1548</v>
      </c>
      <c r="E5768" s="46" t="s">
        <v>1436</v>
      </c>
      <c r="F5768" s="45">
        <v>32400</v>
      </c>
      <c r="G5768" t="s">
        <v>1441</v>
      </c>
      <c r="H5768" t="s">
        <v>1438</v>
      </c>
      <c r="I5768" t="s">
        <v>1439</v>
      </c>
      <c r="J5768">
        <v>3</v>
      </c>
    </row>
    <row r="5769" spans="1:11" hidden="1" x14ac:dyDescent="0.3">
      <c r="A5769" s="46">
        <v>45321</v>
      </c>
      <c r="B5769" s="46" t="s">
        <v>748</v>
      </c>
      <c r="D5769" t="s">
        <v>1440</v>
      </c>
      <c r="E5769" s="46" t="s">
        <v>1436</v>
      </c>
      <c r="F5769" s="45">
        <v>32400</v>
      </c>
      <c r="G5769" t="s">
        <v>1479</v>
      </c>
      <c r="H5769" t="s">
        <v>1438</v>
      </c>
      <c r="I5769" t="s">
        <v>1439</v>
      </c>
      <c r="K5769" t="s">
        <v>1511</v>
      </c>
    </row>
    <row r="5770" spans="1:11" hidden="1" x14ac:dyDescent="0.3">
      <c r="A5770" s="46">
        <v>45468</v>
      </c>
      <c r="B5770" s="46" t="s">
        <v>748</v>
      </c>
      <c r="D5770" t="s">
        <v>1440</v>
      </c>
      <c r="E5770" s="46" t="s">
        <v>1436</v>
      </c>
      <c r="F5770" s="45">
        <v>32400</v>
      </c>
      <c r="G5770" t="s">
        <v>1462</v>
      </c>
      <c r="H5770" t="s">
        <v>1438</v>
      </c>
      <c r="I5770" t="s">
        <v>1439</v>
      </c>
      <c r="K5770" t="s">
        <v>1511</v>
      </c>
    </row>
    <row r="5771" spans="1:11" hidden="1" x14ac:dyDescent="0.3">
      <c r="A5771" s="46">
        <v>45404</v>
      </c>
      <c r="B5771" s="46" t="s">
        <v>722</v>
      </c>
      <c r="D5771" t="s">
        <v>1461</v>
      </c>
      <c r="E5771" s="46" t="s">
        <v>1436</v>
      </c>
      <c r="F5771" s="45">
        <v>32340</v>
      </c>
      <c r="G5771" t="s">
        <v>1466</v>
      </c>
      <c r="H5771" t="s">
        <v>1438</v>
      </c>
      <c r="I5771" t="s">
        <v>1439</v>
      </c>
      <c r="K5771" t="s">
        <v>2247</v>
      </c>
    </row>
    <row r="5772" spans="1:11" hidden="1" x14ac:dyDescent="0.3">
      <c r="A5772" s="46">
        <v>45429</v>
      </c>
      <c r="B5772" s="46" t="s">
        <v>734</v>
      </c>
      <c r="D5772" t="s">
        <v>2248</v>
      </c>
      <c r="E5772" s="46" t="s">
        <v>1436</v>
      </c>
      <c r="F5772" s="45">
        <v>32200</v>
      </c>
      <c r="G5772" t="s">
        <v>1441</v>
      </c>
      <c r="H5772" t="s">
        <v>1438</v>
      </c>
      <c r="I5772" t="s">
        <v>1439</v>
      </c>
      <c r="J5772">
        <v>3</v>
      </c>
    </row>
    <row r="5773" spans="1:11" hidden="1" x14ac:dyDescent="0.3">
      <c r="A5773" s="46">
        <v>45306</v>
      </c>
      <c r="B5773" s="46" t="s">
        <v>722</v>
      </c>
      <c r="D5773" t="s">
        <v>1561</v>
      </c>
      <c r="E5773" s="46" t="s">
        <v>1436</v>
      </c>
      <c r="F5773" s="45">
        <v>32040</v>
      </c>
      <c r="G5773" t="s">
        <v>1437</v>
      </c>
      <c r="H5773" t="s">
        <v>1488</v>
      </c>
      <c r="I5773" t="s">
        <v>1489</v>
      </c>
    </row>
    <row r="5774" spans="1:11" hidden="1" x14ac:dyDescent="0.3">
      <c r="A5774" s="46">
        <v>45303</v>
      </c>
      <c r="B5774" s="46" t="s">
        <v>748</v>
      </c>
      <c r="D5774" t="s">
        <v>1440</v>
      </c>
      <c r="E5774" s="46" t="s">
        <v>1436</v>
      </c>
      <c r="F5774" s="45">
        <v>32000</v>
      </c>
      <c r="G5774" t="s">
        <v>1479</v>
      </c>
      <c r="H5774" t="s">
        <v>1442</v>
      </c>
      <c r="I5774" t="s">
        <v>1458</v>
      </c>
      <c r="K5774" t="s">
        <v>1727</v>
      </c>
    </row>
    <row r="5775" spans="1:11" hidden="1" x14ac:dyDescent="0.3">
      <c r="A5775" s="46">
        <v>45299</v>
      </c>
      <c r="B5775" s="46" t="s">
        <v>724</v>
      </c>
      <c r="D5775" t="s">
        <v>1082</v>
      </c>
      <c r="E5775" s="46" t="s">
        <v>1436</v>
      </c>
      <c r="F5775" s="45">
        <v>32000</v>
      </c>
      <c r="G5775" t="s">
        <v>1437</v>
      </c>
      <c r="H5775" t="s">
        <v>1438</v>
      </c>
      <c r="I5775" t="s">
        <v>1439</v>
      </c>
      <c r="J5775">
        <v>3</v>
      </c>
    </row>
    <row r="5776" spans="1:11" hidden="1" x14ac:dyDescent="0.3">
      <c r="A5776" s="46">
        <v>45308</v>
      </c>
      <c r="B5776" s="46" t="s">
        <v>767</v>
      </c>
      <c r="D5776" t="s">
        <v>1545</v>
      </c>
      <c r="E5776" s="46" t="s">
        <v>1436</v>
      </c>
      <c r="F5776" s="45">
        <v>32000</v>
      </c>
      <c r="G5776" t="s">
        <v>1460</v>
      </c>
      <c r="H5776" t="s">
        <v>1438</v>
      </c>
      <c r="I5776" t="s">
        <v>1439</v>
      </c>
      <c r="J5776">
        <v>3</v>
      </c>
    </row>
    <row r="5777" spans="1:11" hidden="1" x14ac:dyDescent="0.3">
      <c r="A5777" s="46">
        <v>45338</v>
      </c>
      <c r="B5777" s="46" t="s">
        <v>734</v>
      </c>
      <c r="D5777" t="s">
        <v>1705</v>
      </c>
      <c r="E5777" s="46" t="s">
        <v>1436</v>
      </c>
      <c r="F5777" s="45">
        <v>32000</v>
      </c>
      <c r="G5777" t="s">
        <v>1441</v>
      </c>
      <c r="H5777" t="s">
        <v>1438</v>
      </c>
      <c r="I5777" t="s">
        <v>1439</v>
      </c>
      <c r="J5777">
        <v>3</v>
      </c>
    </row>
    <row r="5778" spans="1:11" hidden="1" x14ac:dyDescent="0.3">
      <c r="A5778" s="46">
        <v>45349</v>
      </c>
      <c r="B5778" s="46" t="s">
        <v>748</v>
      </c>
      <c r="D5778" t="s">
        <v>1440</v>
      </c>
      <c r="E5778" s="46" t="s">
        <v>1436</v>
      </c>
      <c r="F5778" s="45">
        <v>32000</v>
      </c>
      <c r="G5778" t="s">
        <v>1479</v>
      </c>
      <c r="H5778" t="s">
        <v>1442</v>
      </c>
      <c r="I5778" t="s">
        <v>1458</v>
      </c>
      <c r="K5778" t="s">
        <v>1728</v>
      </c>
    </row>
    <row r="5779" spans="1:11" hidden="1" x14ac:dyDescent="0.3">
      <c r="A5779" s="46">
        <v>45344</v>
      </c>
      <c r="B5779" s="46" t="s">
        <v>727</v>
      </c>
      <c r="D5779" t="s">
        <v>1573</v>
      </c>
      <c r="E5779" s="46" t="s">
        <v>1436</v>
      </c>
      <c r="F5779" s="45">
        <v>32000</v>
      </c>
      <c r="G5779" t="s">
        <v>1463</v>
      </c>
      <c r="H5779" t="s">
        <v>1438</v>
      </c>
      <c r="I5779" t="s">
        <v>1439</v>
      </c>
      <c r="J5779">
        <v>5</v>
      </c>
    </row>
    <row r="5780" spans="1:11" hidden="1" x14ac:dyDescent="0.3">
      <c r="A5780" s="46">
        <v>45345</v>
      </c>
      <c r="B5780" s="46" t="s">
        <v>724</v>
      </c>
      <c r="D5780" t="s">
        <v>1082</v>
      </c>
      <c r="E5780" s="46" t="s">
        <v>1436</v>
      </c>
      <c r="F5780" s="45">
        <v>32000</v>
      </c>
      <c r="G5780" t="s">
        <v>1437</v>
      </c>
      <c r="H5780" t="s">
        <v>1438</v>
      </c>
      <c r="I5780" t="s">
        <v>1439</v>
      </c>
      <c r="J5780">
        <v>3</v>
      </c>
    </row>
    <row r="5781" spans="1:11" hidden="1" x14ac:dyDescent="0.3">
      <c r="A5781" s="46">
        <v>45415</v>
      </c>
      <c r="B5781" s="46" t="s">
        <v>767</v>
      </c>
      <c r="D5781" t="s">
        <v>1542</v>
      </c>
      <c r="E5781" s="46" t="s">
        <v>1436</v>
      </c>
      <c r="F5781" s="45">
        <v>32000</v>
      </c>
      <c r="G5781" t="s">
        <v>1460</v>
      </c>
      <c r="H5781" t="s">
        <v>1438</v>
      </c>
      <c r="I5781" t="s">
        <v>1439</v>
      </c>
      <c r="J5781">
        <v>3</v>
      </c>
    </row>
    <row r="5782" spans="1:11" hidden="1" x14ac:dyDescent="0.3">
      <c r="A5782" s="46">
        <v>45386</v>
      </c>
      <c r="B5782" s="46" t="s">
        <v>748</v>
      </c>
      <c r="D5782" t="s">
        <v>1440</v>
      </c>
      <c r="E5782" s="46" t="s">
        <v>1436</v>
      </c>
      <c r="F5782" s="45">
        <v>32000</v>
      </c>
      <c r="G5782" t="s">
        <v>1479</v>
      </c>
      <c r="H5782" t="s">
        <v>1442</v>
      </c>
      <c r="I5782" t="s">
        <v>1458</v>
      </c>
      <c r="K5782" t="s">
        <v>2249</v>
      </c>
    </row>
    <row r="5783" spans="1:11" hidden="1" x14ac:dyDescent="0.3">
      <c r="A5783" s="46">
        <v>45370</v>
      </c>
      <c r="B5783" s="46" t="s">
        <v>724</v>
      </c>
      <c r="D5783" t="s">
        <v>1137</v>
      </c>
      <c r="E5783" s="46" t="s">
        <v>1436</v>
      </c>
      <c r="F5783" s="45">
        <v>32000</v>
      </c>
      <c r="G5783" t="s">
        <v>1437</v>
      </c>
      <c r="H5783" t="s">
        <v>1438</v>
      </c>
      <c r="I5783" t="s">
        <v>1439</v>
      </c>
      <c r="J5783">
        <v>3</v>
      </c>
    </row>
    <row r="5784" spans="1:11" hidden="1" x14ac:dyDescent="0.3">
      <c r="A5784" s="46">
        <v>45457</v>
      </c>
      <c r="B5784" s="46" t="s">
        <v>724</v>
      </c>
      <c r="D5784" t="s">
        <v>1030</v>
      </c>
      <c r="E5784" s="46" t="s">
        <v>1436</v>
      </c>
      <c r="F5784" s="45">
        <v>32000</v>
      </c>
      <c r="G5784" t="s">
        <v>1437</v>
      </c>
      <c r="H5784" t="s">
        <v>1438</v>
      </c>
      <c r="I5784" t="s">
        <v>1439</v>
      </c>
      <c r="J5784">
        <v>3</v>
      </c>
    </row>
    <row r="5785" spans="1:11" hidden="1" x14ac:dyDescent="0.3">
      <c r="A5785" s="46">
        <v>45446</v>
      </c>
      <c r="B5785" s="46" t="s">
        <v>748</v>
      </c>
      <c r="D5785" t="s">
        <v>1440</v>
      </c>
      <c r="E5785" s="46" t="s">
        <v>1436</v>
      </c>
      <c r="F5785" s="45">
        <v>32000</v>
      </c>
      <c r="G5785" t="s">
        <v>1479</v>
      </c>
      <c r="H5785" t="s">
        <v>1442</v>
      </c>
      <c r="I5785" t="s">
        <v>1458</v>
      </c>
      <c r="K5785" t="s">
        <v>2250</v>
      </c>
    </row>
    <row r="5786" spans="1:11" hidden="1" x14ac:dyDescent="0.3">
      <c r="A5786" s="46">
        <v>45439</v>
      </c>
      <c r="B5786" s="46" t="s">
        <v>767</v>
      </c>
      <c r="D5786" t="s">
        <v>2091</v>
      </c>
      <c r="E5786" s="46" t="s">
        <v>1436</v>
      </c>
      <c r="F5786" s="45">
        <v>32000</v>
      </c>
      <c r="G5786" t="s">
        <v>1463</v>
      </c>
      <c r="H5786" t="s">
        <v>1438</v>
      </c>
      <c r="I5786" t="s">
        <v>1439</v>
      </c>
    </row>
    <row r="5787" spans="1:11" hidden="1" x14ac:dyDescent="0.3">
      <c r="A5787" s="46">
        <v>45436</v>
      </c>
      <c r="B5787" s="46" t="s">
        <v>724</v>
      </c>
      <c r="D5787" t="s">
        <v>802</v>
      </c>
      <c r="E5787" s="46" t="s">
        <v>1436</v>
      </c>
      <c r="F5787" s="45">
        <v>32000</v>
      </c>
      <c r="G5787" t="s">
        <v>1437</v>
      </c>
      <c r="H5787" t="s">
        <v>1438</v>
      </c>
      <c r="I5787" t="s">
        <v>1439</v>
      </c>
      <c r="J5787">
        <v>3</v>
      </c>
    </row>
    <row r="5788" spans="1:11" hidden="1" x14ac:dyDescent="0.3">
      <c r="A5788" s="46">
        <v>45476</v>
      </c>
      <c r="B5788" s="46" t="s">
        <v>734</v>
      </c>
      <c r="D5788" t="s">
        <v>1705</v>
      </c>
      <c r="E5788" s="46" t="s">
        <v>1436</v>
      </c>
      <c r="F5788" s="45">
        <v>32000</v>
      </c>
      <c r="G5788" t="s">
        <v>1441</v>
      </c>
      <c r="H5788" t="s">
        <v>1438</v>
      </c>
      <c r="I5788" t="s">
        <v>1439</v>
      </c>
      <c r="J5788">
        <v>3</v>
      </c>
    </row>
    <row r="5789" spans="1:11" hidden="1" x14ac:dyDescent="0.3">
      <c r="A5789" s="46">
        <v>45476</v>
      </c>
      <c r="B5789" s="46" t="s">
        <v>748</v>
      </c>
      <c r="D5789" t="s">
        <v>1440</v>
      </c>
      <c r="E5789" s="46" t="s">
        <v>1436</v>
      </c>
      <c r="F5789" s="45">
        <v>32000</v>
      </c>
      <c r="G5789" t="s">
        <v>1479</v>
      </c>
      <c r="H5789" t="s">
        <v>1442</v>
      </c>
      <c r="I5789" t="s">
        <v>1458</v>
      </c>
      <c r="K5789" t="s">
        <v>2250</v>
      </c>
    </row>
    <row r="5790" spans="1:11" hidden="1" x14ac:dyDescent="0.3">
      <c r="A5790" s="46">
        <v>45399</v>
      </c>
      <c r="B5790" s="46" t="s">
        <v>734</v>
      </c>
      <c r="D5790" t="s">
        <v>1518</v>
      </c>
      <c r="E5790" s="46" t="s">
        <v>1436</v>
      </c>
      <c r="F5790" s="45">
        <v>31900</v>
      </c>
      <c r="G5790" t="s">
        <v>1441</v>
      </c>
      <c r="H5790" t="s">
        <v>1438</v>
      </c>
      <c r="I5790" t="s">
        <v>1439</v>
      </c>
      <c r="J5790">
        <v>3</v>
      </c>
    </row>
    <row r="5791" spans="1:11" hidden="1" x14ac:dyDescent="0.3">
      <c r="A5791" s="46">
        <v>45399</v>
      </c>
      <c r="B5791" s="46" t="s">
        <v>734</v>
      </c>
      <c r="D5791" t="s">
        <v>1518</v>
      </c>
      <c r="E5791" s="46" t="s">
        <v>1436</v>
      </c>
      <c r="F5791" s="45">
        <v>31900</v>
      </c>
      <c r="G5791" t="s">
        <v>1441</v>
      </c>
      <c r="H5791" t="s">
        <v>1438</v>
      </c>
      <c r="I5791" t="s">
        <v>1439</v>
      </c>
      <c r="J5791">
        <v>3</v>
      </c>
    </row>
    <row r="5792" spans="1:11" hidden="1" x14ac:dyDescent="0.3">
      <c r="A5792" s="46">
        <v>45390</v>
      </c>
      <c r="B5792" s="46" t="s">
        <v>722</v>
      </c>
      <c r="D5792" t="s">
        <v>1461</v>
      </c>
      <c r="E5792" s="46" t="s">
        <v>1436</v>
      </c>
      <c r="F5792" s="45">
        <v>31780</v>
      </c>
      <c r="G5792" t="s">
        <v>1466</v>
      </c>
      <c r="H5792" t="s">
        <v>1438</v>
      </c>
      <c r="I5792" t="s">
        <v>1439</v>
      </c>
      <c r="K5792" t="s">
        <v>2251</v>
      </c>
    </row>
    <row r="5793" spans="1:11" hidden="1" x14ac:dyDescent="0.3">
      <c r="A5793" s="46">
        <v>45390</v>
      </c>
      <c r="B5793" s="46" t="s">
        <v>722</v>
      </c>
      <c r="D5793" t="s">
        <v>1461</v>
      </c>
      <c r="E5793" s="46" t="s">
        <v>1436</v>
      </c>
      <c r="F5793" s="45">
        <v>31780</v>
      </c>
      <c r="G5793" t="s">
        <v>1466</v>
      </c>
      <c r="H5793" t="s">
        <v>1438</v>
      </c>
      <c r="I5793" t="s">
        <v>1439</v>
      </c>
      <c r="K5793" t="s">
        <v>2252</v>
      </c>
    </row>
    <row r="5794" spans="1:11" hidden="1" x14ac:dyDescent="0.3">
      <c r="A5794" s="46">
        <v>45407</v>
      </c>
      <c r="B5794" s="46" t="s">
        <v>772</v>
      </c>
      <c r="D5794" t="s">
        <v>820</v>
      </c>
      <c r="E5794" s="46" t="s">
        <v>1436</v>
      </c>
      <c r="F5794" s="45">
        <v>31700</v>
      </c>
      <c r="G5794" t="s">
        <v>1464</v>
      </c>
      <c r="H5794" t="s">
        <v>1438</v>
      </c>
      <c r="I5794" t="s">
        <v>1439</v>
      </c>
      <c r="J5794">
        <v>5</v>
      </c>
    </row>
    <row r="5795" spans="1:11" hidden="1" x14ac:dyDescent="0.3">
      <c r="A5795" s="46">
        <v>45470</v>
      </c>
      <c r="B5795" s="46" t="s">
        <v>722</v>
      </c>
      <c r="D5795" t="s">
        <v>1461</v>
      </c>
      <c r="E5795" s="46" t="s">
        <v>1436</v>
      </c>
      <c r="F5795" s="45">
        <v>31590</v>
      </c>
      <c r="G5795" t="s">
        <v>1466</v>
      </c>
      <c r="H5795" t="s">
        <v>1442</v>
      </c>
      <c r="I5795" t="s">
        <v>1458</v>
      </c>
      <c r="K5795" t="s">
        <v>2253</v>
      </c>
    </row>
    <row r="5796" spans="1:11" hidden="1" x14ac:dyDescent="0.3">
      <c r="A5796" s="46">
        <v>45455</v>
      </c>
      <c r="B5796" s="46" t="s">
        <v>724</v>
      </c>
      <c r="D5796" t="s">
        <v>1171</v>
      </c>
      <c r="E5796" s="46" t="s">
        <v>1436</v>
      </c>
      <c r="F5796" s="45">
        <v>31500</v>
      </c>
      <c r="G5796" t="s">
        <v>1437</v>
      </c>
      <c r="H5796" t="s">
        <v>1438</v>
      </c>
      <c r="I5796" t="s">
        <v>1439</v>
      </c>
      <c r="J5796">
        <v>3</v>
      </c>
    </row>
    <row r="5797" spans="1:11" hidden="1" x14ac:dyDescent="0.3">
      <c r="A5797" s="46">
        <v>45376</v>
      </c>
      <c r="B5797" s="46" t="s">
        <v>722</v>
      </c>
      <c r="D5797" t="s">
        <v>1542</v>
      </c>
      <c r="E5797" s="46" t="s">
        <v>1436</v>
      </c>
      <c r="F5797" s="45">
        <v>31500</v>
      </c>
      <c r="G5797" t="s">
        <v>1460</v>
      </c>
      <c r="H5797" t="s">
        <v>1438</v>
      </c>
      <c r="I5797" t="s">
        <v>1439</v>
      </c>
      <c r="J5797">
        <v>3</v>
      </c>
    </row>
    <row r="5798" spans="1:11" hidden="1" x14ac:dyDescent="0.3">
      <c r="A5798" s="46">
        <v>45355</v>
      </c>
      <c r="B5798" s="46" t="s">
        <v>724</v>
      </c>
      <c r="D5798" t="s">
        <v>939</v>
      </c>
      <c r="E5798" s="46" t="s">
        <v>1436</v>
      </c>
      <c r="F5798" s="45">
        <v>31500</v>
      </c>
      <c r="G5798" t="s">
        <v>1437</v>
      </c>
      <c r="H5798" t="s">
        <v>1438</v>
      </c>
      <c r="I5798" t="s">
        <v>1439</v>
      </c>
      <c r="J5798">
        <v>3</v>
      </c>
    </row>
    <row r="5799" spans="1:11" hidden="1" x14ac:dyDescent="0.3">
      <c r="A5799" s="46">
        <v>45356</v>
      </c>
      <c r="B5799" s="46" t="s">
        <v>724</v>
      </c>
      <c r="D5799" t="s">
        <v>1171</v>
      </c>
      <c r="E5799" s="46" t="s">
        <v>1436</v>
      </c>
      <c r="F5799" s="45">
        <v>31500</v>
      </c>
      <c r="G5799" t="s">
        <v>1437</v>
      </c>
      <c r="H5799" t="s">
        <v>1438</v>
      </c>
      <c r="I5799" t="s">
        <v>1439</v>
      </c>
      <c r="J5799">
        <v>3</v>
      </c>
    </row>
    <row r="5800" spans="1:11" hidden="1" x14ac:dyDescent="0.3">
      <c r="A5800" s="46">
        <v>45313</v>
      </c>
      <c r="B5800" s="46" t="s">
        <v>724</v>
      </c>
      <c r="D5800" t="s">
        <v>1171</v>
      </c>
      <c r="E5800" s="46" t="s">
        <v>1436</v>
      </c>
      <c r="F5800" s="45">
        <v>31500</v>
      </c>
      <c r="G5800" t="s">
        <v>1437</v>
      </c>
      <c r="H5800" t="s">
        <v>1438</v>
      </c>
      <c r="I5800" t="s">
        <v>1439</v>
      </c>
      <c r="J5800">
        <v>3</v>
      </c>
    </row>
    <row r="5801" spans="1:11" hidden="1" x14ac:dyDescent="0.3">
      <c r="A5801" s="46">
        <v>45314</v>
      </c>
      <c r="B5801" s="46" t="s">
        <v>724</v>
      </c>
      <c r="D5801" t="s">
        <v>939</v>
      </c>
      <c r="E5801" s="46" t="s">
        <v>1436</v>
      </c>
      <c r="F5801" s="45">
        <v>31500</v>
      </c>
      <c r="G5801" t="s">
        <v>1437</v>
      </c>
      <c r="H5801" t="s">
        <v>1438</v>
      </c>
      <c r="I5801" t="s">
        <v>1439</v>
      </c>
      <c r="J5801">
        <v>3</v>
      </c>
    </row>
    <row r="5802" spans="1:11" hidden="1" x14ac:dyDescent="0.3">
      <c r="A5802" s="46">
        <v>45294</v>
      </c>
      <c r="B5802" s="46" t="s">
        <v>724</v>
      </c>
      <c r="D5802" t="s">
        <v>939</v>
      </c>
      <c r="E5802" s="46" t="s">
        <v>1436</v>
      </c>
      <c r="F5802" s="45">
        <v>31500</v>
      </c>
      <c r="G5802" t="s">
        <v>1437</v>
      </c>
      <c r="H5802" t="s">
        <v>1438</v>
      </c>
      <c r="I5802" t="s">
        <v>1439</v>
      </c>
      <c r="J5802">
        <v>3</v>
      </c>
    </row>
    <row r="5803" spans="1:11" hidden="1" x14ac:dyDescent="0.3">
      <c r="A5803" s="46">
        <v>45421</v>
      </c>
      <c r="B5803" s="46" t="s">
        <v>734</v>
      </c>
      <c r="D5803" t="s">
        <v>1761</v>
      </c>
      <c r="E5803" s="46" t="s">
        <v>1436</v>
      </c>
      <c r="F5803" s="45">
        <v>31400</v>
      </c>
      <c r="G5803" t="s">
        <v>1441</v>
      </c>
      <c r="H5803" t="s">
        <v>1438</v>
      </c>
      <c r="I5803" t="s">
        <v>1439</v>
      </c>
      <c r="J5803">
        <v>4</v>
      </c>
    </row>
    <row r="5804" spans="1:11" hidden="1" x14ac:dyDescent="0.3">
      <c r="A5804" s="46">
        <v>45295</v>
      </c>
      <c r="B5804" s="46" t="s">
        <v>767</v>
      </c>
      <c r="D5804" t="s">
        <v>1579</v>
      </c>
      <c r="E5804" s="46" t="s">
        <v>1436</v>
      </c>
      <c r="F5804" s="45">
        <v>31200</v>
      </c>
      <c r="G5804" t="s">
        <v>1460</v>
      </c>
      <c r="H5804" t="s">
        <v>1438</v>
      </c>
      <c r="I5804" t="s">
        <v>1439</v>
      </c>
      <c r="J5804">
        <v>4</v>
      </c>
    </row>
    <row r="5805" spans="1:11" hidden="1" x14ac:dyDescent="0.3">
      <c r="A5805" s="46">
        <v>45299</v>
      </c>
      <c r="B5805" s="46" t="s">
        <v>767</v>
      </c>
      <c r="D5805" t="s">
        <v>1570</v>
      </c>
      <c r="E5805" s="46" t="s">
        <v>1436</v>
      </c>
      <c r="F5805" s="45">
        <v>31000</v>
      </c>
      <c r="G5805" t="s">
        <v>1460</v>
      </c>
      <c r="H5805" t="s">
        <v>1438</v>
      </c>
      <c r="I5805" t="s">
        <v>1439</v>
      </c>
      <c r="J5805">
        <v>3</v>
      </c>
    </row>
    <row r="5806" spans="1:11" hidden="1" x14ac:dyDescent="0.3">
      <c r="A5806" s="46">
        <v>45315</v>
      </c>
      <c r="B5806" s="46" t="s">
        <v>722</v>
      </c>
      <c r="D5806" t="s">
        <v>1461</v>
      </c>
      <c r="E5806" s="46" t="s">
        <v>1436</v>
      </c>
      <c r="F5806" s="45">
        <v>31000</v>
      </c>
      <c r="G5806" t="s">
        <v>1451</v>
      </c>
      <c r="H5806" t="s">
        <v>1444</v>
      </c>
      <c r="I5806" t="s">
        <v>1444</v>
      </c>
      <c r="K5806" t="s">
        <v>1729</v>
      </c>
    </row>
    <row r="5807" spans="1:11" hidden="1" x14ac:dyDescent="0.3">
      <c r="A5807" s="46">
        <v>45320</v>
      </c>
      <c r="B5807" s="46" t="s">
        <v>727</v>
      </c>
      <c r="D5807" t="s">
        <v>1589</v>
      </c>
      <c r="E5807" s="46" t="s">
        <v>1436</v>
      </c>
      <c r="F5807" s="45">
        <v>31000</v>
      </c>
      <c r="G5807" t="s">
        <v>1463</v>
      </c>
      <c r="H5807" t="s">
        <v>1438</v>
      </c>
      <c r="I5807" t="s">
        <v>1439</v>
      </c>
      <c r="J5807">
        <v>3</v>
      </c>
    </row>
    <row r="5808" spans="1:11" hidden="1" x14ac:dyDescent="0.3">
      <c r="A5808" s="46">
        <v>45355</v>
      </c>
      <c r="B5808" s="46" t="s">
        <v>722</v>
      </c>
      <c r="D5808" t="s">
        <v>1589</v>
      </c>
      <c r="E5808" s="46" t="s">
        <v>1436</v>
      </c>
      <c r="F5808" s="45">
        <v>31000</v>
      </c>
      <c r="G5808" t="s">
        <v>1466</v>
      </c>
      <c r="H5808" t="s">
        <v>1438</v>
      </c>
      <c r="I5808" t="s">
        <v>1439</v>
      </c>
      <c r="J5808">
        <v>3</v>
      </c>
    </row>
    <row r="5809" spans="1:11" hidden="1" x14ac:dyDescent="0.3">
      <c r="A5809" s="46">
        <v>45433</v>
      </c>
      <c r="B5809" s="46" t="s">
        <v>734</v>
      </c>
      <c r="D5809" t="s">
        <v>1440</v>
      </c>
      <c r="E5809" s="46" t="s">
        <v>1436</v>
      </c>
      <c r="F5809" s="45">
        <v>31000</v>
      </c>
      <c r="G5809" t="s">
        <v>1441</v>
      </c>
      <c r="H5809" t="s">
        <v>1442</v>
      </c>
      <c r="I5809" t="s">
        <v>1458</v>
      </c>
      <c r="K5809" t="s">
        <v>2254</v>
      </c>
    </row>
    <row r="5810" spans="1:11" hidden="1" x14ac:dyDescent="0.3">
      <c r="A5810" s="46">
        <v>45322</v>
      </c>
      <c r="B5810" s="46" t="s">
        <v>724</v>
      </c>
      <c r="D5810" t="s">
        <v>1132</v>
      </c>
      <c r="E5810" s="46" t="s">
        <v>1436</v>
      </c>
      <c r="F5810" s="45">
        <v>30900</v>
      </c>
      <c r="G5810" t="s">
        <v>1437</v>
      </c>
      <c r="H5810" t="s">
        <v>1438</v>
      </c>
      <c r="I5810" t="s">
        <v>1439</v>
      </c>
      <c r="J5810">
        <v>3</v>
      </c>
    </row>
    <row r="5811" spans="1:11" hidden="1" x14ac:dyDescent="0.3">
      <c r="A5811" s="46">
        <v>45380</v>
      </c>
      <c r="B5811" s="46" t="s">
        <v>748</v>
      </c>
      <c r="D5811" t="s">
        <v>1440</v>
      </c>
      <c r="E5811" s="46" t="s">
        <v>1436</v>
      </c>
      <c r="F5811" s="45">
        <v>30800</v>
      </c>
      <c r="G5811" t="s">
        <v>1464</v>
      </c>
      <c r="H5811" t="s">
        <v>1438</v>
      </c>
      <c r="I5811" t="s">
        <v>1439</v>
      </c>
      <c r="J5811">
        <v>3</v>
      </c>
    </row>
    <row r="5812" spans="1:11" hidden="1" x14ac:dyDescent="0.3">
      <c r="A5812" s="46">
        <v>45428</v>
      </c>
      <c r="B5812" s="46" t="s">
        <v>722</v>
      </c>
      <c r="D5812" t="s">
        <v>1461</v>
      </c>
      <c r="E5812" s="46" t="s">
        <v>1436</v>
      </c>
      <c r="F5812" s="45">
        <v>30390</v>
      </c>
      <c r="G5812" t="s">
        <v>1466</v>
      </c>
      <c r="H5812" t="s">
        <v>1438</v>
      </c>
      <c r="I5812" t="s">
        <v>1439</v>
      </c>
      <c r="K5812" t="s">
        <v>2255</v>
      </c>
    </row>
    <row r="5813" spans="1:11" hidden="1" x14ac:dyDescent="0.3">
      <c r="A5813" s="46">
        <v>45356</v>
      </c>
      <c r="B5813" s="46" t="s">
        <v>767</v>
      </c>
      <c r="D5813" t="s">
        <v>1518</v>
      </c>
      <c r="E5813" s="46" t="s">
        <v>1436</v>
      </c>
      <c r="F5813" s="45">
        <v>30300</v>
      </c>
      <c r="G5813" t="s">
        <v>1460</v>
      </c>
      <c r="H5813" t="s">
        <v>1438</v>
      </c>
      <c r="I5813" t="s">
        <v>1439</v>
      </c>
      <c r="J5813">
        <v>4</v>
      </c>
    </row>
    <row r="5814" spans="1:11" hidden="1" x14ac:dyDescent="0.3">
      <c r="A5814" s="46">
        <v>45359</v>
      </c>
      <c r="B5814" s="46" t="s">
        <v>772</v>
      </c>
      <c r="D5814" t="s">
        <v>1730</v>
      </c>
      <c r="E5814" s="46" t="s">
        <v>1436</v>
      </c>
      <c r="F5814" s="45">
        <v>30300</v>
      </c>
      <c r="G5814" t="s">
        <v>1464</v>
      </c>
      <c r="H5814" t="s">
        <v>1438</v>
      </c>
      <c r="I5814" t="s">
        <v>1439</v>
      </c>
      <c r="J5814">
        <v>6</v>
      </c>
    </row>
    <row r="5815" spans="1:11" hidden="1" x14ac:dyDescent="0.3">
      <c r="A5815" s="46">
        <v>45301</v>
      </c>
      <c r="B5815" s="46" t="s">
        <v>724</v>
      </c>
      <c r="D5815" t="s">
        <v>1132</v>
      </c>
      <c r="E5815" s="46" t="s">
        <v>1436</v>
      </c>
      <c r="F5815" s="45">
        <v>30300</v>
      </c>
      <c r="G5815" t="s">
        <v>1437</v>
      </c>
      <c r="H5815" t="s">
        <v>1438</v>
      </c>
      <c r="I5815" t="s">
        <v>1439</v>
      </c>
      <c r="J5815">
        <v>3</v>
      </c>
    </row>
    <row r="5816" spans="1:11" hidden="1" x14ac:dyDescent="0.3">
      <c r="A5816" s="46">
        <v>45461</v>
      </c>
      <c r="B5816" s="46" t="s">
        <v>767</v>
      </c>
      <c r="D5816" t="s">
        <v>1565</v>
      </c>
      <c r="E5816" s="46" t="s">
        <v>1436</v>
      </c>
      <c r="F5816" s="45">
        <v>30300</v>
      </c>
      <c r="G5816" t="s">
        <v>1460</v>
      </c>
      <c r="H5816" t="s">
        <v>1438</v>
      </c>
      <c r="I5816" t="s">
        <v>1439</v>
      </c>
      <c r="J5816">
        <v>4</v>
      </c>
      <c r="K5816" t="s">
        <v>2256</v>
      </c>
    </row>
    <row r="5817" spans="1:11" hidden="1" x14ac:dyDescent="0.3">
      <c r="A5817" s="46">
        <v>45393</v>
      </c>
      <c r="B5817" s="46" t="s">
        <v>767</v>
      </c>
      <c r="D5817" t="s">
        <v>1579</v>
      </c>
      <c r="E5817" s="46" t="s">
        <v>1436</v>
      </c>
      <c r="F5817" s="45">
        <v>30200</v>
      </c>
      <c r="G5817" t="s">
        <v>1460</v>
      </c>
      <c r="H5817" t="s">
        <v>1438</v>
      </c>
      <c r="I5817" t="s">
        <v>1439</v>
      </c>
      <c r="J5817">
        <v>3</v>
      </c>
    </row>
    <row r="5818" spans="1:11" hidden="1" x14ac:dyDescent="0.3">
      <c r="A5818" s="46">
        <v>45372</v>
      </c>
      <c r="B5818" s="46" t="s">
        <v>734</v>
      </c>
      <c r="D5818" t="s">
        <v>1544</v>
      </c>
      <c r="E5818" s="46" t="s">
        <v>1436</v>
      </c>
      <c r="F5818" s="45">
        <v>30030</v>
      </c>
      <c r="G5818" t="s">
        <v>1441</v>
      </c>
      <c r="H5818" t="s">
        <v>1438</v>
      </c>
      <c r="I5818" t="s">
        <v>1439</v>
      </c>
      <c r="J5818">
        <v>6</v>
      </c>
    </row>
    <row r="5819" spans="1:11" hidden="1" x14ac:dyDescent="0.3">
      <c r="A5819" s="46">
        <v>45371</v>
      </c>
      <c r="B5819" s="46" t="s">
        <v>727</v>
      </c>
      <c r="D5819" t="s">
        <v>1095</v>
      </c>
      <c r="E5819" s="46" t="s">
        <v>1436</v>
      </c>
      <c r="F5819" s="45">
        <v>30000</v>
      </c>
      <c r="G5819" t="s">
        <v>1463</v>
      </c>
      <c r="H5819" t="s">
        <v>1438</v>
      </c>
      <c r="I5819" t="s">
        <v>1439</v>
      </c>
      <c r="J5819">
        <v>3</v>
      </c>
    </row>
    <row r="5820" spans="1:11" hidden="1" x14ac:dyDescent="0.3">
      <c r="A5820" s="46">
        <v>45371</v>
      </c>
      <c r="B5820" s="46" t="s">
        <v>722</v>
      </c>
      <c r="D5820" t="s">
        <v>1541</v>
      </c>
      <c r="E5820" s="46" t="s">
        <v>1436</v>
      </c>
      <c r="F5820" s="45">
        <v>30000</v>
      </c>
      <c r="G5820" t="s">
        <v>1437</v>
      </c>
      <c r="H5820" t="s">
        <v>1438</v>
      </c>
      <c r="I5820" t="s">
        <v>1439</v>
      </c>
      <c r="J5820">
        <v>3</v>
      </c>
    </row>
    <row r="5821" spans="1:11" hidden="1" x14ac:dyDescent="0.3">
      <c r="A5821" s="46">
        <v>45366</v>
      </c>
      <c r="B5821" s="46" t="s">
        <v>727</v>
      </c>
      <c r="D5821" t="s">
        <v>1095</v>
      </c>
      <c r="E5821" s="46" t="s">
        <v>1436</v>
      </c>
      <c r="F5821" s="45">
        <v>30000</v>
      </c>
      <c r="G5821" t="s">
        <v>1463</v>
      </c>
      <c r="H5821" t="s">
        <v>1438</v>
      </c>
      <c r="I5821" t="s">
        <v>1439</v>
      </c>
      <c r="J5821">
        <v>3</v>
      </c>
    </row>
    <row r="5822" spans="1:11" hidden="1" x14ac:dyDescent="0.3">
      <c r="A5822" s="46">
        <v>45364</v>
      </c>
      <c r="B5822" s="46" t="s">
        <v>748</v>
      </c>
      <c r="D5822" t="s">
        <v>1474</v>
      </c>
      <c r="E5822" s="46" t="s">
        <v>1436</v>
      </c>
      <c r="F5822" s="45">
        <v>30000</v>
      </c>
      <c r="G5822" t="s">
        <v>1463</v>
      </c>
      <c r="H5822" t="s">
        <v>1438</v>
      </c>
      <c r="I5822" t="s">
        <v>1439</v>
      </c>
      <c r="J5822">
        <v>2</v>
      </c>
    </row>
    <row r="5823" spans="1:11" hidden="1" x14ac:dyDescent="0.3">
      <c r="A5823" s="46">
        <v>45391</v>
      </c>
      <c r="B5823" s="46" t="s">
        <v>724</v>
      </c>
      <c r="D5823" t="s">
        <v>989</v>
      </c>
      <c r="E5823" s="46" t="s">
        <v>1436</v>
      </c>
      <c r="F5823" s="45">
        <v>30000</v>
      </c>
      <c r="G5823" t="s">
        <v>1437</v>
      </c>
      <c r="H5823" t="s">
        <v>1438</v>
      </c>
      <c r="I5823" t="s">
        <v>1439</v>
      </c>
      <c r="J5823">
        <v>3</v>
      </c>
    </row>
    <row r="5824" spans="1:11" hidden="1" x14ac:dyDescent="0.3">
      <c r="A5824" s="46">
        <v>45391</v>
      </c>
      <c r="B5824" s="46" t="s">
        <v>727</v>
      </c>
      <c r="D5824" t="s">
        <v>1095</v>
      </c>
      <c r="E5824" s="46" t="s">
        <v>1436</v>
      </c>
      <c r="F5824" s="45">
        <v>30000</v>
      </c>
      <c r="G5824" t="s">
        <v>1463</v>
      </c>
      <c r="H5824" t="s">
        <v>1438</v>
      </c>
      <c r="I5824" t="s">
        <v>1439</v>
      </c>
      <c r="J5824">
        <v>3</v>
      </c>
    </row>
    <row r="5825" spans="1:11" hidden="1" x14ac:dyDescent="0.3">
      <c r="A5825" s="46">
        <v>45393</v>
      </c>
      <c r="B5825" s="46" t="s">
        <v>748</v>
      </c>
      <c r="D5825" t="s">
        <v>1474</v>
      </c>
      <c r="E5825" s="46" t="s">
        <v>1436</v>
      </c>
      <c r="F5825" s="45">
        <v>30000</v>
      </c>
      <c r="G5825" t="s">
        <v>1479</v>
      </c>
      <c r="H5825" t="s">
        <v>1475</v>
      </c>
      <c r="I5825" t="s">
        <v>1476</v>
      </c>
    </row>
    <row r="5826" spans="1:11" hidden="1" x14ac:dyDescent="0.3">
      <c r="A5826" s="46">
        <v>45380</v>
      </c>
      <c r="B5826" s="46" t="s">
        <v>724</v>
      </c>
      <c r="D5826" t="s">
        <v>989</v>
      </c>
      <c r="E5826" s="46" t="s">
        <v>1436</v>
      </c>
      <c r="F5826" s="45">
        <v>30000</v>
      </c>
      <c r="G5826" t="s">
        <v>1437</v>
      </c>
      <c r="H5826" t="s">
        <v>1438</v>
      </c>
      <c r="I5826" t="s">
        <v>1439</v>
      </c>
      <c r="J5826">
        <v>3</v>
      </c>
    </row>
    <row r="5827" spans="1:11" hidden="1" x14ac:dyDescent="0.3">
      <c r="A5827" s="46">
        <v>45384</v>
      </c>
      <c r="B5827" s="46" t="s">
        <v>727</v>
      </c>
      <c r="D5827" t="s">
        <v>1095</v>
      </c>
      <c r="E5827" s="46" t="s">
        <v>1436</v>
      </c>
      <c r="F5827" s="45">
        <v>30000</v>
      </c>
      <c r="G5827" t="s">
        <v>1509</v>
      </c>
      <c r="H5827" t="s">
        <v>1438</v>
      </c>
      <c r="I5827" t="s">
        <v>1439</v>
      </c>
      <c r="J5827">
        <v>3</v>
      </c>
    </row>
    <row r="5828" spans="1:11" hidden="1" x14ac:dyDescent="0.3">
      <c r="A5828" s="46">
        <v>45378</v>
      </c>
      <c r="B5828" s="46" t="s">
        <v>724</v>
      </c>
      <c r="D5828" t="s">
        <v>1082</v>
      </c>
      <c r="E5828" s="46" t="s">
        <v>1436</v>
      </c>
      <c r="F5828" s="45">
        <v>30000</v>
      </c>
      <c r="G5828" t="s">
        <v>1437</v>
      </c>
      <c r="H5828" t="s">
        <v>1438</v>
      </c>
      <c r="I5828" t="s">
        <v>1439</v>
      </c>
      <c r="J5828">
        <v>3</v>
      </c>
    </row>
    <row r="5829" spans="1:11" hidden="1" x14ac:dyDescent="0.3">
      <c r="A5829" s="46">
        <v>45426</v>
      </c>
      <c r="B5829" s="46" t="s">
        <v>748</v>
      </c>
      <c r="D5829" t="s">
        <v>1474</v>
      </c>
      <c r="E5829" s="46" t="s">
        <v>1436</v>
      </c>
      <c r="F5829" s="45">
        <v>30000</v>
      </c>
      <c r="G5829" t="s">
        <v>1479</v>
      </c>
      <c r="H5829" t="s">
        <v>1475</v>
      </c>
      <c r="I5829" t="s">
        <v>1476</v>
      </c>
    </row>
    <row r="5830" spans="1:11" hidden="1" x14ac:dyDescent="0.3">
      <c r="A5830" s="46">
        <v>45432</v>
      </c>
      <c r="B5830" s="46" t="s">
        <v>724</v>
      </c>
      <c r="D5830" t="s">
        <v>1095</v>
      </c>
      <c r="E5830" s="46" t="s">
        <v>1436</v>
      </c>
      <c r="F5830" s="45">
        <v>30000</v>
      </c>
      <c r="G5830" t="s">
        <v>1437</v>
      </c>
      <c r="H5830" t="s">
        <v>1438</v>
      </c>
      <c r="I5830" t="s">
        <v>1439</v>
      </c>
      <c r="J5830">
        <v>3</v>
      </c>
    </row>
    <row r="5831" spans="1:11" hidden="1" x14ac:dyDescent="0.3">
      <c r="A5831" s="46">
        <v>45415</v>
      </c>
      <c r="B5831" s="46" t="s">
        <v>748</v>
      </c>
      <c r="D5831" t="s">
        <v>1474</v>
      </c>
      <c r="E5831" s="46" t="s">
        <v>1436</v>
      </c>
      <c r="F5831" s="45">
        <v>30000</v>
      </c>
      <c r="G5831" t="s">
        <v>1479</v>
      </c>
      <c r="H5831" t="s">
        <v>1475</v>
      </c>
      <c r="I5831" t="s">
        <v>1476</v>
      </c>
    </row>
    <row r="5832" spans="1:11" hidden="1" x14ac:dyDescent="0.3">
      <c r="A5832" s="46">
        <v>45401</v>
      </c>
      <c r="B5832" s="46" t="s">
        <v>727</v>
      </c>
      <c r="D5832" t="s">
        <v>1544</v>
      </c>
      <c r="E5832" s="46" t="s">
        <v>1436</v>
      </c>
      <c r="F5832" s="45">
        <v>30000</v>
      </c>
      <c r="G5832" t="s">
        <v>1463</v>
      </c>
      <c r="H5832" t="s">
        <v>1484</v>
      </c>
      <c r="I5832" t="s">
        <v>1821</v>
      </c>
      <c r="K5832" t="s">
        <v>2257</v>
      </c>
    </row>
    <row r="5833" spans="1:11" hidden="1" x14ac:dyDescent="0.3">
      <c r="A5833" s="46">
        <v>45397</v>
      </c>
      <c r="B5833" s="46" t="s">
        <v>724</v>
      </c>
      <c r="D5833" t="s">
        <v>939</v>
      </c>
      <c r="E5833" s="46" t="s">
        <v>1436</v>
      </c>
      <c r="F5833" s="45">
        <v>30000</v>
      </c>
      <c r="G5833" t="s">
        <v>1464</v>
      </c>
      <c r="H5833" t="s">
        <v>1438</v>
      </c>
      <c r="I5833" t="s">
        <v>1439</v>
      </c>
      <c r="J5833">
        <v>3</v>
      </c>
    </row>
    <row r="5834" spans="1:11" hidden="1" x14ac:dyDescent="0.3">
      <c r="A5834" s="46">
        <v>45317</v>
      </c>
      <c r="B5834" s="46" t="s">
        <v>748</v>
      </c>
      <c r="D5834" t="s">
        <v>1474</v>
      </c>
      <c r="E5834" s="46" t="s">
        <v>1436</v>
      </c>
      <c r="F5834" s="45">
        <v>30000</v>
      </c>
      <c r="G5834" t="s">
        <v>1479</v>
      </c>
      <c r="H5834" t="s">
        <v>1475</v>
      </c>
      <c r="I5834" t="s">
        <v>1476</v>
      </c>
    </row>
    <row r="5835" spans="1:11" hidden="1" x14ac:dyDescent="0.3">
      <c r="A5835" s="46">
        <v>45315</v>
      </c>
      <c r="B5835" s="46" t="s">
        <v>724</v>
      </c>
      <c r="D5835" t="s">
        <v>989</v>
      </c>
      <c r="E5835" s="46" t="s">
        <v>1436</v>
      </c>
      <c r="F5835" s="45">
        <v>30000</v>
      </c>
      <c r="G5835" t="s">
        <v>1437</v>
      </c>
      <c r="H5835" t="s">
        <v>1438</v>
      </c>
      <c r="I5835" t="s">
        <v>1439</v>
      </c>
      <c r="J5835">
        <v>3</v>
      </c>
    </row>
    <row r="5836" spans="1:11" hidden="1" x14ac:dyDescent="0.3">
      <c r="A5836" s="46">
        <v>45338</v>
      </c>
      <c r="B5836" s="46" t="s">
        <v>748</v>
      </c>
      <c r="D5836" t="s">
        <v>1589</v>
      </c>
      <c r="E5836" s="46" t="s">
        <v>1436</v>
      </c>
      <c r="F5836" s="45">
        <v>30000</v>
      </c>
      <c r="G5836" t="s">
        <v>1463</v>
      </c>
      <c r="H5836" t="s">
        <v>1438</v>
      </c>
      <c r="I5836" t="s">
        <v>1439</v>
      </c>
      <c r="J5836">
        <v>3</v>
      </c>
    </row>
    <row r="5837" spans="1:11" hidden="1" x14ac:dyDescent="0.3">
      <c r="A5837" s="46">
        <v>45329</v>
      </c>
      <c r="B5837" s="46" t="s">
        <v>724</v>
      </c>
      <c r="D5837" t="s">
        <v>989</v>
      </c>
      <c r="E5837" s="46" t="s">
        <v>1436</v>
      </c>
      <c r="F5837" s="45">
        <v>30000</v>
      </c>
      <c r="G5837" t="s">
        <v>1437</v>
      </c>
      <c r="H5837" t="s">
        <v>1438</v>
      </c>
      <c r="I5837" t="s">
        <v>1439</v>
      </c>
      <c r="J5837">
        <v>3</v>
      </c>
    </row>
    <row r="5838" spans="1:11" hidden="1" x14ac:dyDescent="0.3">
      <c r="A5838" s="46">
        <v>45460</v>
      </c>
      <c r="B5838" s="46" t="s">
        <v>748</v>
      </c>
      <c r="D5838" t="s">
        <v>2258</v>
      </c>
      <c r="E5838" s="46" t="s">
        <v>1436</v>
      </c>
      <c r="F5838" s="45">
        <v>30000</v>
      </c>
      <c r="G5838" t="s">
        <v>1451</v>
      </c>
      <c r="H5838" t="s">
        <v>1452</v>
      </c>
      <c r="I5838" t="s">
        <v>1494</v>
      </c>
      <c r="K5838" t="s">
        <v>1543</v>
      </c>
    </row>
    <row r="5839" spans="1:11" hidden="1" x14ac:dyDescent="0.3">
      <c r="A5839" s="46">
        <v>45337</v>
      </c>
      <c r="B5839" s="46" t="s">
        <v>724</v>
      </c>
      <c r="D5839" t="s">
        <v>789</v>
      </c>
      <c r="E5839" s="46" t="s">
        <v>1436</v>
      </c>
      <c r="F5839" s="45">
        <v>29900</v>
      </c>
      <c r="G5839" t="s">
        <v>1437</v>
      </c>
      <c r="H5839" t="s">
        <v>1438</v>
      </c>
      <c r="I5839" t="s">
        <v>1439</v>
      </c>
      <c r="J5839">
        <v>5</v>
      </c>
    </row>
    <row r="5840" spans="1:11" hidden="1" x14ac:dyDescent="0.3">
      <c r="A5840" s="46">
        <v>45294</v>
      </c>
      <c r="B5840" s="46" t="s">
        <v>748</v>
      </c>
      <c r="D5840" t="s">
        <v>1440</v>
      </c>
      <c r="E5840" s="46" t="s">
        <v>1436</v>
      </c>
      <c r="F5840" s="45">
        <v>29900</v>
      </c>
      <c r="G5840" t="s">
        <v>1437</v>
      </c>
      <c r="H5840" t="s">
        <v>1438</v>
      </c>
      <c r="I5840" t="s">
        <v>1439</v>
      </c>
      <c r="J5840">
        <v>1</v>
      </c>
      <c r="K5840">
        <v>0</v>
      </c>
    </row>
    <row r="5841" spans="1:11" hidden="1" x14ac:dyDescent="0.3">
      <c r="A5841" s="46">
        <v>45385</v>
      </c>
      <c r="B5841" s="46" t="s">
        <v>767</v>
      </c>
      <c r="D5841" t="s">
        <v>1565</v>
      </c>
      <c r="E5841" s="46" t="s">
        <v>1436</v>
      </c>
      <c r="F5841" s="45">
        <v>29800</v>
      </c>
      <c r="G5841" t="s">
        <v>1460</v>
      </c>
      <c r="H5841" t="s">
        <v>1438</v>
      </c>
      <c r="I5841" t="s">
        <v>1439</v>
      </c>
      <c r="J5841">
        <v>3</v>
      </c>
    </row>
    <row r="5842" spans="1:11" hidden="1" x14ac:dyDescent="0.3">
      <c r="A5842" s="46">
        <v>45295</v>
      </c>
      <c r="B5842" s="46" t="s">
        <v>734</v>
      </c>
      <c r="D5842" t="s">
        <v>1578</v>
      </c>
      <c r="E5842" s="46" t="s">
        <v>1436</v>
      </c>
      <c r="F5842" s="45">
        <v>29500</v>
      </c>
      <c r="G5842" t="s">
        <v>1441</v>
      </c>
      <c r="H5842" t="s">
        <v>1438</v>
      </c>
      <c r="I5842" t="s">
        <v>1439</v>
      </c>
      <c r="J5842">
        <v>4</v>
      </c>
    </row>
    <row r="5843" spans="1:11" hidden="1" x14ac:dyDescent="0.3">
      <c r="A5843" s="46">
        <v>45356</v>
      </c>
      <c r="B5843" s="46" t="s">
        <v>727</v>
      </c>
      <c r="D5843" t="s">
        <v>1692</v>
      </c>
      <c r="E5843" s="46" t="s">
        <v>1436</v>
      </c>
      <c r="F5843" s="45">
        <v>29500</v>
      </c>
      <c r="G5843" t="s">
        <v>1463</v>
      </c>
      <c r="H5843" t="s">
        <v>1438</v>
      </c>
      <c r="I5843" t="s">
        <v>1439</v>
      </c>
      <c r="J5843">
        <v>3</v>
      </c>
    </row>
    <row r="5844" spans="1:11" hidden="1" x14ac:dyDescent="0.3">
      <c r="A5844" s="46">
        <v>45412</v>
      </c>
      <c r="B5844" s="46" t="s">
        <v>748</v>
      </c>
      <c r="D5844" t="s">
        <v>1440</v>
      </c>
      <c r="E5844" s="46" t="s">
        <v>1436</v>
      </c>
      <c r="F5844" s="45">
        <v>29400</v>
      </c>
      <c r="G5844" t="s">
        <v>1479</v>
      </c>
      <c r="H5844" t="s">
        <v>1438</v>
      </c>
      <c r="I5844" t="s">
        <v>1439</v>
      </c>
      <c r="K5844" t="s">
        <v>1511</v>
      </c>
    </row>
    <row r="5845" spans="1:11" hidden="1" x14ac:dyDescent="0.3">
      <c r="A5845" s="46">
        <v>45471</v>
      </c>
      <c r="B5845" s="46" t="s">
        <v>727</v>
      </c>
      <c r="D5845" t="s">
        <v>1440</v>
      </c>
      <c r="E5845" s="46" t="s">
        <v>1436</v>
      </c>
      <c r="F5845" s="45">
        <v>29400</v>
      </c>
      <c r="G5845" t="s">
        <v>1463</v>
      </c>
      <c r="H5845" t="s">
        <v>1442</v>
      </c>
      <c r="I5845" t="s">
        <v>1443</v>
      </c>
      <c r="K5845" t="s">
        <v>2259</v>
      </c>
    </row>
    <row r="5846" spans="1:11" hidden="1" x14ac:dyDescent="0.3">
      <c r="A5846" s="46">
        <v>45464</v>
      </c>
      <c r="B5846" s="46" t="s">
        <v>722</v>
      </c>
      <c r="D5846" t="s">
        <v>1095</v>
      </c>
      <c r="E5846" s="46" t="s">
        <v>1436</v>
      </c>
      <c r="F5846" s="45">
        <v>29000</v>
      </c>
      <c r="G5846" t="s">
        <v>1463</v>
      </c>
      <c r="H5846" t="s">
        <v>1438</v>
      </c>
      <c r="I5846" t="s">
        <v>1439</v>
      </c>
      <c r="J5846">
        <v>3</v>
      </c>
    </row>
    <row r="5847" spans="1:11" hidden="1" x14ac:dyDescent="0.3">
      <c r="A5847" s="46">
        <v>45422</v>
      </c>
      <c r="B5847" s="46" t="s">
        <v>724</v>
      </c>
      <c r="D5847" t="s">
        <v>989</v>
      </c>
      <c r="E5847" s="46" t="s">
        <v>1436</v>
      </c>
      <c r="F5847" s="45">
        <v>29000</v>
      </c>
      <c r="G5847" t="s">
        <v>1437</v>
      </c>
      <c r="H5847" t="s">
        <v>1438</v>
      </c>
      <c r="I5847" t="s">
        <v>1439</v>
      </c>
      <c r="J5847">
        <v>3</v>
      </c>
    </row>
    <row r="5848" spans="1:11" hidden="1" x14ac:dyDescent="0.3">
      <c r="A5848" s="46">
        <v>45376</v>
      </c>
      <c r="B5848" s="46" t="s">
        <v>724</v>
      </c>
      <c r="D5848" t="s">
        <v>989</v>
      </c>
      <c r="E5848" s="46" t="s">
        <v>1436</v>
      </c>
      <c r="F5848" s="45">
        <v>29000</v>
      </c>
      <c r="G5848" t="s">
        <v>1437</v>
      </c>
      <c r="H5848" t="s">
        <v>1438</v>
      </c>
      <c r="I5848" t="s">
        <v>1439</v>
      </c>
      <c r="J5848">
        <v>3</v>
      </c>
    </row>
    <row r="5849" spans="1:11" hidden="1" x14ac:dyDescent="0.3">
      <c r="A5849" s="46">
        <v>45350</v>
      </c>
      <c r="B5849" s="46" t="s">
        <v>722</v>
      </c>
      <c r="D5849" t="s">
        <v>1545</v>
      </c>
      <c r="E5849" s="46" t="s">
        <v>1436</v>
      </c>
      <c r="F5849" s="45">
        <v>29000</v>
      </c>
      <c r="G5849" t="s">
        <v>1466</v>
      </c>
      <c r="H5849" t="s">
        <v>1438</v>
      </c>
      <c r="I5849" t="s">
        <v>1439</v>
      </c>
      <c r="J5849">
        <v>3</v>
      </c>
    </row>
    <row r="5850" spans="1:11" hidden="1" x14ac:dyDescent="0.3">
      <c r="A5850" s="46">
        <v>45350</v>
      </c>
      <c r="B5850" s="46" t="s">
        <v>724</v>
      </c>
      <c r="D5850" t="s">
        <v>989</v>
      </c>
      <c r="E5850" s="46" t="s">
        <v>1436</v>
      </c>
      <c r="F5850" s="45">
        <v>29000</v>
      </c>
      <c r="G5850" t="s">
        <v>1437</v>
      </c>
      <c r="H5850" t="s">
        <v>1438</v>
      </c>
      <c r="I5850" t="s">
        <v>1439</v>
      </c>
      <c r="J5850">
        <v>3</v>
      </c>
    </row>
    <row r="5851" spans="1:11" hidden="1" x14ac:dyDescent="0.3">
      <c r="A5851" s="46">
        <v>45316</v>
      </c>
      <c r="B5851" s="46" t="s">
        <v>734</v>
      </c>
      <c r="D5851" t="s">
        <v>1481</v>
      </c>
      <c r="E5851" s="46" t="s">
        <v>1436</v>
      </c>
      <c r="F5851" s="45">
        <v>28600</v>
      </c>
      <c r="G5851" t="s">
        <v>1441</v>
      </c>
      <c r="H5851" t="s">
        <v>1438</v>
      </c>
      <c r="I5851" t="s">
        <v>1439</v>
      </c>
      <c r="J5851">
        <v>5</v>
      </c>
    </row>
    <row r="5852" spans="1:11" hidden="1" x14ac:dyDescent="0.3">
      <c r="A5852" s="46">
        <v>45393</v>
      </c>
      <c r="B5852" s="46" t="s">
        <v>734</v>
      </c>
      <c r="D5852" t="s">
        <v>2260</v>
      </c>
      <c r="E5852" s="46" t="s">
        <v>1436</v>
      </c>
      <c r="F5852" s="45">
        <v>28600</v>
      </c>
      <c r="G5852" t="s">
        <v>1441</v>
      </c>
      <c r="H5852" t="s">
        <v>1438</v>
      </c>
      <c r="I5852" t="s">
        <v>1439</v>
      </c>
      <c r="J5852">
        <v>3</v>
      </c>
    </row>
    <row r="5853" spans="1:11" hidden="1" x14ac:dyDescent="0.3">
      <c r="A5853" s="46">
        <v>45377</v>
      </c>
      <c r="B5853" s="46" t="s">
        <v>724</v>
      </c>
      <c r="D5853" t="s">
        <v>1171</v>
      </c>
      <c r="E5853" s="46" t="s">
        <v>1436</v>
      </c>
      <c r="F5853" s="45">
        <v>28500</v>
      </c>
      <c r="G5853" t="s">
        <v>1437</v>
      </c>
      <c r="H5853" t="s">
        <v>1438</v>
      </c>
      <c r="I5853" t="s">
        <v>1439</v>
      </c>
      <c r="J5853">
        <v>3</v>
      </c>
    </row>
    <row r="5854" spans="1:11" hidden="1" x14ac:dyDescent="0.3">
      <c r="A5854" s="46">
        <v>45363</v>
      </c>
      <c r="B5854" s="46" t="s">
        <v>722</v>
      </c>
      <c r="D5854" t="s">
        <v>1731</v>
      </c>
      <c r="E5854" s="46" t="s">
        <v>1436</v>
      </c>
      <c r="F5854" s="45">
        <v>28500</v>
      </c>
      <c r="G5854" t="s">
        <v>1437</v>
      </c>
      <c r="H5854" t="s">
        <v>1438</v>
      </c>
      <c r="I5854" t="s">
        <v>1439</v>
      </c>
      <c r="J5854">
        <v>3</v>
      </c>
    </row>
    <row r="5855" spans="1:11" hidden="1" x14ac:dyDescent="0.3">
      <c r="A5855" s="46">
        <v>45475</v>
      </c>
      <c r="B5855" s="46" t="s">
        <v>724</v>
      </c>
      <c r="D5855" t="s">
        <v>1171</v>
      </c>
      <c r="E5855" s="46" t="s">
        <v>1436</v>
      </c>
      <c r="F5855" s="45">
        <v>28500</v>
      </c>
      <c r="G5855" t="s">
        <v>1437</v>
      </c>
      <c r="H5855" t="s">
        <v>1438</v>
      </c>
      <c r="I5855" t="s">
        <v>1439</v>
      </c>
      <c r="J5855">
        <v>3</v>
      </c>
    </row>
    <row r="5856" spans="1:11" hidden="1" x14ac:dyDescent="0.3">
      <c r="A5856" s="46">
        <v>45476</v>
      </c>
      <c r="B5856" s="46" t="s">
        <v>748</v>
      </c>
      <c r="D5856" t="s">
        <v>1440</v>
      </c>
      <c r="E5856" s="46" t="s">
        <v>1436</v>
      </c>
      <c r="F5856" s="45">
        <v>28500</v>
      </c>
      <c r="G5856" t="s">
        <v>1479</v>
      </c>
      <c r="H5856" t="s">
        <v>1442</v>
      </c>
      <c r="I5856" t="s">
        <v>1458</v>
      </c>
      <c r="K5856" t="s">
        <v>2394</v>
      </c>
    </row>
    <row r="5857" spans="1:11" hidden="1" x14ac:dyDescent="0.3">
      <c r="A5857" s="46">
        <v>45477</v>
      </c>
      <c r="B5857" s="46" t="s">
        <v>767</v>
      </c>
      <c r="D5857" t="s">
        <v>1580</v>
      </c>
      <c r="E5857" s="46" t="s">
        <v>1436</v>
      </c>
      <c r="F5857" s="45">
        <v>28500</v>
      </c>
      <c r="G5857" t="s">
        <v>1460</v>
      </c>
      <c r="H5857" t="s">
        <v>1438</v>
      </c>
      <c r="I5857" t="s">
        <v>1439</v>
      </c>
      <c r="J5857">
        <v>5</v>
      </c>
    </row>
    <row r="5858" spans="1:11" hidden="1" x14ac:dyDescent="0.3">
      <c r="A5858" s="46">
        <v>45313</v>
      </c>
      <c r="B5858" s="46" t="s">
        <v>727</v>
      </c>
      <c r="D5858" t="s">
        <v>1552</v>
      </c>
      <c r="E5858" s="46" t="s">
        <v>1436</v>
      </c>
      <c r="F5858" s="45">
        <v>28350</v>
      </c>
      <c r="G5858" t="s">
        <v>1463</v>
      </c>
      <c r="H5858" t="s">
        <v>1438</v>
      </c>
      <c r="I5858" t="s">
        <v>1439</v>
      </c>
      <c r="K5858" t="s">
        <v>1732</v>
      </c>
    </row>
    <row r="5859" spans="1:11" hidden="1" x14ac:dyDescent="0.3">
      <c r="A5859" s="46">
        <v>45349</v>
      </c>
      <c r="B5859" s="46" t="s">
        <v>748</v>
      </c>
      <c r="D5859" t="s">
        <v>1440</v>
      </c>
      <c r="E5859" s="46" t="s">
        <v>1436</v>
      </c>
      <c r="F5859" s="45">
        <v>28300</v>
      </c>
      <c r="G5859" t="s">
        <v>1479</v>
      </c>
      <c r="H5859" t="s">
        <v>1442</v>
      </c>
      <c r="I5859" t="s">
        <v>1458</v>
      </c>
      <c r="K5859" t="s">
        <v>1733</v>
      </c>
    </row>
    <row r="5860" spans="1:11" hidden="1" x14ac:dyDescent="0.3">
      <c r="A5860" s="46">
        <v>45386</v>
      </c>
      <c r="B5860" s="46" t="s">
        <v>748</v>
      </c>
      <c r="D5860" t="s">
        <v>1440</v>
      </c>
      <c r="E5860" s="46" t="s">
        <v>1436</v>
      </c>
      <c r="F5860" s="45">
        <v>28300</v>
      </c>
      <c r="G5860" t="s">
        <v>1479</v>
      </c>
      <c r="H5860" t="s">
        <v>1442</v>
      </c>
      <c r="I5860" t="s">
        <v>1458</v>
      </c>
      <c r="K5860" t="s">
        <v>2261</v>
      </c>
    </row>
    <row r="5861" spans="1:11" hidden="1" x14ac:dyDescent="0.3">
      <c r="A5861" s="46">
        <v>45313</v>
      </c>
      <c r="B5861" s="46" t="s">
        <v>727</v>
      </c>
      <c r="D5861" t="s">
        <v>1541</v>
      </c>
      <c r="E5861" s="46" t="s">
        <v>1436</v>
      </c>
      <c r="F5861" s="45">
        <v>28000</v>
      </c>
      <c r="G5861" t="s">
        <v>1463</v>
      </c>
      <c r="H5861" t="s">
        <v>1438</v>
      </c>
      <c r="I5861" t="s">
        <v>1439</v>
      </c>
      <c r="J5861">
        <v>3</v>
      </c>
    </row>
    <row r="5862" spans="1:11" hidden="1" x14ac:dyDescent="0.3">
      <c r="A5862" s="46">
        <v>45301</v>
      </c>
      <c r="B5862" s="46" t="s">
        <v>767</v>
      </c>
      <c r="D5862" t="s">
        <v>928</v>
      </c>
      <c r="E5862" s="46" t="s">
        <v>1436</v>
      </c>
      <c r="F5862" s="45">
        <v>28000</v>
      </c>
      <c r="G5862" t="s">
        <v>1460</v>
      </c>
      <c r="H5862" t="s">
        <v>1438</v>
      </c>
      <c r="I5862" t="s">
        <v>1439</v>
      </c>
      <c r="J5862">
        <v>3</v>
      </c>
    </row>
    <row r="5863" spans="1:11" hidden="1" x14ac:dyDescent="0.3">
      <c r="A5863" s="46">
        <v>45295</v>
      </c>
      <c r="B5863" s="46" t="s">
        <v>748</v>
      </c>
      <c r="D5863" t="s">
        <v>1581</v>
      </c>
      <c r="E5863" s="46" t="s">
        <v>1436</v>
      </c>
      <c r="F5863" s="45">
        <v>27800</v>
      </c>
      <c r="G5863" t="s">
        <v>1479</v>
      </c>
      <c r="H5863" t="s">
        <v>1442</v>
      </c>
      <c r="I5863" t="s">
        <v>1458</v>
      </c>
      <c r="K5863" t="s">
        <v>1582</v>
      </c>
    </row>
    <row r="5864" spans="1:11" hidden="1" x14ac:dyDescent="0.3">
      <c r="A5864" s="46">
        <v>45308</v>
      </c>
      <c r="B5864" s="46" t="s">
        <v>724</v>
      </c>
      <c r="D5864" t="s">
        <v>1069</v>
      </c>
      <c r="E5864" s="46" t="s">
        <v>1436</v>
      </c>
      <c r="F5864" s="45">
        <v>27800</v>
      </c>
      <c r="G5864" t="s">
        <v>1437</v>
      </c>
      <c r="H5864" t="s">
        <v>1438</v>
      </c>
      <c r="I5864" t="s">
        <v>1439</v>
      </c>
      <c r="J5864">
        <v>2</v>
      </c>
    </row>
    <row r="5865" spans="1:11" hidden="1" x14ac:dyDescent="0.3">
      <c r="A5865" s="46">
        <v>45296</v>
      </c>
      <c r="B5865" s="46" t="s">
        <v>727</v>
      </c>
      <c r="D5865" t="s">
        <v>1565</v>
      </c>
      <c r="E5865" s="46" t="s">
        <v>1436</v>
      </c>
      <c r="F5865" s="45">
        <v>27700</v>
      </c>
      <c r="G5865" t="s">
        <v>1463</v>
      </c>
      <c r="H5865" t="s">
        <v>1438</v>
      </c>
      <c r="I5865" t="s">
        <v>1439</v>
      </c>
      <c r="J5865">
        <v>3</v>
      </c>
    </row>
    <row r="5866" spans="1:11" hidden="1" x14ac:dyDescent="0.3">
      <c r="A5866" s="46">
        <v>45294</v>
      </c>
      <c r="B5866" s="46" t="s">
        <v>724</v>
      </c>
      <c r="D5866" t="s">
        <v>1192</v>
      </c>
      <c r="E5866" s="46" t="s">
        <v>1436</v>
      </c>
      <c r="F5866" s="45">
        <v>27500</v>
      </c>
      <c r="G5866" t="s">
        <v>1437</v>
      </c>
      <c r="H5866" t="s">
        <v>1442</v>
      </c>
      <c r="I5866" t="s">
        <v>1458</v>
      </c>
      <c r="K5866" t="s">
        <v>1583</v>
      </c>
    </row>
    <row r="5867" spans="1:11" hidden="1" x14ac:dyDescent="0.3">
      <c r="A5867" s="46">
        <v>45302</v>
      </c>
      <c r="B5867" s="46" t="s">
        <v>727</v>
      </c>
      <c r="D5867" t="s">
        <v>1100</v>
      </c>
      <c r="E5867" s="46" t="s">
        <v>1436</v>
      </c>
      <c r="F5867" s="45">
        <v>27500</v>
      </c>
      <c r="G5867" t="s">
        <v>1463</v>
      </c>
      <c r="H5867" t="s">
        <v>1438</v>
      </c>
      <c r="I5867" t="s">
        <v>1439</v>
      </c>
      <c r="J5867">
        <v>4</v>
      </c>
    </row>
    <row r="5868" spans="1:11" hidden="1" x14ac:dyDescent="0.3">
      <c r="A5868" s="46">
        <v>45372</v>
      </c>
      <c r="B5868" s="46" t="s">
        <v>727</v>
      </c>
      <c r="D5868" t="s">
        <v>1578</v>
      </c>
      <c r="E5868" s="46" t="s">
        <v>1436</v>
      </c>
      <c r="F5868" s="45">
        <v>27300</v>
      </c>
      <c r="G5868" t="s">
        <v>1463</v>
      </c>
      <c r="H5868" t="s">
        <v>1438</v>
      </c>
      <c r="I5868" t="s">
        <v>1439</v>
      </c>
      <c r="J5868">
        <v>5</v>
      </c>
    </row>
    <row r="5869" spans="1:11" hidden="1" x14ac:dyDescent="0.3">
      <c r="A5869" s="46">
        <v>45371</v>
      </c>
      <c r="B5869" s="46" t="s">
        <v>722</v>
      </c>
      <c r="D5869" t="s">
        <v>1461</v>
      </c>
      <c r="E5869" s="46" t="s">
        <v>1436</v>
      </c>
      <c r="F5869" s="45">
        <v>27300</v>
      </c>
      <c r="G5869" t="s">
        <v>1466</v>
      </c>
      <c r="H5869" t="s">
        <v>1438</v>
      </c>
      <c r="I5869" t="s">
        <v>1439</v>
      </c>
      <c r="K5869" t="s">
        <v>1735</v>
      </c>
    </row>
    <row r="5870" spans="1:11" hidden="1" x14ac:dyDescent="0.3">
      <c r="A5870" s="46">
        <v>45421</v>
      </c>
      <c r="B5870" s="46" t="s">
        <v>724</v>
      </c>
      <c r="D5870" t="s">
        <v>1057</v>
      </c>
      <c r="E5870" s="46" t="s">
        <v>1436</v>
      </c>
      <c r="F5870" s="45">
        <v>27100</v>
      </c>
      <c r="G5870" t="s">
        <v>1437</v>
      </c>
      <c r="H5870" t="s">
        <v>1438</v>
      </c>
      <c r="I5870" t="s">
        <v>1439</v>
      </c>
      <c r="J5870">
        <v>4</v>
      </c>
      <c r="K5870" t="s">
        <v>2200</v>
      </c>
    </row>
    <row r="5871" spans="1:11" hidden="1" x14ac:dyDescent="0.3">
      <c r="A5871" s="46">
        <v>45309</v>
      </c>
      <c r="B5871" s="46" t="s">
        <v>729</v>
      </c>
      <c r="D5871" t="s">
        <v>1584</v>
      </c>
      <c r="E5871" s="46" t="s">
        <v>1436</v>
      </c>
      <c r="F5871" s="45">
        <v>27100</v>
      </c>
      <c r="G5871" t="s">
        <v>1471</v>
      </c>
      <c r="H5871" t="s">
        <v>1438</v>
      </c>
      <c r="I5871" t="s">
        <v>1439</v>
      </c>
      <c r="J5871">
        <v>4</v>
      </c>
    </row>
    <row r="5872" spans="1:11" hidden="1" x14ac:dyDescent="0.3">
      <c r="A5872" s="46">
        <v>45320</v>
      </c>
      <c r="B5872" s="46" t="s">
        <v>724</v>
      </c>
      <c r="D5872" t="s">
        <v>1119</v>
      </c>
      <c r="E5872" s="46" t="s">
        <v>1436</v>
      </c>
      <c r="F5872" s="45">
        <v>27000</v>
      </c>
      <c r="G5872" t="s">
        <v>1437</v>
      </c>
      <c r="H5872" t="s">
        <v>1438</v>
      </c>
      <c r="I5872" t="s">
        <v>1439</v>
      </c>
      <c r="J5872">
        <v>3</v>
      </c>
    </row>
    <row r="5873" spans="1:11" hidden="1" x14ac:dyDescent="0.3">
      <c r="A5873" s="46">
        <v>45341</v>
      </c>
      <c r="B5873" s="46" t="s">
        <v>748</v>
      </c>
      <c r="D5873" t="s">
        <v>1541</v>
      </c>
      <c r="E5873" s="46" t="s">
        <v>1436</v>
      </c>
      <c r="F5873" s="45">
        <v>27000</v>
      </c>
      <c r="G5873" t="s">
        <v>1463</v>
      </c>
      <c r="H5873" t="s">
        <v>1438</v>
      </c>
      <c r="I5873" t="s">
        <v>1439</v>
      </c>
      <c r="J5873">
        <v>3</v>
      </c>
    </row>
    <row r="5874" spans="1:11" hidden="1" x14ac:dyDescent="0.3">
      <c r="A5874" s="46">
        <v>45329</v>
      </c>
      <c r="B5874" s="46" t="s">
        <v>748</v>
      </c>
      <c r="D5874" t="s">
        <v>1734</v>
      </c>
      <c r="E5874" s="46" t="s">
        <v>1436</v>
      </c>
      <c r="F5874" s="45">
        <v>27000</v>
      </c>
      <c r="G5874" t="s">
        <v>1479</v>
      </c>
      <c r="H5874" t="s">
        <v>1438</v>
      </c>
      <c r="I5874" t="s">
        <v>1439</v>
      </c>
      <c r="J5874">
        <v>3</v>
      </c>
    </row>
    <row r="5875" spans="1:11" hidden="1" x14ac:dyDescent="0.3">
      <c r="A5875" s="46">
        <v>45426</v>
      </c>
      <c r="B5875" s="46" t="s">
        <v>722</v>
      </c>
      <c r="D5875" t="s">
        <v>2236</v>
      </c>
      <c r="E5875" s="46" t="s">
        <v>1436</v>
      </c>
      <c r="F5875" s="45">
        <v>27000</v>
      </c>
      <c r="G5875" t="s">
        <v>1437</v>
      </c>
      <c r="H5875" t="s">
        <v>1438</v>
      </c>
      <c r="I5875" t="s">
        <v>1439</v>
      </c>
      <c r="J5875">
        <v>3</v>
      </c>
    </row>
    <row r="5876" spans="1:11" hidden="1" x14ac:dyDescent="0.3">
      <c r="A5876" s="46">
        <v>45433</v>
      </c>
      <c r="B5876" s="46" t="s">
        <v>722</v>
      </c>
      <c r="D5876" t="s">
        <v>2230</v>
      </c>
      <c r="E5876" s="46" t="s">
        <v>1436</v>
      </c>
      <c r="F5876" s="45">
        <v>27000</v>
      </c>
      <c r="G5876" t="s">
        <v>1466</v>
      </c>
      <c r="H5876" t="s">
        <v>1438</v>
      </c>
      <c r="I5876" t="s">
        <v>1439</v>
      </c>
      <c r="J5876">
        <v>3</v>
      </c>
    </row>
    <row r="5877" spans="1:11" hidden="1" x14ac:dyDescent="0.3">
      <c r="A5877" s="46">
        <v>45296</v>
      </c>
      <c r="B5877" s="46" t="s">
        <v>748</v>
      </c>
      <c r="D5877" t="s">
        <v>1552</v>
      </c>
      <c r="E5877" s="46" t="s">
        <v>1436</v>
      </c>
      <c r="F5877" s="45">
        <v>26730</v>
      </c>
      <c r="G5877" t="s">
        <v>1479</v>
      </c>
      <c r="H5877" t="s">
        <v>1438</v>
      </c>
      <c r="I5877" t="s">
        <v>1439</v>
      </c>
      <c r="K5877" t="s">
        <v>1547</v>
      </c>
    </row>
    <row r="5878" spans="1:11" hidden="1" x14ac:dyDescent="0.3">
      <c r="A5878" s="46">
        <v>45400</v>
      </c>
      <c r="B5878" s="46" t="s">
        <v>767</v>
      </c>
      <c r="D5878" t="s">
        <v>1595</v>
      </c>
      <c r="E5878" s="46" t="s">
        <v>1436</v>
      </c>
      <c r="F5878" s="45">
        <v>26500</v>
      </c>
      <c r="G5878" t="s">
        <v>1460</v>
      </c>
      <c r="H5878" t="s">
        <v>1438</v>
      </c>
      <c r="I5878" t="s">
        <v>1439</v>
      </c>
      <c r="J5878">
        <v>4</v>
      </c>
    </row>
    <row r="5879" spans="1:11" hidden="1" x14ac:dyDescent="0.3">
      <c r="A5879" s="46">
        <v>45434</v>
      </c>
      <c r="B5879" s="46" t="s">
        <v>724</v>
      </c>
      <c r="D5879" t="s">
        <v>2097</v>
      </c>
      <c r="E5879" s="46" t="s">
        <v>1436</v>
      </c>
      <c r="F5879" s="45">
        <v>26500</v>
      </c>
      <c r="G5879" t="s">
        <v>1437</v>
      </c>
      <c r="H5879" t="s">
        <v>1438</v>
      </c>
      <c r="I5879" t="s">
        <v>1439</v>
      </c>
      <c r="J5879">
        <v>3</v>
      </c>
    </row>
    <row r="5880" spans="1:11" hidden="1" x14ac:dyDescent="0.3">
      <c r="A5880" s="46">
        <v>45434</v>
      </c>
      <c r="B5880" s="46" t="s">
        <v>734</v>
      </c>
      <c r="D5880" t="s">
        <v>1199</v>
      </c>
      <c r="E5880" s="46" t="s">
        <v>1436</v>
      </c>
      <c r="F5880" s="45">
        <v>26400</v>
      </c>
      <c r="G5880" t="s">
        <v>1441</v>
      </c>
      <c r="H5880" t="s">
        <v>1499</v>
      </c>
      <c r="I5880" t="s">
        <v>1587</v>
      </c>
    </row>
    <row r="5881" spans="1:11" hidden="1" x14ac:dyDescent="0.3">
      <c r="A5881" s="46">
        <v>45437</v>
      </c>
      <c r="B5881" s="46" t="s">
        <v>748</v>
      </c>
      <c r="D5881" t="s">
        <v>1077</v>
      </c>
      <c r="E5881" s="46" t="s">
        <v>1436</v>
      </c>
      <c r="F5881" s="45">
        <v>26400</v>
      </c>
      <c r="G5881" t="s">
        <v>1451</v>
      </c>
      <c r="H5881" t="s">
        <v>1448</v>
      </c>
      <c r="I5881" t="s">
        <v>1449</v>
      </c>
      <c r="K5881" t="s">
        <v>2262</v>
      </c>
    </row>
    <row r="5882" spans="1:11" hidden="1" x14ac:dyDescent="0.3">
      <c r="A5882" s="46">
        <v>45465</v>
      </c>
      <c r="B5882" s="46" t="s">
        <v>734</v>
      </c>
      <c r="D5882" t="s">
        <v>1199</v>
      </c>
      <c r="E5882" s="46" t="s">
        <v>1436</v>
      </c>
      <c r="F5882" s="45">
        <v>26400</v>
      </c>
      <c r="G5882" t="s">
        <v>1441</v>
      </c>
      <c r="H5882" t="s">
        <v>1499</v>
      </c>
      <c r="I5882" t="s">
        <v>1587</v>
      </c>
    </row>
    <row r="5883" spans="1:11" hidden="1" x14ac:dyDescent="0.3">
      <c r="A5883" s="46">
        <v>45467</v>
      </c>
      <c r="B5883" s="46" t="s">
        <v>748</v>
      </c>
      <c r="D5883" t="s">
        <v>1077</v>
      </c>
      <c r="E5883" s="46" t="s">
        <v>1436</v>
      </c>
      <c r="F5883" s="45">
        <v>26400</v>
      </c>
      <c r="G5883" t="s">
        <v>1451</v>
      </c>
      <c r="H5883" t="s">
        <v>1448</v>
      </c>
      <c r="I5883" t="s">
        <v>1449</v>
      </c>
      <c r="K5883" t="s">
        <v>2262</v>
      </c>
    </row>
    <row r="5884" spans="1:11" hidden="1" x14ac:dyDescent="0.3">
      <c r="A5884" s="46">
        <v>45477</v>
      </c>
      <c r="B5884" s="46" t="s">
        <v>724</v>
      </c>
      <c r="D5884" t="s">
        <v>1214</v>
      </c>
      <c r="E5884" s="46" t="s">
        <v>1436</v>
      </c>
      <c r="F5884" s="45">
        <v>26400</v>
      </c>
      <c r="G5884" t="s">
        <v>1437</v>
      </c>
      <c r="H5884" t="s">
        <v>1438</v>
      </c>
      <c r="I5884" t="s">
        <v>1439</v>
      </c>
      <c r="J5884">
        <v>4</v>
      </c>
    </row>
    <row r="5885" spans="1:11" hidden="1" x14ac:dyDescent="0.3">
      <c r="A5885" s="46">
        <v>45405</v>
      </c>
      <c r="B5885" s="46" t="s">
        <v>734</v>
      </c>
      <c r="D5885" t="s">
        <v>1199</v>
      </c>
      <c r="E5885" s="46" t="s">
        <v>1436</v>
      </c>
      <c r="F5885" s="45">
        <v>26400</v>
      </c>
      <c r="G5885" t="s">
        <v>1441</v>
      </c>
      <c r="H5885" t="s">
        <v>1499</v>
      </c>
      <c r="I5885" t="s">
        <v>1587</v>
      </c>
    </row>
    <row r="5886" spans="1:11" hidden="1" x14ac:dyDescent="0.3">
      <c r="A5886" s="46">
        <v>45407</v>
      </c>
      <c r="B5886" s="46" t="s">
        <v>748</v>
      </c>
      <c r="D5886" t="s">
        <v>1077</v>
      </c>
      <c r="E5886" s="46" t="s">
        <v>1436</v>
      </c>
      <c r="F5886" s="45">
        <v>26400</v>
      </c>
      <c r="G5886" t="s">
        <v>1479</v>
      </c>
      <c r="H5886" t="s">
        <v>1448</v>
      </c>
      <c r="I5886" t="s">
        <v>1449</v>
      </c>
      <c r="K5886" t="s">
        <v>2262</v>
      </c>
    </row>
    <row r="5887" spans="1:11" hidden="1" x14ac:dyDescent="0.3">
      <c r="A5887" s="46">
        <v>45373</v>
      </c>
      <c r="B5887" s="46" t="s">
        <v>734</v>
      </c>
      <c r="D5887" t="s">
        <v>1199</v>
      </c>
      <c r="E5887" s="46" t="s">
        <v>1436</v>
      </c>
      <c r="F5887" s="45">
        <v>26400</v>
      </c>
      <c r="G5887" t="s">
        <v>1441</v>
      </c>
      <c r="H5887" t="s">
        <v>1499</v>
      </c>
      <c r="I5887" t="s">
        <v>1587</v>
      </c>
    </row>
    <row r="5888" spans="1:11" hidden="1" x14ac:dyDescent="0.3">
      <c r="A5888" s="46">
        <v>45314</v>
      </c>
      <c r="B5888" s="46" t="s">
        <v>734</v>
      </c>
      <c r="D5888" t="s">
        <v>1199</v>
      </c>
      <c r="E5888" s="46" t="s">
        <v>1436</v>
      </c>
      <c r="F5888" s="45">
        <v>26400</v>
      </c>
      <c r="G5888" t="s">
        <v>1441</v>
      </c>
      <c r="H5888" t="s">
        <v>1499</v>
      </c>
      <c r="I5888" t="s">
        <v>1587</v>
      </c>
    </row>
    <row r="5889" spans="1:11" hidden="1" x14ac:dyDescent="0.3">
      <c r="A5889" s="46">
        <v>45344</v>
      </c>
      <c r="B5889" s="46" t="s">
        <v>734</v>
      </c>
      <c r="D5889" t="s">
        <v>1199</v>
      </c>
      <c r="E5889" s="46" t="s">
        <v>1436</v>
      </c>
      <c r="F5889" s="45">
        <v>26400</v>
      </c>
      <c r="G5889" t="s">
        <v>1441</v>
      </c>
      <c r="H5889" t="s">
        <v>1499</v>
      </c>
      <c r="I5889" t="s">
        <v>1587</v>
      </c>
    </row>
    <row r="5890" spans="1:11" hidden="1" x14ac:dyDescent="0.3">
      <c r="A5890" s="46">
        <v>45323</v>
      </c>
      <c r="B5890" s="46" t="s">
        <v>821</v>
      </c>
      <c r="D5890" t="s">
        <v>1544</v>
      </c>
      <c r="E5890" s="46" t="s">
        <v>1436</v>
      </c>
      <c r="F5890" s="45">
        <v>26300</v>
      </c>
      <c r="G5890" t="s">
        <v>1509</v>
      </c>
      <c r="H5890" t="s">
        <v>1438</v>
      </c>
      <c r="I5890" t="s">
        <v>1439</v>
      </c>
      <c r="J5890">
        <v>3</v>
      </c>
    </row>
    <row r="5891" spans="1:11" hidden="1" x14ac:dyDescent="0.3">
      <c r="A5891" s="46">
        <v>45419</v>
      </c>
      <c r="B5891" s="46" t="s">
        <v>724</v>
      </c>
      <c r="D5891" t="s">
        <v>755</v>
      </c>
      <c r="E5891" s="46" t="s">
        <v>1436</v>
      </c>
      <c r="F5891" s="45">
        <v>26190</v>
      </c>
      <c r="G5891" t="s">
        <v>1437</v>
      </c>
      <c r="H5891" t="s">
        <v>1438</v>
      </c>
      <c r="I5891" t="s">
        <v>1439</v>
      </c>
      <c r="J5891">
        <v>6</v>
      </c>
    </row>
    <row r="5892" spans="1:11" hidden="1" x14ac:dyDescent="0.3">
      <c r="A5892" s="46">
        <v>45376</v>
      </c>
      <c r="B5892" s="46" t="s">
        <v>729</v>
      </c>
      <c r="D5892" t="s">
        <v>1490</v>
      </c>
      <c r="E5892" s="46" t="s">
        <v>1436</v>
      </c>
      <c r="F5892" s="45">
        <v>26180</v>
      </c>
      <c r="G5892" t="s">
        <v>1471</v>
      </c>
      <c r="H5892" t="s">
        <v>1469</v>
      </c>
      <c r="I5892" t="s">
        <v>1503</v>
      </c>
      <c r="K5892" t="s">
        <v>2263</v>
      </c>
    </row>
    <row r="5893" spans="1:11" hidden="1" x14ac:dyDescent="0.3">
      <c r="A5893" s="46">
        <v>45350</v>
      </c>
      <c r="B5893" s="46" t="s">
        <v>722</v>
      </c>
      <c r="D5893" t="s">
        <v>1461</v>
      </c>
      <c r="E5893" s="46" t="s">
        <v>1436</v>
      </c>
      <c r="F5893" s="45">
        <v>26060</v>
      </c>
      <c r="G5893" t="s">
        <v>1466</v>
      </c>
      <c r="H5893" t="s">
        <v>1438</v>
      </c>
      <c r="I5893" t="s">
        <v>1439</v>
      </c>
      <c r="K5893" t="s">
        <v>1735</v>
      </c>
    </row>
    <row r="5894" spans="1:11" hidden="1" x14ac:dyDescent="0.3">
      <c r="A5894" s="46">
        <v>45351</v>
      </c>
      <c r="B5894" s="46" t="s">
        <v>734</v>
      </c>
      <c r="D5894" t="s">
        <v>1512</v>
      </c>
      <c r="E5894" s="46" t="s">
        <v>1436</v>
      </c>
      <c r="F5894" s="45">
        <v>26000</v>
      </c>
      <c r="G5894" t="s">
        <v>1480</v>
      </c>
      <c r="H5894" t="s">
        <v>1438</v>
      </c>
      <c r="I5894" t="s">
        <v>1456</v>
      </c>
      <c r="J5894">
        <v>2</v>
      </c>
      <c r="K5894" t="s">
        <v>1736</v>
      </c>
    </row>
    <row r="5895" spans="1:11" hidden="1" x14ac:dyDescent="0.3">
      <c r="A5895" s="46">
        <v>45327</v>
      </c>
      <c r="B5895" s="46" t="s">
        <v>767</v>
      </c>
      <c r="D5895" t="s">
        <v>1095</v>
      </c>
      <c r="E5895" s="46" t="s">
        <v>1436</v>
      </c>
      <c r="F5895" s="45">
        <v>26000</v>
      </c>
      <c r="G5895" t="s">
        <v>1460</v>
      </c>
      <c r="H5895" t="s">
        <v>1438</v>
      </c>
      <c r="I5895" t="s">
        <v>1439</v>
      </c>
      <c r="J5895">
        <v>3</v>
      </c>
    </row>
    <row r="5896" spans="1:11" hidden="1" x14ac:dyDescent="0.3">
      <c r="A5896" s="46">
        <v>45337</v>
      </c>
      <c r="B5896" s="46" t="s">
        <v>734</v>
      </c>
      <c r="D5896" t="s">
        <v>1159</v>
      </c>
      <c r="E5896" s="46" t="s">
        <v>1436</v>
      </c>
      <c r="F5896" s="45">
        <v>26000</v>
      </c>
      <c r="G5896" t="s">
        <v>1441</v>
      </c>
      <c r="H5896" t="s">
        <v>1438</v>
      </c>
      <c r="I5896" t="s">
        <v>1439</v>
      </c>
      <c r="J5896">
        <v>4</v>
      </c>
    </row>
    <row r="5897" spans="1:11" hidden="1" x14ac:dyDescent="0.3">
      <c r="A5897" s="46">
        <v>45303</v>
      </c>
      <c r="B5897" s="46" t="s">
        <v>727</v>
      </c>
      <c r="D5897" t="s">
        <v>1095</v>
      </c>
      <c r="E5897" s="46" t="s">
        <v>1436</v>
      </c>
      <c r="F5897" s="45">
        <v>26000</v>
      </c>
      <c r="G5897" t="s">
        <v>1463</v>
      </c>
      <c r="H5897" t="s">
        <v>1438</v>
      </c>
      <c r="I5897" t="s">
        <v>1439</v>
      </c>
      <c r="J5897">
        <v>3</v>
      </c>
    </row>
    <row r="5898" spans="1:11" hidden="1" x14ac:dyDescent="0.3">
      <c r="A5898" s="46">
        <v>45383</v>
      </c>
      <c r="B5898" s="46" t="s">
        <v>724</v>
      </c>
      <c r="D5898" t="s">
        <v>989</v>
      </c>
      <c r="E5898" s="46" t="s">
        <v>1436</v>
      </c>
      <c r="F5898" s="45">
        <v>26000</v>
      </c>
      <c r="G5898" t="s">
        <v>1437</v>
      </c>
      <c r="H5898" t="s">
        <v>1438</v>
      </c>
      <c r="I5898" t="s">
        <v>1439</v>
      </c>
      <c r="J5898">
        <v>2</v>
      </c>
    </row>
    <row r="5899" spans="1:11" hidden="1" x14ac:dyDescent="0.3">
      <c r="A5899" s="46">
        <v>45386</v>
      </c>
      <c r="B5899" s="46" t="s">
        <v>727</v>
      </c>
      <c r="D5899" t="s">
        <v>2260</v>
      </c>
      <c r="E5899" s="46" t="s">
        <v>1436</v>
      </c>
      <c r="F5899" s="45">
        <v>25900</v>
      </c>
      <c r="G5899" t="s">
        <v>1463</v>
      </c>
      <c r="H5899" t="s">
        <v>1438</v>
      </c>
      <c r="I5899" t="s">
        <v>1439</v>
      </c>
      <c r="J5899">
        <v>6</v>
      </c>
    </row>
    <row r="5900" spans="1:11" hidden="1" x14ac:dyDescent="0.3">
      <c r="A5900" s="46">
        <v>45351</v>
      </c>
      <c r="B5900" s="46" t="s">
        <v>748</v>
      </c>
      <c r="D5900" t="s">
        <v>1552</v>
      </c>
      <c r="E5900" s="46" t="s">
        <v>1436</v>
      </c>
      <c r="F5900" s="45">
        <v>25650</v>
      </c>
      <c r="G5900" t="s">
        <v>1479</v>
      </c>
      <c r="H5900" t="s">
        <v>1438</v>
      </c>
      <c r="I5900" t="s">
        <v>1439</v>
      </c>
      <c r="K5900" t="s">
        <v>1732</v>
      </c>
    </row>
    <row r="5901" spans="1:11" hidden="1" x14ac:dyDescent="0.3">
      <c r="A5901" s="46">
        <v>45414</v>
      </c>
      <c r="B5901" s="46" t="s">
        <v>722</v>
      </c>
      <c r="D5901" t="s">
        <v>1461</v>
      </c>
      <c r="E5901" s="46" t="s">
        <v>1436</v>
      </c>
      <c r="F5901" s="45">
        <v>25630</v>
      </c>
      <c r="G5901" t="s">
        <v>1466</v>
      </c>
      <c r="H5901" t="s">
        <v>1438</v>
      </c>
      <c r="I5901" t="s">
        <v>1439</v>
      </c>
      <c r="K5901" t="s">
        <v>2264</v>
      </c>
    </row>
    <row r="5902" spans="1:11" hidden="1" x14ac:dyDescent="0.3">
      <c r="A5902" s="46">
        <v>45422</v>
      </c>
      <c r="B5902" s="46" t="s">
        <v>767</v>
      </c>
      <c r="D5902" t="s">
        <v>1868</v>
      </c>
      <c r="E5902" s="46" t="s">
        <v>1436</v>
      </c>
      <c r="F5902" s="45">
        <v>25500</v>
      </c>
      <c r="G5902" t="s">
        <v>1460</v>
      </c>
      <c r="H5902" t="s">
        <v>1438</v>
      </c>
      <c r="I5902" t="s">
        <v>1439</v>
      </c>
      <c r="J5902">
        <v>3</v>
      </c>
    </row>
    <row r="5903" spans="1:11" hidden="1" x14ac:dyDescent="0.3">
      <c r="A5903" s="46">
        <v>45429</v>
      </c>
      <c r="B5903" s="46" t="s">
        <v>767</v>
      </c>
      <c r="D5903" t="s">
        <v>1868</v>
      </c>
      <c r="E5903" s="46" t="s">
        <v>1436</v>
      </c>
      <c r="F5903" s="45">
        <v>25500</v>
      </c>
      <c r="G5903" t="s">
        <v>1460</v>
      </c>
      <c r="H5903" t="s">
        <v>1438</v>
      </c>
      <c r="I5903" t="s">
        <v>1439</v>
      </c>
      <c r="J5903">
        <v>3</v>
      </c>
    </row>
    <row r="5904" spans="1:11" hidden="1" x14ac:dyDescent="0.3">
      <c r="A5904" s="46">
        <v>45385</v>
      </c>
      <c r="B5904" s="46" t="s">
        <v>724</v>
      </c>
      <c r="D5904" t="s">
        <v>2080</v>
      </c>
      <c r="E5904" s="46" t="s">
        <v>1436</v>
      </c>
      <c r="F5904" s="45">
        <v>25500</v>
      </c>
      <c r="G5904" t="s">
        <v>1437</v>
      </c>
      <c r="H5904" t="s">
        <v>1438</v>
      </c>
      <c r="I5904" t="s">
        <v>1439</v>
      </c>
      <c r="J5904">
        <v>3</v>
      </c>
    </row>
    <row r="5905" spans="1:11" hidden="1" x14ac:dyDescent="0.3">
      <c r="A5905" s="46">
        <v>45365</v>
      </c>
      <c r="B5905" s="46" t="s">
        <v>748</v>
      </c>
      <c r="D5905" t="s">
        <v>1518</v>
      </c>
      <c r="E5905" s="46" t="s">
        <v>1436</v>
      </c>
      <c r="F5905" s="45">
        <v>25500</v>
      </c>
      <c r="G5905" t="s">
        <v>1483</v>
      </c>
      <c r="H5905" t="s">
        <v>1438</v>
      </c>
      <c r="I5905" t="s">
        <v>1439</v>
      </c>
      <c r="J5905">
        <v>1</v>
      </c>
    </row>
    <row r="5906" spans="1:11" hidden="1" x14ac:dyDescent="0.3">
      <c r="A5906" s="46">
        <v>45476</v>
      </c>
      <c r="B5906" s="46" t="s">
        <v>724</v>
      </c>
      <c r="D5906" t="s">
        <v>2080</v>
      </c>
      <c r="E5906" s="46" t="s">
        <v>1436</v>
      </c>
      <c r="F5906" s="45">
        <v>25500</v>
      </c>
      <c r="G5906" t="s">
        <v>1463</v>
      </c>
      <c r="H5906" t="s">
        <v>1438</v>
      </c>
      <c r="I5906" t="s">
        <v>1439</v>
      </c>
      <c r="J5906">
        <v>3</v>
      </c>
    </row>
    <row r="5907" spans="1:11" hidden="1" x14ac:dyDescent="0.3">
      <c r="A5907" s="46">
        <v>45462</v>
      </c>
      <c r="B5907" s="46" t="s">
        <v>734</v>
      </c>
      <c r="D5907" t="s">
        <v>1868</v>
      </c>
      <c r="E5907" s="46" t="s">
        <v>1436</v>
      </c>
      <c r="F5907" s="45">
        <v>25500</v>
      </c>
      <c r="G5907" t="s">
        <v>1441</v>
      </c>
      <c r="H5907" t="s">
        <v>1438</v>
      </c>
      <c r="I5907" t="s">
        <v>1439</v>
      </c>
      <c r="J5907">
        <v>3</v>
      </c>
    </row>
    <row r="5908" spans="1:11" hidden="1" x14ac:dyDescent="0.3">
      <c r="A5908" s="46">
        <v>45455</v>
      </c>
      <c r="B5908" s="46" t="s">
        <v>734</v>
      </c>
      <c r="D5908" t="s">
        <v>1868</v>
      </c>
      <c r="E5908" s="46" t="s">
        <v>1436</v>
      </c>
      <c r="F5908" s="45">
        <v>25500</v>
      </c>
      <c r="G5908" t="s">
        <v>1441</v>
      </c>
      <c r="H5908" t="s">
        <v>1438</v>
      </c>
      <c r="I5908" t="s">
        <v>1439</v>
      </c>
      <c r="J5908">
        <v>3</v>
      </c>
    </row>
    <row r="5909" spans="1:11" hidden="1" x14ac:dyDescent="0.3">
      <c r="A5909" s="46">
        <v>45434</v>
      </c>
      <c r="B5909" s="46" t="s">
        <v>767</v>
      </c>
      <c r="D5909" t="s">
        <v>1868</v>
      </c>
      <c r="E5909" s="46" t="s">
        <v>1436</v>
      </c>
      <c r="F5909" s="45">
        <v>25500</v>
      </c>
      <c r="G5909" t="s">
        <v>1460</v>
      </c>
      <c r="H5909" t="s">
        <v>1438</v>
      </c>
      <c r="I5909" t="s">
        <v>1439</v>
      </c>
      <c r="J5909">
        <v>3</v>
      </c>
    </row>
    <row r="5910" spans="1:11" hidden="1" x14ac:dyDescent="0.3">
      <c r="A5910" s="46">
        <v>45447</v>
      </c>
      <c r="B5910" s="46" t="s">
        <v>734</v>
      </c>
      <c r="D5910" t="s">
        <v>1868</v>
      </c>
      <c r="E5910" s="46" t="s">
        <v>1436</v>
      </c>
      <c r="F5910" s="45">
        <v>25500</v>
      </c>
      <c r="G5910" t="s">
        <v>1441</v>
      </c>
      <c r="H5910" t="s">
        <v>1438</v>
      </c>
      <c r="I5910" t="s">
        <v>1439</v>
      </c>
      <c r="J5910">
        <v>3</v>
      </c>
    </row>
    <row r="5911" spans="1:11" hidden="1" x14ac:dyDescent="0.3">
      <c r="A5911" s="46">
        <v>45450</v>
      </c>
      <c r="B5911" s="46" t="s">
        <v>734</v>
      </c>
      <c r="D5911" t="s">
        <v>1868</v>
      </c>
      <c r="E5911" s="46" t="s">
        <v>1436</v>
      </c>
      <c r="F5911" s="45">
        <v>25500</v>
      </c>
      <c r="G5911" t="s">
        <v>1441</v>
      </c>
      <c r="H5911" t="s">
        <v>1438</v>
      </c>
      <c r="I5911" t="s">
        <v>1439</v>
      </c>
      <c r="J5911">
        <v>3</v>
      </c>
    </row>
    <row r="5912" spans="1:11" hidden="1" x14ac:dyDescent="0.3">
      <c r="A5912" s="46">
        <v>45309</v>
      </c>
      <c r="B5912" s="46" t="s">
        <v>748</v>
      </c>
      <c r="D5912" t="s">
        <v>1502</v>
      </c>
      <c r="E5912" s="46" t="s">
        <v>1436</v>
      </c>
      <c r="F5912" s="45">
        <v>25200</v>
      </c>
      <c r="G5912" t="s">
        <v>1462</v>
      </c>
      <c r="H5912" t="s">
        <v>1438</v>
      </c>
      <c r="I5912" t="s">
        <v>1439</v>
      </c>
      <c r="J5912">
        <v>5</v>
      </c>
    </row>
    <row r="5913" spans="1:11" hidden="1" x14ac:dyDescent="0.3">
      <c r="A5913" s="46">
        <v>45439</v>
      </c>
      <c r="B5913" s="46" t="s">
        <v>761</v>
      </c>
      <c r="D5913" t="s">
        <v>1505</v>
      </c>
      <c r="E5913" s="46" t="s">
        <v>1436</v>
      </c>
      <c r="F5913" s="45">
        <v>25000</v>
      </c>
      <c r="G5913" t="s">
        <v>1457</v>
      </c>
      <c r="H5913" t="s">
        <v>1484</v>
      </c>
      <c r="I5913" t="s">
        <v>1506</v>
      </c>
    </row>
    <row r="5914" spans="1:11" hidden="1" x14ac:dyDescent="0.3">
      <c r="A5914" s="46">
        <v>45439</v>
      </c>
      <c r="B5914" s="46" t="s">
        <v>761</v>
      </c>
      <c r="D5914" t="s">
        <v>1505</v>
      </c>
      <c r="E5914" s="46" t="s">
        <v>1436</v>
      </c>
      <c r="F5914" s="45">
        <v>25000</v>
      </c>
      <c r="G5914" t="s">
        <v>1457</v>
      </c>
      <c r="H5914" t="s">
        <v>1484</v>
      </c>
      <c r="I5914" t="s">
        <v>1506</v>
      </c>
    </row>
    <row r="5915" spans="1:11" hidden="1" x14ac:dyDescent="0.3">
      <c r="A5915" s="46">
        <v>45341</v>
      </c>
      <c r="B5915" s="46" t="s">
        <v>722</v>
      </c>
      <c r="D5915" t="s">
        <v>1461</v>
      </c>
      <c r="E5915" s="46" t="s">
        <v>1436</v>
      </c>
      <c r="F5915" s="45">
        <v>24930</v>
      </c>
      <c r="G5915" t="s">
        <v>1466</v>
      </c>
      <c r="H5915" t="s">
        <v>1442</v>
      </c>
      <c r="I5915" t="s">
        <v>1458</v>
      </c>
      <c r="K5915" t="s">
        <v>1737</v>
      </c>
    </row>
    <row r="5916" spans="1:11" hidden="1" x14ac:dyDescent="0.3">
      <c r="A5916" s="46">
        <v>45455</v>
      </c>
      <c r="B5916" s="46" t="s">
        <v>722</v>
      </c>
      <c r="D5916" t="s">
        <v>1867</v>
      </c>
      <c r="E5916" s="46" t="s">
        <v>1436</v>
      </c>
      <c r="F5916" s="45">
        <v>24910</v>
      </c>
      <c r="G5916" t="s">
        <v>1437</v>
      </c>
      <c r="H5916" t="s">
        <v>1438</v>
      </c>
      <c r="I5916" t="s">
        <v>1454</v>
      </c>
      <c r="K5916" t="s">
        <v>2265</v>
      </c>
    </row>
    <row r="5917" spans="1:11" hidden="1" x14ac:dyDescent="0.3">
      <c r="A5917" s="46">
        <v>45435</v>
      </c>
      <c r="B5917" s="46" t="s">
        <v>724</v>
      </c>
      <c r="D5917" t="s">
        <v>1214</v>
      </c>
      <c r="E5917" s="46" t="s">
        <v>1436</v>
      </c>
      <c r="F5917" s="45">
        <v>24700</v>
      </c>
      <c r="G5917" t="s">
        <v>1437</v>
      </c>
      <c r="H5917" t="s">
        <v>1438</v>
      </c>
      <c r="I5917" t="s">
        <v>1439</v>
      </c>
      <c r="J5917">
        <v>4</v>
      </c>
    </row>
    <row r="5918" spans="1:11" hidden="1" x14ac:dyDescent="0.3">
      <c r="A5918" s="46">
        <v>45399</v>
      </c>
      <c r="B5918" s="46" t="s">
        <v>727</v>
      </c>
      <c r="D5918" t="s">
        <v>1544</v>
      </c>
      <c r="E5918" s="46" t="s">
        <v>1436</v>
      </c>
      <c r="F5918" s="45">
        <v>24700</v>
      </c>
      <c r="G5918" t="s">
        <v>1463</v>
      </c>
      <c r="H5918" t="s">
        <v>1484</v>
      </c>
      <c r="I5918" t="s">
        <v>1821</v>
      </c>
      <c r="K5918" t="s">
        <v>2257</v>
      </c>
    </row>
    <row r="5919" spans="1:11" hidden="1" x14ac:dyDescent="0.3">
      <c r="A5919" s="46">
        <v>45366</v>
      </c>
      <c r="B5919" s="46" t="s">
        <v>734</v>
      </c>
      <c r="D5919" t="s">
        <v>1440</v>
      </c>
      <c r="E5919" s="46" t="s">
        <v>1436</v>
      </c>
      <c r="F5919" s="45">
        <v>24500</v>
      </c>
      <c r="G5919" t="s">
        <v>1441</v>
      </c>
      <c r="H5919" t="s">
        <v>1442</v>
      </c>
      <c r="I5919" t="s">
        <v>1458</v>
      </c>
      <c r="K5919" t="s">
        <v>1811</v>
      </c>
    </row>
    <row r="5920" spans="1:11" hidden="1" x14ac:dyDescent="0.3">
      <c r="A5920" s="46">
        <v>45341</v>
      </c>
      <c r="B5920" s="46" t="s">
        <v>761</v>
      </c>
      <c r="D5920" t="s">
        <v>1738</v>
      </c>
      <c r="E5920" s="46" t="s">
        <v>1436</v>
      </c>
      <c r="F5920" s="45">
        <v>24500</v>
      </c>
      <c r="G5920" t="s">
        <v>1457</v>
      </c>
      <c r="H5920" t="s">
        <v>1438</v>
      </c>
      <c r="I5920" t="s">
        <v>1439</v>
      </c>
      <c r="J5920">
        <v>2</v>
      </c>
    </row>
    <row r="5921" spans="1:11" hidden="1" x14ac:dyDescent="0.3">
      <c r="A5921" s="46">
        <v>45455</v>
      </c>
      <c r="B5921" s="46" t="s">
        <v>748</v>
      </c>
      <c r="D5921" t="s">
        <v>1589</v>
      </c>
      <c r="E5921" s="46" t="s">
        <v>1436</v>
      </c>
      <c r="F5921" s="45">
        <v>24500</v>
      </c>
      <c r="G5921" t="s">
        <v>1463</v>
      </c>
      <c r="H5921" t="s">
        <v>1438</v>
      </c>
      <c r="I5921" t="s">
        <v>1439</v>
      </c>
      <c r="J5921">
        <v>2</v>
      </c>
    </row>
    <row r="5922" spans="1:11" hidden="1" x14ac:dyDescent="0.3">
      <c r="A5922" s="46">
        <v>45321</v>
      </c>
      <c r="B5922" s="46" t="s">
        <v>767</v>
      </c>
      <c r="D5922" t="s">
        <v>1555</v>
      </c>
      <c r="E5922" s="46" t="s">
        <v>1436</v>
      </c>
      <c r="F5922" s="45">
        <v>24400</v>
      </c>
      <c r="G5922" t="s">
        <v>1460</v>
      </c>
      <c r="H5922" t="s">
        <v>1438</v>
      </c>
      <c r="I5922" t="s">
        <v>1439</v>
      </c>
      <c r="J5922">
        <v>2</v>
      </c>
    </row>
    <row r="5923" spans="1:11" hidden="1" x14ac:dyDescent="0.3">
      <c r="A5923" s="46">
        <v>45414</v>
      </c>
      <c r="B5923" s="46" t="s">
        <v>734</v>
      </c>
      <c r="D5923" t="s">
        <v>2240</v>
      </c>
      <c r="E5923" s="46" t="s">
        <v>1436</v>
      </c>
      <c r="F5923" s="45">
        <v>24400</v>
      </c>
      <c r="G5923" t="s">
        <v>1441</v>
      </c>
      <c r="H5923" t="s">
        <v>1438</v>
      </c>
      <c r="I5923" t="s">
        <v>1439</v>
      </c>
      <c r="J5923">
        <v>4</v>
      </c>
    </row>
    <row r="5924" spans="1:11" hidden="1" x14ac:dyDescent="0.3">
      <c r="A5924" s="46">
        <v>45455</v>
      </c>
      <c r="B5924" s="46" t="s">
        <v>722</v>
      </c>
      <c r="D5924" t="s">
        <v>1867</v>
      </c>
      <c r="E5924" s="46" t="s">
        <v>1436</v>
      </c>
      <c r="F5924" s="45">
        <v>24350</v>
      </c>
      <c r="G5924" t="s">
        <v>1466</v>
      </c>
      <c r="H5924" t="s">
        <v>1438</v>
      </c>
      <c r="I5924" t="s">
        <v>1454</v>
      </c>
      <c r="K5924" t="s">
        <v>2266</v>
      </c>
    </row>
    <row r="5925" spans="1:11" hidden="1" x14ac:dyDescent="0.3">
      <c r="A5925" s="46">
        <v>45404</v>
      </c>
      <c r="B5925" s="46" t="s">
        <v>748</v>
      </c>
      <c r="D5925" t="s">
        <v>1606</v>
      </c>
      <c r="E5925" s="46" t="s">
        <v>1436</v>
      </c>
      <c r="F5925" s="45">
        <v>24100</v>
      </c>
      <c r="G5925" t="s">
        <v>1451</v>
      </c>
      <c r="H5925" t="s">
        <v>1442</v>
      </c>
      <c r="I5925" t="s">
        <v>1458</v>
      </c>
      <c r="K5925" t="s">
        <v>2267</v>
      </c>
    </row>
    <row r="5926" spans="1:11" hidden="1" x14ac:dyDescent="0.3">
      <c r="A5926" s="46">
        <v>45457</v>
      </c>
      <c r="B5926" s="46" t="s">
        <v>722</v>
      </c>
      <c r="D5926" t="s">
        <v>1867</v>
      </c>
      <c r="E5926" s="46" t="s">
        <v>1436</v>
      </c>
      <c r="F5926" s="45">
        <v>24050</v>
      </c>
      <c r="G5926" t="s">
        <v>1466</v>
      </c>
      <c r="H5926" t="s">
        <v>1438</v>
      </c>
      <c r="I5926" t="s">
        <v>1454</v>
      </c>
      <c r="K5926" t="s">
        <v>2268</v>
      </c>
    </row>
    <row r="5927" spans="1:11" hidden="1" x14ac:dyDescent="0.3">
      <c r="A5927" s="46">
        <v>45469</v>
      </c>
      <c r="B5927" s="46" t="s">
        <v>727</v>
      </c>
      <c r="D5927" t="s">
        <v>1570</v>
      </c>
      <c r="E5927" s="46" t="s">
        <v>1436</v>
      </c>
      <c r="F5927" s="45">
        <v>24000</v>
      </c>
      <c r="G5927" t="s">
        <v>1463</v>
      </c>
      <c r="H5927" t="s">
        <v>1438</v>
      </c>
      <c r="I5927" t="s">
        <v>1439</v>
      </c>
      <c r="J5927">
        <v>2</v>
      </c>
    </row>
    <row r="5928" spans="1:11" hidden="1" x14ac:dyDescent="0.3">
      <c r="A5928" s="46">
        <v>45469</v>
      </c>
      <c r="B5928" s="46" t="s">
        <v>724</v>
      </c>
      <c r="D5928" t="s">
        <v>850</v>
      </c>
      <c r="E5928" s="46" t="s">
        <v>1436</v>
      </c>
      <c r="F5928" s="45">
        <v>24000</v>
      </c>
      <c r="G5928" t="s">
        <v>1437</v>
      </c>
      <c r="H5928" t="s">
        <v>1438</v>
      </c>
      <c r="I5928" t="s">
        <v>1439</v>
      </c>
      <c r="J5928">
        <v>2</v>
      </c>
    </row>
    <row r="5929" spans="1:11" hidden="1" x14ac:dyDescent="0.3">
      <c r="A5929" s="46">
        <v>45433</v>
      </c>
      <c r="B5929" s="46" t="s">
        <v>727</v>
      </c>
      <c r="D5929" t="s">
        <v>1041</v>
      </c>
      <c r="E5929" s="46" t="s">
        <v>1436</v>
      </c>
      <c r="F5929" s="45">
        <v>24000</v>
      </c>
      <c r="G5929" t="s">
        <v>1463</v>
      </c>
      <c r="H5929" t="s">
        <v>1438</v>
      </c>
      <c r="I5929" t="s">
        <v>1439</v>
      </c>
      <c r="J5929">
        <v>2</v>
      </c>
    </row>
    <row r="5930" spans="1:11" hidden="1" x14ac:dyDescent="0.3">
      <c r="A5930" s="46">
        <v>45439</v>
      </c>
      <c r="B5930" s="46" t="s">
        <v>727</v>
      </c>
      <c r="D5930" t="s">
        <v>850</v>
      </c>
      <c r="E5930" s="46" t="s">
        <v>1436</v>
      </c>
      <c r="F5930" s="45">
        <v>24000</v>
      </c>
      <c r="G5930" t="s">
        <v>1463</v>
      </c>
      <c r="H5930" t="s">
        <v>1438</v>
      </c>
      <c r="I5930" t="s">
        <v>1439</v>
      </c>
      <c r="J5930">
        <v>2</v>
      </c>
    </row>
    <row r="5931" spans="1:11" hidden="1" x14ac:dyDescent="0.3">
      <c r="A5931" s="46">
        <v>45436</v>
      </c>
      <c r="B5931" s="46" t="s">
        <v>727</v>
      </c>
      <c r="D5931" t="s">
        <v>1589</v>
      </c>
      <c r="E5931" s="46" t="s">
        <v>1436</v>
      </c>
      <c r="F5931" s="45">
        <v>24000</v>
      </c>
      <c r="G5931" t="s">
        <v>1463</v>
      </c>
      <c r="H5931" t="s">
        <v>1438</v>
      </c>
      <c r="I5931" t="s">
        <v>1439</v>
      </c>
      <c r="J5931">
        <v>2</v>
      </c>
    </row>
    <row r="5932" spans="1:11" hidden="1" x14ac:dyDescent="0.3">
      <c r="A5932" s="46">
        <v>45476</v>
      </c>
      <c r="B5932" s="46" t="s">
        <v>724</v>
      </c>
      <c r="D5932" t="s">
        <v>1098</v>
      </c>
      <c r="E5932" s="46" t="s">
        <v>1436</v>
      </c>
      <c r="F5932" s="45">
        <v>24000</v>
      </c>
      <c r="G5932" t="s">
        <v>1437</v>
      </c>
      <c r="H5932" t="s">
        <v>1438</v>
      </c>
      <c r="I5932" t="s">
        <v>1456</v>
      </c>
      <c r="J5932">
        <v>6</v>
      </c>
    </row>
    <row r="5933" spans="1:11" hidden="1" x14ac:dyDescent="0.3">
      <c r="A5933" s="46">
        <v>45405</v>
      </c>
      <c r="B5933" s="46" t="s">
        <v>727</v>
      </c>
      <c r="D5933" t="s">
        <v>1724</v>
      </c>
      <c r="E5933" s="46" t="s">
        <v>1436</v>
      </c>
      <c r="F5933" s="45">
        <v>24000</v>
      </c>
      <c r="G5933" t="s">
        <v>1463</v>
      </c>
      <c r="H5933" t="s">
        <v>1438</v>
      </c>
      <c r="I5933" t="s">
        <v>1439</v>
      </c>
      <c r="J5933">
        <v>2</v>
      </c>
    </row>
    <row r="5934" spans="1:11" hidden="1" x14ac:dyDescent="0.3">
      <c r="A5934" s="46">
        <v>45406</v>
      </c>
      <c r="B5934" s="46" t="s">
        <v>727</v>
      </c>
      <c r="D5934" t="s">
        <v>1589</v>
      </c>
      <c r="E5934" s="46" t="s">
        <v>1436</v>
      </c>
      <c r="F5934" s="45">
        <v>24000</v>
      </c>
      <c r="G5934" t="s">
        <v>1463</v>
      </c>
      <c r="H5934" t="s">
        <v>1438</v>
      </c>
      <c r="I5934" t="s">
        <v>1439</v>
      </c>
      <c r="J5934">
        <v>2</v>
      </c>
    </row>
    <row r="5935" spans="1:11" hidden="1" x14ac:dyDescent="0.3">
      <c r="A5935" s="46">
        <v>45408</v>
      </c>
      <c r="B5935" s="46" t="s">
        <v>722</v>
      </c>
      <c r="D5935" t="s">
        <v>1812</v>
      </c>
      <c r="E5935" s="46" t="s">
        <v>1436</v>
      </c>
      <c r="F5935" s="45">
        <v>24000</v>
      </c>
      <c r="G5935" t="s">
        <v>1437</v>
      </c>
      <c r="H5935" t="s">
        <v>1438</v>
      </c>
      <c r="I5935" t="s">
        <v>1439</v>
      </c>
      <c r="J5935">
        <v>2</v>
      </c>
    </row>
    <row r="5936" spans="1:11" hidden="1" x14ac:dyDescent="0.3">
      <c r="A5936" s="46">
        <v>45432</v>
      </c>
      <c r="B5936" s="46" t="s">
        <v>720</v>
      </c>
      <c r="D5936" s="31" t="s">
        <v>1569</v>
      </c>
      <c r="E5936" s="46" t="s">
        <v>1436</v>
      </c>
      <c r="F5936" s="45">
        <v>24000</v>
      </c>
      <c r="G5936" s="31" t="s">
        <v>1441</v>
      </c>
      <c r="H5936" s="31" t="s">
        <v>1448</v>
      </c>
      <c r="I5936" s="31" t="s">
        <v>1449</v>
      </c>
      <c r="J5936" s="31"/>
      <c r="K5936" s="31"/>
    </row>
    <row r="5937" spans="1:10" hidden="1" x14ac:dyDescent="0.3">
      <c r="A5937" s="46">
        <v>45426</v>
      </c>
      <c r="B5937" s="46" t="s">
        <v>727</v>
      </c>
      <c r="D5937" t="s">
        <v>949</v>
      </c>
      <c r="E5937" s="46" t="s">
        <v>1436</v>
      </c>
      <c r="F5937" s="45">
        <v>24000</v>
      </c>
      <c r="G5937" t="s">
        <v>1463</v>
      </c>
      <c r="H5937" t="s">
        <v>1438</v>
      </c>
      <c r="I5937" t="s">
        <v>1439</v>
      </c>
      <c r="J5937">
        <v>2</v>
      </c>
    </row>
    <row r="5938" spans="1:10" hidden="1" x14ac:dyDescent="0.3">
      <c r="A5938" s="46">
        <v>45425</v>
      </c>
      <c r="B5938" s="46" t="s">
        <v>727</v>
      </c>
      <c r="D5938" t="s">
        <v>850</v>
      </c>
      <c r="E5938" s="46" t="s">
        <v>1436</v>
      </c>
      <c r="F5938" s="45">
        <v>24000</v>
      </c>
      <c r="G5938" t="s">
        <v>1463</v>
      </c>
      <c r="H5938" t="s">
        <v>1438</v>
      </c>
      <c r="I5938" t="s">
        <v>1439</v>
      </c>
      <c r="J5938">
        <v>2</v>
      </c>
    </row>
    <row r="5939" spans="1:10" hidden="1" x14ac:dyDescent="0.3">
      <c r="A5939" s="46">
        <v>45369</v>
      </c>
      <c r="B5939" s="46" t="s">
        <v>724</v>
      </c>
      <c r="D5939" t="s">
        <v>1812</v>
      </c>
      <c r="E5939" s="46" t="s">
        <v>1436</v>
      </c>
      <c r="F5939" s="45">
        <v>24000</v>
      </c>
      <c r="G5939" t="s">
        <v>1437</v>
      </c>
      <c r="H5939" t="s">
        <v>1438</v>
      </c>
      <c r="I5939" t="s">
        <v>1439</v>
      </c>
      <c r="J5939">
        <v>2</v>
      </c>
    </row>
    <row r="5940" spans="1:10" hidden="1" x14ac:dyDescent="0.3">
      <c r="A5940" s="46">
        <v>45371</v>
      </c>
      <c r="B5940" s="46" t="s">
        <v>772</v>
      </c>
      <c r="D5940" t="s">
        <v>1215</v>
      </c>
      <c r="E5940" s="46" t="s">
        <v>1436</v>
      </c>
      <c r="F5940" s="45">
        <v>24000</v>
      </c>
      <c r="G5940" t="s">
        <v>1479</v>
      </c>
      <c r="H5940" t="s">
        <v>1438</v>
      </c>
      <c r="I5940" t="s">
        <v>1439</v>
      </c>
      <c r="J5940">
        <v>2</v>
      </c>
    </row>
    <row r="5941" spans="1:10" hidden="1" x14ac:dyDescent="0.3">
      <c r="A5941" s="46">
        <v>45363</v>
      </c>
      <c r="B5941" s="46" t="s">
        <v>772</v>
      </c>
      <c r="D5941" t="s">
        <v>1215</v>
      </c>
      <c r="E5941" s="46" t="s">
        <v>1436</v>
      </c>
      <c r="F5941" s="45">
        <v>24000</v>
      </c>
      <c r="G5941" t="s">
        <v>1464</v>
      </c>
      <c r="H5941" t="s">
        <v>1438</v>
      </c>
      <c r="I5941" t="s">
        <v>1439</v>
      </c>
      <c r="J5941">
        <v>1</v>
      </c>
    </row>
    <row r="5942" spans="1:10" hidden="1" x14ac:dyDescent="0.3">
      <c r="A5942" s="46">
        <v>45359</v>
      </c>
      <c r="B5942" s="46" t="s">
        <v>727</v>
      </c>
      <c r="D5942" t="s">
        <v>850</v>
      </c>
      <c r="E5942" s="46" t="s">
        <v>1436</v>
      </c>
      <c r="F5942" s="45">
        <v>24000</v>
      </c>
      <c r="G5942" t="s">
        <v>1463</v>
      </c>
      <c r="H5942" t="s">
        <v>1438</v>
      </c>
      <c r="I5942" t="s">
        <v>1439</v>
      </c>
      <c r="J5942">
        <v>2</v>
      </c>
    </row>
    <row r="5943" spans="1:10" hidden="1" x14ac:dyDescent="0.3">
      <c r="A5943" s="46">
        <v>45357</v>
      </c>
      <c r="B5943" s="46" t="s">
        <v>727</v>
      </c>
      <c r="D5943" t="s">
        <v>1589</v>
      </c>
      <c r="E5943" s="46" t="s">
        <v>1436</v>
      </c>
      <c r="F5943" s="45">
        <v>24000</v>
      </c>
      <c r="G5943" t="s">
        <v>1463</v>
      </c>
      <c r="H5943" t="s">
        <v>1438</v>
      </c>
      <c r="I5943" t="s">
        <v>1439</v>
      </c>
      <c r="J5943">
        <v>2</v>
      </c>
    </row>
    <row r="5944" spans="1:10" hidden="1" x14ac:dyDescent="0.3">
      <c r="A5944" s="46">
        <v>45391</v>
      </c>
      <c r="B5944" s="46" t="s">
        <v>772</v>
      </c>
      <c r="D5944" t="s">
        <v>755</v>
      </c>
      <c r="E5944" s="46" t="s">
        <v>1436</v>
      </c>
      <c r="F5944" s="45">
        <v>24000</v>
      </c>
      <c r="G5944" t="s">
        <v>1464</v>
      </c>
      <c r="H5944" t="s">
        <v>1438</v>
      </c>
      <c r="I5944" t="s">
        <v>1439</v>
      </c>
      <c r="J5944">
        <v>2</v>
      </c>
    </row>
    <row r="5945" spans="1:10" hidden="1" x14ac:dyDescent="0.3">
      <c r="A5945" s="46">
        <v>45383</v>
      </c>
      <c r="B5945" s="46" t="s">
        <v>734</v>
      </c>
      <c r="D5945" t="s">
        <v>1705</v>
      </c>
      <c r="E5945" s="46" t="s">
        <v>1436</v>
      </c>
      <c r="F5945" s="45">
        <v>24000</v>
      </c>
      <c r="G5945" t="s">
        <v>1441</v>
      </c>
      <c r="H5945" t="s">
        <v>1438</v>
      </c>
      <c r="I5945" t="s">
        <v>1439</v>
      </c>
      <c r="J5945">
        <v>2</v>
      </c>
    </row>
    <row r="5946" spans="1:10" hidden="1" x14ac:dyDescent="0.3">
      <c r="A5946" s="46">
        <v>45383</v>
      </c>
      <c r="B5946" s="46" t="s">
        <v>727</v>
      </c>
      <c r="D5946" t="s">
        <v>1589</v>
      </c>
      <c r="E5946" s="46" t="s">
        <v>1436</v>
      </c>
      <c r="F5946" s="45">
        <v>24000</v>
      </c>
      <c r="G5946" t="s">
        <v>1463</v>
      </c>
      <c r="H5946" t="s">
        <v>1438</v>
      </c>
      <c r="I5946" t="s">
        <v>1439</v>
      </c>
      <c r="J5946">
        <v>2</v>
      </c>
    </row>
    <row r="5947" spans="1:10" hidden="1" x14ac:dyDescent="0.3">
      <c r="A5947" s="46">
        <v>45321</v>
      </c>
      <c r="B5947" s="46" t="s">
        <v>821</v>
      </c>
      <c r="D5947" t="s">
        <v>1589</v>
      </c>
      <c r="E5947" s="46" t="s">
        <v>1436</v>
      </c>
      <c r="F5947" s="45">
        <v>24000</v>
      </c>
      <c r="G5947" t="s">
        <v>1509</v>
      </c>
      <c r="H5947" t="s">
        <v>1438</v>
      </c>
      <c r="I5947" t="s">
        <v>1439</v>
      </c>
      <c r="J5947">
        <v>2</v>
      </c>
    </row>
    <row r="5948" spans="1:10" hidden="1" x14ac:dyDescent="0.3">
      <c r="A5948" s="46">
        <v>45310</v>
      </c>
      <c r="B5948" s="46" t="s">
        <v>772</v>
      </c>
      <c r="D5948" t="s">
        <v>755</v>
      </c>
      <c r="E5948" s="46" t="s">
        <v>1436</v>
      </c>
      <c r="F5948" s="45">
        <v>24000</v>
      </c>
      <c r="G5948" t="s">
        <v>1464</v>
      </c>
      <c r="H5948" t="s">
        <v>1438</v>
      </c>
      <c r="I5948" t="s">
        <v>1439</v>
      </c>
      <c r="J5948">
        <v>2</v>
      </c>
    </row>
    <row r="5949" spans="1:10" hidden="1" x14ac:dyDescent="0.3">
      <c r="A5949" s="46">
        <v>45310</v>
      </c>
      <c r="B5949" s="46" t="s">
        <v>821</v>
      </c>
      <c r="D5949" t="s">
        <v>1589</v>
      </c>
      <c r="E5949" s="46" t="s">
        <v>1436</v>
      </c>
      <c r="F5949" s="45">
        <v>24000</v>
      </c>
      <c r="G5949" t="s">
        <v>1509</v>
      </c>
      <c r="H5949" t="s">
        <v>1438</v>
      </c>
      <c r="I5949" t="s">
        <v>1439</v>
      </c>
      <c r="J5949">
        <v>2</v>
      </c>
    </row>
    <row r="5950" spans="1:10" hidden="1" x14ac:dyDescent="0.3">
      <c r="A5950" s="46">
        <v>45315</v>
      </c>
      <c r="B5950" s="46" t="s">
        <v>821</v>
      </c>
      <c r="D5950" t="s">
        <v>850</v>
      </c>
      <c r="E5950" s="46" t="s">
        <v>1436</v>
      </c>
      <c r="F5950" s="45">
        <v>24000</v>
      </c>
      <c r="G5950" t="s">
        <v>1509</v>
      </c>
      <c r="H5950" t="s">
        <v>1438</v>
      </c>
      <c r="I5950" t="s">
        <v>1439</v>
      </c>
      <c r="J5950">
        <v>2</v>
      </c>
    </row>
    <row r="5951" spans="1:10" hidden="1" x14ac:dyDescent="0.3">
      <c r="A5951" s="46">
        <v>45314</v>
      </c>
      <c r="B5951" s="46" t="s">
        <v>821</v>
      </c>
      <c r="D5951" t="s">
        <v>1589</v>
      </c>
      <c r="E5951" s="46" t="s">
        <v>1436</v>
      </c>
      <c r="F5951" s="45">
        <v>24000</v>
      </c>
      <c r="G5951" t="s">
        <v>1509</v>
      </c>
      <c r="H5951" t="s">
        <v>1438</v>
      </c>
      <c r="I5951" t="s">
        <v>1439</v>
      </c>
      <c r="J5951">
        <v>2</v>
      </c>
    </row>
    <row r="5952" spans="1:10" hidden="1" x14ac:dyDescent="0.3">
      <c r="A5952" s="46">
        <v>45301</v>
      </c>
      <c r="B5952" s="46" t="s">
        <v>821</v>
      </c>
      <c r="D5952" t="s">
        <v>1109</v>
      </c>
      <c r="E5952" s="46" t="s">
        <v>1436</v>
      </c>
      <c r="F5952" s="45">
        <v>24000</v>
      </c>
      <c r="G5952" t="s">
        <v>1509</v>
      </c>
      <c r="H5952" t="s">
        <v>1438</v>
      </c>
      <c r="I5952" t="s">
        <v>1439</v>
      </c>
      <c r="J5952">
        <v>2</v>
      </c>
    </row>
    <row r="5953" spans="1:10" hidden="1" x14ac:dyDescent="0.3">
      <c r="A5953" s="46">
        <v>45301</v>
      </c>
      <c r="B5953" s="46" t="s">
        <v>729</v>
      </c>
      <c r="D5953" t="s">
        <v>1109</v>
      </c>
      <c r="E5953" s="46" t="s">
        <v>1436</v>
      </c>
      <c r="F5953" s="45">
        <v>24000</v>
      </c>
      <c r="G5953" t="s">
        <v>1471</v>
      </c>
      <c r="H5953" t="s">
        <v>1438</v>
      </c>
      <c r="I5953" t="s">
        <v>1439</v>
      </c>
      <c r="J5953">
        <v>2</v>
      </c>
    </row>
    <row r="5954" spans="1:10" hidden="1" x14ac:dyDescent="0.3">
      <c r="A5954" s="46">
        <v>45306</v>
      </c>
      <c r="B5954" s="46" t="s">
        <v>821</v>
      </c>
      <c r="D5954" t="s">
        <v>1556</v>
      </c>
      <c r="E5954" s="46" t="s">
        <v>1436</v>
      </c>
      <c r="F5954" s="45">
        <v>24000</v>
      </c>
      <c r="G5954" t="s">
        <v>1509</v>
      </c>
      <c r="H5954" t="s">
        <v>1438</v>
      </c>
      <c r="I5954" t="s">
        <v>1439</v>
      </c>
      <c r="J5954">
        <v>2</v>
      </c>
    </row>
    <row r="5955" spans="1:10" hidden="1" x14ac:dyDescent="0.3">
      <c r="A5955" s="46">
        <v>45300</v>
      </c>
      <c r="B5955" s="46" t="s">
        <v>729</v>
      </c>
      <c r="D5955" t="s">
        <v>1099</v>
      </c>
      <c r="E5955" s="46" t="s">
        <v>1436</v>
      </c>
      <c r="F5955" s="45">
        <v>24000</v>
      </c>
      <c r="G5955" t="s">
        <v>1471</v>
      </c>
      <c r="H5955" t="s">
        <v>1438</v>
      </c>
      <c r="I5955" t="s">
        <v>1439</v>
      </c>
      <c r="J5955">
        <v>2</v>
      </c>
    </row>
    <row r="5956" spans="1:10" hidden="1" x14ac:dyDescent="0.3">
      <c r="A5956" s="46">
        <v>45294</v>
      </c>
      <c r="B5956" s="46" t="s">
        <v>767</v>
      </c>
      <c r="D5956" t="s">
        <v>850</v>
      </c>
      <c r="E5956" s="46" t="s">
        <v>1436</v>
      </c>
      <c r="F5956" s="45">
        <v>24000</v>
      </c>
      <c r="G5956" t="s">
        <v>1460</v>
      </c>
      <c r="H5956" t="s">
        <v>1438</v>
      </c>
      <c r="I5956" t="s">
        <v>1439</v>
      </c>
      <c r="J5956">
        <v>2</v>
      </c>
    </row>
    <row r="5957" spans="1:10" hidden="1" x14ac:dyDescent="0.3">
      <c r="A5957" s="46">
        <v>45293</v>
      </c>
      <c r="B5957" s="46" t="s">
        <v>821</v>
      </c>
      <c r="D5957" t="s">
        <v>850</v>
      </c>
      <c r="E5957" s="46" t="s">
        <v>1436</v>
      </c>
      <c r="F5957" s="45">
        <v>24000</v>
      </c>
      <c r="G5957" t="s">
        <v>1509</v>
      </c>
      <c r="H5957" t="s">
        <v>1438</v>
      </c>
      <c r="I5957" t="s">
        <v>1439</v>
      </c>
      <c r="J5957">
        <v>2</v>
      </c>
    </row>
    <row r="5958" spans="1:10" hidden="1" x14ac:dyDescent="0.3">
      <c r="A5958" s="46">
        <v>45345</v>
      </c>
      <c r="B5958" s="46" t="s">
        <v>772</v>
      </c>
      <c r="D5958" t="s">
        <v>1112</v>
      </c>
      <c r="E5958" s="46" t="s">
        <v>1436</v>
      </c>
      <c r="F5958" s="45">
        <v>24000</v>
      </c>
      <c r="G5958" t="s">
        <v>1464</v>
      </c>
      <c r="H5958" t="s">
        <v>1438</v>
      </c>
      <c r="I5958" t="s">
        <v>1439</v>
      </c>
      <c r="J5958">
        <v>2</v>
      </c>
    </row>
    <row r="5959" spans="1:10" hidden="1" x14ac:dyDescent="0.3">
      <c r="A5959" s="46">
        <v>45353</v>
      </c>
      <c r="B5959" s="46" t="s">
        <v>720</v>
      </c>
      <c r="D5959" t="s">
        <v>1569</v>
      </c>
      <c r="E5959" s="46" t="s">
        <v>1436</v>
      </c>
      <c r="F5959" s="45">
        <v>24000</v>
      </c>
      <c r="G5959" t="s">
        <v>1441</v>
      </c>
      <c r="H5959" t="s">
        <v>1448</v>
      </c>
      <c r="I5959" t="s">
        <v>1449</v>
      </c>
    </row>
    <row r="5960" spans="1:10" hidden="1" x14ac:dyDescent="0.3">
      <c r="A5960" s="46">
        <v>45350</v>
      </c>
      <c r="B5960" s="46" t="s">
        <v>772</v>
      </c>
      <c r="D5960" t="s">
        <v>1041</v>
      </c>
      <c r="E5960" s="46" t="s">
        <v>1436</v>
      </c>
      <c r="F5960" s="45">
        <v>24000</v>
      </c>
      <c r="G5960" t="s">
        <v>1464</v>
      </c>
      <c r="H5960" t="s">
        <v>1438</v>
      </c>
      <c r="I5960" t="s">
        <v>1439</v>
      </c>
      <c r="J5960">
        <v>2</v>
      </c>
    </row>
    <row r="5961" spans="1:10" hidden="1" x14ac:dyDescent="0.3">
      <c r="A5961" s="46">
        <v>45350</v>
      </c>
      <c r="B5961" s="46" t="s">
        <v>727</v>
      </c>
      <c r="D5961" t="s">
        <v>850</v>
      </c>
      <c r="E5961" s="46" t="s">
        <v>1436</v>
      </c>
      <c r="F5961" s="45">
        <v>24000</v>
      </c>
      <c r="G5961" t="s">
        <v>1463</v>
      </c>
      <c r="H5961" t="s">
        <v>1438</v>
      </c>
      <c r="I5961" t="s">
        <v>1439</v>
      </c>
      <c r="J5961">
        <v>2</v>
      </c>
    </row>
    <row r="5962" spans="1:10" hidden="1" x14ac:dyDescent="0.3">
      <c r="A5962" s="46">
        <v>45338</v>
      </c>
      <c r="B5962" s="46" t="s">
        <v>734</v>
      </c>
      <c r="D5962" t="s">
        <v>1705</v>
      </c>
      <c r="E5962" s="46" t="s">
        <v>1436</v>
      </c>
      <c r="F5962" s="45">
        <v>24000</v>
      </c>
      <c r="G5962" t="s">
        <v>1441</v>
      </c>
      <c r="H5962" t="s">
        <v>1438</v>
      </c>
      <c r="I5962" t="s">
        <v>1439</v>
      </c>
      <c r="J5962">
        <v>2</v>
      </c>
    </row>
    <row r="5963" spans="1:10" hidden="1" x14ac:dyDescent="0.3">
      <c r="A5963" s="46">
        <v>45327</v>
      </c>
      <c r="B5963" s="46" t="s">
        <v>727</v>
      </c>
      <c r="D5963" t="s">
        <v>1545</v>
      </c>
      <c r="E5963" s="46" t="s">
        <v>1436</v>
      </c>
      <c r="F5963" s="45">
        <v>24000</v>
      </c>
      <c r="G5963" t="s">
        <v>1463</v>
      </c>
      <c r="H5963" t="s">
        <v>1438</v>
      </c>
      <c r="I5963" t="s">
        <v>1439</v>
      </c>
      <c r="J5963">
        <v>2</v>
      </c>
    </row>
    <row r="5964" spans="1:10" hidden="1" x14ac:dyDescent="0.3">
      <c r="A5964" s="46">
        <v>45324</v>
      </c>
      <c r="B5964" s="46" t="s">
        <v>729</v>
      </c>
      <c r="D5964" t="s">
        <v>1589</v>
      </c>
      <c r="E5964" s="46" t="s">
        <v>1436</v>
      </c>
      <c r="F5964" s="45">
        <v>24000</v>
      </c>
      <c r="G5964" t="s">
        <v>1471</v>
      </c>
      <c r="H5964" t="s">
        <v>1438</v>
      </c>
      <c r="I5964" t="s">
        <v>1439</v>
      </c>
      <c r="J5964">
        <v>3</v>
      </c>
    </row>
    <row r="5965" spans="1:10" hidden="1" x14ac:dyDescent="0.3">
      <c r="A5965" s="46">
        <v>45327</v>
      </c>
      <c r="B5965" s="46" t="s">
        <v>729</v>
      </c>
      <c r="D5965" t="s">
        <v>850</v>
      </c>
      <c r="E5965" s="46" t="s">
        <v>1436</v>
      </c>
      <c r="F5965" s="45">
        <v>24000</v>
      </c>
      <c r="G5965" t="s">
        <v>1471</v>
      </c>
      <c r="H5965" t="s">
        <v>1438</v>
      </c>
      <c r="I5965" t="s">
        <v>1439</v>
      </c>
      <c r="J5965">
        <v>2</v>
      </c>
    </row>
    <row r="5966" spans="1:10" hidden="1" x14ac:dyDescent="0.3">
      <c r="A5966" s="46">
        <v>45295</v>
      </c>
      <c r="B5966" s="46" t="s">
        <v>727</v>
      </c>
      <c r="D5966" t="s">
        <v>1590</v>
      </c>
      <c r="E5966" s="46" t="s">
        <v>1436</v>
      </c>
      <c r="F5966" s="45">
        <v>23800</v>
      </c>
      <c r="G5966" t="s">
        <v>1463</v>
      </c>
      <c r="H5966" t="s">
        <v>1438</v>
      </c>
      <c r="I5966" t="s">
        <v>1439</v>
      </c>
      <c r="J5966">
        <v>4</v>
      </c>
    </row>
    <row r="5967" spans="1:10" hidden="1" x14ac:dyDescent="0.3">
      <c r="A5967" s="46">
        <v>45300</v>
      </c>
      <c r="B5967" s="46" t="s">
        <v>821</v>
      </c>
      <c r="D5967" t="s">
        <v>1556</v>
      </c>
      <c r="E5967" s="46" t="s">
        <v>1436</v>
      </c>
      <c r="F5967" s="45">
        <v>23800</v>
      </c>
      <c r="G5967" t="s">
        <v>1509</v>
      </c>
      <c r="H5967" t="s">
        <v>1438</v>
      </c>
      <c r="I5967" t="s">
        <v>1439</v>
      </c>
      <c r="J5967">
        <v>2</v>
      </c>
    </row>
    <row r="5968" spans="1:10" hidden="1" x14ac:dyDescent="0.3">
      <c r="A5968" s="46">
        <v>45317</v>
      </c>
      <c r="B5968" s="46" t="s">
        <v>821</v>
      </c>
      <c r="D5968" t="s">
        <v>1739</v>
      </c>
      <c r="E5968" s="46" t="s">
        <v>1436</v>
      </c>
      <c r="F5968" s="45">
        <v>23800</v>
      </c>
      <c r="G5968" t="s">
        <v>1509</v>
      </c>
      <c r="H5968" t="s">
        <v>1438</v>
      </c>
      <c r="I5968" t="s">
        <v>1439</v>
      </c>
      <c r="J5968">
        <v>2</v>
      </c>
    </row>
    <row r="5969" spans="1:11" hidden="1" x14ac:dyDescent="0.3">
      <c r="A5969" s="46">
        <v>45387</v>
      </c>
      <c r="B5969" s="46" t="s">
        <v>748</v>
      </c>
      <c r="D5969" t="s">
        <v>1556</v>
      </c>
      <c r="E5969" s="46" t="s">
        <v>1436</v>
      </c>
      <c r="F5969" s="45">
        <v>23800</v>
      </c>
      <c r="G5969" t="s">
        <v>1483</v>
      </c>
      <c r="H5969" t="s">
        <v>1438</v>
      </c>
      <c r="I5969" t="s">
        <v>1439</v>
      </c>
      <c r="J5969">
        <v>2</v>
      </c>
    </row>
    <row r="5970" spans="1:11" hidden="1" x14ac:dyDescent="0.3">
      <c r="A5970" s="46">
        <v>45362</v>
      </c>
      <c r="B5970" s="46" t="s">
        <v>727</v>
      </c>
      <c r="D5970" t="s">
        <v>1739</v>
      </c>
      <c r="E5970" s="46" t="s">
        <v>1436</v>
      </c>
      <c r="F5970" s="45">
        <v>23800</v>
      </c>
      <c r="G5970" t="s">
        <v>1463</v>
      </c>
      <c r="H5970" t="s">
        <v>1438</v>
      </c>
      <c r="I5970" t="s">
        <v>1439</v>
      </c>
      <c r="J5970">
        <v>2</v>
      </c>
    </row>
    <row r="5971" spans="1:11" hidden="1" x14ac:dyDescent="0.3">
      <c r="A5971" s="46">
        <v>45428</v>
      </c>
      <c r="B5971" s="46" t="s">
        <v>772</v>
      </c>
      <c r="D5971" t="s">
        <v>2111</v>
      </c>
      <c r="E5971" s="46" t="s">
        <v>1436</v>
      </c>
      <c r="F5971" s="45">
        <v>23800</v>
      </c>
      <c r="G5971" t="s">
        <v>1464</v>
      </c>
      <c r="H5971" t="s">
        <v>1438</v>
      </c>
      <c r="I5971" t="s">
        <v>1439</v>
      </c>
      <c r="J5971">
        <v>3</v>
      </c>
    </row>
    <row r="5972" spans="1:11" hidden="1" x14ac:dyDescent="0.3">
      <c r="A5972" s="46">
        <v>45429</v>
      </c>
      <c r="B5972" s="46" t="s">
        <v>727</v>
      </c>
      <c r="D5972" t="s">
        <v>1556</v>
      </c>
      <c r="E5972" s="46" t="s">
        <v>1436</v>
      </c>
      <c r="F5972" s="45">
        <v>23800</v>
      </c>
      <c r="G5972" t="s">
        <v>1463</v>
      </c>
      <c r="H5972" t="s">
        <v>1438</v>
      </c>
      <c r="I5972" t="s">
        <v>1439</v>
      </c>
      <c r="J5972">
        <v>2</v>
      </c>
    </row>
    <row r="5973" spans="1:11" hidden="1" x14ac:dyDescent="0.3">
      <c r="A5973" s="46">
        <v>45440</v>
      </c>
      <c r="B5973" s="46" t="s">
        <v>724</v>
      </c>
      <c r="D5973" t="s">
        <v>2112</v>
      </c>
      <c r="E5973" s="46" t="s">
        <v>1436</v>
      </c>
      <c r="F5973" s="45">
        <v>23800</v>
      </c>
      <c r="G5973" t="s">
        <v>1437</v>
      </c>
      <c r="H5973" t="s">
        <v>1438</v>
      </c>
      <c r="I5973" t="s">
        <v>1439</v>
      </c>
      <c r="J5973">
        <v>15</v>
      </c>
    </row>
    <row r="5974" spans="1:11" hidden="1" x14ac:dyDescent="0.3">
      <c r="A5974" s="46">
        <v>45322</v>
      </c>
      <c r="B5974" s="46" t="s">
        <v>727</v>
      </c>
      <c r="D5974" t="s">
        <v>1740</v>
      </c>
      <c r="E5974" s="46" t="s">
        <v>1436</v>
      </c>
      <c r="F5974" s="45">
        <v>23760</v>
      </c>
      <c r="G5974" t="s">
        <v>1463</v>
      </c>
      <c r="H5974" t="s">
        <v>1469</v>
      </c>
      <c r="I5974" t="s">
        <v>1470</v>
      </c>
      <c r="K5974" t="s">
        <v>1741</v>
      </c>
    </row>
    <row r="5975" spans="1:11" hidden="1" x14ac:dyDescent="0.3">
      <c r="A5975" s="46">
        <v>45330</v>
      </c>
      <c r="B5975" s="46" t="s">
        <v>772</v>
      </c>
      <c r="D5975" t="s">
        <v>789</v>
      </c>
      <c r="E5975" s="46" t="s">
        <v>1436</v>
      </c>
      <c r="F5975" s="45">
        <v>23700</v>
      </c>
      <c r="G5975" t="s">
        <v>1464</v>
      </c>
      <c r="H5975" t="s">
        <v>1438</v>
      </c>
      <c r="I5975" t="s">
        <v>1439</v>
      </c>
      <c r="J5975">
        <v>4</v>
      </c>
    </row>
    <row r="5976" spans="1:11" hidden="1" x14ac:dyDescent="0.3">
      <c r="A5976" s="46">
        <v>45420</v>
      </c>
      <c r="B5976" s="46" t="s">
        <v>727</v>
      </c>
      <c r="D5976" t="s">
        <v>1591</v>
      </c>
      <c r="E5976" s="46" t="s">
        <v>1436</v>
      </c>
      <c r="F5976" s="45">
        <v>23700</v>
      </c>
      <c r="G5976" t="s">
        <v>1463</v>
      </c>
      <c r="H5976" t="s">
        <v>1438</v>
      </c>
      <c r="I5976" t="s">
        <v>1439</v>
      </c>
      <c r="J5976">
        <v>2</v>
      </c>
    </row>
    <row r="5977" spans="1:11" hidden="1" x14ac:dyDescent="0.3">
      <c r="A5977" s="46">
        <v>45390</v>
      </c>
      <c r="B5977" s="46" t="s">
        <v>724</v>
      </c>
      <c r="D5977" t="s">
        <v>2111</v>
      </c>
      <c r="E5977" s="46" t="s">
        <v>1436</v>
      </c>
      <c r="F5977" s="45">
        <v>23700</v>
      </c>
      <c r="G5977" t="s">
        <v>1437</v>
      </c>
      <c r="H5977" t="s">
        <v>1438</v>
      </c>
      <c r="I5977" t="s">
        <v>1439</v>
      </c>
      <c r="J5977">
        <v>4</v>
      </c>
    </row>
    <row r="5978" spans="1:11" hidden="1" x14ac:dyDescent="0.3">
      <c r="A5978" s="46">
        <v>45390</v>
      </c>
      <c r="B5978" s="46" t="s">
        <v>727</v>
      </c>
      <c r="D5978" t="s">
        <v>1739</v>
      </c>
      <c r="E5978" s="46" t="s">
        <v>1436</v>
      </c>
      <c r="F5978" s="45">
        <v>23600</v>
      </c>
      <c r="G5978" t="s">
        <v>1463</v>
      </c>
      <c r="H5978" t="s">
        <v>1438</v>
      </c>
      <c r="I5978" t="s">
        <v>1439</v>
      </c>
      <c r="J5978">
        <v>2</v>
      </c>
    </row>
    <row r="5979" spans="1:11" hidden="1" x14ac:dyDescent="0.3">
      <c r="A5979" s="46">
        <v>45376</v>
      </c>
      <c r="B5979" s="46" t="s">
        <v>727</v>
      </c>
      <c r="D5979" t="s">
        <v>1739</v>
      </c>
      <c r="E5979" s="46" t="s">
        <v>1436</v>
      </c>
      <c r="F5979" s="45">
        <v>23600</v>
      </c>
      <c r="G5979" t="s">
        <v>1509</v>
      </c>
      <c r="H5979" t="s">
        <v>1438</v>
      </c>
      <c r="I5979" t="s">
        <v>1439</v>
      </c>
      <c r="J5979">
        <v>2</v>
      </c>
    </row>
    <row r="5980" spans="1:11" hidden="1" x14ac:dyDescent="0.3">
      <c r="A5980" s="46">
        <v>45380</v>
      </c>
      <c r="B5980" s="46" t="s">
        <v>727</v>
      </c>
      <c r="D5980" t="s">
        <v>1692</v>
      </c>
      <c r="E5980" s="46" t="s">
        <v>1436</v>
      </c>
      <c r="F5980" s="45">
        <v>23500</v>
      </c>
      <c r="G5980" t="s">
        <v>1463</v>
      </c>
      <c r="H5980" t="s">
        <v>1438</v>
      </c>
      <c r="I5980" t="s">
        <v>1439</v>
      </c>
      <c r="J5980">
        <v>2</v>
      </c>
    </row>
    <row r="5981" spans="1:11" hidden="1" x14ac:dyDescent="0.3">
      <c r="A5981" s="46">
        <v>45408</v>
      </c>
      <c r="B5981" s="46" t="s">
        <v>767</v>
      </c>
      <c r="D5981" t="s">
        <v>2244</v>
      </c>
      <c r="E5981" s="46" t="s">
        <v>1436</v>
      </c>
      <c r="F5981" s="45">
        <v>23500</v>
      </c>
      <c r="G5981" t="s">
        <v>1460</v>
      </c>
      <c r="H5981" t="s">
        <v>1484</v>
      </c>
      <c r="I5981" t="s">
        <v>1821</v>
      </c>
      <c r="K5981" t="s">
        <v>2245</v>
      </c>
    </row>
    <row r="5982" spans="1:11" hidden="1" x14ac:dyDescent="0.3">
      <c r="A5982" s="46">
        <v>45355</v>
      </c>
      <c r="B5982" s="46" t="s">
        <v>727</v>
      </c>
      <c r="D5982" t="s">
        <v>1739</v>
      </c>
      <c r="E5982" s="46" t="s">
        <v>1436</v>
      </c>
      <c r="F5982" s="45">
        <v>23500</v>
      </c>
      <c r="G5982" t="s">
        <v>1463</v>
      </c>
      <c r="H5982" t="s">
        <v>1438</v>
      </c>
      <c r="I5982" t="s">
        <v>1439</v>
      </c>
      <c r="J5982">
        <v>2</v>
      </c>
    </row>
    <row r="5983" spans="1:11" hidden="1" x14ac:dyDescent="0.3">
      <c r="A5983" s="46">
        <v>45434</v>
      </c>
      <c r="B5983" s="46" t="s">
        <v>727</v>
      </c>
      <c r="D5983" t="s">
        <v>1548</v>
      </c>
      <c r="E5983" s="46" t="s">
        <v>1436</v>
      </c>
      <c r="F5983" s="45">
        <v>23500</v>
      </c>
      <c r="G5983" t="s">
        <v>1463</v>
      </c>
      <c r="H5983" t="s">
        <v>1438</v>
      </c>
      <c r="I5983" t="s">
        <v>1439</v>
      </c>
      <c r="J5983">
        <v>2</v>
      </c>
    </row>
    <row r="5984" spans="1:11" hidden="1" x14ac:dyDescent="0.3">
      <c r="A5984" s="46">
        <v>45456</v>
      </c>
      <c r="B5984" s="46" t="s">
        <v>727</v>
      </c>
      <c r="D5984" t="s">
        <v>1544</v>
      </c>
      <c r="E5984" s="46" t="s">
        <v>1436</v>
      </c>
      <c r="F5984" s="45">
        <v>23500</v>
      </c>
      <c r="G5984" t="s">
        <v>1463</v>
      </c>
      <c r="H5984" t="s">
        <v>1438</v>
      </c>
      <c r="I5984" t="s">
        <v>1439</v>
      </c>
      <c r="J5984">
        <v>4</v>
      </c>
    </row>
    <row r="5985" spans="1:11" hidden="1" x14ac:dyDescent="0.3">
      <c r="A5985" s="46">
        <v>45299</v>
      </c>
      <c r="B5985" s="46" t="s">
        <v>821</v>
      </c>
      <c r="D5985" t="s">
        <v>1572</v>
      </c>
      <c r="E5985" s="46" t="s">
        <v>1436</v>
      </c>
      <c r="F5985" s="45">
        <v>23300</v>
      </c>
      <c r="G5985" t="s">
        <v>1509</v>
      </c>
      <c r="H5985" t="s">
        <v>1438</v>
      </c>
      <c r="I5985" t="s">
        <v>1439</v>
      </c>
      <c r="J5985">
        <v>2</v>
      </c>
    </row>
    <row r="5986" spans="1:11" hidden="1" x14ac:dyDescent="0.3">
      <c r="A5986" s="46">
        <v>45344</v>
      </c>
      <c r="B5986" s="46" t="s">
        <v>734</v>
      </c>
      <c r="D5986" t="s">
        <v>1481</v>
      </c>
      <c r="E5986" s="46" t="s">
        <v>1436</v>
      </c>
      <c r="F5986" s="45">
        <v>23200</v>
      </c>
      <c r="G5986" t="s">
        <v>1441</v>
      </c>
      <c r="H5986" t="s">
        <v>1438</v>
      </c>
      <c r="I5986" t="s">
        <v>1439</v>
      </c>
      <c r="J5986">
        <v>5</v>
      </c>
    </row>
    <row r="5987" spans="1:11" hidden="1" x14ac:dyDescent="0.3">
      <c r="A5987" s="46">
        <v>45401</v>
      </c>
      <c r="B5987" s="46" t="s">
        <v>727</v>
      </c>
      <c r="D5987" t="s">
        <v>2269</v>
      </c>
      <c r="E5987" s="46" t="s">
        <v>1436</v>
      </c>
      <c r="F5987" s="45">
        <v>23200</v>
      </c>
      <c r="G5987" t="s">
        <v>1463</v>
      </c>
      <c r="H5987" t="s">
        <v>1484</v>
      </c>
      <c r="I5987" t="s">
        <v>1821</v>
      </c>
      <c r="K5987" t="s">
        <v>2270</v>
      </c>
    </row>
    <row r="5988" spans="1:11" hidden="1" x14ac:dyDescent="0.3">
      <c r="A5988" s="46">
        <v>45435</v>
      </c>
      <c r="B5988" s="46" t="s">
        <v>734</v>
      </c>
      <c r="D5988" t="s">
        <v>1544</v>
      </c>
      <c r="E5988" s="46" t="s">
        <v>1436</v>
      </c>
      <c r="F5988" s="45">
        <v>23200</v>
      </c>
      <c r="G5988" t="s">
        <v>1441</v>
      </c>
      <c r="H5988" t="s">
        <v>1438</v>
      </c>
      <c r="I5988" t="s">
        <v>1439</v>
      </c>
      <c r="J5988">
        <v>4</v>
      </c>
    </row>
    <row r="5989" spans="1:11" hidden="1" x14ac:dyDescent="0.3">
      <c r="A5989" s="46">
        <v>45309</v>
      </c>
      <c r="B5989" s="46" t="s">
        <v>772</v>
      </c>
      <c r="D5989" t="s">
        <v>820</v>
      </c>
      <c r="E5989" s="46" t="s">
        <v>1436</v>
      </c>
      <c r="F5989" s="45">
        <v>23030</v>
      </c>
      <c r="G5989" t="s">
        <v>1464</v>
      </c>
      <c r="H5989" t="s">
        <v>1438</v>
      </c>
      <c r="I5989" t="s">
        <v>1439</v>
      </c>
      <c r="J5989">
        <v>5</v>
      </c>
    </row>
    <row r="5990" spans="1:11" hidden="1" x14ac:dyDescent="0.3">
      <c r="A5990" s="46">
        <v>45308</v>
      </c>
      <c r="B5990" s="46" t="s">
        <v>761</v>
      </c>
      <c r="D5990" t="s">
        <v>1505</v>
      </c>
      <c r="E5990" s="46" t="s">
        <v>1436</v>
      </c>
      <c r="F5990" s="45">
        <v>23000</v>
      </c>
      <c r="G5990" t="s">
        <v>1457</v>
      </c>
      <c r="H5990" t="s">
        <v>1484</v>
      </c>
      <c r="I5990" t="s">
        <v>1506</v>
      </c>
    </row>
    <row r="5991" spans="1:11" hidden="1" x14ac:dyDescent="0.3">
      <c r="A5991" s="46">
        <v>45303</v>
      </c>
      <c r="B5991" s="46" t="s">
        <v>722</v>
      </c>
      <c r="D5991" t="s">
        <v>1515</v>
      </c>
      <c r="E5991" s="46" t="s">
        <v>1436</v>
      </c>
      <c r="F5991" s="45">
        <v>23000</v>
      </c>
      <c r="G5991" t="s">
        <v>1441</v>
      </c>
      <c r="H5991" t="s">
        <v>1438</v>
      </c>
      <c r="I5991" t="s">
        <v>1439</v>
      </c>
      <c r="J5991">
        <v>2</v>
      </c>
    </row>
    <row r="5992" spans="1:11" hidden="1" x14ac:dyDescent="0.3">
      <c r="A5992" s="46">
        <v>45307</v>
      </c>
      <c r="B5992" s="46" t="s">
        <v>734</v>
      </c>
      <c r="D5992" t="s">
        <v>1538</v>
      </c>
      <c r="E5992" s="46" t="s">
        <v>1436</v>
      </c>
      <c r="F5992" s="45">
        <v>23000</v>
      </c>
      <c r="G5992" t="s">
        <v>1441</v>
      </c>
      <c r="H5992" t="s">
        <v>1438</v>
      </c>
      <c r="I5992" t="s">
        <v>1439</v>
      </c>
      <c r="J5992">
        <v>2</v>
      </c>
    </row>
    <row r="5993" spans="1:11" hidden="1" x14ac:dyDescent="0.3">
      <c r="A5993" s="46">
        <v>45308</v>
      </c>
      <c r="B5993" s="46" t="s">
        <v>729</v>
      </c>
      <c r="D5993" t="s">
        <v>1571</v>
      </c>
      <c r="E5993" s="46" t="s">
        <v>1436</v>
      </c>
      <c r="F5993" s="45">
        <v>23000</v>
      </c>
      <c r="G5993" t="s">
        <v>1471</v>
      </c>
      <c r="H5993" t="s">
        <v>1438</v>
      </c>
      <c r="I5993" t="s">
        <v>1439</v>
      </c>
      <c r="J5993">
        <v>2</v>
      </c>
    </row>
    <row r="5994" spans="1:11" hidden="1" x14ac:dyDescent="0.3">
      <c r="A5994" s="46">
        <v>45328</v>
      </c>
      <c r="B5994" s="46" t="s">
        <v>734</v>
      </c>
      <c r="D5994" t="s">
        <v>1538</v>
      </c>
      <c r="E5994" s="46" t="s">
        <v>1436</v>
      </c>
      <c r="F5994" s="45">
        <v>23000</v>
      </c>
      <c r="G5994" t="s">
        <v>1441</v>
      </c>
      <c r="H5994" t="s">
        <v>1438</v>
      </c>
      <c r="I5994" t="s">
        <v>1439</v>
      </c>
      <c r="J5994">
        <v>2</v>
      </c>
    </row>
    <row r="5995" spans="1:11" hidden="1" x14ac:dyDescent="0.3">
      <c r="A5995" s="46">
        <v>45420</v>
      </c>
      <c r="B5995" s="46" t="s">
        <v>734</v>
      </c>
      <c r="D5995" t="s">
        <v>1515</v>
      </c>
      <c r="E5995" s="46" t="s">
        <v>1436</v>
      </c>
      <c r="F5995" s="45">
        <v>23000</v>
      </c>
      <c r="G5995" t="s">
        <v>1441</v>
      </c>
      <c r="H5995" t="s">
        <v>1438</v>
      </c>
      <c r="I5995" t="s">
        <v>1439</v>
      </c>
      <c r="J5995">
        <v>2</v>
      </c>
    </row>
    <row r="5996" spans="1:11" hidden="1" x14ac:dyDescent="0.3">
      <c r="A5996" s="46">
        <v>45412</v>
      </c>
      <c r="B5996" s="46" t="s">
        <v>724</v>
      </c>
      <c r="D5996" t="s">
        <v>2115</v>
      </c>
      <c r="E5996" s="46" t="s">
        <v>1436</v>
      </c>
      <c r="F5996" s="45">
        <v>23000</v>
      </c>
      <c r="G5996" t="s">
        <v>1471</v>
      </c>
      <c r="H5996" t="s">
        <v>1438</v>
      </c>
      <c r="I5996" t="s">
        <v>1439</v>
      </c>
      <c r="J5996">
        <v>2</v>
      </c>
    </row>
    <row r="5997" spans="1:11" hidden="1" x14ac:dyDescent="0.3">
      <c r="A5997" s="46">
        <v>45369</v>
      </c>
      <c r="B5997" s="46" t="s">
        <v>727</v>
      </c>
      <c r="D5997" t="s">
        <v>1705</v>
      </c>
      <c r="E5997" s="46" t="s">
        <v>1436</v>
      </c>
      <c r="F5997" s="45">
        <v>23000</v>
      </c>
      <c r="G5997" t="s">
        <v>1463</v>
      </c>
      <c r="H5997" t="s">
        <v>1438</v>
      </c>
      <c r="I5997" t="s">
        <v>1439</v>
      </c>
      <c r="J5997">
        <v>2</v>
      </c>
    </row>
    <row r="5998" spans="1:11" hidden="1" x14ac:dyDescent="0.3">
      <c r="A5998" s="46">
        <v>45455</v>
      </c>
      <c r="B5998" s="46" t="s">
        <v>727</v>
      </c>
      <c r="D5998" t="s">
        <v>1577</v>
      </c>
      <c r="E5998" s="46" t="s">
        <v>1436</v>
      </c>
      <c r="F5998" s="45">
        <v>23000</v>
      </c>
      <c r="G5998" t="s">
        <v>1509</v>
      </c>
      <c r="H5998" t="s">
        <v>1438</v>
      </c>
      <c r="I5998" t="s">
        <v>1439</v>
      </c>
      <c r="J5998">
        <v>2</v>
      </c>
    </row>
    <row r="5999" spans="1:11" hidden="1" x14ac:dyDescent="0.3">
      <c r="A5999" s="46">
        <v>45313</v>
      </c>
      <c r="B5999" s="46" t="s">
        <v>722</v>
      </c>
      <c r="D5999" t="s">
        <v>1461</v>
      </c>
      <c r="E5999" s="46" t="s">
        <v>1436</v>
      </c>
      <c r="F5999" s="45">
        <v>22990</v>
      </c>
      <c r="G5999" t="s">
        <v>1466</v>
      </c>
      <c r="H5999" t="s">
        <v>1442</v>
      </c>
      <c r="I5999" t="s">
        <v>1458</v>
      </c>
      <c r="K5999" t="s">
        <v>1742</v>
      </c>
    </row>
    <row r="6000" spans="1:11" hidden="1" x14ac:dyDescent="0.3">
      <c r="A6000" s="46">
        <v>45460</v>
      </c>
      <c r="B6000" s="46" t="s">
        <v>727</v>
      </c>
      <c r="D6000" t="s">
        <v>1556</v>
      </c>
      <c r="E6000" s="46" t="s">
        <v>1436</v>
      </c>
      <c r="F6000" s="45">
        <v>22800</v>
      </c>
      <c r="G6000" t="s">
        <v>1463</v>
      </c>
      <c r="H6000" t="s">
        <v>1438</v>
      </c>
      <c r="I6000" t="s">
        <v>1439</v>
      </c>
      <c r="J6000">
        <v>2</v>
      </c>
    </row>
    <row r="6001" spans="1:11" hidden="1" x14ac:dyDescent="0.3">
      <c r="A6001" s="46">
        <v>45356</v>
      </c>
      <c r="B6001" s="46" t="s">
        <v>727</v>
      </c>
      <c r="D6001" t="s">
        <v>1192</v>
      </c>
      <c r="E6001" s="46" t="s">
        <v>1436</v>
      </c>
      <c r="F6001" s="45">
        <v>22700</v>
      </c>
      <c r="G6001" t="s">
        <v>1463</v>
      </c>
      <c r="H6001" t="s">
        <v>1438</v>
      </c>
      <c r="I6001" t="s">
        <v>1493</v>
      </c>
      <c r="K6001" t="s">
        <v>1743</v>
      </c>
    </row>
    <row r="6002" spans="1:11" hidden="1" x14ac:dyDescent="0.3">
      <c r="A6002" s="46">
        <v>45405</v>
      </c>
      <c r="B6002" s="46" t="s">
        <v>772</v>
      </c>
      <c r="D6002" t="s">
        <v>2116</v>
      </c>
      <c r="E6002" s="46" t="s">
        <v>1436</v>
      </c>
      <c r="F6002" s="45">
        <v>22500</v>
      </c>
      <c r="G6002" t="s">
        <v>1464</v>
      </c>
      <c r="H6002" t="s">
        <v>1442</v>
      </c>
      <c r="I6002" t="s">
        <v>1458</v>
      </c>
      <c r="K6002" t="s">
        <v>2271</v>
      </c>
    </row>
    <row r="6003" spans="1:11" hidden="1" x14ac:dyDescent="0.3">
      <c r="A6003" s="46">
        <v>45324</v>
      </c>
      <c r="B6003" s="46" t="s">
        <v>748</v>
      </c>
      <c r="D6003" t="s">
        <v>1606</v>
      </c>
      <c r="E6003" s="46" t="s">
        <v>1436</v>
      </c>
      <c r="F6003" s="45">
        <v>22500</v>
      </c>
      <c r="G6003" t="s">
        <v>1451</v>
      </c>
      <c r="H6003" t="s">
        <v>1442</v>
      </c>
      <c r="I6003" t="s">
        <v>1458</v>
      </c>
      <c r="K6003" t="s">
        <v>1744</v>
      </c>
    </row>
    <row r="6004" spans="1:11" hidden="1" x14ac:dyDescent="0.3">
      <c r="A6004" s="46">
        <v>45342</v>
      </c>
      <c r="B6004" s="46" t="s">
        <v>734</v>
      </c>
      <c r="D6004" t="s">
        <v>1523</v>
      </c>
      <c r="E6004" s="46" t="s">
        <v>1436</v>
      </c>
      <c r="F6004" s="45">
        <v>22500</v>
      </c>
      <c r="G6004" t="s">
        <v>1441</v>
      </c>
      <c r="H6004" t="s">
        <v>1438</v>
      </c>
      <c r="I6004" t="s">
        <v>1439</v>
      </c>
      <c r="J6004">
        <v>2</v>
      </c>
    </row>
    <row r="6005" spans="1:11" hidden="1" x14ac:dyDescent="0.3">
      <c r="A6005" s="46">
        <v>45377</v>
      </c>
      <c r="B6005" s="46" t="s">
        <v>722</v>
      </c>
      <c r="D6005" t="s">
        <v>1461</v>
      </c>
      <c r="E6005" s="46" t="s">
        <v>1436</v>
      </c>
      <c r="F6005" s="45">
        <v>22260</v>
      </c>
      <c r="G6005" t="s">
        <v>1437</v>
      </c>
      <c r="H6005" t="s">
        <v>1438</v>
      </c>
      <c r="I6005" t="s">
        <v>1439</v>
      </c>
      <c r="K6005" t="s">
        <v>2272</v>
      </c>
    </row>
    <row r="6006" spans="1:11" hidden="1" x14ac:dyDescent="0.3">
      <c r="A6006" s="46">
        <v>45378</v>
      </c>
      <c r="B6006" s="46" t="s">
        <v>748</v>
      </c>
      <c r="D6006" t="s">
        <v>1030</v>
      </c>
      <c r="E6006" s="46" t="s">
        <v>1436</v>
      </c>
      <c r="F6006" s="45">
        <v>22000</v>
      </c>
      <c r="G6006" t="s">
        <v>1483</v>
      </c>
      <c r="H6006" t="s">
        <v>1438</v>
      </c>
      <c r="I6006" t="s">
        <v>1439</v>
      </c>
      <c r="J6006">
        <v>2</v>
      </c>
    </row>
    <row r="6007" spans="1:11" hidden="1" x14ac:dyDescent="0.3">
      <c r="A6007" s="46">
        <v>45356</v>
      </c>
      <c r="B6007" s="46" t="s">
        <v>767</v>
      </c>
      <c r="D6007" t="s">
        <v>1030</v>
      </c>
      <c r="E6007" s="46" t="s">
        <v>1436</v>
      </c>
      <c r="F6007" s="45">
        <v>22000</v>
      </c>
      <c r="G6007" t="s">
        <v>1509</v>
      </c>
      <c r="H6007" t="s">
        <v>1438</v>
      </c>
      <c r="I6007" t="s">
        <v>1439</v>
      </c>
      <c r="J6007">
        <v>2</v>
      </c>
    </row>
    <row r="6008" spans="1:11" hidden="1" x14ac:dyDescent="0.3">
      <c r="A6008" s="46">
        <v>45359</v>
      </c>
      <c r="B6008" s="46" t="s">
        <v>734</v>
      </c>
      <c r="D6008" t="s">
        <v>1450</v>
      </c>
      <c r="E6008" s="46" t="s">
        <v>1436</v>
      </c>
      <c r="F6008" s="45">
        <v>22000</v>
      </c>
      <c r="G6008" t="s">
        <v>1480</v>
      </c>
      <c r="H6008" t="s">
        <v>1452</v>
      </c>
      <c r="I6008" t="s">
        <v>1453</v>
      </c>
      <c r="K6008" t="s">
        <v>1747</v>
      </c>
    </row>
    <row r="6009" spans="1:11" hidden="1" x14ac:dyDescent="0.3">
      <c r="A6009" s="46">
        <v>45404</v>
      </c>
      <c r="B6009" s="46" t="s">
        <v>727</v>
      </c>
      <c r="D6009" t="s">
        <v>1593</v>
      </c>
      <c r="E6009" s="46" t="s">
        <v>1436</v>
      </c>
      <c r="F6009" s="45">
        <v>22000</v>
      </c>
      <c r="G6009" t="s">
        <v>1463</v>
      </c>
      <c r="H6009" t="s">
        <v>1438</v>
      </c>
      <c r="I6009" t="s">
        <v>1439</v>
      </c>
      <c r="J6009">
        <v>2</v>
      </c>
    </row>
    <row r="6010" spans="1:11" hidden="1" x14ac:dyDescent="0.3">
      <c r="A6010" s="46">
        <v>45414</v>
      </c>
      <c r="B6010" s="46" t="s">
        <v>724</v>
      </c>
      <c r="D6010" t="s">
        <v>1058</v>
      </c>
      <c r="E6010" s="46" t="s">
        <v>1436</v>
      </c>
      <c r="F6010" s="45">
        <v>22000</v>
      </c>
      <c r="G6010" t="s">
        <v>1437</v>
      </c>
      <c r="H6010" t="s">
        <v>1438</v>
      </c>
      <c r="I6010" t="s">
        <v>1439</v>
      </c>
      <c r="J6010">
        <v>3</v>
      </c>
    </row>
    <row r="6011" spans="1:11" hidden="1" x14ac:dyDescent="0.3">
      <c r="A6011" s="46">
        <v>45432</v>
      </c>
      <c r="B6011" s="46" t="s">
        <v>727</v>
      </c>
      <c r="D6011" t="s">
        <v>1593</v>
      </c>
      <c r="E6011" s="46" t="s">
        <v>1436</v>
      </c>
      <c r="F6011" s="45">
        <v>22000</v>
      </c>
      <c r="G6011" t="s">
        <v>1463</v>
      </c>
      <c r="H6011" t="s">
        <v>1438</v>
      </c>
      <c r="I6011" t="s">
        <v>1439</v>
      </c>
      <c r="J6011">
        <v>2</v>
      </c>
    </row>
    <row r="6012" spans="1:11" hidden="1" x14ac:dyDescent="0.3">
      <c r="A6012" s="46">
        <v>45341</v>
      </c>
      <c r="B6012" s="46" t="s">
        <v>722</v>
      </c>
      <c r="D6012" t="s">
        <v>1576</v>
      </c>
      <c r="E6012" s="46" t="s">
        <v>1436</v>
      </c>
      <c r="F6012" s="45">
        <v>22000</v>
      </c>
      <c r="G6012" t="s">
        <v>1471</v>
      </c>
      <c r="H6012" t="s">
        <v>1438</v>
      </c>
      <c r="I6012" t="s">
        <v>1439</v>
      </c>
      <c r="J6012">
        <v>2</v>
      </c>
    </row>
    <row r="6013" spans="1:11" hidden="1" x14ac:dyDescent="0.3">
      <c r="A6013" s="46">
        <v>45343</v>
      </c>
      <c r="B6013" s="46" t="s">
        <v>761</v>
      </c>
      <c r="D6013" t="s">
        <v>1082</v>
      </c>
      <c r="E6013" s="46" t="s">
        <v>1436</v>
      </c>
      <c r="F6013" s="45">
        <v>22000</v>
      </c>
      <c r="G6013" t="s">
        <v>1457</v>
      </c>
      <c r="H6013" t="s">
        <v>1438</v>
      </c>
      <c r="I6013" t="s">
        <v>1439</v>
      </c>
      <c r="J6013">
        <v>2</v>
      </c>
    </row>
    <row r="6014" spans="1:11" hidden="1" x14ac:dyDescent="0.3">
      <c r="A6014" s="46">
        <v>45345</v>
      </c>
      <c r="B6014" s="46" t="s">
        <v>748</v>
      </c>
      <c r="D6014" t="s">
        <v>1450</v>
      </c>
      <c r="E6014" s="46" t="s">
        <v>1436</v>
      </c>
      <c r="F6014" s="45">
        <v>22000</v>
      </c>
      <c r="G6014" t="s">
        <v>1480</v>
      </c>
      <c r="H6014" t="s">
        <v>1452</v>
      </c>
      <c r="I6014" t="s">
        <v>1453</v>
      </c>
      <c r="K6014" t="s">
        <v>1745</v>
      </c>
    </row>
    <row r="6015" spans="1:11" hidden="1" x14ac:dyDescent="0.3">
      <c r="A6015" s="46">
        <v>45351</v>
      </c>
      <c r="B6015" s="46" t="s">
        <v>767</v>
      </c>
      <c r="D6015" t="s">
        <v>1692</v>
      </c>
      <c r="E6015" s="46" t="s">
        <v>1436</v>
      </c>
      <c r="F6015" s="45">
        <v>22000</v>
      </c>
      <c r="G6015" t="s">
        <v>1460</v>
      </c>
      <c r="H6015" t="s">
        <v>1438</v>
      </c>
      <c r="I6015" t="s">
        <v>1439</v>
      </c>
      <c r="J6015">
        <v>4</v>
      </c>
    </row>
    <row r="6016" spans="1:11" hidden="1" x14ac:dyDescent="0.3">
      <c r="A6016" s="46">
        <v>45336</v>
      </c>
      <c r="B6016" s="46" t="s">
        <v>724</v>
      </c>
      <c r="D6016" t="s">
        <v>1101</v>
      </c>
      <c r="E6016" s="46" t="s">
        <v>1436</v>
      </c>
      <c r="F6016" s="45">
        <v>22000</v>
      </c>
      <c r="G6016" t="s">
        <v>1437</v>
      </c>
      <c r="H6016" t="s">
        <v>1442</v>
      </c>
      <c r="I6016" t="s">
        <v>1458</v>
      </c>
      <c r="K6016" t="s">
        <v>1746</v>
      </c>
    </row>
    <row r="6017" spans="1:11" hidden="1" x14ac:dyDescent="0.3">
      <c r="A6017" s="46">
        <v>45338</v>
      </c>
      <c r="B6017" s="46" t="s">
        <v>734</v>
      </c>
      <c r="D6017" t="s">
        <v>1705</v>
      </c>
      <c r="E6017" s="46" t="s">
        <v>1436</v>
      </c>
      <c r="F6017" s="45">
        <v>22000</v>
      </c>
      <c r="G6017" t="s">
        <v>1441</v>
      </c>
      <c r="H6017" t="s">
        <v>1438</v>
      </c>
      <c r="I6017" t="s">
        <v>1439</v>
      </c>
      <c r="J6017">
        <v>2</v>
      </c>
    </row>
    <row r="6018" spans="1:11" hidden="1" x14ac:dyDescent="0.3">
      <c r="A6018" s="46">
        <v>45338</v>
      </c>
      <c r="B6018" s="46" t="s">
        <v>722</v>
      </c>
      <c r="D6018" t="s">
        <v>1440</v>
      </c>
      <c r="E6018" s="46" t="s">
        <v>1436</v>
      </c>
      <c r="F6018" s="45">
        <v>22000</v>
      </c>
      <c r="G6018" t="s">
        <v>1466</v>
      </c>
      <c r="H6018" t="s">
        <v>1442</v>
      </c>
      <c r="I6018" t="s">
        <v>1458</v>
      </c>
      <c r="K6018" t="s">
        <v>1723</v>
      </c>
    </row>
    <row r="6019" spans="1:11" hidden="1" x14ac:dyDescent="0.3">
      <c r="A6019" s="46">
        <v>45314</v>
      </c>
      <c r="B6019" s="46" t="s">
        <v>727</v>
      </c>
      <c r="D6019" t="s">
        <v>1545</v>
      </c>
      <c r="E6019" s="46" t="s">
        <v>1436</v>
      </c>
      <c r="F6019" s="45">
        <v>22000</v>
      </c>
      <c r="G6019" t="s">
        <v>1463</v>
      </c>
      <c r="H6019" t="s">
        <v>1438</v>
      </c>
      <c r="I6019" t="s">
        <v>1439</v>
      </c>
      <c r="J6019">
        <v>2</v>
      </c>
    </row>
    <row r="6020" spans="1:11" hidden="1" x14ac:dyDescent="0.3">
      <c r="A6020" s="46">
        <v>45317</v>
      </c>
      <c r="B6020" s="46" t="s">
        <v>761</v>
      </c>
      <c r="D6020" t="s">
        <v>882</v>
      </c>
      <c r="E6020" s="46" t="s">
        <v>1436</v>
      </c>
      <c r="F6020" s="45">
        <v>22000</v>
      </c>
      <c r="G6020" t="s">
        <v>1457</v>
      </c>
      <c r="H6020" t="s">
        <v>1438</v>
      </c>
      <c r="I6020" t="s">
        <v>1439</v>
      </c>
      <c r="J6020">
        <v>2</v>
      </c>
    </row>
    <row r="6021" spans="1:11" hidden="1" x14ac:dyDescent="0.3">
      <c r="A6021" s="46">
        <v>45321</v>
      </c>
      <c r="B6021" s="46" t="s">
        <v>729</v>
      </c>
      <c r="D6021" t="s">
        <v>1030</v>
      </c>
      <c r="E6021" s="46" t="s">
        <v>1436</v>
      </c>
      <c r="F6021" s="45">
        <v>22000</v>
      </c>
      <c r="G6021" t="s">
        <v>1471</v>
      </c>
      <c r="H6021" t="s">
        <v>1438</v>
      </c>
      <c r="I6021" t="s">
        <v>1439</v>
      </c>
      <c r="J6021">
        <v>2</v>
      </c>
    </row>
    <row r="6022" spans="1:11" hidden="1" x14ac:dyDescent="0.3">
      <c r="A6022" s="46">
        <v>45321</v>
      </c>
      <c r="B6022" s="46" t="s">
        <v>724</v>
      </c>
      <c r="D6022" t="s">
        <v>1030</v>
      </c>
      <c r="E6022" s="46" t="s">
        <v>1436</v>
      </c>
      <c r="F6022" s="45">
        <v>22000</v>
      </c>
      <c r="G6022" t="s">
        <v>1437</v>
      </c>
      <c r="H6022" t="s">
        <v>1438</v>
      </c>
      <c r="I6022" t="s">
        <v>1439</v>
      </c>
      <c r="J6022">
        <v>2</v>
      </c>
    </row>
    <row r="6023" spans="1:11" hidden="1" x14ac:dyDescent="0.3">
      <c r="A6023" s="46">
        <v>45307</v>
      </c>
      <c r="B6023" s="46" t="s">
        <v>821</v>
      </c>
      <c r="D6023" t="s">
        <v>1030</v>
      </c>
      <c r="E6023" s="46" t="s">
        <v>1436</v>
      </c>
      <c r="F6023" s="45">
        <v>22000</v>
      </c>
      <c r="G6023" t="s">
        <v>1509</v>
      </c>
      <c r="H6023" t="s">
        <v>1438</v>
      </c>
      <c r="I6023" t="s">
        <v>1439</v>
      </c>
      <c r="J6023">
        <v>2</v>
      </c>
    </row>
    <row r="6024" spans="1:11" hidden="1" x14ac:dyDescent="0.3">
      <c r="A6024" s="46">
        <v>45306</v>
      </c>
      <c r="B6024" s="46" t="s">
        <v>729</v>
      </c>
      <c r="D6024" t="s">
        <v>1593</v>
      </c>
      <c r="E6024" s="46" t="s">
        <v>1436</v>
      </c>
      <c r="F6024" s="45">
        <v>22000</v>
      </c>
      <c r="G6024" t="s">
        <v>1471</v>
      </c>
      <c r="H6024" t="s">
        <v>1438</v>
      </c>
      <c r="I6024" t="s">
        <v>1439</v>
      </c>
      <c r="J6024">
        <v>2</v>
      </c>
    </row>
    <row r="6025" spans="1:11" hidden="1" x14ac:dyDescent="0.3">
      <c r="A6025" s="46">
        <v>45306</v>
      </c>
      <c r="B6025" s="46" t="s">
        <v>767</v>
      </c>
      <c r="D6025" t="s">
        <v>1545</v>
      </c>
      <c r="E6025" s="46" t="s">
        <v>1436</v>
      </c>
      <c r="F6025" s="45">
        <v>22000</v>
      </c>
      <c r="G6025" t="s">
        <v>1460</v>
      </c>
      <c r="H6025" t="s">
        <v>1438</v>
      </c>
      <c r="I6025" t="s">
        <v>1439</v>
      </c>
      <c r="J6025">
        <v>2</v>
      </c>
    </row>
    <row r="6026" spans="1:11" hidden="1" x14ac:dyDescent="0.3">
      <c r="A6026" s="46">
        <v>45296</v>
      </c>
      <c r="B6026" s="46" t="s">
        <v>821</v>
      </c>
      <c r="D6026" t="s">
        <v>1030</v>
      </c>
      <c r="E6026" s="46" t="s">
        <v>1436</v>
      </c>
      <c r="F6026" s="45">
        <v>22000</v>
      </c>
      <c r="G6026" t="s">
        <v>1509</v>
      </c>
      <c r="H6026" t="s">
        <v>1438</v>
      </c>
      <c r="I6026" t="s">
        <v>1439</v>
      </c>
      <c r="J6026">
        <v>2</v>
      </c>
    </row>
    <row r="6027" spans="1:11" hidden="1" x14ac:dyDescent="0.3">
      <c r="A6027" s="46">
        <v>45468</v>
      </c>
      <c r="B6027" s="46" t="s">
        <v>727</v>
      </c>
      <c r="D6027" t="s">
        <v>2230</v>
      </c>
      <c r="E6027" s="46" t="s">
        <v>1436</v>
      </c>
      <c r="F6027" s="45">
        <v>22000</v>
      </c>
      <c r="G6027" t="s">
        <v>1463</v>
      </c>
      <c r="H6027" t="s">
        <v>1438</v>
      </c>
      <c r="I6027" t="s">
        <v>1439</v>
      </c>
      <c r="J6027">
        <v>2</v>
      </c>
    </row>
    <row r="6028" spans="1:11" hidden="1" x14ac:dyDescent="0.3">
      <c r="A6028" s="46">
        <v>45463</v>
      </c>
      <c r="B6028" s="46" t="s">
        <v>767</v>
      </c>
      <c r="D6028" t="s">
        <v>2273</v>
      </c>
      <c r="E6028" s="46" t="s">
        <v>1436</v>
      </c>
      <c r="F6028" s="45">
        <v>22000</v>
      </c>
      <c r="G6028" t="s">
        <v>1460</v>
      </c>
      <c r="H6028" t="s">
        <v>1438</v>
      </c>
      <c r="I6028" t="s">
        <v>1439</v>
      </c>
      <c r="K6028" t="s">
        <v>2225</v>
      </c>
    </row>
    <row r="6029" spans="1:11" hidden="1" x14ac:dyDescent="0.3">
      <c r="A6029" s="46">
        <v>45435</v>
      </c>
      <c r="B6029" s="46" t="s">
        <v>761</v>
      </c>
      <c r="D6029" t="s">
        <v>1505</v>
      </c>
      <c r="E6029" s="46" t="s">
        <v>1436</v>
      </c>
      <c r="F6029" s="45">
        <v>22000</v>
      </c>
      <c r="G6029" t="s">
        <v>1457</v>
      </c>
      <c r="H6029" t="s">
        <v>1484</v>
      </c>
      <c r="I6029" t="s">
        <v>1506</v>
      </c>
    </row>
    <row r="6030" spans="1:11" hidden="1" x14ac:dyDescent="0.3">
      <c r="A6030" s="46">
        <v>45477</v>
      </c>
      <c r="B6030" s="46" t="s">
        <v>772</v>
      </c>
      <c r="D6030" t="s">
        <v>1053</v>
      </c>
      <c r="E6030" s="46" t="s">
        <v>1436</v>
      </c>
      <c r="F6030" s="45">
        <v>22000</v>
      </c>
      <c r="G6030" t="s">
        <v>1464</v>
      </c>
      <c r="H6030" t="s">
        <v>1438</v>
      </c>
      <c r="I6030" t="s">
        <v>1439</v>
      </c>
      <c r="J6030">
        <v>4</v>
      </c>
    </row>
    <row r="6031" spans="1:11" hidden="1" x14ac:dyDescent="0.3">
      <c r="A6031" s="46">
        <v>45300</v>
      </c>
      <c r="B6031" s="46" t="s">
        <v>734</v>
      </c>
      <c r="D6031" t="s">
        <v>1548</v>
      </c>
      <c r="E6031" s="46" t="s">
        <v>1436</v>
      </c>
      <c r="F6031" s="45">
        <v>21900</v>
      </c>
      <c r="G6031" t="s">
        <v>1441</v>
      </c>
      <c r="H6031" t="s">
        <v>1438</v>
      </c>
      <c r="I6031" t="s">
        <v>1439</v>
      </c>
      <c r="J6031">
        <v>2</v>
      </c>
    </row>
    <row r="6032" spans="1:11" hidden="1" x14ac:dyDescent="0.3">
      <c r="A6032" s="46">
        <v>45422</v>
      </c>
      <c r="B6032" s="46" t="s">
        <v>727</v>
      </c>
      <c r="D6032" t="s">
        <v>2274</v>
      </c>
      <c r="E6032" s="46" t="s">
        <v>1436</v>
      </c>
      <c r="F6032" s="45">
        <v>21800</v>
      </c>
      <c r="G6032" t="s">
        <v>1463</v>
      </c>
      <c r="H6032" t="s">
        <v>1438</v>
      </c>
      <c r="I6032" t="s">
        <v>1439</v>
      </c>
      <c r="J6032">
        <v>2</v>
      </c>
    </row>
    <row r="6033" spans="1:11" hidden="1" x14ac:dyDescent="0.3">
      <c r="A6033" s="46">
        <v>45462</v>
      </c>
      <c r="B6033" s="46" t="s">
        <v>821</v>
      </c>
      <c r="D6033" t="s">
        <v>2083</v>
      </c>
      <c r="E6033" s="46" t="s">
        <v>1436</v>
      </c>
      <c r="F6033" s="45">
        <v>21800</v>
      </c>
      <c r="G6033" t="s">
        <v>1437</v>
      </c>
      <c r="H6033" t="s">
        <v>1438</v>
      </c>
      <c r="I6033" t="s">
        <v>1439</v>
      </c>
      <c r="J6033">
        <v>2</v>
      </c>
    </row>
    <row r="6034" spans="1:11" hidden="1" x14ac:dyDescent="0.3">
      <c r="A6034" s="46">
        <v>45455</v>
      </c>
      <c r="B6034" s="46" t="s">
        <v>722</v>
      </c>
      <c r="D6034" t="s">
        <v>1867</v>
      </c>
      <c r="E6034" s="46" t="s">
        <v>1436</v>
      </c>
      <c r="F6034" s="45">
        <v>21620</v>
      </c>
      <c r="G6034" t="s">
        <v>1466</v>
      </c>
      <c r="H6034" t="s">
        <v>1438</v>
      </c>
      <c r="I6034" t="s">
        <v>1454</v>
      </c>
      <c r="K6034" t="s">
        <v>2275</v>
      </c>
    </row>
    <row r="6035" spans="1:11" hidden="1" x14ac:dyDescent="0.3">
      <c r="A6035" s="46">
        <v>45433</v>
      </c>
      <c r="B6035" s="46" t="s">
        <v>727</v>
      </c>
      <c r="D6035" t="s">
        <v>2276</v>
      </c>
      <c r="E6035" s="46" t="s">
        <v>1436</v>
      </c>
      <c r="F6035" s="45">
        <v>21500</v>
      </c>
      <c r="G6035" t="s">
        <v>1460</v>
      </c>
      <c r="H6035" t="s">
        <v>1442</v>
      </c>
      <c r="I6035" t="s">
        <v>1443</v>
      </c>
      <c r="K6035" t="s">
        <v>2277</v>
      </c>
    </row>
    <row r="6036" spans="1:11" hidden="1" x14ac:dyDescent="0.3">
      <c r="A6036" s="46">
        <v>45323</v>
      </c>
      <c r="B6036" s="46" t="s">
        <v>767</v>
      </c>
      <c r="D6036" t="s">
        <v>1580</v>
      </c>
      <c r="E6036" s="46" t="s">
        <v>1436</v>
      </c>
      <c r="F6036" s="45">
        <v>21500</v>
      </c>
      <c r="G6036" t="s">
        <v>1460</v>
      </c>
      <c r="H6036" t="s">
        <v>1438</v>
      </c>
      <c r="I6036" t="s">
        <v>1439</v>
      </c>
      <c r="J6036">
        <v>4</v>
      </c>
    </row>
    <row r="6037" spans="1:11" hidden="1" x14ac:dyDescent="0.3">
      <c r="A6037" s="46">
        <v>45339</v>
      </c>
      <c r="B6037" s="46" t="s">
        <v>722</v>
      </c>
      <c r="D6037" t="s">
        <v>1241</v>
      </c>
      <c r="E6037" s="46" t="s">
        <v>1436</v>
      </c>
      <c r="F6037" s="45">
        <v>21500</v>
      </c>
      <c r="G6037" t="s">
        <v>1471</v>
      </c>
      <c r="H6037" t="s">
        <v>1438</v>
      </c>
      <c r="I6037" t="s">
        <v>1456</v>
      </c>
      <c r="J6037">
        <v>3</v>
      </c>
      <c r="K6037" t="s">
        <v>1748</v>
      </c>
    </row>
    <row r="6038" spans="1:11" hidden="1" x14ac:dyDescent="0.3">
      <c r="A6038" s="46">
        <v>45342</v>
      </c>
      <c r="B6038" s="46" t="s">
        <v>761</v>
      </c>
      <c r="D6038" t="s">
        <v>939</v>
      </c>
      <c r="E6038" s="46" t="s">
        <v>1436</v>
      </c>
      <c r="F6038" s="45">
        <v>21500</v>
      </c>
      <c r="G6038" t="s">
        <v>1457</v>
      </c>
      <c r="H6038" t="s">
        <v>1438</v>
      </c>
      <c r="I6038" t="s">
        <v>1439</v>
      </c>
      <c r="J6038">
        <v>2</v>
      </c>
    </row>
    <row r="6039" spans="1:11" hidden="1" x14ac:dyDescent="0.3">
      <c r="A6039" s="46">
        <v>45344</v>
      </c>
      <c r="B6039" s="46" t="s">
        <v>772</v>
      </c>
      <c r="D6039" t="s">
        <v>1242</v>
      </c>
      <c r="E6039" s="46" t="s">
        <v>1436</v>
      </c>
      <c r="F6039" s="45">
        <v>21400</v>
      </c>
      <c r="G6039" t="s">
        <v>1464</v>
      </c>
      <c r="H6039" t="s">
        <v>1438</v>
      </c>
      <c r="I6039" t="s">
        <v>1439</v>
      </c>
      <c r="J6039">
        <v>5</v>
      </c>
    </row>
    <row r="6040" spans="1:11" hidden="1" x14ac:dyDescent="0.3">
      <c r="A6040" s="46">
        <v>45310</v>
      </c>
      <c r="B6040" s="46" t="s">
        <v>729</v>
      </c>
      <c r="D6040" t="s">
        <v>1577</v>
      </c>
      <c r="E6040" s="46" t="s">
        <v>1436</v>
      </c>
      <c r="F6040" s="45">
        <v>21000</v>
      </c>
      <c r="G6040" t="s">
        <v>1471</v>
      </c>
      <c r="H6040" t="s">
        <v>1438</v>
      </c>
      <c r="I6040" t="s">
        <v>1439</v>
      </c>
      <c r="J6040">
        <v>2</v>
      </c>
    </row>
    <row r="6041" spans="1:11" hidden="1" x14ac:dyDescent="0.3">
      <c r="A6041" s="46">
        <v>45303</v>
      </c>
      <c r="B6041" s="46" t="s">
        <v>722</v>
      </c>
      <c r="D6041" t="s">
        <v>1515</v>
      </c>
      <c r="E6041" s="46" t="s">
        <v>1436</v>
      </c>
      <c r="F6041" s="45">
        <v>21000</v>
      </c>
      <c r="G6041" t="s">
        <v>1441</v>
      </c>
      <c r="H6041" t="s">
        <v>1438</v>
      </c>
      <c r="I6041" t="s">
        <v>1439</v>
      </c>
      <c r="J6041">
        <v>2</v>
      </c>
    </row>
    <row r="6042" spans="1:11" hidden="1" x14ac:dyDescent="0.3">
      <c r="A6042" s="46">
        <v>45303</v>
      </c>
      <c r="B6042" s="46" t="s">
        <v>722</v>
      </c>
      <c r="D6042" t="s">
        <v>1515</v>
      </c>
      <c r="E6042" s="46" t="s">
        <v>1436</v>
      </c>
      <c r="F6042" s="45">
        <v>21000</v>
      </c>
      <c r="G6042" t="s">
        <v>1441</v>
      </c>
      <c r="H6042" t="s">
        <v>1438</v>
      </c>
      <c r="I6042" t="s">
        <v>1439</v>
      </c>
      <c r="J6042">
        <v>2</v>
      </c>
    </row>
    <row r="6043" spans="1:11" hidden="1" x14ac:dyDescent="0.3">
      <c r="A6043" s="46">
        <v>45296</v>
      </c>
      <c r="B6043" s="46" t="s">
        <v>729</v>
      </c>
      <c r="D6043" t="s">
        <v>1577</v>
      </c>
      <c r="E6043" s="46" t="s">
        <v>1436</v>
      </c>
      <c r="F6043" s="45">
        <v>21000</v>
      </c>
      <c r="G6043" t="s">
        <v>1471</v>
      </c>
      <c r="H6043" t="s">
        <v>1438</v>
      </c>
      <c r="I6043" t="s">
        <v>1439</v>
      </c>
      <c r="J6043">
        <v>2</v>
      </c>
    </row>
    <row r="6044" spans="1:11" hidden="1" x14ac:dyDescent="0.3">
      <c r="A6044" s="46">
        <v>45293</v>
      </c>
      <c r="B6044" s="46" t="s">
        <v>729</v>
      </c>
      <c r="D6044" t="s">
        <v>1577</v>
      </c>
      <c r="E6044" s="46" t="s">
        <v>1436</v>
      </c>
      <c r="F6044" s="45">
        <v>21000</v>
      </c>
      <c r="G6044" t="s">
        <v>1471</v>
      </c>
      <c r="H6044" t="s">
        <v>1438</v>
      </c>
      <c r="I6044" t="s">
        <v>1439</v>
      </c>
      <c r="J6044">
        <v>2</v>
      </c>
    </row>
    <row r="6045" spans="1:11" hidden="1" x14ac:dyDescent="0.3">
      <c r="A6045" s="46">
        <v>45397</v>
      </c>
      <c r="B6045" s="46" t="s">
        <v>767</v>
      </c>
      <c r="D6045" t="s">
        <v>1589</v>
      </c>
      <c r="E6045" s="46" t="s">
        <v>1436</v>
      </c>
      <c r="F6045" s="45">
        <v>21000</v>
      </c>
      <c r="G6045" t="s">
        <v>1462</v>
      </c>
      <c r="H6045" t="s">
        <v>1438</v>
      </c>
      <c r="I6045" t="s">
        <v>1439</v>
      </c>
      <c r="J6045">
        <v>2</v>
      </c>
    </row>
    <row r="6046" spans="1:11" hidden="1" x14ac:dyDescent="0.3">
      <c r="A6046" s="46">
        <v>45461</v>
      </c>
      <c r="B6046" s="46" t="s">
        <v>727</v>
      </c>
      <c r="D6046" t="s">
        <v>1589</v>
      </c>
      <c r="E6046" s="46" t="s">
        <v>1436</v>
      </c>
      <c r="F6046" s="45">
        <v>21000</v>
      </c>
      <c r="G6046" t="s">
        <v>1463</v>
      </c>
      <c r="H6046" t="s">
        <v>1438</v>
      </c>
      <c r="I6046" t="s">
        <v>1439</v>
      </c>
      <c r="J6046">
        <v>2</v>
      </c>
    </row>
    <row r="6047" spans="1:11" hidden="1" x14ac:dyDescent="0.3">
      <c r="A6047" s="46">
        <v>45401</v>
      </c>
      <c r="B6047" s="46" t="s">
        <v>724</v>
      </c>
      <c r="D6047" t="s">
        <v>1010</v>
      </c>
      <c r="E6047" s="46" t="s">
        <v>1436</v>
      </c>
      <c r="F6047" s="45">
        <v>20900</v>
      </c>
      <c r="G6047" t="s">
        <v>1437</v>
      </c>
      <c r="H6047" t="s">
        <v>1438</v>
      </c>
      <c r="I6047" t="s">
        <v>1439</v>
      </c>
      <c r="J6047">
        <v>2</v>
      </c>
    </row>
    <row r="6048" spans="1:11" hidden="1" x14ac:dyDescent="0.3">
      <c r="A6048" s="46">
        <v>45421</v>
      </c>
      <c r="B6048" s="46" t="s">
        <v>727</v>
      </c>
      <c r="D6048" t="s">
        <v>2278</v>
      </c>
      <c r="E6048" s="46" t="s">
        <v>1436</v>
      </c>
      <c r="F6048" s="45">
        <v>20600</v>
      </c>
      <c r="G6048" t="s">
        <v>1463</v>
      </c>
      <c r="H6048" t="s">
        <v>1438</v>
      </c>
      <c r="I6048" t="s">
        <v>1439</v>
      </c>
      <c r="J6048">
        <v>4</v>
      </c>
    </row>
    <row r="6049" spans="1:11" hidden="1" x14ac:dyDescent="0.3">
      <c r="A6049" s="46">
        <v>45323</v>
      </c>
      <c r="B6049" s="46" t="s">
        <v>727</v>
      </c>
      <c r="D6049" t="s">
        <v>1100</v>
      </c>
      <c r="E6049" s="46" t="s">
        <v>1436</v>
      </c>
      <c r="F6049" s="45">
        <v>20500</v>
      </c>
      <c r="G6049" t="s">
        <v>1463</v>
      </c>
      <c r="H6049" t="s">
        <v>1438</v>
      </c>
      <c r="I6049" t="s">
        <v>1439</v>
      </c>
      <c r="J6049">
        <v>4</v>
      </c>
    </row>
    <row r="6050" spans="1:11" hidden="1" x14ac:dyDescent="0.3">
      <c r="A6050" s="46">
        <v>45428</v>
      </c>
      <c r="B6050" s="46" t="s">
        <v>724</v>
      </c>
      <c r="D6050" t="s">
        <v>1057</v>
      </c>
      <c r="E6050" s="46" t="s">
        <v>1436</v>
      </c>
      <c r="F6050" s="45">
        <v>20100</v>
      </c>
      <c r="G6050" t="s">
        <v>1437</v>
      </c>
      <c r="H6050" t="s">
        <v>1438</v>
      </c>
      <c r="I6050" t="s">
        <v>1439</v>
      </c>
      <c r="J6050">
        <v>2</v>
      </c>
    </row>
    <row r="6051" spans="1:11" hidden="1" x14ac:dyDescent="0.3">
      <c r="A6051" s="46">
        <v>45420</v>
      </c>
      <c r="B6051" s="46" t="s">
        <v>767</v>
      </c>
      <c r="D6051" t="s">
        <v>1095</v>
      </c>
      <c r="E6051" s="46" t="s">
        <v>1436</v>
      </c>
      <c r="F6051" s="45">
        <v>20000</v>
      </c>
      <c r="G6051" t="s">
        <v>1462</v>
      </c>
      <c r="H6051" t="s">
        <v>1438</v>
      </c>
      <c r="I6051" t="s">
        <v>1439</v>
      </c>
      <c r="J6051">
        <v>2</v>
      </c>
    </row>
    <row r="6052" spans="1:11" hidden="1" x14ac:dyDescent="0.3">
      <c r="A6052" s="46">
        <v>45401</v>
      </c>
      <c r="B6052" s="46" t="s">
        <v>727</v>
      </c>
      <c r="D6052" t="s">
        <v>2279</v>
      </c>
      <c r="E6052" s="46" t="s">
        <v>1436</v>
      </c>
      <c r="F6052" s="45">
        <v>20000</v>
      </c>
      <c r="G6052" t="s">
        <v>1463</v>
      </c>
      <c r="H6052" t="s">
        <v>1484</v>
      </c>
      <c r="I6052" t="s">
        <v>1821</v>
      </c>
      <c r="K6052" t="s">
        <v>2257</v>
      </c>
    </row>
    <row r="6053" spans="1:11" hidden="1" x14ac:dyDescent="0.3">
      <c r="A6053" s="46">
        <v>45358</v>
      </c>
      <c r="B6053" s="46" t="s">
        <v>748</v>
      </c>
      <c r="D6053" t="s">
        <v>934</v>
      </c>
      <c r="E6053" s="46" t="s">
        <v>1436</v>
      </c>
      <c r="F6053" s="45">
        <v>20000</v>
      </c>
      <c r="G6053" t="s">
        <v>1483</v>
      </c>
      <c r="H6053" t="s">
        <v>1438</v>
      </c>
      <c r="I6053" t="s">
        <v>1439</v>
      </c>
      <c r="J6053">
        <v>1</v>
      </c>
    </row>
    <row r="6054" spans="1:11" hidden="1" x14ac:dyDescent="0.3">
      <c r="A6054" s="46">
        <v>45379</v>
      </c>
      <c r="B6054" s="46" t="s">
        <v>724</v>
      </c>
      <c r="D6054" t="s">
        <v>1102</v>
      </c>
      <c r="E6054" s="46" t="s">
        <v>1436</v>
      </c>
      <c r="F6054" s="45">
        <v>20000</v>
      </c>
      <c r="G6054" t="s">
        <v>1437</v>
      </c>
      <c r="H6054" t="s">
        <v>1438</v>
      </c>
      <c r="I6054" t="s">
        <v>1439</v>
      </c>
      <c r="J6054">
        <v>3</v>
      </c>
    </row>
    <row r="6055" spans="1:11" hidden="1" x14ac:dyDescent="0.3">
      <c r="A6055" s="46">
        <v>45379</v>
      </c>
      <c r="B6055" s="46" t="s">
        <v>722</v>
      </c>
      <c r="D6055" t="s">
        <v>1867</v>
      </c>
      <c r="E6055" s="46" t="s">
        <v>1436</v>
      </c>
      <c r="F6055" s="45">
        <v>20000</v>
      </c>
      <c r="G6055" t="s">
        <v>1437</v>
      </c>
      <c r="H6055" t="s">
        <v>1438</v>
      </c>
      <c r="I6055" t="s">
        <v>1439</v>
      </c>
      <c r="K6055" t="s">
        <v>2280</v>
      </c>
    </row>
    <row r="6056" spans="1:11" hidden="1" x14ac:dyDescent="0.3">
      <c r="A6056" s="46">
        <v>45323</v>
      </c>
      <c r="B6056" s="46" t="s">
        <v>729</v>
      </c>
      <c r="D6056" t="s">
        <v>1490</v>
      </c>
      <c r="E6056" s="46" t="s">
        <v>1436</v>
      </c>
      <c r="F6056" s="45">
        <v>20000</v>
      </c>
      <c r="G6056" t="s">
        <v>1471</v>
      </c>
      <c r="H6056" t="s">
        <v>1438</v>
      </c>
      <c r="I6056" t="s">
        <v>1454</v>
      </c>
      <c r="K6056" t="s">
        <v>1749</v>
      </c>
    </row>
    <row r="6057" spans="1:11" hidden="1" x14ac:dyDescent="0.3">
      <c r="A6057" s="46">
        <v>45316</v>
      </c>
      <c r="B6057" s="46" t="s">
        <v>772</v>
      </c>
      <c r="D6057" t="s">
        <v>1251</v>
      </c>
      <c r="E6057" s="46" t="s">
        <v>1436</v>
      </c>
      <c r="F6057" s="45">
        <v>20000</v>
      </c>
      <c r="G6057" t="s">
        <v>1464</v>
      </c>
      <c r="H6057" t="s">
        <v>1438</v>
      </c>
      <c r="I6057" t="s">
        <v>1439</v>
      </c>
      <c r="J6057">
        <v>5</v>
      </c>
    </row>
    <row r="6058" spans="1:11" hidden="1" x14ac:dyDescent="0.3">
      <c r="A6058" s="46">
        <v>45317</v>
      </c>
      <c r="B6058" s="46" t="s">
        <v>729</v>
      </c>
      <c r="D6058" t="s">
        <v>1490</v>
      </c>
      <c r="E6058" s="46" t="s">
        <v>1436</v>
      </c>
      <c r="F6058" s="45">
        <v>20000</v>
      </c>
      <c r="G6058" t="s">
        <v>1471</v>
      </c>
      <c r="H6058" t="s">
        <v>1438</v>
      </c>
      <c r="I6058" t="s">
        <v>1454</v>
      </c>
      <c r="K6058" t="s">
        <v>1750</v>
      </c>
    </row>
    <row r="6059" spans="1:11" hidden="1" x14ac:dyDescent="0.3">
      <c r="A6059" s="46">
        <v>45307</v>
      </c>
      <c r="B6059" s="46" t="s">
        <v>729</v>
      </c>
      <c r="D6059" t="s">
        <v>1518</v>
      </c>
      <c r="E6059" s="46" t="s">
        <v>1436</v>
      </c>
      <c r="F6059" s="45">
        <v>20000</v>
      </c>
      <c r="G6059" t="s">
        <v>1471</v>
      </c>
      <c r="H6059" t="s">
        <v>1438</v>
      </c>
      <c r="I6059" t="s">
        <v>1439</v>
      </c>
      <c r="J6059">
        <v>2</v>
      </c>
    </row>
    <row r="6060" spans="1:11" hidden="1" x14ac:dyDescent="0.3">
      <c r="A6060" s="46">
        <v>45348</v>
      </c>
      <c r="B6060" s="46" t="s">
        <v>724</v>
      </c>
      <c r="D6060" t="s">
        <v>1137</v>
      </c>
      <c r="E6060" s="46" t="s">
        <v>1436</v>
      </c>
      <c r="F6060" s="45">
        <v>20000</v>
      </c>
      <c r="G6060" t="s">
        <v>1437</v>
      </c>
      <c r="H6060" t="s">
        <v>1438</v>
      </c>
      <c r="I6060" t="s">
        <v>1439</v>
      </c>
      <c r="J6060">
        <v>2</v>
      </c>
    </row>
    <row r="6061" spans="1:11" hidden="1" x14ac:dyDescent="0.3">
      <c r="A6061" s="46">
        <v>45351</v>
      </c>
      <c r="B6061" s="46" t="s">
        <v>748</v>
      </c>
      <c r="D6061" t="s">
        <v>934</v>
      </c>
      <c r="E6061" s="46" t="s">
        <v>1436</v>
      </c>
      <c r="F6061" s="45">
        <v>20000</v>
      </c>
      <c r="G6061" t="s">
        <v>1483</v>
      </c>
      <c r="H6061" t="s">
        <v>1438</v>
      </c>
      <c r="I6061" t="s">
        <v>1439</v>
      </c>
      <c r="J6061">
        <v>1</v>
      </c>
    </row>
    <row r="6062" spans="1:11" hidden="1" x14ac:dyDescent="0.3">
      <c r="A6062" s="46">
        <v>45471</v>
      </c>
      <c r="B6062" s="46" t="s">
        <v>722</v>
      </c>
      <c r="D6062" t="s">
        <v>2281</v>
      </c>
      <c r="E6062" s="46" t="s">
        <v>1436</v>
      </c>
      <c r="F6062" s="45">
        <v>20000</v>
      </c>
      <c r="G6062" t="s">
        <v>1437</v>
      </c>
      <c r="H6062" t="s">
        <v>1442</v>
      </c>
      <c r="I6062" t="s">
        <v>1458</v>
      </c>
      <c r="K6062" t="s">
        <v>2282</v>
      </c>
    </row>
    <row r="6063" spans="1:11" hidden="1" x14ac:dyDescent="0.3">
      <c r="A6063" s="46">
        <v>45344</v>
      </c>
      <c r="B6063" s="46" t="s">
        <v>722</v>
      </c>
      <c r="D6063" t="s">
        <v>1502</v>
      </c>
      <c r="E6063" s="46" t="s">
        <v>1436</v>
      </c>
      <c r="F6063" s="45">
        <v>19800</v>
      </c>
      <c r="G6063" t="s">
        <v>1437</v>
      </c>
      <c r="H6063" t="s">
        <v>1438</v>
      </c>
      <c r="I6063" t="s">
        <v>1439</v>
      </c>
      <c r="J6063">
        <v>3</v>
      </c>
    </row>
    <row r="6064" spans="1:11" hidden="1" x14ac:dyDescent="0.3">
      <c r="A6064" s="46">
        <v>45446</v>
      </c>
      <c r="B6064" s="46" t="s">
        <v>722</v>
      </c>
      <c r="D6064" t="s">
        <v>1490</v>
      </c>
      <c r="E6064" s="46" t="s">
        <v>1436</v>
      </c>
      <c r="F6064" s="45">
        <v>19780</v>
      </c>
      <c r="G6064" t="s">
        <v>1466</v>
      </c>
      <c r="H6064" t="s">
        <v>1469</v>
      </c>
      <c r="I6064" t="s">
        <v>1503</v>
      </c>
      <c r="K6064" t="s">
        <v>2212</v>
      </c>
    </row>
    <row r="6065" spans="1:11" hidden="1" x14ac:dyDescent="0.3">
      <c r="A6065" s="46">
        <v>45477</v>
      </c>
      <c r="B6065" s="46" t="s">
        <v>724</v>
      </c>
      <c r="D6065" t="s">
        <v>2106</v>
      </c>
      <c r="E6065" s="46" t="s">
        <v>1436</v>
      </c>
      <c r="F6065" s="45">
        <v>19700</v>
      </c>
      <c r="G6065" t="s">
        <v>1437</v>
      </c>
    </row>
    <row r="6066" spans="1:11" hidden="1" x14ac:dyDescent="0.3">
      <c r="A6066" s="46">
        <v>45363</v>
      </c>
      <c r="B6066" s="46" t="s">
        <v>772</v>
      </c>
      <c r="D6066" t="s">
        <v>1192</v>
      </c>
      <c r="E6066" s="46" t="s">
        <v>1436</v>
      </c>
      <c r="F6066" s="45">
        <v>19700</v>
      </c>
      <c r="G6066" t="s">
        <v>1464</v>
      </c>
      <c r="H6066" t="s">
        <v>1438</v>
      </c>
      <c r="I6066" t="s">
        <v>1493</v>
      </c>
      <c r="K6066" t="s">
        <v>1751</v>
      </c>
    </row>
    <row r="6067" spans="1:11" hidden="1" x14ac:dyDescent="0.3">
      <c r="A6067" s="46">
        <v>45301</v>
      </c>
      <c r="B6067" s="46" t="s">
        <v>722</v>
      </c>
      <c r="D6067" t="s">
        <v>1561</v>
      </c>
      <c r="E6067" s="46" t="s">
        <v>1436</v>
      </c>
      <c r="F6067" s="45">
        <v>19440</v>
      </c>
      <c r="G6067" t="s">
        <v>1437</v>
      </c>
      <c r="H6067" t="s">
        <v>1488</v>
      </c>
      <c r="I6067" t="s">
        <v>1489</v>
      </c>
    </row>
    <row r="6068" spans="1:11" hidden="1" x14ac:dyDescent="0.3">
      <c r="A6068" s="46">
        <v>45400</v>
      </c>
      <c r="B6068" s="46" t="s">
        <v>724</v>
      </c>
      <c r="D6068" t="s">
        <v>2283</v>
      </c>
      <c r="E6068" s="46" t="s">
        <v>1436</v>
      </c>
      <c r="F6068" s="45">
        <v>19200</v>
      </c>
      <c r="G6068" t="s">
        <v>1437</v>
      </c>
      <c r="H6068" t="s">
        <v>1438</v>
      </c>
      <c r="I6068" t="s">
        <v>1439</v>
      </c>
      <c r="J6068">
        <v>4</v>
      </c>
      <c r="K6068" t="s">
        <v>2284</v>
      </c>
    </row>
    <row r="6069" spans="1:11" hidden="1" x14ac:dyDescent="0.3">
      <c r="A6069" s="46">
        <v>45400</v>
      </c>
      <c r="B6069" s="46" t="s">
        <v>727</v>
      </c>
      <c r="D6069" t="s">
        <v>2269</v>
      </c>
      <c r="E6069" s="46" t="s">
        <v>1436</v>
      </c>
      <c r="F6069" s="45">
        <v>19200</v>
      </c>
      <c r="G6069" t="s">
        <v>1463</v>
      </c>
      <c r="H6069" t="s">
        <v>1484</v>
      </c>
      <c r="I6069" t="s">
        <v>1821</v>
      </c>
      <c r="K6069" t="s">
        <v>2270</v>
      </c>
    </row>
    <row r="6070" spans="1:11" hidden="1" x14ac:dyDescent="0.3">
      <c r="A6070" s="46">
        <v>45348</v>
      </c>
      <c r="B6070" s="46" t="s">
        <v>722</v>
      </c>
      <c r="D6070" t="s">
        <v>1461</v>
      </c>
      <c r="E6070" s="46" t="s">
        <v>1436</v>
      </c>
      <c r="F6070" s="45">
        <v>19070</v>
      </c>
      <c r="G6070" t="s">
        <v>1466</v>
      </c>
      <c r="H6070" t="s">
        <v>1438</v>
      </c>
      <c r="I6070" t="s">
        <v>1439</v>
      </c>
      <c r="K6070" t="s">
        <v>1752</v>
      </c>
    </row>
    <row r="6071" spans="1:11" hidden="1" x14ac:dyDescent="0.3">
      <c r="A6071" s="46">
        <v>45314</v>
      </c>
      <c r="B6071" s="46" t="s">
        <v>729</v>
      </c>
      <c r="D6071" t="s">
        <v>1566</v>
      </c>
      <c r="E6071" s="46" t="s">
        <v>1436</v>
      </c>
      <c r="F6071" s="45">
        <v>19000</v>
      </c>
      <c r="G6071" t="s">
        <v>1471</v>
      </c>
      <c r="H6071" t="s">
        <v>1438</v>
      </c>
      <c r="I6071" t="s">
        <v>1439</v>
      </c>
      <c r="J6071">
        <v>2</v>
      </c>
    </row>
    <row r="6072" spans="1:11" hidden="1" x14ac:dyDescent="0.3">
      <c r="A6072" s="46">
        <v>45372</v>
      </c>
      <c r="B6072" s="46" t="s">
        <v>767</v>
      </c>
      <c r="D6072" s="31" t="s">
        <v>1692</v>
      </c>
      <c r="E6072" s="46" t="s">
        <v>1436</v>
      </c>
      <c r="F6072" s="45">
        <v>19000</v>
      </c>
      <c r="G6072" s="31" t="s">
        <v>1451</v>
      </c>
      <c r="H6072" s="31" t="s">
        <v>1438</v>
      </c>
      <c r="I6072" s="31" t="s">
        <v>1439</v>
      </c>
      <c r="J6072" s="31">
        <v>4</v>
      </c>
      <c r="K6072" s="31"/>
    </row>
    <row r="6073" spans="1:11" hidden="1" x14ac:dyDescent="0.3">
      <c r="A6073" s="46">
        <v>45384</v>
      </c>
      <c r="B6073" s="46" t="s">
        <v>722</v>
      </c>
      <c r="D6073" t="s">
        <v>1461</v>
      </c>
      <c r="E6073" s="46" t="s">
        <v>1436</v>
      </c>
      <c r="F6073" s="45">
        <v>18990</v>
      </c>
      <c r="G6073" t="s">
        <v>1466</v>
      </c>
      <c r="H6073" t="s">
        <v>1438</v>
      </c>
      <c r="I6073" t="s">
        <v>1439</v>
      </c>
      <c r="K6073" t="s">
        <v>2285</v>
      </c>
    </row>
    <row r="6074" spans="1:11" hidden="1" x14ac:dyDescent="0.3">
      <c r="A6074" s="46">
        <v>45397</v>
      </c>
      <c r="B6074" s="46" t="s">
        <v>722</v>
      </c>
      <c r="D6074" t="s">
        <v>1461</v>
      </c>
      <c r="E6074" s="46" t="s">
        <v>1436</v>
      </c>
      <c r="F6074" s="45">
        <v>18990</v>
      </c>
      <c r="G6074" t="s">
        <v>1437</v>
      </c>
      <c r="H6074" t="s">
        <v>1438</v>
      </c>
      <c r="I6074" t="s">
        <v>1439</v>
      </c>
      <c r="J6074">
        <v>3</v>
      </c>
      <c r="K6074" t="s">
        <v>2285</v>
      </c>
    </row>
    <row r="6075" spans="1:11" hidden="1" x14ac:dyDescent="0.3">
      <c r="A6075" s="46">
        <v>45419</v>
      </c>
      <c r="B6075" s="46" t="s">
        <v>722</v>
      </c>
      <c r="D6075" t="s">
        <v>1461</v>
      </c>
      <c r="E6075" s="46" t="s">
        <v>1436</v>
      </c>
      <c r="F6075" s="45">
        <v>18990</v>
      </c>
      <c r="G6075" t="s">
        <v>1466</v>
      </c>
      <c r="H6075" t="s">
        <v>1438</v>
      </c>
      <c r="I6075" t="s">
        <v>1439</v>
      </c>
      <c r="K6075" t="s">
        <v>2286</v>
      </c>
    </row>
    <row r="6076" spans="1:11" hidden="1" x14ac:dyDescent="0.3">
      <c r="A6076" s="46">
        <v>45355</v>
      </c>
      <c r="B6076" s="46" t="s">
        <v>722</v>
      </c>
      <c r="D6076" t="s">
        <v>1461</v>
      </c>
      <c r="E6076" s="46" t="s">
        <v>1436</v>
      </c>
      <c r="F6076" s="45">
        <v>18990</v>
      </c>
      <c r="G6076" t="s">
        <v>1466</v>
      </c>
      <c r="H6076" t="s">
        <v>1438</v>
      </c>
      <c r="I6076" t="s">
        <v>1439</v>
      </c>
      <c r="K6076" t="s">
        <v>1753</v>
      </c>
    </row>
    <row r="6077" spans="1:11" hidden="1" x14ac:dyDescent="0.3">
      <c r="A6077" s="46">
        <v>45481</v>
      </c>
      <c r="B6077" s="46" t="s">
        <v>722</v>
      </c>
      <c r="D6077" t="s">
        <v>1461</v>
      </c>
      <c r="E6077" s="46" t="s">
        <v>1436</v>
      </c>
      <c r="F6077" s="45">
        <v>18990</v>
      </c>
      <c r="G6077" t="s">
        <v>1466</v>
      </c>
      <c r="H6077" t="s">
        <v>1438</v>
      </c>
      <c r="I6077" t="s">
        <v>1439</v>
      </c>
      <c r="K6077" t="s">
        <v>2285</v>
      </c>
    </row>
    <row r="6078" spans="1:11" hidden="1" x14ac:dyDescent="0.3">
      <c r="A6078" s="46">
        <v>45397</v>
      </c>
      <c r="B6078" s="46" t="s">
        <v>722</v>
      </c>
      <c r="D6078" t="s">
        <v>1561</v>
      </c>
      <c r="E6078" s="46" t="s">
        <v>1436</v>
      </c>
      <c r="F6078" s="45">
        <v>18900</v>
      </c>
      <c r="G6078" t="s">
        <v>1437</v>
      </c>
      <c r="H6078" t="s">
        <v>1488</v>
      </c>
      <c r="I6078" t="s">
        <v>1489</v>
      </c>
    </row>
    <row r="6079" spans="1:11" hidden="1" x14ac:dyDescent="0.3">
      <c r="A6079" s="46">
        <v>45397</v>
      </c>
      <c r="B6079" s="46" t="s">
        <v>722</v>
      </c>
      <c r="D6079" t="s">
        <v>1561</v>
      </c>
      <c r="E6079" s="46" t="s">
        <v>1436</v>
      </c>
      <c r="F6079" s="45">
        <v>18900</v>
      </c>
      <c r="G6079" t="s">
        <v>1437</v>
      </c>
      <c r="H6079" t="s">
        <v>1488</v>
      </c>
      <c r="I6079" t="s">
        <v>1489</v>
      </c>
    </row>
    <row r="6080" spans="1:11" hidden="1" x14ac:dyDescent="0.3">
      <c r="A6080" s="46">
        <v>45401</v>
      </c>
      <c r="B6080" s="46" t="s">
        <v>767</v>
      </c>
      <c r="D6080" t="s">
        <v>1565</v>
      </c>
      <c r="E6080" s="46" t="s">
        <v>1436</v>
      </c>
      <c r="F6080" s="45">
        <v>18800</v>
      </c>
      <c r="G6080" t="s">
        <v>1460</v>
      </c>
      <c r="H6080" t="s">
        <v>1438</v>
      </c>
      <c r="I6080" t="s">
        <v>1439</v>
      </c>
      <c r="J6080">
        <v>2</v>
      </c>
    </row>
    <row r="6081" spans="1:11" hidden="1" x14ac:dyDescent="0.3">
      <c r="A6081" s="46">
        <v>45379</v>
      </c>
      <c r="B6081" s="46" t="s">
        <v>767</v>
      </c>
      <c r="D6081" t="s">
        <v>1544</v>
      </c>
      <c r="E6081" s="46" t="s">
        <v>1436</v>
      </c>
      <c r="F6081" s="45">
        <v>18800</v>
      </c>
      <c r="G6081" t="s">
        <v>1460</v>
      </c>
      <c r="H6081" t="s">
        <v>1438</v>
      </c>
      <c r="I6081" t="s">
        <v>1439</v>
      </c>
      <c r="J6081">
        <v>4</v>
      </c>
    </row>
    <row r="6082" spans="1:11" hidden="1" x14ac:dyDescent="0.3">
      <c r="A6082" s="46">
        <v>45317</v>
      </c>
      <c r="B6082" s="46" t="s">
        <v>729</v>
      </c>
      <c r="D6082" t="s">
        <v>1490</v>
      </c>
      <c r="E6082" s="46" t="s">
        <v>1436</v>
      </c>
      <c r="F6082" s="45">
        <v>18800</v>
      </c>
      <c r="G6082" t="s">
        <v>1471</v>
      </c>
      <c r="H6082" t="s">
        <v>1438</v>
      </c>
      <c r="I6082" t="s">
        <v>1454</v>
      </c>
      <c r="K6082" t="s">
        <v>1588</v>
      </c>
    </row>
    <row r="6083" spans="1:11" hidden="1" x14ac:dyDescent="0.3">
      <c r="A6083" s="46">
        <v>45299</v>
      </c>
      <c r="B6083" s="46" t="s">
        <v>724</v>
      </c>
      <c r="D6083" t="s">
        <v>1508</v>
      </c>
      <c r="E6083" s="46" t="s">
        <v>1436</v>
      </c>
      <c r="F6083" s="45">
        <v>18700</v>
      </c>
      <c r="G6083" t="s">
        <v>1479</v>
      </c>
      <c r="H6083" t="s">
        <v>1468</v>
      </c>
      <c r="I6083" t="s">
        <v>1487</v>
      </c>
      <c r="K6083" t="s">
        <v>1754</v>
      </c>
    </row>
    <row r="6084" spans="1:11" hidden="1" x14ac:dyDescent="0.3">
      <c r="A6084" s="46">
        <v>45450</v>
      </c>
      <c r="B6084" s="46" t="s">
        <v>724</v>
      </c>
      <c r="D6084" t="s">
        <v>1101</v>
      </c>
      <c r="E6084" s="46" t="s">
        <v>1436</v>
      </c>
      <c r="F6084" s="45">
        <v>18700</v>
      </c>
      <c r="G6084" t="s">
        <v>1466</v>
      </c>
      <c r="H6084" t="s">
        <v>1442</v>
      </c>
      <c r="I6084" t="s">
        <v>1458</v>
      </c>
      <c r="K6084" t="s">
        <v>2287</v>
      </c>
    </row>
    <row r="6085" spans="1:11" hidden="1" x14ac:dyDescent="0.3">
      <c r="A6085" s="46">
        <v>45419</v>
      </c>
      <c r="B6085" s="46" t="s">
        <v>722</v>
      </c>
      <c r="D6085" t="s">
        <v>1440</v>
      </c>
      <c r="E6085" s="46" t="s">
        <v>1436</v>
      </c>
      <c r="F6085" s="45">
        <v>18530</v>
      </c>
      <c r="G6085" t="s">
        <v>1437</v>
      </c>
      <c r="H6085" t="s">
        <v>1442</v>
      </c>
      <c r="I6085" t="s">
        <v>1458</v>
      </c>
      <c r="K6085" t="s">
        <v>2288</v>
      </c>
    </row>
    <row r="6086" spans="1:11" hidden="1" x14ac:dyDescent="0.3">
      <c r="A6086" s="46">
        <v>45337</v>
      </c>
      <c r="B6086" s="46" t="s">
        <v>734</v>
      </c>
      <c r="D6086" t="s">
        <v>1512</v>
      </c>
      <c r="E6086" s="46" t="s">
        <v>1436</v>
      </c>
      <c r="F6086" s="45">
        <v>18000</v>
      </c>
      <c r="G6086" t="s">
        <v>1480</v>
      </c>
      <c r="H6086" t="s">
        <v>1438</v>
      </c>
      <c r="I6086" t="s">
        <v>1456</v>
      </c>
      <c r="J6086">
        <v>1</v>
      </c>
      <c r="K6086" t="s">
        <v>1683</v>
      </c>
    </row>
    <row r="6087" spans="1:11" hidden="1" x14ac:dyDescent="0.3">
      <c r="A6087" s="46">
        <v>45442</v>
      </c>
      <c r="B6087" s="46" t="s">
        <v>767</v>
      </c>
      <c r="D6087" t="s">
        <v>1580</v>
      </c>
      <c r="E6087" s="46" t="s">
        <v>1436</v>
      </c>
      <c r="F6087" s="45">
        <v>18000</v>
      </c>
      <c r="G6087" t="s">
        <v>1460</v>
      </c>
      <c r="H6087" t="s">
        <v>1438</v>
      </c>
      <c r="I6087" t="s">
        <v>1439</v>
      </c>
      <c r="J6087">
        <v>3</v>
      </c>
    </row>
    <row r="6088" spans="1:11" hidden="1" x14ac:dyDescent="0.3">
      <c r="A6088" s="46">
        <v>45462</v>
      </c>
      <c r="B6088" s="46" t="s">
        <v>767</v>
      </c>
      <c r="D6088" t="s">
        <v>2289</v>
      </c>
      <c r="E6088" s="46" t="s">
        <v>1436</v>
      </c>
      <c r="F6088" s="45">
        <v>18000</v>
      </c>
      <c r="G6088" t="s">
        <v>1460</v>
      </c>
      <c r="H6088" t="s">
        <v>1484</v>
      </c>
      <c r="I6088" t="s">
        <v>1821</v>
      </c>
      <c r="K6088" t="s">
        <v>2290</v>
      </c>
    </row>
    <row r="6089" spans="1:11" hidden="1" x14ac:dyDescent="0.3">
      <c r="A6089" s="46">
        <v>45464</v>
      </c>
      <c r="B6089" s="46" t="s">
        <v>821</v>
      </c>
      <c r="D6089" t="s">
        <v>2230</v>
      </c>
      <c r="E6089" s="46" t="s">
        <v>1436</v>
      </c>
      <c r="F6089" s="45">
        <v>18000</v>
      </c>
      <c r="G6089" t="s">
        <v>1509</v>
      </c>
      <c r="H6089" t="s">
        <v>1438</v>
      </c>
      <c r="I6089" t="s">
        <v>1439</v>
      </c>
      <c r="J6089">
        <v>2</v>
      </c>
    </row>
    <row r="6090" spans="1:11" hidden="1" x14ac:dyDescent="0.3">
      <c r="A6090" s="46">
        <v>45341</v>
      </c>
      <c r="B6090" s="46" t="s">
        <v>722</v>
      </c>
      <c r="D6090" t="s">
        <v>1461</v>
      </c>
      <c r="E6090" s="46" t="s">
        <v>1436</v>
      </c>
      <c r="F6090" s="45">
        <v>17990</v>
      </c>
      <c r="G6090" t="s">
        <v>1466</v>
      </c>
      <c r="H6090" t="s">
        <v>1438</v>
      </c>
      <c r="I6090" t="s">
        <v>1439</v>
      </c>
      <c r="K6090" t="s">
        <v>1755</v>
      </c>
    </row>
    <row r="6091" spans="1:11" hidden="1" x14ac:dyDescent="0.3">
      <c r="A6091" s="46">
        <v>45337</v>
      </c>
      <c r="B6091" s="46" t="s">
        <v>727</v>
      </c>
      <c r="D6091" t="s">
        <v>1544</v>
      </c>
      <c r="E6091" s="46" t="s">
        <v>1436</v>
      </c>
      <c r="F6091" s="45">
        <v>17850</v>
      </c>
      <c r="G6091" t="s">
        <v>1463</v>
      </c>
      <c r="H6091" t="s">
        <v>1438</v>
      </c>
      <c r="I6091" t="s">
        <v>1439</v>
      </c>
      <c r="J6091">
        <v>4</v>
      </c>
    </row>
    <row r="6092" spans="1:11" hidden="1" x14ac:dyDescent="0.3">
      <c r="A6092" s="46">
        <v>45461</v>
      </c>
      <c r="B6092" s="46" t="s">
        <v>722</v>
      </c>
      <c r="D6092" t="s">
        <v>1561</v>
      </c>
      <c r="E6092" s="46" t="s">
        <v>1436</v>
      </c>
      <c r="F6092" s="45">
        <v>17820</v>
      </c>
      <c r="G6092" t="s">
        <v>1437</v>
      </c>
      <c r="H6092" t="s">
        <v>1488</v>
      </c>
      <c r="I6092" t="s">
        <v>1489</v>
      </c>
    </row>
    <row r="6093" spans="1:11" hidden="1" x14ac:dyDescent="0.3">
      <c r="A6093" s="46">
        <v>45446</v>
      </c>
      <c r="B6093" s="46" t="s">
        <v>722</v>
      </c>
      <c r="D6093" t="s">
        <v>1561</v>
      </c>
      <c r="E6093" s="46" t="s">
        <v>1436</v>
      </c>
      <c r="F6093" s="45">
        <v>17820</v>
      </c>
      <c r="G6093" t="s">
        <v>1466</v>
      </c>
      <c r="H6093" t="s">
        <v>1488</v>
      </c>
      <c r="I6093" t="s">
        <v>1489</v>
      </c>
    </row>
    <row r="6094" spans="1:11" hidden="1" x14ac:dyDescent="0.3">
      <c r="A6094" s="46">
        <v>45428</v>
      </c>
      <c r="B6094" s="46" t="s">
        <v>734</v>
      </c>
      <c r="D6094" t="s">
        <v>1595</v>
      </c>
      <c r="E6094" s="46" t="s">
        <v>1436</v>
      </c>
      <c r="F6094" s="45">
        <v>17700</v>
      </c>
      <c r="G6094" t="s">
        <v>1441</v>
      </c>
      <c r="H6094" t="s">
        <v>1438</v>
      </c>
      <c r="I6094" t="s">
        <v>1439</v>
      </c>
      <c r="J6094">
        <v>4</v>
      </c>
    </row>
    <row r="6095" spans="1:11" hidden="1" x14ac:dyDescent="0.3">
      <c r="A6095" s="46">
        <v>45330</v>
      </c>
      <c r="B6095" s="46" t="s">
        <v>724</v>
      </c>
      <c r="D6095" t="s">
        <v>1057</v>
      </c>
      <c r="E6095" s="46" t="s">
        <v>1436</v>
      </c>
      <c r="F6095" s="45">
        <v>17600</v>
      </c>
      <c r="G6095" t="s">
        <v>1437</v>
      </c>
      <c r="H6095" t="s">
        <v>1438</v>
      </c>
      <c r="I6095" t="s">
        <v>1439</v>
      </c>
      <c r="J6095">
        <v>3</v>
      </c>
    </row>
    <row r="6096" spans="1:11" hidden="1" x14ac:dyDescent="0.3">
      <c r="A6096" s="46">
        <v>45376</v>
      </c>
      <c r="B6096" s="46" t="s">
        <v>722</v>
      </c>
      <c r="D6096" t="s">
        <v>1461</v>
      </c>
      <c r="E6096" s="46" t="s">
        <v>1436</v>
      </c>
      <c r="F6096" s="45">
        <v>17560</v>
      </c>
      <c r="G6096" t="s">
        <v>1466</v>
      </c>
      <c r="H6096" t="s">
        <v>1438</v>
      </c>
      <c r="I6096" t="s">
        <v>1439</v>
      </c>
      <c r="K6096" t="s">
        <v>1858</v>
      </c>
    </row>
    <row r="6097" spans="1:11" hidden="1" x14ac:dyDescent="0.3">
      <c r="A6097" s="46">
        <v>45294</v>
      </c>
      <c r="B6097" s="46" t="s">
        <v>748</v>
      </c>
      <c r="D6097" t="s">
        <v>1596</v>
      </c>
      <c r="E6097" s="46" t="s">
        <v>1436</v>
      </c>
      <c r="F6097" s="45">
        <v>17500</v>
      </c>
      <c r="G6097" t="s">
        <v>1463</v>
      </c>
      <c r="H6097" t="s">
        <v>1438</v>
      </c>
      <c r="I6097" t="s">
        <v>1439</v>
      </c>
      <c r="J6097">
        <v>3</v>
      </c>
      <c r="K6097">
        <v>0</v>
      </c>
    </row>
    <row r="6098" spans="1:11" hidden="1" x14ac:dyDescent="0.3">
      <c r="A6098" s="46">
        <v>45420</v>
      </c>
      <c r="B6098" s="46" t="s">
        <v>724</v>
      </c>
      <c r="D6098" t="s">
        <v>755</v>
      </c>
      <c r="E6098" s="46" t="s">
        <v>1436</v>
      </c>
      <c r="F6098" s="45">
        <v>17370</v>
      </c>
      <c r="G6098" t="s">
        <v>1437</v>
      </c>
      <c r="H6098" t="s">
        <v>1438</v>
      </c>
      <c r="I6098" t="s">
        <v>1439</v>
      </c>
      <c r="J6098">
        <v>4</v>
      </c>
    </row>
    <row r="6099" spans="1:11" hidden="1" x14ac:dyDescent="0.3">
      <c r="A6099" s="46">
        <v>45471</v>
      </c>
      <c r="B6099" s="46" t="s">
        <v>734</v>
      </c>
      <c r="D6099" t="s">
        <v>1552</v>
      </c>
      <c r="E6099" s="46" t="s">
        <v>1436</v>
      </c>
      <c r="F6099" s="45">
        <v>17280</v>
      </c>
      <c r="G6099" t="s">
        <v>1441</v>
      </c>
      <c r="H6099" t="s">
        <v>1438</v>
      </c>
      <c r="I6099" t="s">
        <v>1439</v>
      </c>
      <c r="J6099">
        <v>4</v>
      </c>
    </row>
    <row r="6100" spans="1:11" hidden="1" x14ac:dyDescent="0.3">
      <c r="A6100" s="46">
        <v>45462</v>
      </c>
      <c r="B6100" s="46" t="s">
        <v>724</v>
      </c>
      <c r="D6100" t="s">
        <v>2080</v>
      </c>
      <c r="E6100" s="46" t="s">
        <v>1436</v>
      </c>
      <c r="F6100" s="45">
        <v>17000</v>
      </c>
      <c r="G6100" t="s">
        <v>1463</v>
      </c>
      <c r="H6100" t="s">
        <v>1438</v>
      </c>
      <c r="I6100" t="s">
        <v>1439</v>
      </c>
      <c r="J6100">
        <v>2</v>
      </c>
    </row>
    <row r="6101" spans="1:11" hidden="1" x14ac:dyDescent="0.3">
      <c r="A6101" s="46">
        <v>45464</v>
      </c>
      <c r="B6101" s="46" t="s">
        <v>734</v>
      </c>
      <c r="D6101" t="s">
        <v>1868</v>
      </c>
      <c r="E6101" s="46" t="s">
        <v>1436</v>
      </c>
      <c r="F6101" s="45">
        <v>17000</v>
      </c>
      <c r="G6101" t="s">
        <v>1441</v>
      </c>
      <c r="H6101" t="s">
        <v>1438</v>
      </c>
      <c r="I6101" t="s">
        <v>1439</v>
      </c>
      <c r="J6101">
        <v>2</v>
      </c>
    </row>
    <row r="6102" spans="1:11" hidden="1" x14ac:dyDescent="0.3">
      <c r="A6102" s="46">
        <v>45408</v>
      </c>
      <c r="B6102" s="46" t="s">
        <v>727</v>
      </c>
      <c r="D6102" t="s">
        <v>1868</v>
      </c>
      <c r="E6102" s="46" t="s">
        <v>1436</v>
      </c>
      <c r="F6102" s="45">
        <v>17000</v>
      </c>
      <c r="G6102" t="s">
        <v>1463</v>
      </c>
      <c r="H6102" t="s">
        <v>1438</v>
      </c>
      <c r="I6102" t="s">
        <v>1439</v>
      </c>
      <c r="J6102">
        <v>2</v>
      </c>
    </row>
    <row r="6103" spans="1:11" hidden="1" x14ac:dyDescent="0.3">
      <c r="A6103" s="46">
        <v>45399</v>
      </c>
      <c r="B6103" s="46" t="s">
        <v>767</v>
      </c>
      <c r="D6103" t="s">
        <v>1868</v>
      </c>
      <c r="E6103" s="46" t="s">
        <v>1436</v>
      </c>
      <c r="F6103" s="45">
        <v>17000</v>
      </c>
      <c r="G6103" t="s">
        <v>1437</v>
      </c>
      <c r="H6103" t="s">
        <v>1438</v>
      </c>
      <c r="I6103" t="s">
        <v>1439</v>
      </c>
      <c r="J6103">
        <v>2</v>
      </c>
    </row>
    <row r="6104" spans="1:11" hidden="1" x14ac:dyDescent="0.3">
      <c r="A6104" s="46">
        <v>45383</v>
      </c>
      <c r="B6104" s="46" t="s">
        <v>748</v>
      </c>
      <c r="D6104" t="s">
        <v>1192</v>
      </c>
      <c r="E6104" s="46" t="s">
        <v>1436</v>
      </c>
      <c r="F6104" s="45">
        <v>17000</v>
      </c>
      <c r="G6104" t="s">
        <v>1483</v>
      </c>
      <c r="H6104" t="s">
        <v>1438</v>
      </c>
      <c r="I6104" t="s">
        <v>1493</v>
      </c>
    </row>
    <row r="6105" spans="1:11" hidden="1" x14ac:dyDescent="0.3">
      <c r="A6105" s="46">
        <v>45380</v>
      </c>
      <c r="B6105" s="46" t="s">
        <v>734</v>
      </c>
      <c r="D6105" t="s">
        <v>1868</v>
      </c>
      <c r="E6105" s="46" t="s">
        <v>1436</v>
      </c>
      <c r="F6105" s="45">
        <v>17000</v>
      </c>
      <c r="G6105" t="s">
        <v>1441</v>
      </c>
      <c r="H6105" t="s">
        <v>1438</v>
      </c>
      <c r="I6105" t="s">
        <v>1439</v>
      </c>
      <c r="J6105">
        <v>2</v>
      </c>
    </row>
    <row r="6106" spans="1:11" hidden="1" x14ac:dyDescent="0.3">
      <c r="A6106" s="46">
        <v>45393</v>
      </c>
      <c r="B6106" s="46" t="s">
        <v>748</v>
      </c>
      <c r="D6106" t="s">
        <v>1554</v>
      </c>
      <c r="E6106" s="46" t="s">
        <v>1436</v>
      </c>
      <c r="F6106" s="45">
        <v>17000</v>
      </c>
      <c r="G6106" t="s">
        <v>1483</v>
      </c>
      <c r="H6106" t="s">
        <v>1438</v>
      </c>
      <c r="I6106" t="s">
        <v>1439</v>
      </c>
    </row>
    <row r="6107" spans="1:11" hidden="1" x14ac:dyDescent="0.3">
      <c r="A6107" s="46">
        <v>45302</v>
      </c>
      <c r="B6107" s="46" t="s">
        <v>734</v>
      </c>
      <c r="D6107" t="s">
        <v>1590</v>
      </c>
      <c r="E6107" s="46" t="s">
        <v>1436</v>
      </c>
      <c r="F6107" s="45">
        <v>16900</v>
      </c>
      <c r="G6107" t="s">
        <v>1441</v>
      </c>
      <c r="H6107" t="s">
        <v>1438</v>
      </c>
      <c r="I6107" t="s">
        <v>1439</v>
      </c>
      <c r="J6107">
        <v>3</v>
      </c>
    </row>
    <row r="6108" spans="1:11" hidden="1" x14ac:dyDescent="0.3">
      <c r="A6108" s="46">
        <v>45420</v>
      </c>
      <c r="B6108" s="46" t="s">
        <v>761</v>
      </c>
      <c r="D6108" t="s">
        <v>1505</v>
      </c>
      <c r="E6108" s="46" t="s">
        <v>1436</v>
      </c>
      <c r="F6108" s="45">
        <v>16800</v>
      </c>
      <c r="G6108" t="s">
        <v>1457</v>
      </c>
      <c r="H6108" t="s">
        <v>1484</v>
      </c>
      <c r="I6108" t="s">
        <v>1506</v>
      </c>
    </row>
    <row r="6109" spans="1:11" hidden="1" x14ac:dyDescent="0.3">
      <c r="A6109" s="46">
        <v>45477</v>
      </c>
      <c r="B6109" s="46" t="s">
        <v>727</v>
      </c>
      <c r="D6109" t="s">
        <v>2395</v>
      </c>
      <c r="E6109" s="46" t="s">
        <v>1436</v>
      </c>
      <c r="F6109" s="45">
        <v>16700</v>
      </c>
      <c r="G6109" t="s">
        <v>1463</v>
      </c>
      <c r="H6109" t="s">
        <v>1438</v>
      </c>
      <c r="I6109" t="s">
        <v>1439</v>
      </c>
      <c r="J6109">
        <v>4</v>
      </c>
    </row>
    <row r="6110" spans="1:11" hidden="1" x14ac:dyDescent="0.3">
      <c r="A6110" s="46">
        <v>45351</v>
      </c>
      <c r="B6110" s="46" t="s">
        <v>722</v>
      </c>
      <c r="D6110" t="s">
        <v>1544</v>
      </c>
      <c r="E6110" s="46" t="s">
        <v>1436</v>
      </c>
      <c r="F6110" s="45">
        <v>16520</v>
      </c>
      <c r="G6110" t="s">
        <v>1462</v>
      </c>
      <c r="H6110" t="s">
        <v>1438</v>
      </c>
      <c r="I6110" t="s">
        <v>1439</v>
      </c>
      <c r="J6110">
        <v>5</v>
      </c>
    </row>
    <row r="6111" spans="1:11" hidden="1" x14ac:dyDescent="0.3">
      <c r="A6111" s="46">
        <v>45463</v>
      </c>
      <c r="B6111" s="46" t="s">
        <v>767</v>
      </c>
      <c r="D6111" t="s">
        <v>2159</v>
      </c>
      <c r="E6111" s="46" t="s">
        <v>1436</v>
      </c>
      <c r="F6111" s="45">
        <v>16500</v>
      </c>
      <c r="G6111" t="s">
        <v>1460</v>
      </c>
      <c r="H6111" t="s">
        <v>1484</v>
      </c>
      <c r="I6111" t="s">
        <v>1821</v>
      </c>
      <c r="K6111" t="s">
        <v>2290</v>
      </c>
    </row>
    <row r="6112" spans="1:11" hidden="1" x14ac:dyDescent="0.3">
      <c r="A6112" s="46">
        <v>45462</v>
      </c>
      <c r="B6112" s="46" t="s">
        <v>767</v>
      </c>
      <c r="D6112" t="s">
        <v>2159</v>
      </c>
      <c r="E6112" s="46" t="s">
        <v>1436</v>
      </c>
      <c r="F6112" s="45">
        <v>16500</v>
      </c>
      <c r="G6112" t="s">
        <v>1460</v>
      </c>
      <c r="H6112" t="s">
        <v>1484</v>
      </c>
      <c r="I6112" t="s">
        <v>1821</v>
      </c>
      <c r="K6112" t="s">
        <v>2290</v>
      </c>
    </row>
    <row r="6113" spans="1:11" hidden="1" x14ac:dyDescent="0.3">
      <c r="A6113" s="46">
        <v>45454</v>
      </c>
      <c r="B6113" s="46" t="s">
        <v>734</v>
      </c>
      <c r="D6113" t="s">
        <v>1597</v>
      </c>
      <c r="E6113" s="46" t="s">
        <v>1436</v>
      </c>
      <c r="F6113" s="45">
        <v>16400</v>
      </c>
      <c r="G6113" t="s">
        <v>1441</v>
      </c>
      <c r="H6113" t="s">
        <v>1499</v>
      </c>
      <c r="I6113" t="s">
        <v>1587</v>
      </c>
    </row>
    <row r="6114" spans="1:11" hidden="1" x14ac:dyDescent="0.3">
      <c r="A6114" s="46">
        <v>45336</v>
      </c>
      <c r="B6114" s="46" t="s">
        <v>734</v>
      </c>
      <c r="D6114" t="s">
        <v>1597</v>
      </c>
      <c r="E6114" s="46" t="s">
        <v>1436</v>
      </c>
      <c r="F6114" s="45">
        <v>16400</v>
      </c>
      <c r="G6114" t="s">
        <v>1441</v>
      </c>
      <c r="H6114" t="s">
        <v>1499</v>
      </c>
      <c r="I6114" t="s">
        <v>1587</v>
      </c>
    </row>
    <row r="6115" spans="1:11" hidden="1" x14ac:dyDescent="0.3">
      <c r="A6115" s="46">
        <v>45301</v>
      </c>
      <c r="B6115" s="46" t="s">
        <v>734</v>
      </c>
      <c r="D6115" t="s">
        <v>1597</v>
      </c>
      <c r="E6115" s="46" t="s">
        <v>1436</v>
      </c>
      <c r="F6115" s="45">
        <v>16400</v>
      </c>
      <c r="G6115" t="s">
        <v>1441</v>
      </c>
      <c r="H6115" t="s">
        <v>1499</v>
      </c>
      <c r="I6115" t="s">
        <v>1587</v>
      </c>
      <c r="K6115" t="s">
        <v>1598</v>
      </c>
    </row>
    <row r="6116" spans="1:11" hidden="1" x14ac:dyDescent="0.3">
      <c r="A6116" s="46">
        <v>45422</v>
      </c>
      <c r="B6116" s="46" t="s">
        <v>734</v>
      </c>
      <c r="D6116" t="s">
        <v>1597</v>
      </c>
      <c r="E6116" s="46" t="s">
        <v>1436</v>
      </c>
      <c r="F6116" s="45">
        <v>16400</v>
      </c>
      <c r="G6116" t="s">
        <v>1441</v>
      </c>
      <c r="H6116" t="s">
        <v>1499</v>
      </c>
      <c r="I6116" t="s">
        <v>1587</v>
      </c>
    </row>
    <row r="6117" spans="1:11" hidden="1" x14ac:dyDescent="0.3">
      <c r="A6117" s="46">
        <v>45392</v>
      </c>
      <c r="B6117" s="46" t="s">
        <v>734</v>
      </c>
      <c r="D6117" t="s">
        <v>1597</v>
      </c>
      <c r="E6117" s="46" t="s">
        <v>1436</v>
      </c>
      <c r="F6117" s="45">
        <v>16400</v>
      </c>
      <c r="G6117" t="s">
        <v>1441</v>
      </c>
      <c r="H6117" t="s">
        <v>1499</v>
      </c>
      <c r="I6117" t="s">
        <v>1587</v>
      </c>
    </row>
    <row r="6118" spans="1:11" hidden="1" x14ac:dyDescent="0.3">
      <c r="A6118" s="46">
        <v>45363</v>
      </c>
      <c r="B6118" s="46" t="s">
        <v>734</v>
      </c>
      <c r="D6118" t="s">
        <v>1597</v>
      </c>
      <c r="E6118" s="46" t="s">
        <v>1436</v>
      </c>
      <c r="F6118" s="45">
        <v>16400</v>
      </c>
      <c r="G6118" t="s">
        <v>1441</v>
      </c>
      <c r="H6118" t="s">
        <v>1499</v>
      </c>
      <c r="I6118" t="s">
        <v>1587</v>
      </c>
    </row>
    <row r="6119" spans="1:11" hidden="1" x14ac:dyDescent="0.3">
      <c r="A6119" s="46">
        <v>45407</v>
      </c>
      <c r="B6119" s="46" t="s">
        <v>734</v>
      </c>
      <c r="D6119" t="s">
        <v>1590</v>
      </c>
      <c r="E6119" s="46" t="s">
        <v>1436</v>
      </c>
      <c r="F6119" s="45">
        <v>16300</v>
      </c>
      <c r="G6119" t="s">
        <v>1441</v>
      </c>
      <c r="H6119" t="s">
        <v>1438</v>
      </c>
      <c r="I6119" t="s">
        <v>1439</v>
      </c>
      <c r="J6119">
        <v>4</v>
      </c>
    </row>
    <row r="6120" spans="1:11" hidden="1" x14ac:dyDescent="0.3">
      <c r="A6120" s="46">
        <v>45397</v>
      </c>
      <c r="B6120" s="46" t="s">
        <v>727</v>
      </c>
      <c r="D6120" t="s">
        <v>1552</v>
      </c>
      <c r="E6120" s="46" t="s">
        <v>1436</v>
      </c>
      <c r="F6120" s="45">
        <v>16200</v>
      </c>
      <c r="G6120" t="s">
        <v>1463</v>
      </c>
      <c r="H6120" t="s">
        <v>1444</v>
      </c>
      <c r="I6120" t="s">
        <v>2170</v>
      </c>
      <c r="K6120" t="s">
        <v>2291</v>
      </c>
    </row>
    <row r="6121" spans="1:11" hidden="1" x14ac:dyDescent="0.3">
      <c r="A6121" s="46">
        <v>45397</v>
      </c>
      <c r="B6121" s="46" t="s">
        <v>727</v>
      </c>
      <c r="D6121" t="s">
        <v>1552</v>
      </c>
      <c r="E6121" s="46" t="s">
        <v>1436</v>
      </c>
      <c r="F6121" s="45">
        <v>16200</v>
      </c>
      <c r="G6121" t="s">
        <v>1463</v>
      </c>
      <c r="H6121" t="s">
        <v>1444</v>
      </c>
      <c r="I6121" t="s">
        <v>2170</v>
      </c>
      <c r="K6121" t="s">
        <v>2291</v>
      </c>
    </row>
    <row r="6122" spans="1:11" hidden="1" x14ac:dyDescent="0.3">
      <c r="A6122" s="46">
        <v>45293</v>
      </c>
      <c r="B6122" s="46" t="s">
        <v>724</v>
      </c>
      <c r="D6122" t="s">
        <v>755</v>
      </c>
      <c r="E6122" s="46" t="s">
        <v>1436</v>
      </c>
      <c r="F6122" s="45">
        <v>16200</v>
      </c>
      <c r="G6122" t="s">
        <v>1437</v>
      </c>
      <c r="H6122" t="s">
        <v>1438</v>
      </c>
      <c r="I6122" t="s">
        <v>1439</v>
      </c>
      <c r="J6122">
        <v>4</v>
      </c>
    </row>
    <row r="6123" spans="1:11" hidden="1" x14ac:dyDescent="0.3">
      <c r="A6123" s="46">
        <v>45336</v>
      </c>
      <c r="B6123" s="46" t="s">
        <v>724</v>
      </c>
      <c r="D6123" t="s">
        <v>755</v>
      </c>
      <c r="E6123" s="46" t="s">
        <v>1436</v>
      </c>
      <c r="F6123" s="45">
        <v>16200</v>
      </c>
      <c r="G6123" t="s">
        <v>1437</v>
      </c>
      <c r="H6123" t="s">
        <v>1438</v>
      </c>
      <c r="I6123" t="s">
        <v>1439</v>
      </c>
      <c r="J6123">
        <v>4</v>
      </c>
    </row>
    <row r="6124" spans="1:11" hidden="1" x14ac:dyDescent="0.3">
      <c r="A6124" s="46">
        <v>45441</v>
      </c>
      <c r="B6124" s="46" t="s">
        <v>724</v>
      </c>
      <c r="D6124" t="s">
        <v>755</v>
      </c>
      <c r="E6124" s="46" t="s">
        <v>1436</v>
      </c>
      <c r="F6124" s="45">
        <v>16200</v>
      </c>
      <c r="G6124" t="s">
        <v>1437</v>
      </c>
      <c r="H6124" t="s">
        <v>1438</v>
      </c>
      <c r="I6124" t="s">
        <v>1439</v>
      </c>
      <c r="J6124">
        <v>4</v>
      </c>
    </row>
    <row r="6125" spans="1:11" hidden="1" x14ac:dyDescent="0.3">
      <c r="A6125" s="46">
        <v>45458</v>
      </c>
      <c r="B6125" s="46" t="s">
        <v>761</v>
      </c>
      <c r="D6125" t="s">
        <v>2035</v>
      </c>
      <c r="E6125" s="46" t="s">
        <v>1436</v>
      </c>
      <c r="F6125" s="45">
        <v>16020</v>
      </c>
      <c r="G6125" t="s">
        <v>1457</v>
      </c>
      <c r="H6125" t="s">
        <v>1488</v>
      </c>
      <c r="I6125" t="s">
        <v>1489</v>
      </c>
    </row>
    <row r="6126" spans="1:11" hidden="1" x14ac:dyDescent="0.3">
      <c r="A6126" s="46">
        <v>45461</v>
      </c>
      <c r="B6126" s="46" t="s">
        <v>767</v>
      </c>
      <c r="D6126" t="s">
        <v>1565</v>
      </c>
      <c r="E6126" s="46" t="s">
        <v>1436</v>
      </c>
      <c r="F6126" s="45">
        <v>16000</v>
      </c>
      <c r="G6126" t="s">
        <v>1460</v>
      </c>
      <c r="H6126" t="s">
        <v>1438</v>
      </c>
      <c r="I6126" t="s">
        <v>1439</v>
      </c>
      <c r="J6126">
        <v>4</v>
      </c>
      <c r="K6126" t="s">
        <v>2256</v>
      </c>
    </row>
    <row r="6127" spans="1:11" hidden="1" x14ac:dyDescent="0.3">
      <c r="A6127" s="46">
        <v>45300</v>
      </c>
      <c r="B6127" s="46" t="s">
        <v>727</v>
      </c>
      <c r="D6127" t="s">
        <v>1541</v>
      </c>
      <c r="E6127" s="46" t="s">
        <v>1436</v>
      </c>
      <c r="F6127" s="45">
        <v>16000</v>
      </c>
      <c r="G6127" t="s">
        <v>1463</v>
      </c>
      <c r="H6127" t="s">
        <v>1438</v>
      </c>
      <c r="I6127" t="s">
        <v>1439</v>
      </c>
      <c r="J6127">
        <v>2</v>
      </c>
    </row>
    <row r="6128" spans="1:11" hidden="1" x14ac:dyDescent="0.3">
      <c r="A6128" s="46">
        <v>45404</v>
      </c>
      <c r="B6128" s="46" t="s">
        <v>729</v>
      </c>
      <c r="D6128" t="s">
        <v>1461</v>
      </c>
      <c r="E6128" s="46" t="s">
        <v>1436</v>
      </c>
      <c r="F6128" s="45">
        <v>15980</v>
      </c>
      <c r="G6128" t="s">
        <v>1471</v>
      </c>
      <c r="H6128" t="s">
        <v>1442</v>
      </c>
      <c r="I6128" t="s">
        <v>1458</v>
      </c>
      <c r="K6128" t="s">
        <v>1585</v>
      </c>
    </row>
    <row r="6129" spans="1:11" hidden="1" x14ac:dyDescent="0.3">
      <c r="A6129" s="46">
        <v>45335</v>
      </c>
      <c r="B6129" s="46" t="s">
        <v>727</v>
      </c>
      <c r="D6129" t="s">
        <v>765</v>
      </c>
      <c r="E6129" s="46" t="s">
        <v>1436</v>
      </c>
      <c r="F6129" s="45">
        <v>15920</v>
      </c>
      <c r="G6129" t="s">
        <v>1460</v>
      </c>
      <c r="H6129" t="s">
        <v>1438</v>
      </c>
      <c r="I6129" t="s">
        <v>1439</v>
      </c>
      <c r="K6129" t="s">
        <v>1663</v>
      </c>
    </row>
    <row r="6130" spans="1:11" hidden="1" x14ac:dyDescent="0.3">
      <c r="A6130" s="46">
        <v>45379</v>
      </c>
      <c r="B6130" s="46" t="s">
        <v>727</v>
      </c>
      <c r="D6130" t="s">
        <v>1595</v>
      </c>
      <c r="E6130" s="46" t="s">
        <v>1436</v>
      </c>
      <c r="F6130" s="45">
        <v>15700</v>
      </c>
      <c r="G6130" t="s">
        <v>1463</v>
      </c>
      <c r="H6130" t="s">
        <v>1438</v>
      </c>
      <c r="I6130" t="s">
        <v>1439</v>
      </c>
      <c r="J6130">
        <v>3</v>
      </c>
    </row>
    <row r="6131" spans="1:11" hidden="1" x14ac:dyDescent="0.3">
      <c r="A6131" s="46">
        <v>45335</v>
      </c>
      <c r="B6131" s="46" t="s">
        <v>729</v>
      </c>
      <c r="D6131" t="s">
        <v>1461</v>
      </c>
      <c r="E6131" s="46" t="s">
        <v>1436</v>
      </c>
      <c r="F6131" s="45">
        <v>15680</v>
      </c>
      <c r="G6131" t="s">
        <v>1471</v>
      </c>
      <c r="H6131" t="s">
        <v>1442</v>
      </c>
      <c r="I6131" t="s">
        <v>1458</v>
      </c>
      <c r="K6131" t="s">
        <v>1585</v>
      </c>
    </row>
    <row r="6132" spans="1:11" hidden="1" x14ac:dyDescent="0.3">
      <c r="A6132" s="46">
        <v>45370</v>
      </c>
      <c r="B6132" s="46" t="s">
        <v>729</v>
      </c>
      <c r="D6132" t="s">
        <v>1461</v>
      </c>
      <c r="E6132" s="46" t="s">
        <v>1436</v>
      </c>
      <c r="F6132" s="45">
        <v>15610</v>
      </c>
      <c r="G6132" t="s">
        <v>1471</v>
      </c>
      <c r="H6132" t="s">
        <v>1442</v>
      </c>
      <c r="I6132" t="s">
        <v>1458</v>
      </c>
      <c r="K6132" t="s">
        <v>1585</v>
      </c>
    </row>
    <row r="6133" spans="1:11" hidden="1" x14ac:dyDescent="0.3">
      <c r="A6133" s="46">
        <v>45310</v>
      </c>
      <c r="B6133" s="46" t="s">
        <v>734</v>
      </c>
      <c r="D6133" t="s">
        <v>1461</v>
      </c>
      <c r="E6133" s="46" t="s">
        <v>1436</v>
      </c>
      <c r="F6133" s="45">
        <v>15500</v>
      </c>
      <c r="G6133" t="s">
        <v>1441</v>
      </c>
      <c r="H6133" t="s">
        <v>1442</v>
      </c>
      <c r="I6133" t="s">
        <v>1443</v>
      </c>
      <c r="K6133" t="s">
        <v>1756</v>
      </c>
    </row>
    <row r="6134" spans="1:11" hidden="1" x14ac:dyDescent="0.3">
      <c r="A6134" s="46">
        <v>45323</v>
      </c>
      <c r="B6134" s="46" t="s">
        <v>729</v>
      </c>
      <c r="D6134" t="s">
        <v>765</v>
      </c>
      <c r="E6134" s="46" t="s">
        <v>1436</v>
      </c>
      <c r="F6134" s="45">
        <v>15464</v>
      </c>
      <c r="G6134" t="s">
        <v>1471</v>
      </c>
      <c r="H6134" t="s">
        <v>1438</v>
      </c>
      <c r="I6134" t="s">
        <v>1454</v>
      </c>
      <c r="K6134" t="s">
        <v>1673</v>
      </c>
    </row>
    <row r="6135" spans="1:11" hidden="1" x14ac:dyDescent="0.3">
      <c r="A6135" s="46">
        <v>45406</v>
      </c>
      <c r="B6135" s="46" t="s">
        <v>724</v>
      </c>
      <c r="D6135" t="s">
        <v>1508</v>
      </c>
      <c r="E6135" s="46" t="s">
        <v>1436</v>
      </c>
      <c r="F6135" s="45">
        <v>15400</v>
      </c>
      <c r="G6135" t="s">
        <v>1479</v>
      </c>
      <c r="H6135" t="s">
        <v>1468</v>
      </c>
      <c r="I6135" t="s">
        <v>1487</v>
      </c>
      <c r="K6135" t="s">
        <v>2396</v>
      </c>
    </row>
    <row r="6136" spans="1:11" hidden="1" x14ac:dyDescent="0.3">
      <c r="A6136" s="46">
        <v>45295</v>
      </c>
      <c r="B6136" s="46" t="s">
        <v>734</v>
      </c>
      <c r="D6136" t="s">
        <v>1578</v>
      </c>
      <c r="E6136" s="46" t="s">
        <v>1436</v>
      </c>
      <c r="F6136" s="45">
        <v>15300</v>
      </c>
      <c r="G6136" t="s">
        <v>1441</v>
      </c>
      <c r="H6136" t="s">
        <v>1438</v>
      </c>
      <c r="I6136" t="s">
        <v>1439</v>
      </c>
      <c r="J6136">
        <v>4</v>
      </c>
    </row>
    <row r="6137" spans="1:11" hidden="1" x14ac:dyDescent="0.3">
      <c r="A6137" s="46">
        <v>45442</v>
      </c>
      <c r="B6137" s="46" t="s">
        <v>724</v>
      </c>
      <c r="D6137" t="s">
        <v>2125</v>
      </c>
      <c r="E6137" s="46" t="s">
        <v>1436</v>
      </c>
      <c r="F6137" s="45">
        <v>15300</v>
      </c>
      <c r="G6137" t="s">
        <v>1437</v>
      </c>
      <c r="H6137" t="s">
        <v>1438</v>
      </c>
      <c r="I6137" t="s">
        <v>1439</v>
      </c>
      <c r="J6137">
        <v>3</v>
      </c>
    </row>
    <row r="6138" spans="1:11" hidden="1" x14ac:dyDescent="0.3">
      <c r="A6138" s="46">
        <v>45470</v>
      </c>
      <c r="B6138" s="46" t="s">
        <v>772</v>
      </c>
      <c r="D6138" t="s">
        <v>2292</v>
      </c>
      <c r="E6138" s="46" t="s">
        <v>1436</v>
      </c>
      <c r="F6138" s="45">
        <v>15200</v>
      </c>
      <c r="G6138" t="s">
        <v>1464</v>
      </c>
      <c r="H6138" t="s">
        <v>1438</v>
      </c>
      <c r="I6138" t="s">
        <v>1439</v>
      </c>
      <c r="J6138">
        <v>3</v>
      </c>
    </row>
    <row r="6139" spans="1:11" hidden="1" x14ac:dyDescent="0.3">
      <c r="A6139" s="46">
        <v>45303</v>
      </c>
      <c r="B6139" s="46" t="s">
        <v>748</v>
      </c>
      <c r="D6139" t="s">
        <v>1474</v>
      </c>
      <c r="E6139" s="46" t="s">
        <v>1436</v>
      </c>
      <c r="F6139" s="45">
        <v>15000</v>
      </c>
      <c r="G6139" t="s">
        <v>1479</v>
      </c>
      <c r="H6139" t="s">
        <v>1475</v>
      </c>
      <c r="I6139" t="s">
        <v>1476</v>
      </c>
    </row>
    <row r="6140" spans="1:11" hidden="1" x14ac:dyDescent="0.3">
      <c r="A6140" s="46">
        <v>45348</v>
      </c>
      <c r="B6140" s="46" t="s">
        <v>767</v>
      </c>
      <c r="D6140" t="s">
        <v>1518</v>
      </c>
      <c r="E6140" s="46" t="s">
        <v>1436</v>
      </c>
      <c r="F6140" s="45">
        <v>15000</v>
      </c>
      <c r="G6140" t="s">
        <v>1460</v>
      </c>
      <c r="H6140" t="s">
        <v>1438</v>
      </c>
      <c r="I6140" t="s">
        <v>1439</v>
      </c>
      <c r="J6140">
        <v>5</v>
      </c>
    </row>
    <row r="6141" spans="1:11" hidden="1" x14ac:dyDescent="0.3">
      <c r="A6141" s="46">
        <v>45366</v>
      </c>
      <c r="B6141" s="46" t="s">
        <v>748</v>
      </c>
      <c r="D6141" t="s">
        <v>1474</v>
      </c>
      <c r="E6141" s="46" t="s">
        <v>1436</v>
      </c>
      <c r="F6141" s="45">
        <v>15000</v>
      </c>
      <c r="G6141" t="s">
        <v>1463</v>
      </c>
      <c r="H6141" t="s">
        <v>1438</v>
      </c>
      <c r="I6141" t="s">
        <v>1439</v>
      </c>
      <c r="J6141">
        <v>2</v>
      </c>
    </row>
    <row r="6142" spans="1:11" hidden="1" x14ac:dyDescent="0.3">
      <c r="A6142" s="46">
        <v>45378</v>
      </c>
      <c r="B6142" s="46" t="s">
        <v>722</v>
      </c>
      <c r="D6142" t="s">
        <v>1528</v>
      </c>
      <c r="E6142" s="46" t="s">
        <v>1436</v>
      </c>
      <c r="F6142" s="45">
        <v>15000</v>
      </c>
      <c r="G6142" t="s">
        <v>1437</v>
      </c>
      <c r="H6142" t="s">
        <v>1448</v>
      </c>
      <c r="I6142" t="s">
        <v>2293</v>
      </c>
      <c r="K6142" t="s">
        <v>2294</v>
      </c>
    </row>
    <row r="6143" spans="1:11" hidden="1" x14ac:dyDescent="0.3">
      <c r="A6143" s="46">
        <v>45380</v>
      </c>
      <c r="B6143" s="46" t="s">
        <v>748</v>
      </c>
      <c r="D6143" t="s">
        <v>1474</v>
      </c>
      <c r="E6143" s="46" t="s">
        <v>1436</v>
      </c>
      <c r="F6143" s="45">
        <v>15000</v>
      </c>
      <c r="G6143" t="s">
        <v>1479</v>
      </c>
      <c r="H6143" t="s">
        <v>1475</v>
      </c>
      <c r="I6143" t="s">
        <v>1476</v>
      </c>
    </row>
    <row r="6144" spans="1:11" hidden="1" x14ac:dyDescent="0.3">
      <c r="A6144" s="46">
        <v>45322</v>
      </c>
      <c r="B6144" s="46" t="s">
        <v>727</v>
      </c>
      <c r="D6144" t="s">
        <v>1757</v>
      </c>
      <c r="E6144" s="46" t="s">
        <v>1436</v>
      </c>
      <c r="F6144" s="45">
        <v>14993</v>
      </c>
      <c r="G6144" t="s">
        <v>1463</v>
      </c>
      <c r="H6144" t="s">
        <v>1469</v>
      </c>
      <c r="I6144" t="s">
        <v>1470</v>
      </c>
      <c r="K6144" t="s">
        <v>1758</v>
      </c>
    </row>
    <row r="6145" spans="1:11" hidden="1" x14ac:dyDescent="0.3">
      <c r="A6145" s="46">
        <v>45368</v>
      </c>
      <c r="B6145" s="46" t="s">
        <v>761</v>
      </c>
      <c r="D6145" t="s">
        <v>1569</v>
      </c>
      <c r="E6145" s="46" t="s">
        <v>1436</v>
      </c>
      <c r="F6145" s="45">
        <v>14900</v>
      </c>
      <c r="G6145" t="s">
        <v>1457</v>
      </c>
      <c r="H6145" t="s">
        <v>1448</v>
      </c>
      <c r="I6145" t="s">
        <v>1449</v>
      </c>
    </row>
    <row r="6146" spans="1:11" hidden="1" x14ac:dyDescent="0.3">
      <c r="A6146" s="46">
        <v>45368</v>
      </c>
      <c r="B6146" s="46" t="s">
        <v>761</v>
      </c>
      <c r="D6146" t="s">
        <v>1569</v>
      </c>
      <c r="E6146" s="46" t="s">
        <v>1436</v>
      </c>
      <c r="F6146" s="45">
        <v>14900</v>
      </c>
      <c r="G6146" t="s">
        <v>1457</v>
      </c>
      <c r="H6146" t="s">
        <v>1448</v>
      </c>
      <c r="I6146" t="s">
        <v>1449</v>
      </c>
    </row>
    <row r="6147" spans="1:11" hidden="1" x14ac:dyDescent="0.3">
      <c r="A6147" s="46">
        <v>45397</v>
      </c>
      <c r="B6147" s="46" t="s">
        <v>727</v>
      </c>
      <c r="D6147" t="s">
        <v>1552</v>
      </c>
      <c r="E6147" s="46" t="s">
        <v>1436</v>
      </c>
      <c r="F6147" s="45">
        <v>14670</v>
      </c>
      <c r="G6147" t="s">
        <v>1463</v>
      </c>
      <c r="H6147" t="s">
        <v>1438</v>
      </c>
      <c r="I6147" t="s">
        <v>1439</v>
      </c>
      <c r="J6147">
        <v>2</v>
      </c>
    </row>
    <row r="6148" spans="1:11" hidden="1" x14ac:dyDescent="0.3">
      <c r="A6148" s="46">
        <v>45406</v>
      </c>
      <c r="B6148" s="46" t="s">
        <v>724</v>
      </c>
      <c r="D6148" t="s">
        <v>2111</v>
      </c>
      <c r="E6148" s="46" t="s">
        <v>1436</v>
      </c>
      <c r="F6148" s="45">
        <v>14500</v>
      </c>
      <c r="G6148" t="s">
        <v>1437</v>
      </c>
      <c r="H6148" t="s">
        <v>1438</v>
      </c>
      <c r="I6148" t="s">
        <v>1439</v>
      </c>
      <c r="J6148">
        <v>4</v>
      </c>
    </row>
    <row r="6149" spans="1:11" hidden="1" x14ac:dyDescent="0.3">
      <c r="A6149" s="46">
        <v>45308</v>
      </c>
      <c r="B6149" s="46" t="s">
        <v>724</v>
      </c>
      <c r="D6149" t="s">
        <v>741</v>
      </c>
      <c r="E6149" s="46" t="s">
        <v>1436</v>
      </c>
      <c r="F6149" s="45">
        <v>14490</v>
      </c>
      <c r="G6149" t="s">
        <v>1437</v>
      </c>
      <c r="H6149" t="s">
        <v>1445</v>
      </c>
      <c r="I6149" t="s">
        <v>1446</v>
      </c>
      <c r="K6149" t="s">
        <v>1759</v>
      </c>
    </row>
    <row r="6150" spans="1:11" hidden="1" x14ac:dyDescent="0.3">
      <c r="A6150" s="46">
        <v>45337</v>
      </c>
      <c r="B6150" s="46" t="s">
        <v>767</v>
      </c>
      <c r="D6150" t="s">
        <v>1053</v>
      </c>
      <c r="E6150" s="46" t="s">
        <v>1436</v>
      </c>
      <c r="F6150" s="45">
        <v>14200</v>
      </c>
      <c r="G6150" t="s">
        <v>1460</v>
      </c>
      <c r="H6150" t="s">
        <v>1438</v>
      </c>
      <c r="I6150" t="s">
        <v>1439</v>
      </c>
      <c r="J6150">
        <v>5</v>
      </c>
    </row>
    <row r="6151" spans="1:11" hidden="1" x14ac:dyDescent="0.3">
      <c r="A6151" s="46">
        <v>45328</v>
      </c>
      <c r="B6151" s="46" t="s">
        <v>727</v>
      </c>
      <c r="D6151" t="s">
        <v>1568</v>
      </c>
      <c r="E6151" s="46" t="s">
        <v>1436</v>
      </c>
      <c r="F6151" s="45">
        <v>14000</v>
      </c>
      <c r="G6151" t="s">
        <v>1463</v>
      </c>
      <c r="H6151" t="s">
        <v>1442</v>
      </c>
      <c r="I6151" t="s">
        <v>1443</v>
      </c>
      <c r="K6151" t="s">
        <v>1760</v>
      </c>
    </row>
    <row r="6152" spans="1:11" hidden="1" x14ac:dyDescent="0.3">
      <c r="A6152" s="46">
        <v>45407</v>
      </c>
      <c r="B6152" s="46" t="s">
        <v>727</v>
      </c>
      <c r="D6152" t="s">
        <v>1502</v>
      </c>
      <c r="E6152" s="46" t="s">
        <v>1436</v>
      </c>
      <c r="F6152" s="45">
        <v>14000</v>
      </c>
      <c r="G6152" t="s">
        <v>1463</v>
      </c>
      <c r="H6152" t="s">
        <v>1438</v>
      </c>
      <c r="I6152" t="s">
        <v>1439</v>
      </c>
      <c r="J6152">
        <v>1</v>
      </c>
    </row>
    <row r="6153" spans="1:11" hidden="1" x14ac:dyDescent="0.3">
      <c r="A6153" s="46">
        <v>45415</v>
      </c>
      <c r="B6153" s="46" t="s">
        <v>734</v>
      </c>
      <c r="D6153" t="s">
        <v>2236</v>
      </c>
      <c r="E6153" s="46" t="s">
        <v>1436</v>
      </c>
      <c r="F6153" s="45">
        <v>13800</v>
      </c>
      <c r="G6153" t="s">
        <v>1441</v>
      </c>
      <c r="H6153" t="s">
        <v>1438</v>
      </c>
      <c r="I6153" t="s">
        <v>1439</v>
      </c>
      <c r="J6153">
        <v>1</v>
      </c>
    </row>
    <row r="6154" spans="1:11" hidden="1" x14ac:dyDescent="0.3">
      <c r="A6154" s="46">
        <v>45414</v>
      </c>
      <c r="B6154" s="46" t="s">
        <v>767</v>
      </c>
      <c r="D6154" t="s">
        <v>1544</v>
      </c>
      <c r="E6154" s="46" t="s">
        <v>1436</v>
      </c>
      <c r="F6154" s="45">
        <v>13300</v>
      </c>
      <c r="G6154" t="s">
        <v>1460</v>
      </c>
      <c r="H6154" t="s">
        <v>1438</v>
      </c>
      <c r="I6154" t="s">
        <v>1439</v>
      </c>
      <c r="J6154">
        <v>3</v>
      </c>
    </row>
    <row r="6155" spans="1:11" hidden="1" x14ac:dyDescent="0.3">
      <c r="A6155" s="46">
        <v>45407</v>
      </c>
      <c r="B6155" s="46" t="s">
        <v>767</v>
      </c>
      <c r="D6155" t="s">
        <v>2295</v>
      </c>
      <c r="E6155" s="46" t="s">
        <v>1436</v>
      </c>
      <c r="F6155" s="45">
        <v>13200</v>
      </c>
      <c r="G6155" t="s">
        <v>1460</v>
      </c>
      <c r="H6155" t="s">
        <v>1484</v>
      </c>
      <c r="I6155" t="s">
        <v>1506</v>
      </c>
      <c r="K6155" t="s">
        <v>2296</v>
      </c>
    </row>
    <row r="6156" spans="1:11" hidden="1" x14ac:dyDescent="0.3">
      <c r="A6156" s="46">
        <v>45474</v>
      </c>
      <c r="B6156" s="46" t="s">
        <v>722</v>
      </c>
      <c r="D6156" t="s">
        <v>1461</v>
      </c>
      <c r="E6156" s="46" t="s">
        <v>1436</v>
      </c>
      <c r="F6156" s="45">
        <v>13200</v>
      </c>
      <c r="G6156" t="s">
        <v>1466</v>
      </c>
      <c r="H6156" t="s">
        <v>1442</v>
      </c>
      <c r="I6156" t="s">
        <v>1443</v>
      </c>
      <c r="K6156" t="s">
        <v>2259</v>
      </c>
    </row>
    <row r="6157" spans="1:11" hidden="1" x14ac:dyDescent="0.3">
      <c r="A6157" s="46">
        <v>45447</v>
      </c>
      <c r="B6157" s="46" t="s">
        <v>722</v>
      </c>
      <c r="D6157" t="s">
        <v>1490</v>
      </c>
      <c r="E6157" s="46" t="s">
        <v>1436</v>
      </c>
      <c r="F6157" s="45">
        <v>13090</v>
      </c>
      <c r="G6157" t="s">
        <v>1466</v>
      </c>
      <c r="H6157" t="s">
        <v>1469</v>
      </c>
      <c r="I6157" t="s">
        <v>1503</v>
      </c>
      <c r="K6157" t="s">
        <v>2212</v>
      </c>
    </row>
    <row r="6158" spans="1:11" hidden="1" x14ac:dyDescent="0.3">
      <c r="A6158" s="46">
        <v>45439</v>
      </c>
      <c r="B6158" s="46" t="s">
        <v>729</v>
      </c>
      <c r="D6158" t="s">
        <v>1490</v>
      </c>
      <c r="E6158" s="46" t="s">
        <v>1436</v>
      </c>
      <c r="F6158" s="45">
        <v>13090</v>
      </c>
      <c r="G6158" t="s">
        <v>1471</v>
      </c>
      <c r="H6158" t="s">
        <v>1469</v>
      </c>
      <c r="I6158" t="s">
        <v>1503</v>
      </c>
      <c r="K6158" t="s">
        <v>2212</v>
      </c>
    </row>
    <row r="6159" spans="1:11" hidden="1" x14ac:dyDescent="0.3">
      <c r="A6159" s="46">
        <v>45439</v>
      </c>
      <c r="B6159" s="46" t="s">
        <v>729</v>
      </c>
      <c r="D6159" t="s">
        <v>1490</v>
      </c>
      <c r="E6159" s="46" t="s">
        <v>1436</v>
      </c>
      <c r="F6159" s="45">
        <v>13090</v>
      </c>
      <c r="G6159" t="s">
        <v>1471</v>
      </c>
      <c r="H6159" t="s">
        <v>1469</v>
      </c>
      <c r="I6159" t="s">
        <v>1503</v>
      </c>
      <c r="K6159" t="s">
        <v>2212</v>
      </c>
    </row>
    <row r="6160" spans="1:11" hidden="1" x14ac:dyDescent="0.3">
      <c r="A6160" s="46">
        <v>45404</v>
      </c>
      <c r="B6160" s="46" t="s">
        <v>729</v>
      </c>
      <c r="D6160" t="s">
        <v>1490</v>
      </c>
      <c r="E6160" s="46" t="s">
        <v>1436</v>
      </c>
      <c r="F6160" s="45">
        <v>13090</v>
      </c>
      <c r="G6160" t="s">
        <v>1471</v>
      </c>
      <c r="H6160" t="s">
        <v>1469</v>
      </c>
      <c r="I6160" t="s">
        <v>1503</v>
      </c>
      <c r="K6160" t="s">
        <v>2212</v>
      </c>
    </row>
    <row r="6161" spans="1:11" hidden="1" x14ac:dyDescent="0.3">
      <c r="A6161" s="46">
        <v>45395</v>
      </c>
      <c r="B6161" s="46" t="s">
        <v>727</v>
      </c>
      <c r="D6161" t="s">
        <v>1502</v>
      </c>
      <c r="E6161" s="46" t="s">
        <v>1436</v>
      </c>
      <c r="F6161" s="45">
        <v>13000</v>
      </c>
      <c r="G6161" t="s">
        <v>1463</v>
      </c>
      <c r="H6161" t="s">
        <v>1444</v>
      </c>
      <c r="I6161" t="s">
        <v>2170</v>
      </c>
      <c r="K6161" t="s">
        <v>2291</v>
      </c>
    </row>
    <row r="6162" spans="1:11" hidden="1" x14ac:dyDescent="0.3">
      <c r="A6162" s="46">
        <v>45371</v>
      </c>
      <c r="B6162" s="46" t="s">
        <v>724</v>
      </c>
      <c r="D6162" t="s">
        <v>1232</v>
      </c>
      <c r="E6162" s="46" t="s">
        <v>1436</v>
      </c>
      <c r="F6162" s="45">
        <v>13000</v>
      </c>
      <c r="G6162" t="s">
        <v>1437</v>
      </c>
      <c r="H6162" t="s">
        <v>1438</v>
      </c>
      <c r="I6162" t="s">
        <v>1439</v>
      </c>
      <c r="J6162">
        <v>3</v>
      </c>
    </row>
    <row r="6163" spans="1:11" hidden="1" x14ac:dyDescent="0.3">
      <c r="A6163" s="46">
        <v>45387</v>
      </c>
      <c r="B6163" s="46" t="s">
        <v>748</v>
      </c>
      <c r="D6163" t="s">
        <v>1740</v>
      </c>
      <c r="E6163" s="46" t="s">
        <v>1436</v>
      </c>
      <c r="F6163" s="45">
        <v>12980</v>
      </c>
      <c r="G6163" t="s">
        <v>1451</v>
      </c>
      <c r="H6163" t="s">
        <v>1469</v>
      </c>
      <c r="I6163" t="s">
        <v>1470</v>
      </c>
      <c r="K6163" t="s">
        <v>2297</v>
      </c>
    </row>
    <row r="6164" spans="1:11" hidden="1" x14ac:dyDescent="0.3">
      <c r="A6164" s="46">
        <v>45433</v>
      </c>
      <c r="B6164" s="46" t="s">
        <v>724</v>
      </c>
      <c r="D6164" t="s">
        <v>755</v>
      </c>
      <c r="E6164" s="46" t="s">
        <v>1436</v>
      </c>
      <c r="F6164" s="45">
        <v>12870</v>
      </c>
      <c r="G6164" t="s">
        <v>1437</v>
      </c>
      <c r="H6164" t="s">
        <v>1438</v>
      </c>
      <c r="I6164" t="s">
        <v>1439</v>
      </c>
      <c r="J6164">
        <v>3</v>
      </c>
    </row>
    <row r="6165" spans="1:11" hidden="1" x14ac:dyDescent="0.3">
      <c r="A6165" s="46">
        <v>45379</v>
      </c>
      <c r="B6165" s="46" t="s">
        <v>734</v>
      </c>
      <c r="D6165" t="s">
        <v>1544</v>
      </c>
      <c r="E6165" s="46" t="s">
        <v>1436</v>
      </c>
      <c r="F6165" s="45">
        <v>12800</v>
      </c>
      <c r="G6165" t="s">
        <v>1441</v>
      </c>
      <c r="H6165" t="s">
        <v>1438</v>
      </c>
      <c r="I6165" t="s">
        <v>1439</v>
      </c>
      <c r="J6165">
        <v>4</v>
      </c>
    </row>
    <row r="6166" spans="1:11" hidden="1" x14ac:dyDescent="0.3">
      <c r="A6166" s="46">
        <v>45373</v>
      </c>
      <c r="B6166" s="46" t="s">
        <v>724</v>
      </c>
      <c r="D6166" t="s">
        <v>755</v>
      </c>
      <c r="E6166" s="46" t="s">
        <v>1436</v>
      </c>
      <c r="F6166" s="45">
        <v>12780</v>
      </c>
      <c r="G6166" t="s">
        <v>1437</v>
      </c>
      <c r="H6166" t="s">
        <v>1438</v>
      </c>
      <c r="I6166" t="s">
        <v>1439</v>
      </c>
      <c r="J6166">
        <v>3</v>
      </c>
    </row>
    <row r="6167" spans="1:11" hidden="1" x14ac:dyDescent="0.3">
      <c r="A6167" s="46">
        <v>45428</v>
      </c>
      <c r="B6167" s="46" t="s">
        <v>734</v>
      </c>
      <c r="D6167" t="s">
        <v>1461</v>
      </c>
      <c r="E6167" s="46" t="s">
        <v>1436</v>
      </c>
      <c r="F6167" s="45">
        <v>12500</v>
      </c>
      <c r="G6167" t="s">
        <v>1441</v>
      </c>
      <c r="H6167" t="s">
        <v>1442</v>
      </c>
      <c r="I6167" t="s">
        <v>1458</v>
      </c>
      <c r="K6167" t="s">
        <v>2298</v>
      </c>
    </row>
    <row r="6168" spans="1:11" hidden="1" x14ac:dyDescent="0.3">
      <c r="A6168" s="46">
        <v>45393</v>
      </c>
      <c r="B6168" s="46" t="s">
        <v>734</v>
      </c>
      <c r="D6168" t="s">
        <v>2260</v>
      </c>
      <c r="E6168" s="46" t="s">
        <v>1436</v>
      </c>
      <c r="F6168" s="45">
        <v>12300</v>
      </c>
      <c r="G6168" t="s">
        <v>1441</v>
      </c>
      <c r="H6168" t="s">
        <v>1438</v>
      </c>
      <c r="I6168" t="s">
        <v>1439</v>
      </c>
      <c r="J6168">
        <v>2</v>
      </c>
    </row>
    <row r="6169" spans="1:11" hidden="1" x14ac:dyDescent="0.3">
      <c r="A6169" s="46">
        <v>45397</v>
      </c>
      <c r="B6169" s="46" t="s">
        <v>724</v>
      </c>
      <c r="D6169" t="s">
        <v>755</v>
      </c>
      <c r="E6169" s="46" t="s">
        <v>1436</v>
      </c>
      <c r="F6169" s="45">
        <v>12150</v>
      </c>
      <c r="G6169" t="s">
        <v>1464</v>
      </c>
      <c r="H6169" t="s">
        <v>1438</v>
      </c>
      <c r="I6169" t="s">
        <v>1439</v>
      </c>
      <c r="J6169">
        <v>3</v>
      </c>
    </row>
    <row r="6170" spans="1:11" hidden="1" x14ac:dyDescent="0.3">
      <c r="A6170" s="46">
        <v>45324</v>
      </c>
      <c r="B6170" s="46" t="s">
        <v>722</v>
      </c>
      <c r="D6170" t="s">
        <v>1552</v>
      </c>
      <c r="E6170" s="46" t="s">
        <v>1436</v>
      </c>
      <c r="F6170" s="45">
        <v>12150</v>
      </c>
      <c r="G6170" t="s">
        <v>1437</v>
      </c>
      <c r="H6170" t="s">
        <v>1438</v>
      </c>
      <c r="I6170" t="s">
        <v>1439</v>
      </c>
      <c r="J6170">
        <v>3</v>
      </c>
    </row>
    <row r="6171" spans="1:11" hidden="1" x14ac:dyDescent="0.3">
      <c r="A6171" s="46">
        <v>45327</v>
      </c>
      <c r="B6171" s="46" t="s">
        <v>724</v>
      </c>
      <c r="D6171" t="s">
        <v>755</v>
      </c>
      <c r="E6171" s="46" t="s">
        <v>1436</v>
      </c>
      <c r="F6171" s="45">
        <v>12150</v>
      </c>
      <c r="G6171" t="s">
        <v>1437</v>
      </c>
      <c r="H6171" t="s">
        <v>1438</v>
      </c>
      <c r="I6171" t="s">
        <v>1439</v>
      </c>
      <c r="J6171">
        <v>3</v>
      </c>
    </row>
    <row r="6172" spans="1:11" hidden="1" x14ac:dyDescent="0.3">
      <c r="A6172" s="46">
        <v>45345</v>
      </c>
      <c r="B6172" s="46" t="s">
        <v>724</v>
      </c>
      <c r="D6172" t="s">
        <v>755</v>
      </c>
      <c r="E6172" s="46" t="s">
        <v>1436</v>
      </c>
      <c r="F6172" s="45">
        <v>12150</v>
      </c>
      <c r="G6172" t="s">
        <v>1437</v>
      </c>
      <c r="H6172" t="s">
        <v>1438</v>
      </c>
      <c r="I6172" t="s">
        <v>1439</v>
      </c>
      <c r="J6172">
        <v>3</v>
      </c>
    </row>
    <row r="6173" spans="1:11" hidden="1" x14ac:dyDescent="0.3">
      <c r="A6173" s="46">
        <v>45313</v>
      </c>
      <c r="B6173" s="46" t="s">
        <v>724</v>
      </c>
      <c r="D6173" t="s">
        <v>755</v>
      </c>
      <c r="E6173" s="46" t="s">
        <v>1436</v>
      </c>
      <c r="F6173" s="45">
        <v>12150</v>
      </c>
      <c r="G6173" t="s">
        <v>1437</v>
      </c>
      <c r="H6173" t="s">
        <v>1438</v>
      </c>
      <c r="I6173" t="s">
        <v>1439</v>
      </c>
      <c r="J6173">
        <v>3</v>
      </c>
    </row>
    <row r="6174" spans="1:11" hidden="1" x14ac:dyDescent="0.3">
      <c r="A6174" s="46">
        <v>45314</v>
      </c>
      <c r="B6174" s="46" t="s">
        <v>724</v>
      </c>
      <c r="D6174" t="s">
        <v>755</v>
      </c>
      <c r="E6174" s="46" t="s">
        <v>1436</v>
      </c>
      <c r="F6174" s="45">
        <v>12150</v>
      </c>
      <c r="G6174" t="s">
        <v>1437</v>
      </c>
      <c r="H6174" t="s">
        <v>1438</v>
      </c>
      <c r="I6174" t="s">
        <v>1439</v>
      </c>
      <c r="J6174">
        <v>3</v>
      </c>
    </row>
    <row r="6175" spans="1:11" hidden="1" x14ac:dyDescent="0.3">
      <c r="A6175" s="46">
        <v>45294</v>
      </c>
      <c r="B6175" s="46" t="s">
        <v>724</v>
      </c>
      <c r="D6175" t="s">
        <v>755</v>
      </c>
      <c r="E6175" s="46" t="s">
        <v>1436</v>
      </c>
      <c r="F6175" s="45">
        <v>12150</v>
      </c>
      <c r="G6175" t="s">
        <v>1437</v>
      </c>
      <c r="H6175" t="s">
        <v>1438</v>
      </c>
      <c r="I6175" t="s">
        <v>1439</v>
      </c>
      <c r="J6175">
        <v>3</v>
      </c>
    </row>
    <row r="6176" spans="1:11" hidden="1" x14ac:dyDescent="0.3">
      <c r="A6176" s="46">
        <v>45299</v>
      </c>
      <c r="B6176" s="46" t="s">
        <v>724</v>
      </c>
      <c r="D6176" t="s">
        <v>755</v>
      </c>
      <c r="E6176" s="46" t="s">
        <v>1436</v>
      </c>
      <c r="F6176" s="45">
        <v>12150</v>
      </c>
      <c r="G6176" t="s">
        <v>1437</v>
      </c>
      <c r="H6176" t="s">
        <v>1438</v>
      </c>
      <c r="I6176" t="s">
        <v>1439</v>
      </c>
      <c r="J6176">
        <v>3</v>
      </c>
    </row>
    <row r="6177" spans="1:11" hidden="1" x14ac:dyDescent="0.3">
      <c r="A6177" s="46">
        <v>45300</v>
      </c>
      <c r="B6177" s="46" t="s">
        <v>724</v>
      </c>
      <c r="D6177" t="s">
        <v>755</v>
      </c>
      <c r="E6177" s="46" t="s">
        <v>1436</v>
      </c>
      <c r="F6177" s="45">
        <v>12150</v>
      </c>
      <c r="G6177" t="s">
        <v>1437</v>
      </c>
      <c r="H6177" t="s">
        <v>1438</v>
      </c>
      <c r="I6177" t="s">
        <v>1439</v>
      </c>
      <c r="J6177">
        <v>3</v>
      </c>
    </row>
    <row r="6178" spans="1:11" hidden="1" x14ac:dyDescent="0.3">
      <c r="A6178" s="46">
        <v>45436</v>
      </c>
      <c r="B6178" s="46" t="s">
        <v>724</v>
      </c>
      <c r="D6178" t="s">
        <v>755</v>
      </c>
      <c r="E6178" s="46" t="s">
        <v>1436</v>
      </c>
      <c r="F6178" s="45">
        <v>12150</v>
      </c>
      <c r="G6178" t="s">
        <v>1437</v>
      </c>
      <c r="H6178" t="s">
        <v>1438</v>
      </c>
      <c r="I6178" t="s">
        <v>1439</v>
      </c>
      <c r="J6178">
        <v>3</v>
      </c>
    </row>
    <row r="6179" spans="1:11" hidden="1" x14ac:dyDescent="0.3">
      <c r="A6179" s="46">
        <v>45478</v>
      </c>
      <c r="B6179" s="46" t="s">
        <v>724</v>
      </c>
      <c r="D6179" t="s">
        <v>755</v>
      </c>
      <c r="E6179" s="46" t="s">
        <v>1436</v>
      </c>
      <c r="F6179" s="45">
        <v>12150</v>
      </c>
      <c r="G6179" t="s">
        <v>1437</v>
      </c>
    </row>
    <row r="6180" spans="1:11" hidden="1" x14ac:dyDescent="0.3">
      <c r="A6180" s="46">
        <v>45351</v>
      </c>
      <c r="B6180" s="46" t="s">
        <v>734</v>
      </c>
      <c r="D6180" t="s">
        <v>1761</v>
      </c>
      <c r="E6180" s="46" t="s">
        <v>1436</v>
      </c>
      <c r="F6180" s="45">
        <v>12100</v>
      </c>
      <c r="G6180" t="s">
        <v>1441</v>
      </c>
      <c r="H6180" t="s">
        <v>1438</v>
      </c>
      <c r="I6180" t="s">
        <v>1439</v>
      </c>
      <c r="J6180">
        <v>4</v>
      </c>
    </row>
    <row r="6181" spans="1:11" hidden="1" x14ac:dyDescent="0.3">
      <c r="A6181" s="46">
        <v>45350</v>
      </c>
      <c r="B6181" s="46" t="s">
        <v>748</v>
      </c>
      <c r="D6181" t="s">
        <v>1556</v>
      </c>
      <c r="E6181" s="46" t="s">
        <v>1436</v>
      </c>
      <c r="F6181" s="45">
        <v>12000</v>
      </c>
      <c r="G6181" t="s">
        <v>1479</v>
      </c>
      <c r="H6181" t="s">
        <v>1438</v>
      </c>
      <c r="I6181" t="s">
        <v>1439</v>
      </c>
      <c r="J6181">
        <v>1</v>
      </c>
    </row>
    <row r="6182" spans="1:11" hidden="1" x14ac:dyDescent="0.3">
      <c r="A6182" s="46">
        <v>45341</v>
      </c>
      <c r="B6182" s="46" t="s">
        <v>727</v>
      </c>
      <c r="D6182" t="s">
        <v>1570</v>
      </c>
      <c r="E6182" s="46" t="s">
        <v>1436</v>
      </c>
      <c r="F6182" s="45">
        <v>12000</v>
      </c>
      <c r="G6182" t="s">
        <v>1463</v>
      </c>
      <c r="H6182" t="s">
        <v>1438</v>
      </c>
      <c r="I6182" t="s">
        <v>1439</v>
      </c>
      <c r="J6182">
        <v>1</v>
      </c>
    </row>
    <row r="6183" spans="1:11" hidden="1" x14ac:dyDescent="0.3">
      <c r="A6183" s="46">
        <v>45300</v>
      </c>
      <c r="B6183" s="46" t="s">
        <v>767</v>
      </c>
      <c r="D6183" t="s">
        <v>1570</v>
      </c>
      <c r="E6183" s="46" t="s">
        <v>1436</v>
      </c>
      <c r="F6183" s="45">
        <v>12000</v>
      </c>
      <c r="G6183" t="s">
        <v>1460</v>
      </c>
      <c r="H6183" t="s">
        <v>1438</v>
      </c>
      <c r="I6183" t="s">
        <v>1439</v>
      </c>
      <c r="J6183">
        <v>1</v>
      </c>
    </row>
    <row r="6184" spans="1:11" hidden="1" x14ac:dyDescent="0.3">
      <c r="A6184" s="46">
        <v>45294</v>
      </c>
      <c r="B6184" s="46" t="s">
        <v>729</v>
      </c>
      <c r="D6184" t="s">
        <v>1570</v>
      </c>
      <c r="E6184" s="46" t="s">
        <v>1436</v>
      </c>
      <c r="F6184" s="45">
        <v>12000</v>
      </c>
      <c r="G6184" t="s">
        <v>1471</v>
      </c>
      <c r="H6184" t="s">
        <v>1438</v>
      </c>
      <c r="I6184" t="s">
        <v>1439</v>
      </c>
      <c r="J6184">
        <v>2</v>
      </c>
    </row>
    <row r="6185" spans="1:11" hidden="1" x14ac:dyDescent="0.3">
      <c r="A6185" s="46">
        <v>45405</v>
      </c>
      <c r="B6185" s="46" t="s">
        <v>772</v>
      </c>
      <c r="D6185" t="s">
        <v>850</v>
      </c>
      <c r="E6185" s="46" t="s">
        <v>1436</v>
      </c>
      <c r="F6185" s="45">
        <v>12000</v>
      </c>
      <c r="G6185" t="s">
        <v>1464</v>
      </c>
      <c r="H6185" t="s">
        <v>1438</v>
      </c>
      <c r="I6185" t="s">
        <v>1439</v>
      </c>
      <c r="J6185">
        <v>1</v>
      </c>
    </row>
    <row r="6186" spans="1:11" hidden="1" x14ac:dyDescent="0.3">
      <c r="A6186" s="46">
        <v>45407</v>
      </c>
      <c r="B6186" s="46" t="s">
        <v>767</v>
      </c>
      <c r="D6186" t="s">
        <v>2177</v>
      </c>
      <c r="E6186" s="46" t="s">
        <v>1436</v>
      </c>
      <c r="F6186" s="45">
        <v>12000</v>
      </c>
      <c r="G6186" t="s">
        <v>1460</v>
      </c>
      <c r="H6186" t="s">
        <v>1484</v>
      </c>
      <c r="I6186" t="s">
        <v>1821</v>
      </c>
      <c r="K6186" t="s">
        <v>2178</v>
      </c>
    </row>
    <row r="6187" spans="1:11" hidden="1" x14ac:dyDescent="0.3">
      <c r="A6187" s="46">
        <v>45432</v>
      </c>
      <c r="B6187" s="46" t="s">
        <v>767</v>
      </c>
      <c r="D6187" t="s">
        <v>1570</v>
      </c>
      <c r="E6187" s="46" t="s">
        <v>1436</v>
      </c>
      <c r="F6187" s="45">
        <v>12000</v>
      </c>
      <c r="G6187" t="s">
        <v>1460</v>
      </c>
      <c r="H6187" t="s">
        <v>1438</v>
      </c>
      <c r="I6187" t="s">
        <v>1439</v>
      </c>
      <c r="J6187">
        <v>1</v>
      </c>
    </row>
    <row r="6188" spans="1:11" hidden="1" x14ac:dyDescent="0.3">
      <c r="A6188" s="46">
        <v>45426</v>
      </c>
      <c r="B6188" s="46" t="s">
        <v>767</v>
      </c>
      <c r="D6188" t="s">
        <v>1692</v>
      </c>
      <c r="E6188" s="46" t="s">
        <v>1436</v>
      </c>
      <c r="F6188" s="45">
        <v>12000</v>
      </c>
      <c r="G6188" t="s">
        <v>1460</v>
      </c>
      <c r="H6188" t="s">
        <v>1438</v>
      </c>
      <c r="I6188" t="s">
        <v>1439</v>
      </c>
      <c r="J6188">
        <v>1</v>
      </c>
    </row>
    <row r="6189" spans="1:11" hidden="1" x14ac:dyDescent="0.3">
      <c r="A6189" s="46">
        <v>45411</v>
      </c>
      <c r="B6189" s="46" t="s">
        <v>727</v>
      </c>
      <c r="D6189" t="s">
        <v>1544</v>
      </c>
      <c r="E6189" s="46" t="s">
        <v>1436</v>
      </c>
      <c r="F6189" s="45">
        <v>12000</v>
      </c>
      <c r="G6189" t="s">
        <v>1463</v>
      </c>
      <c r="H6189" t="s">
        <v>1438</v>
      </c>
      <c r="I6189" t="s">
        <v>1439</v>
      </c>
      <c r="J6189">
        <v>1</v>
      </c>
    </row>
    <row r="6190" spans="1:11" hidden="1" x14ac:dyDescent="0.3">
      <c r="A6190" s="46">
        <v>45378</v>
      </c>
      <c r="B6190" s="46" t="s">
        <v>761</v>
      </c>
      <c r="D6190" t="s">
        <v>1505</v>
      </c>
      <c r="E6190" s="46" t="s">
        <v>1436</v>
      </c>
      <c r="F6190" s="45">
        <v>12000</v>
      </c>
      <c r="G6190" t="s">
        <v>1457</v>
      </c>
      <c r="H6190" t="s">
        <v>1484</v>
      </c>
      <c r="I6190" t="s">
        <v>1506</v>
      </c>
    </row>
    <row r="6191" spans="1:11" hidden="1" x14ac:dyDescent="0.3">
      <c r="A6191" s="46">
        <v>45373</v>
      </c>
      <c r="B6191" s="46" t="s">
        <v>748</v>
      </c>
      <c r="D6191" t="s">
        <v>1556</v>
      </c>
      <c r="E6191" s="46" t="s">
        <v>1436</v>
      </c>
      <c r="F6191" s="45">
        <v>12000</v>
      </c>
      <c r="G6191" t="s">
        <v>1483</v>
      </c>
      <c r="H6191" t="s">
        <v>1438</v>
      </c>
      <c r="I6191" t="s">
        <v>1439</v>
      </c>
      <c r="J6191">
        <v>1</v>
      </c>
    </row>
    <row r="6192" spans="1:11" hidden="1" x14ac:dyDescent="0.3">
      <c r="A6192" s="46">
        <v>45369</v>
      </c>
      <c r="B6192" s="46" t="s">
        <v>748</v>
      </c>
      <c r="D6192" t="s">
        <v>1556</v>
      </c>
      <c r="E6192" s="46" t="s">
        <v>1436</v>
      </c>
      <c r="F6192" s="45">
        <v>12000</v>
      </c>
      <c r="G6192" t="s">
        <v>1483</v>
      </c>
      <c r="H6192" t="s">
        <v>1438</v>
      </c>
      <c r="I6192" t="s">
        <v>1439</v>
      </c>
      <c r="J6192">
        <v>1</v>
      </c>
    </row>
    <row r="6193" spans="1:11" hidden="1" x14ac:dyDescent="0.3">
      <c r="A6193" s="46">
        <v>45481</v>
      </c>
      <c r="B6193" s="46" t="s">
        <v>767</v>
      </c>
      <c r="D6193" t="s">
        <v>1570</v>
      </c>
      <c r="E6193" s="46" t="s">
        <v>1436</v>
      </c>
      <c r="F6193" s="45">
        <v>12000</v>
      </c>
      <c r="G6193" t="s">
        <v>1460</v>
      </c>
      <c r="H6193" t="s">
        <v>1438</v>
      </c>
      <c r="I6193" t="s">
        <v>1439</v>
      </c>
      <c r="J6193">
        <v>1</v>
      </c>
    </row>
    <row r="6194" spans="1:11" hidden="1" x14ac:dyDescent="0.3">
      <c r="A6194" s="46">
        <v>45476</v>
      </c>
      <c r="B6194" s="46" t="s">
        <v>767</v>
      </c>
      <c r="D6194" t="s">
        <v>1542</v>
      </c>
      <c r="E6194" s="46" t="s">
        <v>1436</v>
      </c>
      <c r="F6194" s="45">
        <v>12000</v>
      </c>
      <c r="G6194" t="s">
        <v>1460</v>
      </c>
      <c r="H6194" t="s">
        <v>1438</v>
      </c>
      <c r="I6194" t="s">
        <v>1439</v>
      </c>
      <c r="J6194">
        <v>1</v>
      </c>
    </row>
    <row r="6195" spans="1:11" hidden="1" x14ac:dyDescent="0.3">
      <c r="A6195" s="46">
        <v>45450</v>
      </c>
      <c r="B6195" s="46" t="s">
        <v>727</v>
      </c>
      <c r="D6195" t="s">
        <v>1570</v>
      </c>
      <c r="E6195" s="46" t="s">
        <v>1436</v>
      </c>
      <c r="F6195" s="45">
        <v>12000</v>
      </c>
      <c r="G6195" t="s">
        <v>1463</v>
      </c>
      <c r="H6195" t="s">
        <v>1438</v>
      </c>
      <c r="I6195" t="s">
        <v>1439</v>
      </c>
      <c r="J6195">
        <v>1</v>
      </c>
    </row>
    <row r="6196" spans="1:11" hidden="1" x14ac:dyDescent="0.3">
      <c r="A6196" s="46">
        <v>45447</v>
      </c>
      <c r="B6196" s="46" t="s">
        <v>767</v>
      </c>
      <c r="D6196" t="s">
        <v>1570</v>
      </c>
      <c r="E6196" s="46" t="s">
        <v>1436</v>
      </c>
      <c r="F6196" s="45">
        <v>12000</v>
      </c>
      <c r="G6196" t="s">
        <v>1460</v>
      </c>
      <c r="H6196" t="s">
        <v>1438</v>
      </c>
      <c r="I6196" t="s">
        <v>1439</v>
      </c>
      <c r="J6196">
        <v>1</v>
      </c>
    </row>
    <row r="6197" spans="1:11" hidden="1" x14ac:dyDescent="0.3">
      <c r="A6197" s="46">
        <v>45443</v>
      </c>
      <c r="B6197" s="46" t="s">
        <v>727</v>
      </c>
      <c r="D6197" t="s">
        <v>1589</v>
      </c>
      <c r="E6197" s="46" t="s">
        <v>1436</v>
      </c>
      <c r="F6197" s="45">
        <v>12000</v>
      </c>
      <c r="G6197" t="s">
        <v>1463</v>
      </c>
      <c r="H6197" t="s">
        <v>1438</v>
      </c>
      <c r="I6197" t="s">
        <v>1439</v>
      </c>
      <c r="J6197">
        <v>1</v>
      </c>
    </row>
    <row r="6198" spans="1:11" hidden="1" x14ac:dyDescent="0.3">
      <c r="A6198" s="46">
        <v>45446</v>
      </c>
      <c r="B6198" s="46" t="s">
        <v>767</v>
      </c>
      <c r="D6198" t="s">
        <v>1570</v>
      </c>
      <c r="E6198" s="46" t="s">
        <v>1436</v>
      </c>
      <c r="F6198" s="45">
        <v>12000</v>
      </c>
      <c r="G6198" t="s">
        <v>1460</v>
      </c>
      <c r="H6198" t="s">
        <v>1438</v>
      </c>
      <c r="I6198" t="s">
        <v>1439</v>
      </c>
      <c r="J6198">
        <v>1</v>
      </c>
    </row>
    <row r="6199" spans="1:11" hidden="1" x14ac:dyDescent="0.3">
      <c r="A6199" s="46">
        <v>45471</v>
      </c>
      <c r="B6199" s="46" t="s">
        <v>727</v>
      </c>
      <c r="D6199" t="s">
        <v>2230</v>
      </c>
      <c r="E6199" s="46" t="s">
        <v>1436</v>
      </c>
      <c r="F6199" s="45">
        <v>12000</v>
      </c>
      <c r="G6199" t="s">
        <v>1463</v>
      </c>
      <c r="H6199" t="s">
        <v>1438</v>
      </c>
      <c r="I6199" t="s">
        <v>1439</v>
      </c>
      <c r="J6199">
        <v>1</v>
      </c>
    </row>
    <row r="6200" spans="1:11" hidden="1" x14ac:dyDescent="0.3">
      <c r="A6200" s="46">
        <v>45468</v>
      </c>
      <c r="B6200" s="46" t="s">
        <v>767</v>
      </c>
      <c r="D6200" t="s">
        <v>1570</v>
      </c>
      <c r="E6200" s="46" t="s">
        <v>1436</v>
      </c>
      <c r="F6200" s="45">
        <v>12000</v>
      </c>
      <c r="G6200" t="s">
        <v>1460</v>
      </c>
      <c r="H6200" t="s">
        <v>1438</v>
      </c>
      <c r="I6200" t="s">
        <v>1439</v>
      </c>
      <c r="J6200">
        <v>1</v>
      </c>
    </row>
    <row r="6201" spans="1:11" hidden="1" x14ac:dyDescent="0.3">
      <c r="A6201" s="46">
        <v>45464</v>
      </c>
      <c r="B6201" s="46" t="s">
        <v>767</v>
      </c>
      <c r="D6201" t="s">
        <v>1570</v>
      </c>
      <c r="E6201" s="46" t="s">
        <v>1436</v>
      </c>
      <c r="F6201" s="45">
        <v>12000</v>
      </c>
      <c r="G6201" t="s">
        <v>1460</v>
      </c>
      <c r="H6201" t="s">
        <v>1438</v>
      </c>
      <c r="I6201" t="s">
        <v>1439</v>
      </c>
      <c r="J6201">
        <v>1</v>
      </c>
    </row>
    <row r="6202" spans="1:11" hidden="1" x14ac:dyDescent="0.3">
      <c r="A6202" s="46">
        <v>45457</v>
      </c>
      <c r="B6202" s="46" t="s">
        <v>767</v>
      </c>
      <c r="D6202" t="s">
        <v>1570</v>
      </c>
      <c r="E6202" s="46" t="s">
        <v>1436</v>
      </c>
      <c r="F6202" s="45">
        <v>12000</v>
      </c>
      <c r="G6202" t="s">
        <v>1460</v>
      </c>
      <c r="H6202" t="s">
        <v>1438</v>
      </c>
      <c r="I6202" t="s">
        <v>1439</v>
      </c>
      <c r="J6202">
        <v>1</v>
      </c>
    </row>
    <row r="6203" spans="1:11" hidden="1" x14ac:dyDescent="0.3">
      <c r="A6203" s="46">
        <v>45454</v>
      </c>
      <c r="B6203" s="46" t="s">
        <v>727</v>
      </c>
      <c r="D6203" t="s">
        <v>850</v>
      </c>
      <c r="E6203" s="46" t="s">
        <v>1436</v>
      </c>
      <c r="F6203" s="45">
        <v>12000</v>
      </c>
      <c r="G6203" t="s">
        <v>1463</v>
      </c>
      <c r="H6203" t="s">
        <v>1438</v>
      </c>
      <c r="I6203" t="s">
        <v>1439</v>
      </c>
      <c r="J6203">
        <v>1</v>
      </c>
    </row>
    <row r="6204" spans="1:11" hidden="1" x14ac:dyDescent="0.3">
      <c r="A6204" s="46">
        <v>45433</v>
      </c>
      <c r="B6204" s="46" t="s">
        <v>727</v>
      </c>
      <c r="D6204" t="s">
        <v>2299</v>
      </c>
      <c r="E6204" s="46" t="s">
        <v>1436</v>
      </c>
      <c r="F6204" s="45">
        <v>11920</v>
      </c>
      <c r="G6204" t="s">
        <v>1460</v>
      </c>
      <c r="H6204" t="s">
        <v>1442</v>
      </c>
      <c r="I6204" t="s">
        <v>1443</v>
      </c>
      <c r="K6204" t="s">
        <v>2300</v>
      </c>
    </row>
    <row r="6205" spans="1:11" hidden="1" x14ac:dyDescent="0.3">
      <c r="A6205" s="46">
        <v>45433</v>
      </c>
      <c r="B6205" s="46" t="s">
        <v>767</v>
      </c>
      <c r="D6205" t="s">
        <v>2301</v>
      </c>
      <c r="E6205" s="46" t="s">
        <v>1436</v>
      </c>
      <c r="F6205" s="45">
        <v>11900</v>
      </c>
      <c r="G6205" t="s">
        <v>1460</v>
      </c>
      <c r="H6205" t="s">
        <v>1438</v>
      </c>
      <c r="I6205" t="s">
        <v>1439</v>
      </c>
      <c r="J6205">
        <v>1</v>
      </c>
    </row>
    <row r="6206" spans="1:11" hidden="1" x14ac:dyDescent="0.3">
      <c r="A6206" s="46">
        <v>45462</v>
      </c>
      <c r="B6206" s="46" t="s">
        <v>727</v>
      </c>
      <c r="D6206" t="s">
        <v>2083</v>
      </c>
      <c r="E6206" s="46" t="s">
        <v>1436</v>
      </c>
      <c r="F6206" s="45">
        <v>11900</v>
      </c>
      <c r="G6206" t="s">
        <v>1463</v>
      </c>
      <c r="H6206" t="s">
        <v>1438</v>
      </c>
      <c r="I6206" t="s">
        <v>1439</v>
      </c>
      <c r="J6206">
        <v>1</v>
      </c>
    </row>
    <row r="6207" spans="1:11" hidden="1" x14ac:dyDescent="0.3">
      <c r="A6207" s="46">
        <v>45476</v>
      </c>
      <c r="B6207" s="46" t="s">
        <v>727</v>
      </c>
      <c r="D6207" t="s">
        <v>2365</v>
      </c>
      <c r="E6207" s="46" t="s">
        <v>1436</v>
      </c>
      <c r="F6207" s="45">
        <v>11900</v>
      </c>
      <c r="G6207" t="s">
        <v>1463</v>
      </c>
      <c r="H6207" t="s">
        <v>1438</v>
      </c>
      <c r="I6207" t="s">
        <v>1439</v>
      </c>
      <c r="J6207">
        <v>1</v>
      </c>
    </row>
    <row r="6208" spans="1:11" hidden="1" x14ac:dyDescent="0.3">
      <c r="A6208" s="46">
        <v>45370</v>
      </c>
      <c r="B6208" s="46" t="s">
        <v>734</v>
      </c>
      <c r="D6208" t="s">
        <v>1565</v>
      </c>
      <c r="E6208" s="46" t="s">
        <v>1436</v>
      </c>
      <c r="F6208" s="45">
        <v>11900</v>
      </c>
      <c r="G6208" t="s">
        <v>1441</v>
      </c>
      <c r="H6208" t="s">
        <v>1438</v>
      </c>
      <c r="I6208" t="s">
        <v>1439</v>
      </c>
      <c r="J6208">
        <v>1</v>
      </c>
    </row>
    <row r="6209" spans="1:11" hidden="1" x14ac:dyDescent="0.3">
      <c r="A6209" s="46">
        <v>45376</v>
      </c>
      <c r="B6209" s="46" t="s">
        <v>748</v>
      </c>
      <c r="D6209" t="s">
        <v>1556</v>
      </c>
      <c r="E6209" s="46" t="s">
        <v>1436</v>
      </c>
      <c r="F6209" s="45">
        <v>11900</v>
      </c>
      <c r="G6209" t="s">
        <v>1483</v>
      </c>
      <c r="H6209" t="s">
        <v>1438</v>
      </c>
      <c r="I6209" t="s">
        <v>1439</v>
      </c>
      <c r="J6209">
        <v>1</v>
      </c>
    </row>
    <row r="6210" spans="1:11" hidden="1" x14ac:dyDescent="0.3">
      <c r="A6210" s="46">
        <v>45359</v>
      </c>
      <c r="B6210" s="46" t="s">
        <v>748</v>
      </c>
      <c r="D6210" t="s">
        <v>1556</v>
      </c>
      <c r="E6210" s="46" t="s">
        <v>1436</v>
      </c>
      <c r="F6210" s="45">
        <v>11900</v>
      </c>
      <c r="G6210" t="s">
        <v>1483</v>
      </c>
      <c r="H6210" t="s">
        <v>1438</v>
      </c>
      <c r="I6210" t="s">
        <v>1439</v>
      </c>
      <c r="J6210">
        <v>1</v>
      </c>
    </row>
    <row r="6211" spans="1:11" hidden="1" x14ac:dyDescent="0.3">
      <c r="A6211" s="46">
        <v>45380</v>
      </c>
      <c r="B6211" s="46" t="s">
        <v>748</v>
      </c>
      <c r="D6211" t="s">
        <v>1556</v>
      </c>
      <c r="E6211" s="46" t="s">
        <v>1436</v>
      </c>
      <c r="F6211" s="45">
        <v>11900</v>
      </c>
      <c r="G6211" t="s">
        <v>1483</v>
      </c>
      <c r="H6211" t="s">
        <v>1438</v>
      </c>
      <c r="I6211" t="s">
        <v>1439</v>
      </c>
      <c r="J6211">
        <v>1</v>
      </c>
    </row>
    <row r="6212" spans="1:11" hidden="1" x14ac:dyDescent="0.3">
      <c r="A6212" s="46">
        <v>45383</v>
      </c>
      <c r="B6212" s="46" t="s">
        <v>748</v>
      </c>
      <c r="D6212" t="s">
        <v>1556</v>
      </c>
      <c r="E6212" s="46" t="s">
        <v>1436</v>
      </c>
      <c r="F6212" s="45">
        <v>11900</v>
      </c>
      <c r="G6212" t="s">
        <v>1483</v>
      </c>
      <c r="H6212" t="s">
        <v>1438</v>
      </c>
      <c r="I6212" t="s">
        <v>1439</v>
      </c>
      <c r="J6212">
        <v>1</v>
      </c>
    </row>
    <row r="6213" spans="1:11" hidden="1" x14ac:dyDescent="0.3">
      <c r="A6213" s="46">
        <v>45390</v>
      </c>
      <c r="B6213" s="46" t="s">
        <v>748</v>
      </c>
      <c r="D6213" t="s">
        <v>1556</v>
      </c>
      <c r="E6213" s="46" t="s">
        <v>1436</v>
      </c>
      <c r="F6213" s="45">
        <v>11900</v>
      </c>
      <c r="G6213" t="s">
        <v>1483</v>
      </c>
      <c r="H6213" t="s">
        <v>1438</v>
      </c>
      <c r="I6213" t="s">
        <v>1439</v>
      </c>
      <c r="J6213">
        <v>1</v>
      </c>
    </row>
    <row r="6214" spans="1:11" hidden="1" x14ac:dyDescent="0.3">
      <c r="A6214" s="46">
        <v>45415</v>
      </c>
      <c r="B6214" s="46" t="s">
        <v>748</v>
      </c>
      <c r="D6214" t="s">
        <v>1556</v>
      </c>
      <c r="E6214" s="46" t="s">
        <v>1436</v>
      </c>
      <c r="F6214" s="45">
        <v>11900</v>
      </c>
      <c r="G6214" t="s">
        <v>1471</v>
      </c>
      <c r="H6214" t="s">
        <v>1438</v>
      </c>
      <c r="I6214" t="s">
        <v>1439</v>
      </c>
      <c r="J6214">
        <v>1</v>
      </c>
    </row>
    <row r="6215" spans="1:11" hidden="1" x14ac:dyDescent="0.3">
      <c r="A6215" s="46">
        <v>45407</v>
      </c>
      <c r="B6215" s="46" t="s">
        <v>727</v>
      </c>
      <c r="D6215" t="s">
        <v>1502</v>
      </c>
      <c r="E6215" s="46" t="s">
        <v>1436</v>
      </c>
      <c r="F6215" s="45">
        <v>11900</v>
      </c>
      <c r="G6215" t="s">
        <v>1463</v>
      </c>
      <c r="H6215" t="s">
        <v>1438</v>
      </c>
      <c r="I6215" t="s">
        <v>1439</v>
      </c>
      <c r="J6215">
        <v>1</v>
      </c>
    </row>
    <row r="6216" spans="1:11" hidden="1" x14ac:dyDescent="0.3">
      <c r="A6216" s="46">
        <v>45401</v>
      </c>
      <c r="B6216" s="46" t="s">
        <v>748</v>
      </c>
      <c r="D6216" t="s">
        <v>1739</v>
      </c>
      <c r="E6216" s="46" t="s">
        <v>1436</v>
      </c>
      <c r="F6216" s="45">
        <v>11900</v>
      </c>
      <c r="G6216" t="s">
        <v>1471</v>
      </c>
      <c r="H6216" t="s">
        <v>1438</v>
      </c>
      <c r="I6216" t="s">
        <v>1439</v>
      </c>
      <c r="J6216">
        <v>1</v>
      </c>
    </row>
    <row r="6217" spans="1:11" hidden="1" x14ac:dyDescent="0.3">
      <c r="A6217" s="46">
        <v>45355</v>
      </c>
      <c r="B6217" s="46" t="s">
        <v>748</v>
      </c>
      <c r="D6217" t="s">
        <v>1556</v>
      </c>
      <c r="E6217" s="46" t="s">
        <v>1436</v>
      </c>
      <c r="F6217" s="45">
        <v>11900</v>
      </c>
      <c r="G6217" t="s">
        <v>1483</v>
      </c>
      <c r="H6217" t="s">
        <v>1438</v>
      </c>
      <c r="I6217" t="s">
        <v>1439</v>
      </c>
      <c r="J6217">
        <v>1</v>
      </c>
    </row>
    <row r="6218" spans="1:11" hidden="1" x14ac:dyDescent="0.3">
      <c r="A6218" s="46">
        <v>45356</v>
      </c>
      <c r="B6218" s="46" t="s">
        <v>722</v>
      </c>
      <c r="D6218" t="s">
        <v>1600</v>
      </c>
      <c r="E6218" s="46" t="s">
        <v>1436</v>
      </c>
      <c r="F6218" s="45">
        <v>11900</v>
      </c>
      <c r="G6218" t="s">
        <v>1460</v>
      </c>
      <c r="H6218" t="s">
        <v>1438</v>
      </c>
      <c r="I6218" t="s">
        <v>1439</v>
      </c>
      <c r="J6218">
        <v>1</v>
      </c>
    </row>
    <row r="6219" spans="1:11" hidden="1" x14ac:dyDescent="0.3">
      <c r="A6219" s="46">
        <v>45356</v>
      </c>
      <c r="B6219" s="46" t="s">
        <v>748</v>
      </c>
      <c r="D6219" t="s">
        <v>1556</v>
      </c>
      <c r="E6219" s="46" t="s">
        <v>1436</v>
      </c>
      <c r="F6219" s="45">
        <v>11900</v>
      </c>
      <c r="G6219" t="s">
        <v>1483</v>
      </c>
      <c r="H6219" t="s">
        <v>1438</v>
      </c>
      <c r="I6219" t="s">
        <v>1439</v>
      </c>
      <c r="J6219">
        <v>1</v>
      </c>
    </row>
    <row r="6220" spans="1:11" hidden="1" x14ac:dyDescent="0.3">
      <c r="A6220" s="46">
        <v>45321</v>
      </c>
      <c r="B6220" s="46" t="s">
        <v>748</v>
      </c>
      <c r="D6220" t="s">
        <v>1762</v>
      </c>
      <c r="E6220" s="46" t="s">
        <v>1436</v>
      </c>
      <c r="F6220" s="45">
        <v>11800</v>
      </c>
      <c r="G6220" t="s">
        <v>1479</v>
      </c>
      <c r="H6220" t="s">
        <v>1442</v>
      </c>
      <c r="I6220" t="s">
        <v>1443</v>
      </c>
      <c r="K6220" t="s">
        <v>1763</v>
      </c>
    </row>
    <row r="6221" spans="1:11" hidden="1" x14ac:dyDescent="0.3">
      <c r="A6221" s="46">
        <v>45419</v>
      </c>
      <c r="B6221" s="46" t="s">
        <v>729</v>
      </c>
      <c r="D6221" t="s">
        <v>1461</v>
      </c>
      <c r="E6221" s="46" t="s">
        <v>1436</v>
      </c>
      <c r="F6221" s="45">
        <v>11780</v>
      </c>
      <c r="G6221" t="s">
        <v>1471</v>
      </c>
      <c r="H6221" t="s">
        <v>1442</v>
      </c>
      <c r="I6221" t="s">
        <v>1458</v>
      </c>
      <c r="K6221" t="s">
        <v>2302</v>
      </c>
    </row>
    <row r="6222" spans="1:11" hidden="1" x14ac:dyDescent="0.3">
      <c r="A6222" s="46">
        <v>45399</v>
      </c>
      <c r="B6222" s="46" t="s">
        <v>748</v>
      </c>
      <c r="D6222" t="s">
        <v>1601</v>
      </c>
      <c r="E6222" s="46" t="s">
        <v>1436</v>
      </c>
      <c r="F6222" s="45">
        <v>11700</v>
      </c>
      <c r="G6222" t="s">
        <v>1479</v>
      </c>
      <c r="H6222" t="s">
        <v>1448</v>
      </c>
      <c r="I6222" t="s">
        <v>1519</v>
      </c>
      <c r="K6222" t="s">
        <v>2303</v>
      </c>
    </row>
    <row r="6223" spans="1:11" hidden="1" x14ac:dyDescent="0.3">
      <c r="A6223" s="46">
        <v>45385</v>
      </c>
      <c r="B6223" s="46" t="s">
        <v>748</v>
      </c>
      <c r="D6223" t="s">
        <v>1601</v>
      </c>
      <c r="E6223" s="46" t="s">
        <v>1436</v>
      </c>
      <c r="F6223" s="45">
        <v>11700</v>
      </c>
      <c r="G6223" t="s">
        <v>1479</v>
      </c>
      <c r="H6223" t="s">
        <v>1448</v>
      </c>
      <c r="I6223" t="s">
        <v>1519</v>
      </c>
      <c r="K6223" t="s">
        <v>2304</v>
      </c>
    </row>
    <row r="6224" spans="1:11" hidden="1" x14ac:dyDescent="0.3">
      <c r="A6224" s="46">
        <v>45313</v>
      </c>
      <c r="B6224" s="46" t="s">
        <v>748</v>
      </c>
      <c r="D6224" t="s">
        <v>1601</v>
      </c>
      <c r="E6224" s="46" t="s">
        <v>1436</v>
      </c>
      <c r="F6224" s="45">
        <v>11700</v>
      </c>
      <c r="G6224" t="s">
        <v>1479</v>
      </c>
      <c r="H6224" t="s">
        <v>1448</v>
      </c>
      <c r="I6224" t="s">
        <v>1519</v>
      </c>
      <c r="K6224" t="s">
        <v>1764</v>
      </c>
    </row>
    <row r="6225" spans="1:11" hidden="1" x14ac:dyDescent="0.3">
      <c r="A6225" s="46">
        <v>45344</v>
      </c>
      <c r="B6225" s="46" t="s">
        <v>772</v>
      </c>
      <c r="D6225" t="s">
        <v>1242</v>
      </c>
      <c r="E6225" s="46" t="s">
        <v>1436</v>
      </c>
      <c r="F6225" s="45">
        <v>11700</v>
      </c>
      <c r="G6225" t="s">
        <v>1464</v>
      </c>
      <c r="H6225" t="s">
        <v>1438</v>
      </c>
      <c r="I6225" t="s">
        <v>1439</v>
      </c>
      <c r="J6225">
        <v>5</v>
      </c>
    </row>
    <row r="6226" spans="1:11" hidden="1" x14ac:dyDescent="0.3">
      <c r="A6226" s="46">
        <v>45330</v>
      </c>
      <c r="B6226" s="46" t="s">
        <v>748</v>
      </c>
      <c r="D6226" t="s">
        <v>1601</v>
      </c>
      <c r="E6226" s="46" t="s">
        <v>1436</v>
      </c>
      <c r="F6226" s="45">
        <v>11700</v>
      </c>
      <c r="G6226" t="s">
        <v>1479</v>
      </c>
      <c r="H6226" t="s">
        <v>1448</v>
      </c>
      <c r="I6226" t="s">
        <v>1519</v>
      </c>
      <c r="K6226" t="s">
        <v>1765</v>
      </c>
    </row>
    <row r="6227" spans="1:11" hidden="1" x14ac:dyDescent="0.3">
      <c r="A6227" s="46">
        <v>45474</v>
      </c>
      <c r="B6227" s="46" t="s">
        <v>748</v>
      </c>
      <c r="D6227" t="s">
        <v>1601</v>
      </c>
      <c r="E6227" s="46" t="s">
        <v>1436</v>
      </c>
      <c r="F6227" s="45">
        <v>11700</v>
      </c>
      <c r="G6227" t="s">
        <v>1479</v>
      </c>
      <c r="H6227" t="s">
        <v>1448</v>
      </c>
      <c r="I6227" t="s">
        <v>1519</v>
      </c>
      <c r="K6227" t="s">
        <v>2397</v>
      </c>
    </row>
    <row r="6228" spans="1:11" hidden="1" x14ac:dyDescent="0.3">
      <c r="A6228" s="46">
        <v>45478</v>
      </c>
      <c r="B6228" s="46" t="s">
        <v>748</v>
      </c>
      <c r="D6228" t="s">
        <v>1601</v>
      </c>
      <c r="E6228" s="46" t="s">
        <v>1436</v>
      </c>
      <c r="F6228" s="45">
        <v>11700</v>
      </c>
      <c r="G6228" t="s">
        <v>1479</v>
      </c>
      <c r="H6228" t="s">
        <v>1448</v>
      </c>
      <c r="I6228" t="s">
        <v>1519</v>
      </c>
      <c r="K6228" t="s">
        <v>2398</v>
      </c>
    </row>
    <row r="6229" spans="1:11" hidden="1" x14ac:dyDescent="0.3">
      <c r="A6229" s="46">
        <v>45435</v>
      </c>
      <c r="B6229" s="46" t="s">
        <v>748</v>
      </c>
      <c r="D6229" t="s">
        <v>1554</v>
      </c>
      <c r="E6229" s="46" t="s">
        <v>1436</v>
      </c>
      <c r="F6229" s="45">
        <v>11500</v>
      </c>
      <c r="G6229" t="s">
        <v>1479</v>
      </c>
      <c r="H6229" t="s">
        <v>1438</v>
      </c>
      <c r="I6229" t="s">
        <v>1439</v>
      </c>
      <c r="J6229">
        <v>1</v>
      </c>
    </row>
    <row r="6230" spans="1:11" hidden="1" x14ac:dyDescent="0.3">
      <c r="A6230" s="46">
        <v>45378</v>
      </c>
      <c r="B6230" s="46" t="s">
        <v>767</v>
      </c>
      <c r="D6230" t="s">
        <v>1577</v>
      </c>
      <c r="E6230" s="46" t="s">
        <v>1436</v>
      </c>
      <c r="F6230" s="45">
        <v>11500</v>
      </c>
      <c r="G6230" t="s">
        <v>1509</v>
      </c>
      <c r="H6230" t="s">
        <v>1438</v>
      </c>
      <c r="I6230" t="s">
        <v>1439</v>
      </c>
      <c r="J6230">
        <v>1</v>
      </c>
    </row>
    <row r="6231" spans="1:11" hidden="1" x14ac:dyDescent="0.3">
      <c r="A6231" s="46">
        <v>45363</v>
      </c>
      <c r="B6231" s="46" t="s">
        <v>724</v>
      </c>
      <c r="D6231" t="s">
        <v>1766</v>
      </c>
      <c r="E6231" s="46" t="s">
        <v>1436</v>
      </c>
      <c r="F6231" s="45">
        <v>11500</v>
      </c>
      <c r="G6231" t="s">
        <v>1437</v>
      </c>
      <c r="H6231" t="s">
        <v>1438</v>
      </c>
      <c r="I6231" t="s">
        <v>1439</v>
      </c>
      <c r="J6231">
        <v>1</v>
      </c>
    </row>
    <row r="6232" spans="1:11" hidden="1" x14ac:dyDescent="0.3">
      <c r="A6232" s="46">
        <v>45363</v>
      </c>
      <c r="B6232" s="46" t="s">
        <v>748</v>
      </c>
      <c r="D6232" t="s">
        <v>1554</v>
      </c>
      <c r="E6232" s="46" t="s">
        <v>1436</v>
      </c>
      <c r="F6232" s="45">
        <v>11500</v>
      </c>
      <c r="G6232" t="s">
        <v>1451</v>
      </c>
      <c r="H6232" t="s">
        <v>1438</v>
      </c>
      <c r="I6232" t="s">
        <v>1439</v>
      </c>
      <c r="J6232">
        <v>1</v>
      </c>
    </row>
    <row r="6233" spans="1:11" hidden="1" x14ac:dyDescent="0.3">
      <c r="A6233" s="46">
        <v>45464</v>
      </c>
      <c r="B6233" s="46" t="s">
        <v>727</v>
      </c>
      <c r="D6233" t="s">
        <v>1591</v>
      </c>
      <c r="E6233" s="46" t="s">
        <v>1436</v>
      </c>
      <c r="F6233" s="45">
        <v>11400</v>
      </c>
      <c r="G6233" t="s">
        <v>1463</v>
      </c>
      <c r="H6233" t="s">
        <v>1438</v>
      </c>
      <c r="I6233" t="s">
        <v>1439</v>
      </c>
      <c r="J6233">
        <v>1</v>
      </c>
    </row>
    <row r="6234" spans="1:11" hidden="1" x14ac:dyDescent="0.3">
      <c r="A6234" s="46">
        <v>45464</v>
      </c>
      <c r="B6234" s="46" t="s">
        <v>727</v>
      </c>
      <c r="D6234" t="s">
        <v>1591</v>
      </c>
      <c r="E6234" s="46" t="s">
        <v>1436</v>
      </c>
      <c r="F6234" s="45">
        <v>11400</v>
      </c>
      <c r="G6234" t="s">
        <v>1463</v>
      </c>
      <c r="H6234" t="s">
        <v>1438</v>
      </c>
      <c r="I6234" t="s">
        <v>1439</v>
      </c>
      <c r="J6234">
        <v>1</v>
      </c>
    </row>
    <row r="6235" spans="1:11" hidden="1" x14ac:dyDescent="0.3">
      <c r="A6235" s="46">
        <v>45446</v>
      </c>
      <c r="B6235" s="46" t="s">
        <v>722</v>
      </c>
      <c r="D6235" t="s">
        <v>1461</v>
      </c>
      <c r="E6235" s="46" t="s">
        <v>1436</v>
      </c>
      <c r="F6235" s="45">
        <v>11310</v>
      </c>
      <c r="G6235" t="s">
        <v>1466</v>
      </c>
      <c r="H6235" t="s">
        <v>1442</v>
      </c>
      <c r="I6235" t="s">
        <v>1458</v>
      </c>
      <c r="K6235" t="s">
        <v>2305</v>
      </c>
    </row>
    <row r="6236" spans="1:11" hidden="1" x14ac:dyDescent="0.3">
      <c r="A6236" s="46">
        <v>45324</v>
      </c>
      <c r="B6236" s="46" t="s">
        <v>722</v>
      </c>
      <c r="D6236" t="s">
        <v>1440</v>
      </c>
      <c r="E6236" s="46" t="s">
        <v>1436</v>
      </c>
      <c r="F6236" s="45">
        <v>11200</v>
      </c>
      <c r="G6236" t="s">
        <v>1466</v>
      </c>
      <c r="H6236" t="s">
        <v>1469</v>
      </c>
      <c r="I6236" t="s">
        <v>1470</v>
      </c>
      <c r="J6236">
        <v>2</v>
      </c>
      <c r="K6236" t="s">
        <v>1767</v>
      </c>
    </row>
    <row r="6237" spans="1:11" hidden="1" x14ac:dyDescent="0.3">
      <c r="A6237" s="46">
        <v>45364</v>
      </c>
      <c r="B6237" s="46" t="s">
        <v>772</v>
      </c>
      <c r="D6237" t="s">
        <v>1768</v>
      </c>
      <c r="E6237" s="46" t="s">
        <v>1436</v>
      </c>
      <c r="F6237" s="45">
        <v>11100</v>
      </c>
      <c r="G6237" t="s">
        <v>1464</v>
      </c>
      <c r="H6237" t="s">
        <v>1438</v>
      </c>
      <c r="I6237" t="s">
        <v>1439</v>
      </c>
      <c r="K6237" t="s">
        <v>1823</v>
      </c>
    </row>
    <row r="6238" spans="1:11" hidden="1" x14ac:dyDescent="0.3">
      <c r="A6238" s="46">
        <v>45357</v>
      </c>
      <c r="B6238" s="46" t="s">
        <v>748</v>
      </c>
      <c r="D6238" t="s">
        <v>1030</v>
      </c>
      <c r="E6238" s="46" t="s">
        <v>1436</v>
      </c>
      <c r="F6238" s="45">
        <v>11000</v>
      </c>
      <c r="G6238" t="s">
        <v>1483</v>
      </c>
      <c r="H6238" t="s">
        <v>1438</v>
      </c>
      <c r="I6238" t="s">
        <v>1439</v>
      </c>
      <c r="J6238">
        <v>1</v>
      </c>
    </row>
    <row r="6239" spans="1:11" hidden="1" x14ac:dyDescent="0.3">
      <c r="A6239" s="46">
        <v>45408</v>
      </c>
      <c r="B6239" s="46" t="s">
        <v>724</v>
      </c>
      <c r="D6239" t="s">
        <v>1138</v>
      </c>
      <c r="E6239" s="46" t="s">
        <v>1436</v>
      </c>
      <c r="F6239" s="45">
        <v>11000</v>
      </c>
      <c r="G6239" t="s">
        <v>1437</v>
      </c>
      <c r="H6239" t="s">
        <v>1438</v>
      </c>
      <c r="I6239" t="s">
        <v>1439</v>
      </c>
      <c r="J6239">
        <v>1</v>
      </c>
    </row>
    <row r="6240" spans="1:11" hidden="1" x14ac:dyDescent="0.3">
      <c r="A6240" s="46">
        <v>45343</v>
      </c>
      <c r="B6240" s="46" t="s">
        <v>772</v>
      </c>
      <c r="D6240" t="s">
        <v>807</v>
      </c>
      <c r="E6240" s="46" t="s">
        <v>1436</v>
      </c>
      <c r="F6240" s="45">
        <v>11000</v>
      </c>
      <c r="G6240" t="s">
        <v>1464</v>
      </c>
      <c r="H6240" t="s">
        <v>1452</v>
      </c>
      <c r="I6240" t="s">
        <v>1453</v>
      </c>
      <c r="K6240" t="s">
        <v>1769</v>
      </c>
    </row>
    <row r="6241" spans="1:11" hidden="1" x14ac:dyDescent="0.3">
      <c r="A6241" s="46">
        <v>45355</v>
      </c>
      <c r="B6241" s="46" t="s">
        <v>767</v>
      </c>
      <c r="D6241" t="s">
        <v>1770</v>
      </c>
      <c r="E6241" s="46" t="s">
        <v>1436</v>
      </c>
      <c r="F6241" s="45">
        <v>11000</v>
      </c>
      <c r="G6241" t="s">
        <v>1460</v>
      </c>
      <c r="H6241" t="s">
        <v>1438</v>
      </c>
      <c r="I6241" t="s">
        <v>1439</v>
      </c>
      <c r="J6241">
        <v>1</v>
      </c>
    </row>
    <row r="6242" spans="1:11" hidden="1" x14ac:dyDescent="0.3">
      <c r="A6242" s="46">
        <v>45316</v>
      </c>
      <c r="B6242" s="46" t="s">
        <v>734</v>
      </c>
      <c r="D6242" t="s">
        <v>1481</v>
      </c>
      <c r="E6242" s="46" t="s">
        <v>1436</v>
      </c>
      <c r="F6242" s="45">
        <v>11000</v>
      </c>
      <c r="G6242" t="s">
        <v>1441</v>
      </c>
      <c r="H6242" t="s">
        <v>1438</v>
      </c>
      <c r="I6242" t="s">
        <v>1439</v>
      </c>
      <c r="J6242">
        <v>2</v>
      </c>
    </row>
    <row r="6243" spans="1:11" hidden="1" x14ac:dyDescent="0.3">
      <c r="A6243" s="46">
        <v>45446</v>
      </c>
      <c r="B6243" s="46" t="s">
        <v>727</v>
      </c>
      <c r="D6243" t="s">
        <v>1589</v>
      </c>
      <c r="E6243" s="46" t="s">
        <v>1436</v>
      </c>
      <c r="F6243" s="45">
        <v>11000</v>
      </c>
      <c r="G6243" t="s">
        <v>1463</v>
      </c>
      <c r="H6243" t="s">
        <v>1438</v>
      </c>
      <c r="I6243" t="s">
        <v>1439</v>
      </c>
      <c r="J6243">
        <v>1</v>
      </c>
    </row>
    <row r="6244" spans="1:11" hidden="1" x14ac:dyDescent="0.3">
      <c r="A6244" s="46">
        <v>45448</v>
      </c>
      <c r="B6244" s="46" t="s">
        <v>727</v>
      </c>
      <c r="D6244" t="s">
        <v>2274</v>
      </c>
      <c r="E6244" s="46" t="s">
        <v>1436</v>
      </c>
      <c r="F6244" s="45">
        <v>11000</v>
      </c>
      <c r="G6244" t="s">
        <v>1463</v>
      </c>
      <c r="H6244" t="s">
        <v>1438</v>
      </c>
      <c r="I6244" t="s">
        <v>1439</v>
      </c>
      <c r="J6244">
        <v>1</v>
      </c>
    </row>
    <row r="6245" spans="1:11" hidden="1" x14ac:dyDescent="0.3">
      <c r="A6245" s="46">
        <v>45441</v>
      </c>
      <c r="B6245" s="46" t="s">
        <v>727</v>
      </c>
      <c r="D6245" t="s">
        <v>1589</v>
      </c>
      <c r="E6245" s="46" t="s">
        <v>1436</v>
      </c>
      <c r="F6245" s="45">
        <v>11000</v>
      </c>
      <c r="G6245" t="s">
        <v>1463</v>
      </c>
      <c r="H6245" t="s">
        <v>1438</v>
      </c>
      <c r="I6245" t="s">
        <v>1439</v>
      </c>
      <c r="J6245">
        <v>1</v>
      </c>
    </row>
    <row r="6246" spans="1:11" hidden="1" x14ac:dyDescent="0.3">
      <c r="A6246" s="46">
        <v>45467</v>
      </c>
      <c r="B6246" s="46" t="s">
        <v>727</v>
      </c>
      <c r="D6246" t="s">
        <v>1589</v>
      </c>
      <c r="E6246" s="46" t="s">
        <v>1436</v>
      </c>
      <c r="F6246" s="45">
        <v>11000</v>
      </c>
      <c r="G6246" t="s">
        <v>1463</v>
      </c>
      <c r="H6246" t="s">
        <v>1438</v>
      </c>
      <c r="I6246" t="s">
        <v>1439</v>
      </c>
      <c r="J6246">
        <v>1</v>
      </c>
    </row>
    <row r="6247" spans="1:11" hidden="1" x14ac:dyDescent="0.3">
      <c r="A6247" s="46">
        <v>45453</v>
      </c>
      <c r="B6247" s="46" t="s">
        <v>727</v>
      </c>
      <c r="D6247" t="s">
        <v>1554</v>
      </c>
      <c r="E6247" s="46" t="s">
        <v>1436</v>
      </c>
      <c r="F6247" s="45">
        <v>11000</v>
      </c>
      <c r="G6247" t="s">
        <v>1463</v>
      </c>
      <c r="H6247" t="s">
        <v>1438</v>
      </c>
      <c r="I6247" t="s">
        <v>1439</v>
      </c>
      <c r="J6247">
        <v>1</v>
      </c>
    </row>
    <row r="6248" spans="1:11" hidden="1" x14ac:dyDescent="0.3">
      <c r="A6248" s="46">
        <v>45455</v>
      </c>
      <c r="B6248" s="46" t="s">
        <v>767</v>
      </c>
      <c r="D6248" t="s">
        <v>1565</v>
      </c>
      <c r="E6248" s="46" t="s">
        <v>1436</v>
      </c>
      <c r="F6248" s="45">
        <v>10900</v>
      </c>
      <c r="G6248" t="s">
        <v>1460</v>
      </c>
      <c r="H6248" t="s">
        <v>1438</v>
      </c>
      <c r="I6248" t="s">
        <v>1439</v>
      </c>
      <c r="J6248">
        <v>1</v>
      </c>
    </row>
    <row r="6249" spans="1:11" hidden="1" x14ac:dyDescent="0.3">
      <c r="A6249" s="46">
        <v>45475</v>
      </c>
      <c r="B6249" s="46" t="s">
        <v>767</v>
      </c>
      <c r="D6249" t="s">
        <v>1565</v>
      </c>
      <c r="E6249" s="46" t="s">
        <v>1436</v>
      </c>
      <c r="F6249" s="45">
        <v>10900</v>
      </c>
      <c r="G6249" t="s">
        <v>1460</v>
      </c>
      <c r="H6249" t="s">
        <v>1438</v>
      </c>
      <c r="I6249" t="s">
        <v>1439</v>
      </c>
      <c r="J6249">
        <v>1</v>
      </c>
    </row>
    <row r="6250" spans="1:11" hidden="1" x14ac:dyDescent="0.3">
      <c r="A6250" s="46">
        <v>45337</v>
      </c>
      <c r="B6250" s="46" t="s">
        <v>729</v>
      </c>
      <c r="D6250" t="s">
        <v>1461</v>
      </c>
      <c r="E6250" s="46" t="s">
        <v>1436</v>
      </c>
      <c r="F6250" s="45">
        <v>10900</v>
      </c>
      <c r="G6250" t="s">
        <v>1471</v>
      </c>
      <c r="H6250" t="s">
        <v>1442</v>
      </c>
      <c r="I6250" t="s">
        <v>1458</v>
      </c>
      <c r="K6250" t="s">
        <v>1771</v>
      </c>
    </row>
    <row r="6251" spans="1:11" hidden="1" x14ac:dyDescent="0.3">
      <c r="A6251" s="46">
        <v>45462</v>
      </c>
      <c r="B6251" s="46" t="s">
        <v>722</v>
      </c>
      <c r="D6251" t="s">
        <v>2221</v>
      </c>
      <c r="E6251" s="46" t="s">
        <v>1436</v>
      </c>
      <c r="F6251" s="45">
        <v>10800</v>
      </c>
      <c r="G6251" t="s">
        <v>1466</v>
      </c>
      <c r="H6251" t="s">
        <v>1438</v>
      </c>
      <c r="I6251" t="s">
        <v>1439</v>
      </c>
      <c r="J6251">
        <v>1</v>
      </c>
    </row>
    <row r="6252" spans="1:11" hidden="1" x14ac:dyDescent="0.3">
      <c r="A6252" s="46">
        <v>45470</v>
      </c>
      <c r="B6252" s="46" t="s">
        <v>724</v>
      </c>
      <c r="D6252" t="s">
        <v>789</v>
      </c>
      <c r="E6252" s="46" t="s">
        <v>1436</v>
      </c>
      <c r="F6252" s="45">
        <v>10600</v>
      </c>
      <c r="G6252" t="s">
        <v>1437</v>
      </c>
      <c r="H6252" t="s">
        <v>1438</v>
      </c>
      <c r="I6252" t="s">
        <v>1439</v>
      </c>
      <c r="J6252">
        <v>4</v>
      </c>
    </row>
    <row r="6253" spans="1:11" hidden="1" x14ac:dyDescent="0.3">
      <c r="A6253" s="46">
        <v>45454</v>
      </c>
      <c r="B6253" s="46" t="s">
        <v>724</v>
      </c>
      <c r="D6253" t="s">
        <v>1232</v>
      </c>
      <c r="E6253" s="46" t="s">
        <v>1436</v>
      </c>
      <c r="F6253" s="45">
        <v>10500</v>
      </c>
      <c r="G6253" t="s">
        <v>1437</v>
      </c>
      <c r="H6253" t="s">
        <v>1438</v>
      </c>
      <c r="I6253" t="s">
        <v>1439</v>
      </c>
      <c r="J6253">
        <v>3</v>
      </c>
    </row>
    <row r="6254" spans="1:11" hidden="1" x14ac:dyDescent="0.3">
      <c r="A6254" s="46">
        <v>45457</v>
      </c>
      <c r="B6254" s="46" t="s">
        <v>724</v>
      </c>
      <c r="D6254" t="s">
        <v>1232</v>
      </c>
      <c r="E6254" s="46" t="s">
        <v>1436</v>
      </c>
      <c r="F6254" s="45">
        <v>10500</v>
      </c>
      <c r="G6254" t="s">
        <v>1437</v>
      </c>
      <c r="H6254" t="s">
        <v>1438</v>
      </c>
      <c r="I6254" t="s">
        <v>1439</v>
      </c>
      <c r="J6254">
        <v>3</v>
      </c>
    </row>
    <row r="6255" spans="1:11" hidden="1" x14ac:dyDescent="0.3">
      <c r="A6255" s="46">
        <v>45460</v>
      </c>
      <c r="B6255" s="46" t="s">
        <v>724</v>
      </c>
      <c r="D6255" t="s">
        <v>1232</v>
      </c>
      <c r="E6255" s="46" t="s">
        <v>1436</v>
      </c>
      <c r="F6255" s="45">
        <v>10500</v>
      </c>
      <c r="G6255" t="s">
        <v>1437</v>
      </c>
      <c r="H6255" t="s">
        <v>1438</v>
      </c>
      <c r="I6255" t="s">
        <v>1439</v>
      </c>
      <c r="J6255">
        <v>3</v>
      </c>
    </row>
    <row r="6256" spans="1:11" hidden="1" x14ac:dyDescent="0.3">
      <c r="A6256" s="46">
        <v>45433</v>
      </c>
      <c r="B6256" s="46" t="s">
        <v>724</v>
      </c>
      <c r="D6256" t="s">
        <v>1232</v>
      </c>
      <c r="E6256" s="46" t="s">
        <v>1436</v>
      </c>
      <c r="F6256" s="45">
        <v>10500</v>
      </c>
      <c r="G6256" t="s">
        <v>1437</v>
      </c>
      <c r="H6256" t="s">
        <v>1438</v>
      </c>
      <c r="I6256" t="s">
        <v>1439</v>
      </c>
      <c r="J6256">
        <v>3</v>
      </c>
    </row>
    <row r="6257" spans="1:11" hidden="1" x14ac:dyDescent="0.3">
      <c r="A6257" s="46">
        <v>45338</v>
      </c>
      <c r="B6257" s="46" t="s">
        <v>724</v>
      </c>
      <c r="D6257" t="s">
        <v>1232</v>
      </c>
      <c r="E6257" s="46" t="s">
        <v>1436</v>
      </c>
      <c r="F6257" s="45">
        <v>10500</v>
      </c>
      <c r="G6257" t="s">
        <v>1437</v>
      </c>
      <c r="H6257" t="s">
        <v>1438</v>
      </c>
      <c r="I6257" t="s">
        <v>1439</v>
      </c>
      <c r="J6257">
        <v>3</v>
      </c>
    </row>
    <row r="6258" spans="1:11" hidden="1" x14ac:dyDescent="0.3">
      <c r="A6258" s="46">
        <v>45349</v>
      </c>
      <c r="B6258" s="46" t="s">
        <v>724</v>
      </c>
      <c r="D6258" t="s">
        <v>1232</v>
      </c>
      <c r="E6258" s="46" t="s">
        <v>1436</v>
      </c>
      <c r="F6258" s="45">
        <v>10500</v>
      </c>
      <c r="G6258" t="s">
        <v>1437</v>
      </c>
      <c r="H6258" t="s">
        <v>1438</v>
      </c>
      <c r="I6258" t="s">
        <v>1439</v>
      </c>
      <c r="J6258">
        <v>3</v>
      </c>
    </row>
    <row r="6259" spans="1:11" hidden="1" x14ac:dyDescent="0.3">
      <c r="A6259" s="46">
        <v>45320</v>
      </c>
      <c r="B6259" s="46" t="s">
        <v>724</v>
      </c>
      <c r="D6259" t="s">
        <v>1232</v>
      </c>
      <c r="E6259" s="46" t="s">
        <v>1436</v>
      </c>
      <c r="F6259" s="45">
        <v>10500</v>
      </c>
      <c r="G6259" t="s">
        <v>1437</v>
      </c>
      <c r="H6259" t="s">
        <v>1438</v>
      </c>
      <c r="I6259" t="s">
        <v>1439</v>
      </c>
      <c r="J6259">
        <v>3</v>
      </c>
    </row>
    <row r="6260" spans="1:11" hidden="1" x14ac:dyDescent="0.3">
      <c r="A6260" s="46">
        <v>45323</v>
      </c>
      <c r="B6260" s="46" t="s">
        <v>821</v>
      </c>
      <c r="D6260" t="s">
        <v>1772</v>
      </c>
      <c r="E6260" s="46" t="s">
        <v>1436</v>
      </c>
      <c r="F6260" s="45">
        <v>10500</v>
      </c>
      <c r="G6260" t="s">
        <v>1509</v>
      </c>
      <c r="H6260" t="s">
        <v>1438</v>
      </c>
      <c r="I6260" t="s">
        <v>1456</v>
      </c>
      <c r="J6260">
        <v>3</v>
      </c>
      <c r="K6260" t="s">
        <v>1537</v>
      </c>
    </row>
    <row r="6261" spans="1:11" hidden="1" x14ac:dyDescent="0.3">
      <c r="A6261" s="46">
        <v>45294</v>
      </c>
      <c r="B6261" s="46" t="s">
        <v>734</v>
      </c>
      <c r="D6261" t="s">
        <v>1555</v>
      </c>
      <c r="E6261" s="46" t="s">
        <v>1436</v>
      </c>
      <c r="F6261" s="45">
        <v>10500</v>
      </c>
      <c r="G6261" t="s">
        <v>1441</v>
      </c>
      <c r="H6261" t="s">
        <v>1438</v>
      </c>
      <c r="I6261" t="s">
        <v>1439</v>
      </c>
      <c r="J6261">
        <v>1</v>
      </c>
    </row>
    <row r="6262" spans="1:11" hidden="1" x14ac:dyDescent="0.3">
      <c r="A6262" s="46">
        <v>45295</v>
      </c>
      <c r="B6262" s="46" t="s">
        <v>734</v>
      </c>
      <c r="D6262" t="s">
        <v>1602</v>
      </c>
      <c r="E6262" s="46" t="s">
        <v>1436</v>
      </c>
      <c r="F6262" s="45">
        <v>10500</v>
      </c>
      <c r="G6262" t="s">
        <v>1441</v>
      </c>
      <c r="H6262" t="s">
        <v>1438</v>
      </c>
      <c r="I6262" t="s">
        <v>1439</v>
      </c>
      <c r="J6262">
        <v>1</v>
      </c>
    </row>
    <row r="6263" spans="1:11" hidden="1" x14ac:dyDescent="0.3">
      <c r="A6263" s="46">
        <v>45303</v>
      </c>
      <c r="B6263" s="46" t="s">
        <v>724</v>
      </c>
      <c r="D6263" t="s">
        <v>1232</v>
      </c>
      <c r="E6263" s="46" t="s">
        <v>1436</v>
      </c>
      <c r="F6263" s="45">
        <v>10500</v>
      </c>
      <c r="G6263" t="s">
        <v>1437</v>
      </c>
      <c r="H6263" t="s">
        <v>1438</v>
      </c>
      <c r="I6263" t="s">
        <v>1439</v>
      </c>
      <c r="J6263">
        <v>3</v>
      </c>
    </row>
    <row r="6264" spans="1:11" hidden="1" x14ac:dyDescent="0.3">
      <c r="A6264" s="46">
        <v>45394</v>
      </c>
      <c r="B6264" s="46" t="s">
        <v>724</v>
      </c>
      <c r="D6264" t="s">
        <v>1232</v>
      </c>
      <c r="E6264" s="46" t="s">
        <v>1436</v>
      </c>
      <c r="F6264" s="45">
        <v>10500</v>
      </c>
      <c r="G6264" t="s">
        <v>1437</v>
      </c>
      <c r="H6264" t="s">
        <v>1438</v>
      </c>
      <c r="I6264" t="s">
        <v>1439</v>
      </c>
      <c r="J6264">
        <v>3</v>
      </c>
    </row>
    <row r="6265" spans="1:11" hidden="1" x14ac:dyDescent="0.3">
      <c r="A6265" s="46">
        <v>45412</v>
      </c>
      <c r="B6265" s="46" t="s">
        <v>722</v>
      </c>
      <c r="D6265" t="s">
        <v>1232</v>
      </c>
      <c r="E6265" s="46" t="s">
        <v>1436</v>
      </c>
      <c r="F6265" s="45">
        <v>10500</v>
      </c>
      <c r="G6265" t="s">
        <v>1437</v>
      </c>
      <c r="H6265" t="s">
        <v>1438</v>
      </c>
      <c r="I6265" t="s">
        <v>1439</v>
      </c>
      <c r="J6265">
        <v>3</v>
      </c>
    </row>
    <row r="6266" spans="1:11" hidden="1" x14ac:dyDescent="0.3">
      <c r="A6266" s="46">
        <v>45425</v>
      </c>
      <c r="B6266" s="46" t="s">
        <v>724</v>
      </c>
      <c r="D6266" t="s">
        <v>1232</v>
      </c>
      <c r="E6266" s="46" t="s">
        <v>1436</v>
      </c>
      <c r="F6266" s="45">
        <v>10500</v>
      </c>
      <c r="G6266" t="s">
        <v>1437</v>
      </c>
      <c r="H6266" t="s">
        <v>1438</v>
      </c>
      <c r="I6266" t="s">
        <v>1439</v>
      </c>
      <c r="J6266">
        <v>3</v>
      </c>
    </row>
    <row r="6267" spans="1:11" hidden="1" x14ac:dyDescent="0.3">
      <c r="A6267" s="46">
        <v>45432</v>
      </c>
      <c r="B6267" s="46" t="s">
        <v>722</v>
      </c>
      <c r="D6267" t="s">
        <v>1232</v>
      </c>
      <c r="E6267" s="46" t="s">
        <v>1436</v>
      </c>
      <c r="F6267" s="45">
        <v>10500</v>
      </c>
      <c r="G6267" t="s">
        <v>1437</v>
      </c>
      <c r="H6267" t="s">
        <v>1438</v>
      </c>
      <c r="I6267" t="s">
        <v>1439</v>
      </c>
      <c r="J6267">
        <v>3</v>
      </c>
    </row>
    <row r="6268" spans="1:11" hidden="1" x14ac:dyDescent="0.3">
      <c r="A6268" s="46">
        <v>45387</v>
      </c>
      <c r="B6268" s="46" t="s">
        <v>724</v>
      </c>
      <c r="D6268" t="s">
        <v>1232</v>
      </c>
      <c r="E6268" s="46" t="s">
        <v>1436</v>
      </c>
      <c r="F6268" s="45">
        <v>10500</v>
      </c>
      <c r="G6268" t="s">
        <v>1437</v>
      </c>
      <c r="H6268" t="s">
        <v>1438</v>
      </c>
      <c r="I6268" t="s">
        <v>1439</v>
      </c>
      <c r="J6268">
        <v>3</v>
      </c>
    </row>
    <row r="6269" spans="1:11" hidden="1" x14ac:dyDescent="0.3">
      <c r="A6269" s="46">
        <v>45464</v>
      </c>
      <c r="B6269" s="46" t="s">
        <v>724</v>
      </c>
      <c r="D6269" t="s">
        <v>1130</v>
      </c>
      <c r="E6269" s="46" t="s">
        <v>1436</v>
      </c>
      <c r="F6269" s="45">
        <v>10300</v>
      </c>
      <c r="G6269" t="s">
        <v>1437</v>
      </c>
      <c r="H6269" t="s">
        <v>1438</v>
      </c>
      <c r="I6269" t="s">
        <v>1439</v>
      </c>
      <c r="J6269">
        <v>1</v>
      </c>
    </row>
    <row r="6270" spans="1:11" hidden="1" x14ac:dyDescent="0.3">
      <c r="A6270" s="46">
        <v>45307</v>
      </c>
      <c r="B6270" s="46" t="s">
        <v>722</v>
      </c>
      <c r="D6270" t="s">
        <v>1461</v>
      </c>
      <c r="E6270" s="46" t="s">
        <v>1436</v>
      </c>
      <c r="F6270" s="45">
        <v>10290</v>
      </c>
      <c r="G6270" t="s">
        <v>1437</v>
      </c>
      <c r="H6270" t="s">
        <v>1442</v>
      </c>
      <c r="I6270" t="s">
        <v>1458</v>
      </c>
      <c r="K6270" t="s">
        <v>1773</v>
      </c>
    </row>
    <row r="6271" spans="1:11" hidden="1" x14ac:dyDescent="0.3">
      <c r="A6271" s="46">
        <v>45299</v>
      </c>
      <c r="B6271" s="46" t="s">
        <v>748</v>
      </c>
      <c r="D6271" t="s">
        <v>1095</v>
      </c>
      <c r="E6271" s="46" t="s">
        <v>1436</v>
      </c>
      <c r="F6271" s="45">
        <v>10000</v>
      </c>
      <c r="G6271" t="s">
        <v>1483</v>
      </c>
      <c r="H6271" t="s">
        <v>1438</v>
      </c>
      <c r="I6271" t="s">
        <v>1439</v>
      </c>
      <c r="J6271">
        <v>1</v>
      </c>
    </row>
    <row r="6272" spans="1:11" hidden="1" x14ac:dyDescent="0.3">
      <c r="A6272" s="46">
        <v>45308</v>
      </c>
      <c r="B6272" s="46" t="s">
        <v>821</v>
      </c>
      <c r="D6272" t="s">
        <v>1095</v>
      </c>
      <c r="E6272" s="46" t="s">
        <v>1436</v>
      </c>
      <c r="F6272" s="45">
        <v>10000</v>
      </c>
      <c r="G6272" t="s">
        <v>1483</v>
      </c>
      <c r="H6272" t="s">
        <v>1438</v>
      </c>
      <c r="I6272" t="s">
        <v>1439</v>
      </c>
      <c r="J6272">
        <v>1</v>
      </c>
    </row>
    <row r="6273" spans="1:11" hidden="1" x14ac:dyDescent="0.3">
      <c r="A6273" s="46">
        <v>45362</v>
      </c>
      <c r="B6273" s="46" t="s">
        <v>748</v>
      </c>
      <c r="D6273" t="s">
        <v>1544</v>
      </c>
      <c r="E6273" s="46" t="s">
        <v>1436</v>
      </c>
      <c r="F6273" s="45">
        <v>10000</v>
      </c>
      <c r="G6273" t="s">
        <v>1483</v>
      </c>
      <c r="H6273" t="s">
        <v>1438</v>
      </c>
      <c r="I6273" t="s">
        <v>1439</v>
      </c>
      <c r="J6273">
        <v>1</v>
      </c>
    </row>
    <row r="6274" spans="1:11" hidden="1" x14ac:dyDescent="0.3">
      <c r="A6274" s="46">
        <v>45365</v>
      </c>
      <c r="B6274" s="46" t="s">
        <v>727</v>
      </c>
      <c r="D6274" t="s">
        <v>1057</v>
      </c>
      <c r="E6274" s="46" t="s">
        <v>1436</v>
      </c>
      <c r="F6274" s="45">
        <v>10000</v>
      </c>
      <c r="G6274" t="s">
        <v>1463</v>
      </c>
      <c r="H6274" t="s">
        <v>1438</v>
      </c>
      <c r="I6274" t="s">
        <v>1439</v>
      </c>
      <c r="J6274">
        <v>10</v>
      </c>
      <c r="K6274" t="s">
        <v>1774</v>
      </c>
    </row>
    <row r="6275" spans="1:11" hidden="1" x14ac:dyDescent="0.3">
      <c r="A6275" s="46">
        <v>45373</v>
      </c>
      <c r="B6275" s="46" t="s">
        <v>727</v>
      </c>
      <c r="D6275" t="s">
        <v>1544</v>
      </c>
      <c r="E6275" s="46" t="s">
        <v>1436</v>
      </c>
      <c r="F6275" s="45">
        <v>10000</v>
      </c>
      <c r="G6275" t="s">
        <v>1509</v>
      </c>
      <c r="H6275" t="s">
        <v>1438</v>
      </c>
      <c r="I6275" t="s">
        <v>1439</v>
      </c>
      <c r="J6275">
        <v>2</v>
      </c>
    </row>
    <row r="6276" spans="1:11" hidden="1" x14ac:dyDescent="0.3">
      <c r="A6276" s="46">
        <v>45373</v>
      </c>
      <c r="B6276" s="46" t="s">
        <v>727</v>
      </c>
      <c r="D6276" t="s">
        <v>1544</v>
      </c>
      <c r="E6276" s="46" t="s">
        <v>1436</v>
      </c>
      <c r="F6276" s="45">
        <v>10000</v>
      </c>
      <c r="G6276" t="s">
        <v>1509</v>
      </c>
      <c r="H6276" t="s">
        <v>1438</v>
      </c>
      <c r="I6276" t="s">
        <v>1439</v>
      </c>
      <c r="J6276">
        <v>2</v>
      </c>
    </row>
    <row r="6277" spans="1:11" hidden="1" x14ac:dyDescent="0.3">
      <c r="A6277" s="46">
        <v>45401</v>
      </c>
      <c r="B6277" s="46" t="s">
        <v>722</v>
      </c>
      <c r="D6277" t="s">
        <v>2306</v>
      </c>
      <c r="E6277" s="46" t="s">
        <v>1436</v>
      </c>
      <c r="F6277" s="45">
        <v>10000</v>
      </c>
      <c r="G6277" t="s">
        <v>1480</v>
      </c>
      <c r="H6277" t="s">
        <v>1452</v>
      </c>
      <c r="I6277" t="s">
        <v>1453</v>
      </c>
      <c r="K6277" t="s">
        <v>2307</v>
      </c>
    </row>
    <row r="6278" spans="1:11" hidden="1" x14ac:dyDescent="0.3">
      <c r="A6278" s="46">
        <v>45471</v>
      </c>
      <c r="B6278" s="46" t="s">
        <v>724</v>
      </c>
      <c r="D6278" t="s">
        <v>1095</v>
      </c>
      <c r="E6278" s="46" t="s">
        <v>1436</v>
      </c>
      <c r="F6278" s="45">
        <v>10000</v>
      </c>
      <c r="G6278" t="s">
        <v>1463</v>
      </c>
      <c r="H6278" t="s">
        <v>1438</v>
      </c>
      <c r="I6278" t="s">
        <v>1439</v>
      </c>
      <c r="J6278">
        <v>1</v>
      </c>
    </row>
    <row r="6279" spans="1:11" hidden="1" x14ac:dyDescent="0.3">
      <c r="A6279" s="46">
        <v>45406</v>
      </c>
      <c r="B6279" s="46" t="s">
        <v>724</v>
      </c>
      <c r="D6279" t="s">
        <v>755</v>
      </c>
      <c r="E6279" s="46" t="s">
        <v>1436</v>
      </c>
      <c r="F6279" s="45">
        <v>9990</v>
      </c>
      <c r="G6279" t="s">
        <v>1437</v>
      </c>
      <c r="H6279" t="s">
        <v>1438</v>
      </c>
      <c r="I6279" t="s">
        <v>1439</v>
      </c>
      <c r="J6279">
        <v>4</v>
      </c>
    </row>
    <row r="6280" spans="1:11" hidden="1" x14ac:dyDescent="0.3">
      <c r="A6280" s="46">
        <v>45387</v>
      </c>
      <c r="B6280" s="46" t="s">
        <v>748</v>
      </c>
      <c r="D6280" t="s">
        <v>1440</v>
      </c>
      <c r="E6280" s="46" t="s">
        <v>1436</v>
      </c>
      <c r="F6280" s="45">
        <v>9900</v>
      </c>
      <c r="G6280" t="s">
        <v>1451</v>
      </c>
      <c r="H6280" t="s">
        <v>1469</v>
      </c>
      <c r="I6280" t="s">
        <v>1470</v>
      </c>
      <c r="K6280" t="s">
        <v>2308</v>
      </c>
    </row>
    <row r="6281" spans="1:11" hidden="1" x14ac:dyDescent="0.3">
      <c r="A6281" s="46">
        <v>45350</v>
      </c>
      <c r="B6281" s="46" t="s">
        <v>767</v>
      </c>
      <c r="D6281" t="s">
        <v>1565</v>
      </c>
      <c r="E6281" s="46" t="s">
        <v>1436</v>
      </c>
      <c r="F6281" s="45">
        <v>9900</v>
      </c>
      <c r="G6281" t="s">
        <v>1460</v>
      </c>
      <c r="H6281" t="s">
        <v>1438</v>
      </c>
      <c r="I6281" t="s">
        <v>1439</v>
      </c>
      <c r="J6281">
        <v>1</v>
      </c>
    </row>
    <row r="6282" spans="1:11" hidden="1" x14ac:dyDescent="0.3">
      <c r="A6282" s="46">
        <v>45341</v>
      </c>
      <c r="B6282" s="46" t="s">
        <v>767</v>
      </c>
      <c r="D6282" t="s">
        <v>1565</v>
      </c>
      <c r="E6282" s="46" t="s">
        <v>1436</v>
      </c>
      <c r="F6282" s="45">
        <v>9900</v>
      </c>
      <c r="G6282" t="s">
        <v>1460</v>
      </c>
      <c r="H6282" t="s">
        <v>1438</v>
      </c>
      <c r="I6282" t="s">
        <v>1439</v>
      </c>
      <c r="J6282">
        <v>1</v>
      </c>
    </row>
    <row r="6283" spans="1:11" hidden="1" x14ac:dyDescent="0.3">
      <c r="A6283" s="46">
        <v>45348</v>
      </c>
      <c r="B6283" s="46" t="s">
        <v>729</v>
      </c>
      <c r="D6283" t="s">
        <v>1490</v>
      </c>
      <c r="E6283" s="46" t="s">
        <v>1436</v>
      </c>
      <c r="F6283" s="45">
        <v>9890</v>
      </c>
      <c r="G6283" t="s">
        <v>1471</v>
      </c>
      <c r="H6283" t="s">
        <v>1469</v>
      </c>
      <c r="I6283" t="s">
        <v>1503</v>
      </c>
      <c r="K6283" t="s">
        <v>1594</v>
      </c>
    </row>
    <row r="6284" spans="1:11" hidden="1" x14ac:dyDescent="0.3">
      <c r="A6284" s="46">
        <v>45404</v>
      </c>
      <c r="B6284" s="46" t="s">
        <v>729</v>
      </c>
      <c r="D6284" t="s">
        <v>1490</v>
      </c>
      <c r="E6284" s="46" t="s">
        <v>1436</v>
      </c>
      <c r="F6284" s="45">
        <v>9890</v>
      </c>
      <c r="G6284" t="s">
        <v>1471</v>
      </c>
      <c r="H6284" t="s">
        <v>1469</v>
      </c>
      <c r="I6284" t="s">
        <v>1503</v>
      </c>
      <c r="K6284" t="s">
        <v>2212</v>
      </c>
    </row>
    <row r="6285" spans="1:11" hidden="1" x14ac:dyDescent="0.3">
      <c r="A6285" s="46">
        <v>45439</v>
      </c>
      <c r="B6285" s="46" t="s">
        <v>729</v>
      </c>
      <c r="D6285" t="s">
        <v>1490</v>
      </c>
      <c r="E6285" s="46" t="s">
        <v>1436</v>
      </c>
      <c r="F6285" s="45">
        <v>9890</v>
      </c>
      <c r="G6285" t="s">
        <v>1471</v>
      </c>
      <c r="H6285" t="s">
        <v>1469</v>
      </c>
      <c r="I6285" t="s">
        <v>1503</v>
      </c>
      <c r="K6285" t="s">
        <v>2212</v>
      </c>
    </row>
    <row r="6286" spans="1:11" hidden="1" x14ac:dyDescent="0.3">
      <c r="A6286" s="46">
        <v>45477</v>
      </c>
      <c r="B6286" s="46" t="s">
        <v>722</v>
      </c>
      <c r="D6286" t="s">
        <v>1490</v>
      </c>
      <c r="E6286" s="46" t="s">
        <v>1436</v>
      </c>
      <c r="F6286" s="45">
        <v>9890</v>
      </c>
      <c r="G6286" t="s">
        <v>1466</v>
      </c>
      <c r="H6286" t="s">
        <v>1469</v>
      </c>
      <c r="I6286" t="s">
        <v>1503</v>
      </c>
      <c r="K6286" t="s">
        <v>2399</v>
      </c>
    </row>
    <row r="6287" spans="1:11" hidden="1" x14ac:dyDescent="0.3">
      <c r="A6287" s="46">
        <v>45471</v>
      </c>
      <c r="B6287" s="46" t="s">
        <v>734</v>
      </c>
      <c r="D6287" t="s">
        <v>1552</v>
      </c>
      <c r="E6287" s="46" t="s">
        <v>1436</v>
      </c>
      <c r="F6287" s="45">
        <v>9630</v>
      </c>
      <c r="G6287" t="s">
        <v>1441</v>
      </c>
      <c r="H6287" t="s">
        <v>1438</v>
      </c>
      <c r="I6287" t="s">
        <v>1439</v>
      </c>
      <c r="J6287">
        <v>2</v>
      </c>
    </row>
    <row r="6288" spans="1:11" hidden="1" x14ac:dyDescent="0.3">
      <c r="A6288" s="46">
        <v>45317</v>
      </c>
      <c r="B6288" s="46" t="s">
        <v>724</v>
      </c>
      <c r="D6288" t="s">
        <v>1339</v>
      </c>
      <c r="E6288" s="46" t="s">
        <v>1436</v>
      </c>
      <c r="F6288" s="45">
        <v>9600</v>
      </c>
      <c r="G6288" t="s">
        <v>1437</v>
      </c>
      <c r="H6288" t="s">
        <v>1438</v>
      </c>
      <c r="I6288" t="s">
        <v>1439</v>
      </c>
      <c r="J6288">
        <v>1</v>
      </c>
    </row>
    <row r="6289" spans="1:11" hidden="1" x14ac:dyDescent="0.3">
      <c r="A6289" s="46">
        <v>45294</v>
      </c>
      <c r="B6289" s="46" t="s">
        <v>729</v>
      </c>
      <c r="D6289" t="s">
        <v>1490</v>
      </c>
      <c r="E6289" s="46" t="s">
        <v>1436</v>
      </c>
      <c r="F6289" s="45">
        <v>9580</v>
      </c>
      <c r="G6289" t="s">
        <v>1471</v>
      </c>
      <c r="H6289" t="s">
        <v>1469</v>
      </c>
      <c r="I6289" t="s">
        <v>1503</v>
      </c>
      <c r="K6289" t="s">
        <v>1594</v>
      </c>
    </row>
    <row r="6290" spans="1:11" hidden="1" x14ac:dyDescent="0.3">
      <c r="A6290" s="46">
        <v>45433</v>
      </c>
      <c r="B6290" s="46" t="s">
        <v>727</v>
      </c>
      <c r="D6290" t="s">
        <v>1440</v>
      </c>
      <c r="E6290" s="46" t="s">
        <v>1436</v>
      </c>
      <c r="F6290" s="45">
        <v>9400</v>
      </c>
      <c r="G6290" t="s">
        <v>1460</v>
      </c>
      <c r="H6290" t="s">
        <v>1442</v>
      </c>
      <c r="I6290" t="s">
        <v>1443</v>
      </c>
      <c r="K6290" t="s">
        <v>2309</v>
      </c>
    </row>
    <row r="6291" spans="1:11" hidden="1" x14ac:dyDescent="0.3">
      <c r="A6291" s="46">
        <v>45446</v>
      </c>
      <c r="B6291" s="46" t="s">
        <v>724</v>
      </c>
      <c r="D6291" t="s">
        <v>1730</v>
      </c>
      <c r="E6291" s="46" t="s">
        <v>1436</v>
      </c>
      <c r="F6291" s="45">
        <v>9000</v>
      </c>
      <c r="G6291" t="s">
        <v>1437</v>
      </c>
      <c r="H6291" t="s">
        <v>1438</v>
      </c>
      <c r="I6291" t="s">
        <v>1439</v>
      </c>
      <c r="J6291">
        <v>4</v>
      </c>
    </row>
    <row r="6292" spans="1:11" hidden="1" x14ac:dyDescent="0.3">
      <c r="A6292" s="46">
        <v>45294</v>
      </c>
      <c r="B6292" s="46" t="s">
        <v>727</v>
      </c>
      <c r="D6292" t="s">
        <v>1541</v>
      </c>
      <c r="E6292" s="46" t="s">
        <v>1436</v>
      </c>
      <c r="F6292" s="45">
        <v>9000</v>
      </c>
      <c r="G6292" t="s">
        <v>1463</v>
      </c>
      <c r="H6292" t="s">
        <v>1438</v>
      </c>
      <c r="I6292" t="s">
        <v>1439</v>
      </c>
      <c r="J6292">
        <v>1</v>
      </c>
    </row>
    <row r="6293" spans="1:11" hidden="1" x14ac:dyDescent="0.3">
      <c r="A6293" s="46">
        <v>45348</v>
      </c>
      <c r="B6293" s="46" t="s">
        <v>729</v>
      </c>
      <c r="D6293" t="s">
        <v>1440</v>
      </c>
      <c r="E6293" s="46" t="s">
        <v>1436</v>
      </c>
      <c r="F6293" s="45">
        <v>9000</v>
      </c>
      <c r="G6293" t="s">
        <v>1471</v>
      </c>
      <c r="H6293" t="s">
        <v>1469</v>
      </c>
      <c r="I6293" t="s">
        <v>1470</v>
      </c>
      <c r="K6293" t="s">
        <v>1775</v>
      </c>
    </row>
    <row r="6294" spans="1:11" hidden="1" x14ac:dyDescent="0.3">
      <c r="A6294" s="46">
        <v>45338</v>
      </c>
      <c r="B6294" s="46" t="s">
        <v>767</v>
      </c>
      <c r="D6294" t="s">
        <v>1095</v>
      </c>
      <c r="E6294" s="46" t="s">
        <v>1436</v>
      </c>
      <c r="F6294" s="45">
        <v>9000</v>
      </c>
      <c r="G6294" t="s">
        <v>1460</v>
      </c>
      <c r="H6294" t="s">
        <v>1438</v>
      </c>
      <c r="I6294" t="s">
        <v>1439</v>
      </c>
      <c r="J6294">
        <v>1</v>
      </c>
    </row>
    <row r="6295" spans="1:11" hidden="1" x14ac:dyDescent="0.3">
      <c r="A6295" s="46">
        <v>45328</v>
      </c>
      <c r="B6295" s="46" t="s">
        <v>727</v>
      </c>
      <c r="D6295" t="s">
        <v>1518</v>
      </c>
      <c r="E6295" s="46" t="s">
        <v>1436</v>
      </c>
      <c r="F6295" s="45">
        <v>9000</v>
      </c>
      <c r="G6295" t="s">
        <v>1463</v>
      </c>
      <c r="H6295" t="s">
        <v>1438</v>
      </c>
      <c r="I6295" t="s">
        <v>1439</v>
      </c>
      <c r="J6295">
        <v>1</v>
      </c>
    </row>
    <row r="6296" spans="1:11" hidden="1" x14ac:dyDescent="0.3">
      <c r="A6296" s="46">
        <v>45407</v>
      </c>
      <c r="B6296" s="46" t="s">
        <v>724</v>
      </c>
      <c r="D6296" t="s">
        <v>2137</v>
      </c>
      <c r="E6296" s="46" t="s">
        <v>1436</v>
      </c>
      <c r="F6296" s="45">
        <v>9000</v>
      </c>
      <c r="G6296" t="s">
        <v>1437</v>
      </c>
      <c r="H6296" t="s">
        <v>1438</v>
      </c>
      <c r="I6296" t="s">
        <v>1439</v>
      </c>
      <c r="J6296">
        <v>2</v>
      </c>
    </row>
    <row r="6297" spans="1:11" hidden="1" x14ac:dyDescent="0.3">
      <c r="A6297" s="46">
        <v>45371</v>
      </c>
      <c r="B6297" s="46" t="s">
        <v>767</v>
      </c>
      <c r="D6297" t="s">
        <v>1095</v>
      </c>
      <c r="E6297" s="46" t="s">
        <v>1436</v>
      </c>
      <c r="F6297" s="45">
        <v>9000</v>
      </c>
      <c r="G6297" t="s">
        <v>1460</v>
      </c>
      <c r="H6297" t="s">
        <v>1438</v>
      </c>
      <c r="I6297" t="s">
        <v>1439</v>
      </c>
      <c r="J6297">
        <v>1</v>
      </c>
    </row>
    <row r="6298" spans="1:11" hidden="1" x14ac:dyDescent="0.3">
      <c r="A6298" s="46">
        <v>45460</v>
      </c>
      <c r="B6298" s="46" t="s">
        <v>722</v>
      </c>
      <c r="D6298" t="s">
        <v>1461</v>
      </c>
      <c r="E6298" s="46" t="s">
        <v>1436</v>
      </c>
      <c r="F6298" s="45">
        <v>8890</v>
      </c>
      <c r="G6298" t="s">
        <v>1466</v>
      </c>
      <c r="H6298" t="s">
        <v>1442</v>
      </c>
      <c r="I6298" t="s">
        <v>1458</v>
      </c>
      <c r="K6298" t="s">
        <v>2310</v>
      </c>
    </row>
    <row r="6299" spans="1:11" hidden="1" x14ac:dyDescent="0.3">
      <c r="A6299" s="46">
        <v>45399</v>
      </c>
      <c r="B6299" s="46" t="s">
        <v>724</v>
      </c>
      <c r="D6299" t="s">
        <v>755</v>
      </c>
      <c r="E6299" s="46" t="s">
        <v>1436</v>
      </c>
      <c r="F6299" s="45">
        <v>8820</v>
      </c>
      <c r="G6299" t="s">
        <v>1437</v>
      </c>
      <c r="H6299" t="s">
        <v>1438</v>
      </c>
      <c r="I6299" t="s">
        <v>1439</v>
      </c>
      <c r="J6299">
        <v>2</v>
      </c>
    </row>
    <row r="6300" spans="1:11" hidden="1" x14ac:dyDescent="0.3">
      <c r="A6300" s="46">
        <v>45422</v>
      </c>
      <c r="B6300" s="46" t="s">
        <v>724</v>
      </c>
      <c r="D6300" t="s">
        <v>755</v>
      </c>
      <c r="E6300" s="46" t="s">
        <v>1436</v>
      </c>
      <c r="F6300" s="45">
        <v>8820</v>
      </c>
      <c r="G6300" t="s">
        <v>1437</v>
      </c>
      <c r="H6300" t="s">
        <v>1438</v>
      </c>
      <c r="I6300" t="s">
        <v>1439</v>
      </c>
      <c r="J6300">
        <v>2</v>
      </c>
    </row>
    <row r="6301" spans="1:11" hidden="1" x14ac:dyDescent="0.3">
      <c r="A6301" s="46">
        <v>45345</v>
      </c>
      <c r="B6301" s="46" t="s">
        <v>724</v>
      </c>
      <c r="D6301" t="s">
        <v>755</v>
      </c>
      <c r="E6301" s="46" t="s">
        <v>1436</v>
      </c>
      <c r="F6301" s="45">
        <v>8820</v>
      </c>
      <c r="G6301" t="s">
        <v>1437</v>
      </c>
      <c r="H6301" t="s">
        <v>1438</v>
      </c>
      <c r="I6301" t="s">
        <v>1439</v>
      </c>
      <c r="J6301">
        <v>2</v>
      </c>
    </row>
    <row r="6302" spans="1:11" hidden="1" x14ac:dyDescent="0.3">
      <c r="A6302" s="46">
        <v>45301</v>
      </c>
      <c r="B6302" s="46" t="s">
        <v>724</v>
      </c>
      <c r="D6302" t="s">
        <v>755</v>
      </c>
      <c r="E6302" s="46" t="s">
        <v>1436</v>
      </c>
      <c r="F6302" s="45">
        <v>8820</v>
      </c>
      <c r="G6302" t="s">
        <v>1437</v>
      </c>
      <c r="H6302" t="s">
        <v>1438</v>
      </c>
      <c r="I6302" t="s">
        <v>1439</v>
      </c>
      <c r="J6302">
        <v>2</v>
      </c>
    </row>
    <row r="6303" spans="1:11" hidden="1" x14ac:dyDescent="0.3">
      <c r="A6303" s="46">
        <v>45310</v>
      </c>
      <c r="B6303" s="46" t="s">
        <v>724</v>
      </c>
      <c r="D6303" t="s">
        <v>755</v>
      </c>
      <c r="E6303" s="46" t="s">
        <v>1436</v>
      </c>
      <c r="F6303" s="45">
        <v>8820</v>
      </c>
      <c r="G6303" t="s">
        <v>1437</v>
      </c>
      <c r="H6303" t="s">
        <v>1438</v>
      </c>
      <c r="I6303" t="s">
        <v>1439</v>
      </c>
      <c r="J6303">
        <v>2</v>
      </c>
    </row>
    <row r="6304" spans="1:11" hidden="1" x14ac:dyDescent="0.3">
      <c r="A6304" s="46">
        <v>45302</v>
      </c>
      <c r="B6304" s="46" t="s">
        <v>772</v>
      </c>
      <c r="D6304" t="s">
        <v>789</v>
      </c>
      <c r="E6304" s="46" t="s">
        <v>1436</v>
      </c>
      <c r="F6304" s="45">
        <v>8800</v>
      </c>
      <c r="G6304" t="s">
        <v>1464</v>
      </c>
      <c r="H6304" t="s">
        <v>1438</v>
      </c>
      <c r="I6304" t="s">
        <v>1439</v>
      </c>
      <c r="J6304">
        <v>4</v>
      </c>
    </row>
    <row r="6305" spans="1:10" hidden="1" x14ac:dyDescent="0.3">
      <c r="A6305" s="46">
        <v>45462</v>
      </c>
      <c r="B6305" s="46" t="s">
        <v>821</v>
      </c>
      <c r="D6305" t="s">
        <v>1776</v>
      </c>
      <c r="E6305" s="46" t="s">
        <v>1436</v>
      </c>
      <c r="F6305" s="45">
        <v>8800</v>
      </c>
      <c r="G6305" t="s">
        <v>1437</v>
      </c>
      <c r="H6305" t="s">
        <v>1438</v>
      </c>
      <c r="I6305" t="s">
        <v>1439</v>
      </c>
      <c r="J6305">
        <v>2</v>
      </c>
    </row>
    <row r="6306" spans="1:10" hidden="1" x14ac:dyDescent="0.3">
      <c r="A6306" s="46">
        <v>45476</v>
      </c>
      <c r="B6306" s="46" t="s">
        <v>724</v>
      </c>
      <c r="D6306" t="s">
        <v>2080</v>
      </c>
      <c r="E6306" s="46" t="s">
        <v>1436</v>
      </c>
      <c r="F6306" s="45">
        <v>8500</v>
      </c>
      <c r="G6306" t="s">
        <v>1463</v>
      </c>
      <c r="H6306" t="s">
        <v>1438</v>
      </c>
      <c r="I6306" t="s">
        <v>1439</v>
      </c>
      <c r="J6306">
        <v>1</v>
      </c>
    </row>
    <row r="6307" spans="1:10" hidden="1" x14ac:dyDescent="0.3">
      <c r="A6307" s="46">
        <v>45380</v>
      </c>
      <c r="B6307" s="46" t="s">
        <v>767</v>
      </c>
      <c r="D6307" t="s">
        <v>1869</v>
      </c>
      <c r="E6307" s="46" t="s">
        <v>1436</v>
      </c>
      <c r="F6307" s="45">
        <v>8500</v>
      </c>
      <c r="G6307" t="s">
        <v>1463</v>
      </c>
      <c r="H6307" t="s">
        <v>1438</v>
      </c>
      <c r="I6307" t="s">
        <v>1439</v>
      </c>
      <c r="J6307">
        <v>1</v>
      </c>
    </row>
    <row r="6308" spans="1:10" hidden="1" x14ac:dyDescent="0.3">
      <c r="A6308" s="46">
        <v>45376</v>
      </c>
      <c r="B6308" s="46" t="s">
        <v>724</v>
      </c>
      <c r="D6308" t="s">
        <v>1321</v>
      </c>
      <c r="E6308" s="46" t="s">
        <v>1436</v>
      </c>
      <c r="F6308" s="45">
        <v>8400</v>
      </c>
      <c r="G6308" t="s">
        <v>1437</v>
      </c>
      <c r="H6308" t="s">
        <v>1438</v>
      </c>
      <c r="I6308" t="s">
        <v>1439</v>
      </c>
      <c r="J6308">
        <v>3</v>
      </c>
    </row>
    <row r="6309" spans="1:10" hidden="1" x14ac:dyDescent="0.3">
      <c r="A6309" s="46">
        <v>45370</v>
      </c>
      <c r="B6309" s="46" t="s">
        <v>724</v>
      </c>
      <c r="D6309" t="s">
        <v>1321</v>
      </c>
      <c r="E6309" s="46" t="s">
        <v>1436</v>
      </c>
      <c r="F6309" s="45">
        <v>8400</v>
      </c>
      <c r="G6309" t="s">
        <v>1437</v>
      </c>
      <c r="H6309" t="s">
        <v>1438</v>
      </c>
      <c r="I6309" t="s">
        <v>1439</v>
      </c>
      <c r="J6309">
        <v>3</v>
      </c>
    </row>
    <row r="6310" spans="1:10" hidden="1" x14ac:dyDescent="0.3">
      <c r="A6310" s="46">
        <v>45366</v>
      </c>
      <c r="B6310" s="46" t="s">
        <v>724</v>
      </c>
      <c r="D6310" t="s">
        <v>1321</v>
      </c>
      <c r="E6310" s="46" t="s">
        <v>1436</v>
      </c>
      <c r="F6310" s="45">
        <v>8400</v>
      </c>
      <c r="G6310" t="s">
        <v>1437</v>
      </c>
      <c r="H6310" t="s">
        <v>1438</v>
      </c>
      <c r="I6310" t="s">
        <v>1439</v>
      </c>
      <c r="J6310">
        <v>3</v>
      </c>
    </row>
    <row r="6311" spans="1:10" hidden="1" x14ac:dyDescent="0.3">
      <c r="A6311" s="46">
        <v>45426</v>
      </c>
      <c r="B6311" s="46" t="s">
        <v>722</v>
      </c>
      <c r="D6311" t="s">
        <v>2311</v>
      </c>
      <c r="E6311" s="46" t="s">
        <v>1436</v>
      </c>
      <c r="F6311" s="45">
        <v>8400</v>
      </c>
      <c r="G6311" t="s">
        <v>1437</v>
      </c>
      <c r="H6311" t="s">
        <v>1438</v>
      </c>
      <c r="I6311" t="s">
        <v>1439</v>
      </c>
      <c r="J6311">
        <v>3</v>
      </c>
    </row>
    <row r="6312" spans="1:10" hidden="1" x14ac:dyDescent="0.3">
      <c r="A6312" s="46">
        <v>45422</v>
      </c>
      <c r="B6312" s="46" t="s">
        <v>724</v>
      </c>
      <c r="D6312" t="s">
        <v>1321</v>
      </c>
      <c r="E6312" s="46" t="s">
        <v>1436</v>
      </c>
      <c r="F6312" s="45">
        <v>8400</v>
      </c>
      <c r="G6312" t="s">
        <v>1437</v>
      </c>
      <c r="H6312" t="s">
        <v>1438</v>
      </c>
      <c r="I6312" t="s">
        <v>1439</v>
      </c>
      <c r="J6312">
        <v>3</v>
      </c>
    </row>
    <row r="6313" spans="1:10" hidden="1" x14ac:dyDescent="0.3">
      <c r="A6313" s="46">
        <v>45398</v>
      </c>
      <c r="B6313" s="46" t="s">
        <v>761</v>
      </c>
      <c r="D6313" t="s">
        <v>1505</v>
      </c>
      <c r="E6313" s="46" t="s">
        <v>1436</v>
      </c>
      <c r="F6313" s="45">
        <v>8400</v>
      </c>
      <c r="G6313" t="s">
        <v>1457</v>
      </c>
      <c r="H6313" t="s">
        <v>1484</v>
      </c>
      <c r="I6313" t="s">
        <v>1506</v>
      </c>
    </row>
    <row r="6314" spans="1:10" hidden="1" x14ac:dyDescent="0.3">
      <c r="A6314" s="46">
        <v>45306</v>
      </c>
      <c r="B6314" s="46" t="s">
        <v>724</v>
      </c>
      <c r="D6314" t="s">
        <v>1321</v>
      </c>
      <c r="E6314" s="46" t="s">
        <v>1436</v>
      </c>
      <c r="F6314" s="45">
        <v>8400</v>
      </c>
      <c r="G6314" t="s">
        <v>1437</v>
      </c>
      <c r="H6314" t="s">
        <v>1438</v>
      </c>
      <c r="I6314" t="s">
        <v>1439</v>
      </c>
      <c r="J6314">
        <v>3</v>
      </c>
    </row>
    <row r="6315" spans="1:10" hidden="1" x14ac:dyDescent="0.3">
      <c r="A6315" s="46">
        <v>45315</v>
      </c>
      <c r="B6315" s="46" t="s">
        <v>724</v>
      </c>
      <c r="D6315" t="s">
        <v>1321</v>
      </c>
      <c r="E6315" s="46" t="s">
        <v>1436</v>
      </c>
      <c r="F6315" s="45">
        <v>8400</v>
      </c>
      <c r="G6315" t="s">
        <v>1437</v>
      </c>
      <c r="H6315" t="s">
        <v>1438</v>
      </c>
      <c r="I6315" t="s">
        <v>1439</v>
      </c>
      <c r="J6315">
        <v>3</v>
      </c>
    </row>
    <row r="6316" spans="1:10" hidden="1" x14ac:dyDescent="0.3">
      <c r="A6316" s="46">
        <v>45350</v>
      </c>
      <c r="B6316" s="46" t="s">
        <v>724</v>
      </c>
      <c r="D6316" t="s">
        <v>1321</v>
      </c>
      <c r="E6316" s="46" t="s">
        <v>1436</v>
      </c>
      <c r="F6316" s="45">
        <v>8400</v>
      </c>
      <c r="G6316" t="s">
        <v>1437</v>
      </c>
      <c r="H6316" t="s">
        <v>1438</v>
      </c>
      <c r="I6316" t="s">
        <v>1439</v>
      </c>
      <c r="J6316">
        <v>3</v>
      </c>
    </row>
    <row r="6317" spans="1:10" hidden="1" x14ac:dyDescent="0.3">
      <c r="A6317" s="46">
        <v>45329</v>
      </c>
      <c r="B6317" s="46" t="s">
        <v>724</v>
      </c>
      <c r="D6317" t="s">
        <v>1321</v>
      </c>
      <c r="E6317" s="46" t="s">
        <v>1436</v>
      </c>
      <c r="F6317" s="45">
        <v>8400</v>
      </c>
      <c r="G6317" t="s">
        <v>1437</v>
      </c>
      <c r="H6317" t="s">
        <v>1438</v>
      </c>
      <c r="I6317" t="s">
        <v>1439</v>
      </c>
      <c r="J6317">
        <v>3</v>
      </c>
    </row>
    <row r="6318" spans="1:10" hidden="1" x14ac:dyDescent="0.3">
      <c r="A6318" s="46">
        <v>45324</v>
      </c>
      <c r="B6318" s="46" t="s">
        <v>724</v>
      </c>
      <c r="D6318" t="s">
        <v>1321</v>
      </c>
      <c r="E6318" s="46" t="s">
        <v>1436</v>
      </c>
      <c r="F6318" s="45">
        <v>8400</v>
      </c>
      <c r="G6318" t="s">
        <v>1437</v>
      </c>
      <c r="H6318" t="s">
        <v>1438</v>
      </c>
      <c r="I6318" t="s">
        <v>1439</v>
      </c>
      <c r="J6318">
        <v>3</v>
      </c>
    </row>
    <row r="6319" spans="1:10" hidden="1" x14ac:dyDescent="0.3">
      <c r="A6319" s="46">
        <v>45335</v>
      </c>
      <c r="B6319" s="46" t="s">
        <v>724</v>
      </c>
      <c r="D6319" t="s">
        <v>1321</v>
      </c>
      <c r="E6319" s="46" t="s">
        <v>1436</v>
      </c>
      <c r="F6319" s="45">
        <v>8400</v>
      </c>
      <c r="G6319" t="s">
        <v>1437</v>
      </c>
      <c r="H6319" t="s">
        <v>1438</v>
      </c>
      <c r="I6319" t="s">
        <v>1439</v>
      </c>
      <c r="J6319">
        <v>3</v>
      </c>
    </row>
    <row r="6320" spans="1:10" hidden="1" x14ac:dyDescent="0.3">
      <c r="A6320" s="46">
        <v>45450</v>
      </c>
      <c r="B6320" s="46" t="s">
        <v>724</v>
      </c>
      <c r="D6320" t="s">
        <v>1321</v>
      </c>
      <c r="E6320" s="46" t="s">
        <v>1436</v>
      </c>
      <c r="F6320" s="45">
        <v>8400</v>
      </c>
      <c r="G6320" t="s">
        <v>1437</v>
      </c>
      <c r="H6320" t="s">
        <v>1438</v>
      </c>
      <c r="I6320" t="s">
        <v>1439</v>
      </c>
      <c r="J6320">
        <v>3</v>
      </c>
    </row>
    <row r="6321" spans="1:11" hidden="1" x14ac:dyDescent="0.3">
      <c r="A6321" s="46">
        <v>45434</v>
      </c>
      <c r="B6321" s="46" t="s">
        <v>724</v>
      </c>
      <c r="D6321" t="s">
        <v>1321</v>
      </c>
      <c r="E6321" s="46" t="s">
        <v>1436</v>
      </c>
      <c r="F6321" s="45">
        <v>8400</v>
      </c>
      <c r="G6321" t="s">
        <v>1437</v>
      </c>
      <c r="H6321" t="s">
        <v>1438</v>
      </c>
      <c r="I6321" t="s">
        <v>1439</v>
      </c>
      <c r="J6321">
        <v>3</v>
      </c>
    </row>
    <row r="6322" spans="1:11" hidden="1" x14ac:dyDescent="0.3">
      <c r="A6322" s="46">
        <v>45470</v>
      </c>
      <c r="B6322" s="46" t="s">
        <v>727</v>
      </c>
      <c r="D6322" t="s">
        <v>2312</v>
      </c>
      <c r="E6322" s="46" t="s">
        <v>1436</v>
      </c>
      <c r="F6322" s="45">
        <v>8300</v>
      </c>
      <c r="G6322" t="s">
        <v>1463</v>
      </c>
      <c r="H6322" t="s">
        <v>1438</v>
      </c>
      <c r="I6322" t="s">
        <v>1439</v>
      </c>
      <c r="J6322">
        <v>3</v>
      </c>
    </row>
    <row r="6323" spans="1:11" hidden="1" x14ac:dyDescent="0.3">
      <c r="A6323" s="46">
        <v>45327</v>
      </c>
      <c r="B6323" s="46" t="s">
        <v>724</v>
      </c>
      <c r="D6323" t="s">
        <v>755</v>
      </c>
      <c r="E6323" s="46" t="s">
        <v>1436</v>
      </c>
      <c r="F6323" s="45">
        <v>8100</v>
      </c>
      <c r="G6323" t="s">
        <v>1437</v>
      </c>
      <c r="H6323" t="s">
        <v>1438</v>
      </c>
      <c r="I6323" t="s">
        <v>1439</v>
      </c>
      <c r="J6323">
        <v>3</v>
      </c>
    </row>
    <row r="6324" spans="1:11" hidden="1" x14ac:dyDescent="0.3">
      <c r="A6324" s="46">
        <v>45348</v>
      </c>
      <c r="B6324" s="46" t="s">
        <v>724</v>
      </c>
      <c r="D6324" t="s">
        <v>755</v>
      </c>
      <c r="E6324" s="46" t="s">
        <v>1436</v>
      </c>
      <c r="F6324" s="45">
        <v>8100</v>
      </c>
      <c r="G6324" t="s">
        <v>1437</v>
      </c>
      <c r="H6324" t="s">
        <v>1438</v>
      </c>
      <c r="I6324" t="s">
        <v>1439</v>
      </c>
      <c r="J6324">
        <v>2</v>
      </c>
    </row>
    <row r="6325" spans="1:11" hidden="1" x14ac:dyDescent="0.3">
      <c r="A6325" s="46">
        <v>45341</v>
      </c>
      <c r="B6325" s="46" t="s">
        <v>761</v>
      </c>
      <c r="D6325" t="s">
        <v>755</v>
      </c>
      <c r="E6325" s="46" t="s">
        <v>1436</v>
      </c>
      <c r="F6325" s="45">
        <v>8100</v>
      </c>
      <c r="G6325" t="s">
        <v>1457</v>
      </c>
      <c r="H6325" t="s">
        <v>1438</v>
      </c>
      <c r="I6325" t="s">
        <v>1439</v>
      </c>
      <c r="K6325" t="s">
        <v>1607</v>
      </c>
    </row>
    <row r="6326" spans="1:11" hidden="1" x14ac:dyDescent="0.3">
      <c r="A6326" s="46">
        <v>45308</v>
      </c>
      <c r="B6326" s="46" t="s">
        <v>724</v>
      </c>
      <c r="D6326" t="s">
        <v>1303</v>
      </c>
      <c r="E6326" s="46" t="s">
        <v>1436</v>
      </c>
      <c r="F6326" s="45">
        <v>8000</v>
      </c>
      <c r="G6326" t="s">
        <v>1437</v>
      </c>
      <c r="H6326" t="s">
        <v>1438</v>
      </c>
      <c r="I6326" t="s">
        <v>1439</v>
      </c>
      <c r="J6326">
        <v>2</v>
      </c>
    </row>
    <row r="6327" spans="1:11" hidden="1" x14ac:dyDescent="0.3">
      <c r="A6327" s="46">
        <v>45322</v>
      </c>
      <c r="B6327" s="46" t="s">
        <v>748</v>
      </c>
      <c r="D6327" t="s">
        <v>1354</v>
      </c>
      <c r="E6327" s="46" t="s">
        <v>1436</v>
      </c>
      <c r="F6327" s="45">
        <v>8000</v>
      </c>
      <c r="G6327" t="s">
        <v>1463</v>
      </c>
      <c r="H6327" t="s">
        <v>1438</v>
      </c>
      <c r="I6327" t="s">
        <v>1439</v>
      </c>
      <c r="J6327">
        <v>3</v>
      </c>
      <c r="K6327">
        <v>0</v>
      </c>
    </row>
    <row r="6328" spans="1:11" hidden="1" x14ac:dyDescent="0.3">
      <c r="A6328" s="46">
        <v>45463</v>
      </c>
      <c r="B6328" s="46" t="s">
        <v>767</v>
      </c>
      <c r="D6328" t="s">
        <v>2313</v>
      </c>
      <c r="E6328" s="46" t="s">
        <v>1436</v>
      </c>
      <c r="F6328" s="45">
        <v>8000</v>
      </c>
      <c r="G6328" t="s">
        <v>1460</v>
      </c>
      <c r="H6328" t="s">
        <v>1484</v>
      </c>
      <c r="I6328" t="s">
        <v>1821</v>
      </c>
      <c r="K6328" t="s">
        <v>2314</v>
      </c>
    </row>
    <row r="6329" spans="1:11" hidden="1" x14ac:dyDescent="0.3">
      <c r="A6329" s="46">
        <v>45407</v>
      </c>
      <c r="B6329" s="46" t="s">
        <v>722</v>
      </c>
      <c r="D6329" t="s">
        <v>1461</v>
      </c>
      <c r="E6329" s="46" t="s">
        <v>1436</v>
      </c>
      <c r="F6329" s="45">
        <v>7800</v>
      </c>
      <c r="G6329" t="s">
        <v>1437</v>
      </c>
      <c r="H6329" t="s">
        <v>1469</v>
      </c>
      <c r="I6329" t="s">
        <v>1470</v>
      </c>
      <c r="K6329" t="s">
        <v>2315</v>
      </c>
    </row>
    <row r="6330" spans="1:11" hidden="1" x14ac:dyDescent="0.3">
      <c r="A6330" s="46">
        <v>45429</v>
      </c>
      <c r="B6330" s="46" t="s">
        <v>724</v>
      </c>
      <c r="D6330" t="s">
        <v>1730</v>
      </c>
      <c r="E6330" s="46" t="s">
        <v>1436</v>
      </c>
      <c r="F6330" s="45">
        <v>7500</v>
      </c>
      <c r="G6330" t="s">
        <v>1437</v>
      </c>
      <c r="H6330" t="s">
        <v>1438</v>
      </c>
      <c r="I6330" t="s">
        <v>1439</v>
      </c>
      <c r="J6330">
        <v>3</v>
      </c>
    </row>
    <row r="6331" spans="1:11" hidden="1" x14ac:dyDescent="0.3">
      <c r="A6331" s="46">
        <v>45415</v>
      </c>
      <c r="B6331" s="46" t="s">
        <v>724</v>
      </c>
      <c r="D6331" t="s">
        <v>1730</v>
      </c>
      <c r="E6331" s="46" t="s">
        <v>1436</v>
      </c>
      <c r="F6331" s="45">
        <v>7500</v>
      </c>
      <c r="G6331" t="s">
        <v>1437</v>
      </c>
      <c r="H6331" t="s">
        <v>1438</v>
      </c>
      <c r="I6331" t="s">
        <v>1439</v>
      </c>
      <c r="J6331">
        <v>3</v>
      </c>
    </row>
    <row r="6332" spans="1:11" hidden="1" x14ac:dyDescent="0.3">
      <c r="A6332" s="46">
        <v>45363</v>
      </c>
      <c r="B6332" s="46" t="s">
        <v>722</v>
      </c>
      <c r="D6332" t="s">
        <v>1776</v>
      </c>
      <c r="E6332" s="46" t="s">
        <v>1436</v>
      </c>
      <c r="F6332" s="45">
        <v>7500</v>
      </c>
      <c r="G6332" t="s">
        <v>1437</v>
      </c>
      <c r="H6332" t="s">
        <v>1438</v>
      </c>
      <c r="I6332" t="s">
        <v>1439</v>
      </c>
      <c r="J6332">
        <v>3</v>
      </c>
    </row>
    <row r="6333" spans="1:11" hidden="1" x14ac:dyDescent="0.3">
      <c r="A6333" s="46">
        <v>45356</v>
      </c>
      <c r="B6333" s="46" t="s">
        <v>724</v>
      </c>
      <c r="D6333" t="s">
        <v>1730</v>
      </c>
      <c r="E6333" s="46" t="s">
        <v>1436</v>
      </c>
      <c r="F6333" s="45">
        <v>7500</v>
      </c>
      <c r="G6333" t="s">
        <v>1437</v>
      </c>
      <c r="H6333" t="s">
        <v>1438</v>
      </c>
      <c r="I6333" t="s">
        <v>1439</v>
      </c>
      <c r="J6333">
        <v>3</v>
      </c>
    </row>
    <row r="6334" spans="1:11" hidden="1" x14ac:dyDescent="0.3">
      <c r="A6334" s="46">
        <v>45385</v>
      </c>
      <c r="B6334" s="46" t="s">
        <v>724</v>
      </c>
      <c r="D6334" t="s">
        <v>1730</v>
      </c>
      <c r="E6334" s="46" t="s">
        <v>1436</v>
      </c>
      <c r="F6334" s="45">
        <v>7500</v>
      </c>
      <c r="G6334" t="s">
        <v>1437</v>
      </c>
      <c r="H6334" t="s">
        <v>1438</v>
      </c>
      <c r="I6334" t="s">
        <v>1439</v>
      </c>
      <c r="J6334">
        <v>3</v>
      </c>
    </row>
    <row r="6335" spans="1:11" hidden="1" x14ac:dyDescent="0.3">
      <c r="A6335" s="46">
        <v>45355</v>
      </c>
      <c r="B6335" s="46" t="s">
        <v>724</v>
      </c>
      <c r="D6335" t="s">
        <v>1730</v>
      </c>
      <c r="E6335" s="46" t="s">
        <v>1436</v>
      </c>
      <c r="F6335" s="45">
        <v>7500</v>
      </c>
      <c r="G6335" t="s">
        <v>1437</v>
      </c>
      <c r="H6335" t="s">
        <v>1438</v>
      </c>
      <c r="I6335" t="s">
        <v>1439</v>
      </c>
      <c r="J6335">
        <v>3</v>
      </c>
    </row>
    <row r="6336" spans="1:11" hidden="1" x14ac:dyDescent="0.3">
      <c r="A6336" s="46">
        <v>45467</v>
      </c>
      <c r="B6336" s="46" t="s">
        <v>724</v>
      </c>
      <c r="D6336" t="s">
        <v>1730</v>
      </c>
      <c r="E6336" s="46" t="s">
        <v>1436</v>
      </c>
      <c r="F6336" s="45">
        <v>7500</v>
      </c>
      <c r="G6336" t="s">
        <v>1437</v>
      </c>
      <c r="H6336" t="s">
        <v>1438</v>
      </c>
      <c r="I6336" t="s">
        <v>1439</v>
      </c>
      <c r="J6336">
        <v>3</v>
      </c>
    </row>
    <row r="6337" spans="1:11" hidden="1" x14ac:dyDescent="0.3">
      <c r="A6337" s="46">
        <v>45439</v>
      </c>
      <c r="B6337" s="46" t="s">
        <v>724</v>
      </c>
      <c r="D6337" t="s">
        <v>1730</v>
      </c>
      <c r="E6337" s="46" t="s">
        <v>1436</v>
      </c>
      <c r="F6337" s="45">
        <v>7500</v>
      </c>
      <c r="G6337" t="s">
        <v>1437</v>
      </c>
      <c r="H6337" t="s">
        <v>1438</v>
      </c>
      <c r="I6337" t="s">
        <v>1439</v>
      </c>
      <c r="J6337">
        <v>3</v>
      </c>
    </row>
    <row r="6338" spans="1:11" hidden="1" x14ac:dyDescent="0.3">
      <c r="A6338" s="46">
        <v>45448</v>
      </c>
      <c r="B6338" s="46" t="s">
        <v>724</v>
      </c>
      <c r="D6338" t="s">
        <v>1730</v>
      </c>
      <c r="E6338" s="46" t="s">
        <v>1436</v>
      </c>
      <c r="F6338" s="45">
        <v>7500</v>
      </c>
      <c r="G6338" t="s">
        <v>1437</v>
      </c>
      <c r="H6338" t="s">
        <v>1438</v>
      </c>
      <c r="I6338" t="s">
        <v>1439</v>
      </c>
      <c r="J6338">
        <v>3</v>
      </c>
    </row>
    <row r="6339" spans="1:11" hidden="1" x14ac:dyDescent="0.3">
      <c r="A6339" s="46">
        <v>45447</v>
      </c>
      <c r="B6339" s="46" t="s">
        <v>724</v>
      </c>
      <c r="D6339" t="s">
        <v>1730</v>
      </c>
      <c r="E6339" s="46" t="s">
        <v>1436</v>
      </c>
      <c r="F6339" s="45">
        <v>7500</v>
      </c>
      <c r="G6339" t="s">
        <v>1437</v>
      </c>
      <c r="H6339" t="s">
        <v>1438</v>
      </c>
      <c r="I6339" t="s">
        <v>1439</v>
      </c>
      <c r="J6339">
        <v>3</v>
      </c>
    </row>
    <row r="6340" spans="1:11" hidden="1" x14ac:dyDescent="0.3">
      <c r="A6340" s="46">
        <v>45476</v>
      </c>
      <c r="B6340" s="46" t="s">
        <v>722</v>
      </c>
      <c r="D6340" t="s">
        <v>1776</v>
      </c>
      <c r="E6340" s="46" t="s">
        <v>1436</v>
      </c>
      <c r="F6340" s="45">
        <v>7500</v>
      </c>
      <c r="G6340" t="s">
        <v>1437</v>
      </c>
      <c r="H6340" t="s">
        <v>1438</v>
      </c>
      <c r="I6340" t="s">
        <v>1439</v>
      </c>
      <c r="J6340">
        <v>3</v>
      </c>
    </row>
    <row r="6341" spans="1:11" hidden="1" x14ac:dyDescent="0.3">
      <c r="A6341" s="46">
        <v>45481</v>
      </c>
      <c r="B6341" s="46" t="s">
        <v>724</v>
      </c>
      <c r="D6341" t="s">
        <v>2121</v>
      </c>
      <c r="E6341" s="46" t="s">
        <v>1436</v>
      </c>
      <c r="F6341" s="45">
        <v>7500</v>
      </c>
      <c r="G6341" t="s">
        <v>1437</v>
      </c>
    </row>
    <row r="6342" spans="1:11" hidden="1" x14ac:dyDescent="0.3">
      <c r="A6342" s="46">
        <v>45433</v>
      </c>
      <c r="B6342" s="46" t="s">
        <v>727</v>
      </c>
      <c r="D6342" t="s">
        <v>1440</v>
      </c>
      <c r="E6342" s="46" t="s">
        <v>1436</v>
      </c>
      <c r="F6342" s="45">
        <v>7090</v>
      </c>
      <c r="G6342" t="s">
        <v>1460</v>
      </c>
      <c r="H6342" t="s">
        <v>1442</v>
      </c>
      <c r="I6342" t="s">
        <v>1443</v>
      </c>
      <c r="K6342" t="s">
        <v>2316</v>
      </c>
    </row>
    <row r="6343" spans="1:11" hidden="1" x14ac:dyDescent="0.3">
      <c r="A6343" s="46">
        <v>45463</v>
      </c>
      <c r="B6343" s="46" t="s">
        <v>767</v>
      </c>
      <c r="D6343" t="s">
        <v>2317</v>
      </c>
      <c r="E6343" s="46" t="s">
        <v>1436</v>
      </c>
      <c r="F6343" s="45">
        <v>7000</v>
      </c>
      <c r="G6343" t="s">
        <v>1460</v>
      </c>
      <c r="H6343" t="s">
        <v>1484</v>
      </c>
      <c r="I6343" t="s">
        <v>1821</v>
      </c>
      <c r="K6343" t="s">
        <v>2314</v>
      </c>
    </row>
    <row r="6344" spans="1:11" hidden="1" x14ac:dyDescent="0.3">
      <c r="A6344" s="46">
        <v>45329</v>
      </c>
      <c r="B6344" s="46" t="s">
        <v>748</v>
      </c>
      <c r="D6344" t="s">
        <v>1591</v>
      </c>
      <c r="E6344" s="46" t="s">
        <v>1436</v>
      </c>
      <c r="F6344" s="45">
        <v>7000</v>
      </c>
      <c r="G6344" t="s">
        <v>1479</v>
      </c>
      <c r="H6344" t="s">
        <v>1438</v>
      </c>
      <c r="I6344" t="s">
        <v>1439</v>
      </c>
      <c r="J6344">
        <v>3</v>
      </c>
    </row>
    <row r="6345" spans="1:11" hidden="1" x14ac:dyDescent="0.3">
      <c r="A6345" s="46">
        <v>45322</v>
      </c>
      <c r="B6345" s="46" t="s">
        <v>772</v>
      </c>
      <c r="D6345" t="s">
        <v>1354</v>
      </c>
      <c r="E6345" s="46" t="s">
        <v>1436</v>
      </c>
      <c r="F6345" s="45">
        <v>7000</v>
      </c>
      <c r="G6345" t="s">
        <v>1479</v>
      </c>
      <c r="H6345" t="s">
        <v>1452</v>
      </c>
      <c r="I6345" t="s">
        <v>1453</v>
      </c>
      <c r="K6345" t="s">
        <v>1777</v>
      </c>
    </row>
    <row r="6346" spans="1:11" hidden="1" x14ac:dyDescent="0.3">
      <c r="A6346" s="46">
        <v>45321</v>
      </c>
      <c r="B6346" s="46" t="s">
        <v>724</v>
      </c>
      <c r="D6346" t="s">
        <v>1232</v>
      </c>
      <c r="E6346" s="46" t="s">
        <v>1436</v>
      </c>
      <c r="F6346" s="45">
        <v>7000</v>
      </c>
      <c r="G6346" t="s">
        <v>1437</v>
      </c>
      <c r="H6346" t="s">
        <v>1438</v>
      </c>
      <c r="I6346" t="s">
        <v>1439</v>
      </c>
      <c r="J6346">
        <v>2</v>
      </c>
    </row>
    <row r="6347" spans="1:11" hidden="1" x14ac:dyDescent="0.3">
      <c r="A6347" s="46">
        <v>45306</v>
      </c>
      <c r="B6347" s="46" t="s">
        <v>772</v>
      </c>
      <c r="D6347" t="s">
        <v>1354</v>
      </c>
      <c r="E6347" s="46" t="s">
        <v>1436</v>
      </c>
      <c r="F6347" s="45">
        <v>7000</v>
      </c>
      <c r="G6347" t="s">
        <v>1464</v>
      </c>
      <c r="H6347" t="s">
        <v>1452</v>
      </c>
      <c r="I6347" t="s">
        <v>1453</v>
      </c>
      <c r="K6347" t="s">
        <v>1778</v>
      </c>
    </row>
    <row r="6348" spans="1:11" hidden="1" x14ac:dyDescent="0.3">
      <c r="A6348" s="46">
        <v>45299</v>
      </c>
      <c r="B6348" s="46" t="s">
        <v>727</v>
      </c>
      <c r="D6348" t="s">
        <v>1602</v>
      </c>
      <c r="E6348" s="46" t="s">
        <v>1436</v>
      </c>
      <c r="F6348" s="45">
        <v>7000</v>
      </c>
      <c r="G6348" t="s">
        <v>1463</v>
      </c>
      <c r="H6348" t="s">
        <v>1438</v>
      </c>
      <c r="I6348" t="s">
        <v>1439</v>
      </c>
      <c r="J6348">
        <v>1</v>
      </c>
    </row>
    <row r="6349" spans="1:11" hidden="1" x14ac:dyDescent="0.3">
      <c r="A6349" s="46">
        <v>45297</v>
      </c>
      <c r="B6349" s="46" t="s">
        <v>761</v>
      </c>
      <c r="D6349" t="s">
        <v>1357</v>
      </c>
      <c r="E6349" s="46" t="s">
        <v>1436</v>
      </c>
      <c r="F6349" s="45">
        <v>7000</v>
      </c>
      <c r="G6349" t="s">
        <v>1457</v>
      </c>
      <c r="H6349" t="s">
        <v>1438</v>
      </c>
      <c r="I6349" t="s">
        <v>1439</v>
      </c>
    </row>
    <row r="6350" spans="1:11" hidden="1" x14ac:dyDescent="0.3">
      <c r="A6350" s="46">
        <v>45401</v>
      </c>
      <c r="B6350" s="46" t="s">
        <v>772</v>
      </c>
      <c r="D6350" t="s">
        <v>1354</v>
      </c>
      <c r="E6350" s="46" t="s">
        <v>1436</v>
      </c>
      <c r="F6350" s="45">
        <v>7000</v>
      </c>
      <c r="G6350" t="s">
        <v>1464</v>
      </c>
      <c r="H6350" t="s">
        <v>1452</v>
      </c>
      <c r="I6350" t="s">
        <v>1453</v>
      </c>
      <c r="K6350" t="s">
        <v>2318</v>
      </c>
    </row>
    <row r="6351" spans="1:11" hidden="1" x14ac:dyDescent="0.3">
      <c r="A6351" s="46">
        <v>45401</v>
      </c>
      <c r="B6351" s="46" t="s">
        <v>748</v>
      </c>
      <c r="D6351" t="s">
        <v>1354</v>
      </c>
      <c r="E6351" s="46" t="s">
        <v>1436</v>
      </c>
      <c r="F6351" s="45">
        <v>7000</v>
      </c>
      <c r="G6351" t="s">
        <v>1479</v>
      </c>
      <c r="H6351" t="s">
        <v>1452</v>
      </c>
      <c r="I6351" t="s">
        <v>1494</v>
      </c>
    </row>
    <row r="6352" spans="1:11" hidden="1" x14ac:dyDescent="0.3">
      <c r="A6352" s="46">
        <v>45323</v>
      </c>
      <c r="B6352" s="46" t="s">
        <v>734</v>
      </c>
      <c r="D6352" t="s">
        <v>1590</v>
      </c>
      <c r="E6352" s="46" t="s">
        <v>1436</v>
      </c>
      <c r="F6352" s="45">
        <v>6800</v>
      </c>
      <c r="G6352" t="s">
        <v>1441</v>
      </c>
      <c r="H6352" t="s">
        <v>1438</v>
      </c>
      <c r="I6352" t="s">
        <v>1439</v>
      </c>
      <c r="J6352">
        <v>2</v>
      </c>
    </row>
    <row r="6353" spans="1:11" hidden="1" x14ac:dyDescent="0.3">
      <c r="A6353" s="46">
        <v>45330</v>
      </c>
      <c r="B6353" s="46" t="s">
        <v>724</v>
      </c>
      <c r="D6353" t="s">
        <v>1057</v>
      </c>
      <c r="E6353" s="46" t="s">
        <v>1436</v>
      </c>
      <c r="F6353" s="45">
        <v>6500</v>
      </c>
      <c r="G6353" t="s">
        <v>1437</v>
      </c>
      <c r="H6353" t="s">
        <v>1438</v>
      </c>
      <c r="I6353" t="s">
        <v>1439</v>
      </c>
      <c r="J6353">
        <v>3</v>
      </c>
    </row>
    <row r="6354" spans="1:11" hidden="1" x14ac:dyDescent="0.3">
      <c r="A6354" s="46">
        <v>45344</v>
      </c>
      <c r="B6354" s="46" t="s">
        <v>722</v>
      </c>
      <c r="D6354" t="s">
        <v>1502</v>
      </c>
      <c r="E6354" s="46" t="s">
        <v>1436</v>
      </c>
      <c r="F6354" s="45">
        <v>6500</v>
      </c>
      <c r="G6354" t="s">
        <v>1437</v>
      </c>
      <c r="H6354" t="s">
        <v>1438</v>
      </c>
      <c r="I6354" t="s">
        <v>1439</v>
      </c>
      <c r="J6354">
        <v>3</v>
      </c>
    </row>
    <row r="6355" spans="1:11" hidden="1" x14ac:dyDescent="0.3">
      <c r="A6355" s="46">
        <v>45295</v>
      </c>
      <c r="B6355" s="46" t="s">
        <v>767</v>
      </c>
      <c r="D6355" t="s">
        <v>1579</v>
      </c>
      <c r="E6355" s="46" t="s">
        <v>1436</v>
      </c>
      <c r="F6355" s="45">
        <v>6200</v>
      </c>
      <c r="G6355" t="s">
        <v>1460</v>
      </c>
      <c r="H6355" t="s">
        <v>1438</v>
      </c>
      <c r="I6355" t="s">
        <v>1439</v>
      </c>
      <c r="J6355">
        <v>4</v>
      </c>
    </row>
    <row r="6356" spans="1:11" hidden="1" x14ac:dyDescent="0.3">
      <c r="A6356" s="46">
        <v>45306</v>
      </c>
      <c r="B6356" s="46" t="s">
        <v>734</v>
      </c>
      <c r="D6356" t="s">
        <v>1540</v>
      </c>
      <c r="E6356" s="46" t="s">
        <v>1436</v>
      </c>
      <c r="F6356" s="45">
        <v>6000</v>
      </c>
      <c r="G6356" t="s">
        <v>1441</v>
      </c>
      <c r="H6356" t="s">
        <v>1438</v>
      </c>
      <c r="I6356" t="s">
        <v>1439</v>
      </c>
      <c r="J6356">
        <v>1</v>
      </c>
    </row>
    <row r="6357" spans="1:11" hidden="1" x14ac:dyDescent="0.3">
      <c r="A6357" s="46">
        <v>45407</v>
      </c>
      <c r="B6357" s="46" t="s">
        <v>722</v>
      </c>
      <c r="D6357" t="s">
        <v>1440</v>
      </c>
      <c r="E6357" s="46" t="s">
        <v>1436</v>
      </c>
      <c r="F6357" s="45">
        <v>6000</v>
      </c>
      <c r="G6357" t="s">
        <v>1437</v>
      </c>
      <c r="H6357" t="s">
        <v>1469</v>
      </c>
      <c r="I6357" t="s">
        <v>1470</v>
      </c>
      <c r="K6357" t="s">
        <v>2315</v>
      </c>
    </row>
    <row r="6358" spans="1:11" hidden="1" x14ac:dyDescent="0.3">
      <c r="A6358" s="46">
        <v>45442</v>
      </c>
      <c r="B6358" s="46" t="s">
        <v>772</v>
      </c>
      <c r="D6358" t="s">
        <v>1247</v>
      </c>
      <c r="E6358" s="46" t="s">
        <v>1436</v>
      </c>
      <c r="F6358" s="45">
        <v>6000</v>
      </c>
      <c r="G6358" t="s">
        <v>1464</v>
      </c>
      <c r="H6358" t="s">
        <v>1438</v>
      </c>
      <c r="I6358" t="s">
        <v>1439</v>
      </c>
      <c r="J6358">
        <v>4</v>
      </c>
    </row>
    <row r="6359" spans="1:11" hidden="1" x14ac:dyDescent="0.3">
      <c r="A6359" s="46">
        <v>45400</v>
      </c>
      <c r="B6359" s="46" t="s">
        <v>767</v>
      </c>
      <c r="D6359" t="s">
        <v>1595</v>
      </c>
      <c r="E6359" s="46" t="s">
        <v>1436</v>
      </c>
      <c r="F6359" s="45">
        <v>5700</v>
      </c>
      <c r="G6359" t="s">
        <v>1460</v>
      </c>
      <c r="H6359" t="s">
        <v>1438</v>
      </c>
      <c r="I6359" t="s">
        <v>1439</v>
      </c>
      <c r="K6359" t="s">
        <v>2180</v>
      </c>
    </row>
    <row r="6360" spans="1:11" hidden="1" x14ac:dyDescent="0.3">
      <c r="A6360" s="46">
        <v>45393</v>
      </c>
      <c r="B6360" s="46" t="s">
        <v>748</v>
      </c>
      <c r="D6360" t="s">
        <v>2319</v>
      </c>
      <c r="E6360" s="46" t="s">
        <v>1436</v>
      </c>
      <c r="F6360" s="45">
        <v>5600</v>
      </c>
      <c r="G6360" t="s">
        <v>1483</v>
      </c>
      <c r="H6360" t="s">
        <v>1438</v>
      </c>
      <c r="I6360" t="s">
        <v>1439</v>
      </c>
    </row>
    <row r="6361" spans="1:11" hidden="1" x14ac:dyDescent="0.3">
      <c r="A6361" s="46">
        <v>45369</v>
      </c>
      <c r="B6361" s="46" t="s">
        <v>724</v>
      </c>
      <c r="D6361" t="s">
        <v>1321</v>
      </c>
      <c r="E6361" s="46" t="s">
        <v>1436</v>
      </c>
      <c r="F6361" s="45">
        <v>5600</v>
      </c>
      <c r="G6361" t="s">
        <v>1437</v>
      </c>
      <c r="H6361" t="s">
        <v>1438</v>
      </c>
      <c r="I6361" t="s">
        <v>1439</v>
      </c>
      <c r="J6361">
        <v>2</v>
      </c>
    </row>
    <row r="6362" spans="1:11" hidden="1" x14ac:dyDescent="0.3">
      <c r="A6362" s="46">
        <v>45341</v>
      </c>
      <c r="B6362" s="46" t="s">
        <v>722</v>
      </c>
      <c r="D6362" t="s">
        <v>1461</v>
      </c>
      <c r="E6362" s="46" t="s">
        <v>1436</v>
      </c>
      <c r="F6362" s="45">
        <v>5290</v>
      </c>
      <c r="G6362" t="s">
        <v>1466</v>
      </c>
      <c r="H6362" t="s">
        <v>1442</v>
      </c>
      <c r="I6362" t="s">
        <v>1458</v>
      </c>
      <c r="K6362" t="s">
        <v>1779</v>
      </c>
    </row>
    <row r="6363" spans="1:11" hidden="1" x14ac:dyDescent="0.3">
      <c r="A6363" s="46">
        <v>45398</v>
      </c>
      <c r="B6363" s="46" t="s">
        <v>722</v>
      </c>
      <c r="D6363" t="s">
        <v>1461</v>
      </c>
      <c r="E6363" s="46" t="s">
        <v>1436</v>
      </c>
      <c r="F6363" s="45">
        <v>5100</v>
      </c>
      <c r="G6363" t="s">
        <v>1437</v>
      </c>
      <c r="H6363" t="s">
        <v>1442</v>
      </c>
      <c r="I6363" t="s">
        <v>1458</v>
      </c>
      <c r="K6363" t="s">
        <v>2320</v>
      </c>
    </row>
    <row r="6364" spans="1:11" hidden="1" x14ac:dyDescent="0.3">
      <c r="A6364" s="46">
        <v>45400</v>
      </c>
      <c r="B6364" s="46" t="s">
        <v>727</v>
      </c>
      <c r="D6364" t="s">
        <v>2321</v>
      </c>
      <c r="E6364" s="46" t="s">
        <v>1436</v>
      </c>
      <c r="F6364" s="45">
        <v>5000</v>
      </c>
      <c r="G6364" t="s">
        <v>1463</v>
      </c>
      <c r="H6364" t="s">
        <v>1484</v>
      </c>
      <c r="I6364" t="s">
        <v>2322</v>
      </c>
      <c r="K6364" t="s">
        <v>2323</v>
      </c>
    </row>
    <row r="6365" spans="1:11" hidden="1" x14ac:dyDescent="0.3">
      <c r="A6365" s="46">
        <v>45401</v>
      </c>
      <c r="B6365" s="46" t="s">
        <v>727</v>
      </c>
      <c r="D6365" t="s">
        <v>2321</v>
      </c>
      <c r="E6365" s="46" t="s">
        <v>1436</v>
      </c>
      <c r="F6365" s="45">
        <v>5000</v>
      </c>
      <c r="G6365" t="s">
        <v>1463</v>
      </c>
      <c r="H6365" t="s">
        <v>1484</v>
      </c>
      <c r="I6365" t="s">
        <v>2322</v>
      </c>
      <c r="K6365" t="s">
        <v>2323</v>
      </c>
    </row>
    <row r="6366" spans="1:11" hidden="1" x14ac:dyDescent="0.3">
      <c r="A6366" s="46">
        <v>45401</v>
      </c>
      <c r="B6366" s="46" t="s">
        <v>724</v>
      </c>
      <c r="D6366" t="s">
        <v>1730</v>
      </c>
      <c r="E6366" s="46" t="s">
        <v>1436</v>
      </c>
      <c r="F6366" s="45">
        <v>5000</v>
      </c>
      <c r="G6366" t="s">
        <v>1437</v>
      </c>
      <c r="H6366" t="s">
        <v>1438</v>
      </c>
      <c r="I6366" t="s">
        <v>1439</v>
      </c>
      <c r="J6366">
        <v>2</v>
      </c>
    </row>
    <row r="6367" spans="1:11" hidden="1" x14ac:dyDescent="0.3">
      <c r="A6367" s="46">
        <v>45411</v>
      </c>
      <c r="B6367" s="46" t="s">
        <v>724</v>
      </c>
      <c r="D6367" t="s">
        <v>1730</v>
      </c>
      <c r="E6367" s="46" t="s">
        <v>1436</v>
      </c>
      <c r="F6367" s="45">
        <v>5000</v>
      </c>
      <c r="G6367" t="s">
        <v>1437</v>
      </c>
      <c r="H6367" t="s">
        <v>1438</v>
      </c>
      <c r="I6367" t="s">
        <v>1439</v>
      </c>
      <c r="J6367">
        <v>3</v>
      </c>
    </row>
    <row r="6368" spans="1:11" hidden="1" x14ac:dyDescent="0.3">
      <c r="A6368" s="46">
        <v>45358</v>
      </c>
      <c r="B6368" s="46" t="s">
        <v>748</v>
      </c>
      <c r="D6368" t="s">
        <v>1544</v>
      </c>
      <c r="E6368" s="46" t="s">
        <v>1436</v>
      </c>
      <c r="F6368" s="45">
        <v>5000</v>
      </c>
      <c r="G6368" t="s">
        <v>1483</v>
      </c>
      <c r="H6368" t="s">
        <v>1438</v>
      </c>
      <c r="I6368" t="s">
        <v>1439</v>
      </c>
      <c r="J6368">
        <v>1</v>
      </c>
    </row>
    <row r="6369" spans="1:11" hidden="1" x14ac:dyDescent="0.3">
      <c r="A6369" s="46">
        <v>45377</v>
      </c>
      <c r="B6369" s="46" t="s">
        <v>724</v>
      </c>
      <c r="D6369" t="s">
        <v>1730</v>
      </c>
      <c r="E6369" s="46" t="s">
        <v>1436</v>
      </c>
      <c r="F6369" s="45">
        <v>5000</v>
      </c>
      <c r="G6369" t="s">
        <v>1437</v>
      </c>
      <c r="H6369" t="s">
        <v>1438</v>
      </c>
      <c r="I6369" t="s">
        <v>1439</v>
      </c>
      <c r="J6369">
        <v>2</v>
      </c>
    </row>
    <row r="6370" spans="1:11" hidden="1" x14ac:dyDescent="0.3">
      <c r="A6370" s="46">
        <v>45383</v>
      </c>
      <c r="B6370" s="46" t="s">
        <v>724</v>
      </c>
      <c r="D6370" t="s">
        <v>1730</v>
      </c>
      <c r="E6370" s="46" t="s">
        <v>1436</v>
      </c>
      <c r="F6370" s="45">
        <v>5000</v>
      </c>
      <c r="G6370" t="s">
        <v>1437</v>
      </c>
      <c r="H6370" t="s">
        <v>1438</v>
      </c>
      <c r="I6370" t="s">
        <v>1439</v>
      </c>
      <c r="J6370">
        <v>2</v>
      </c>
    </row>
    <row r="6371" spans="1:11" hidden="1" x14ac:dyDescent="0.3">
      <c r="A6371" s="46">
        <v>45383</v>
      </c>
      <c r="B6371" s="46" t="s">
        <v>724</v>
      </c>
      <c r="D6371" t="s">
        <v>1730</v>
      </c>
      <c r="E6371" s="46" t="s">
        <v>1436</v>
      </c>
      <c r="F6371" s="45">
        <v>5000</v>
      </c>
      <c r="G6371" t="s">
        <v>1437</v>
      </c>
      <c r="H6371" t="s">
        <v>1438</v>
      </c>
      <c r="I6371" t="s">
        <v>1439</v>
      </c>
      <c r="J6371">
        <v>2</v>
      </c>
      <c r="K6371" t="s">
        <v>2243</v>
      </c>
    </row>
    <row r="6372" spans="1:11" hidden="1" x14ac:dyDescent="0.3">
      <c r="A6372" s="46">
        <v>45323</v>
      </c>
      <c r="B6372" s="46" t="s">
        <v>729</v>
      </c>
      <c r="D6372" t="s">
        <v>1490</v>
      </c>
      <c r="E6372" s="46" t="s">
        <v>1436</v>
      </c>
      <c r="F6372" s="45">
        <v>5000</v>
      </c>
      <c r="G6372" t="s">
        <v>1471</v>
      </c>
      <c r="H6372" t="s">
        <v>1438</v>
      </c>
      <c r="I6372" t="s">
        <v>1454</v>
      </c>
      <c r="K6372" t="s">
        <v>1749</v>
      </c>
    </row>
    <row r="6373" spans="1:11" hidden="1" x14ac:dyDescent="0.3">
      <c r="A6373" s="46">
        <v>45317</v>
      </c>
      <c r="B6373" s="46" t="s">
        <v>729</v>
      </c>
      <c r="D6373" t="s">
        <v>1490</v>
      </c>
      <c r="E6373" s="46" t="s">
        <v>1436</v>
      </c>
      <c r="F6373" s="45">
        <v>5000</v>
      </c>
      <c r="G6373" t="s">
        <v>1471</v>
      </c>
      <c r="H6373" t="s">
        <v>1438</v>
      </c>
      <c r="I6373" t="s">
        <v>1454</v>
      </c>
      <c r="K6373" t="s">
        <v>1750</v>
      </c>
    </row>
    <row r="6374" spans="1:11" hidden="1" x14ac:dyDescent="0.3">
      <c r="A6374" s="46">
        <v>45464</v>
      </c>
      <c r="B6374" s="46" t="s">
        <v>821</v>
      </c>
      <c r="D6374" t="s">
        <v>1776</v>
      </c>
      <c r="E6374" s="46" t="s">
        <v>1436</v>
      </c>
      <c r="F6374" s="45">
        <v>5000</v>
      </c>
      <c r="G6374" t="s">
        <v>1509</v>
      </c>
    </row>
    <row r="6375" spans="1:11" hidden="1" x14ac:dyDescent="0.3">
      <c r="A6375" s="46">
        <v>45469</v>
      </c>
      <c r="B6375" s="46" t="s">
        <v>724</v>
      </c>
      <c r="D6375" t="s">
        <v>1730</v>
      </c>
      <c r="E6375" s="46" t="s">
        <v>1436</v>
      </c>
      <c r="F6375" s="45">
        <v>5000</v>
      </c>
      <c r="G6375" t="s">
        <v>1437</v>
      </c>
      <c r="H6375" t="s">
        <v>1438</v>
      </c>
      <c r="I6375" t="s">
        <v>1439</v>
      </c>
      <c r="J6375">
        <v>2</v>
      </c>
    </row>
    <row r="6376" spans="1:11" hidden="1" x14ac:dyDescent="0.3">
      <c r="A6376" s="46">
        <v>45462</v>
      </c>
      <c r="B6376" s="46" t="s">
        <v>767</v>
      </c>
      <c r="D6376" t="s">
        <v>2159</v>
      </c>
      <c r="E6376" s="46" t="s">
        <v>1436</v>
      </c>
      <c r="F6376" s="45">
        <v>5000</v>
      </c>
      <c r="G6376" t="s">
        <v>1460</v>
      </c>
      <c r="H6376" t="s">
        <v>1444</v>
      </c>
      <c r="I6376" t="s">
        <v>2170</v>
      </c>
      <c r="K6376" t="s">
        <v>2324</v>
      </c>
    </row>
    <row r="6377" spans="1:11" hidden="1" x14ac:dyDescent="0.3">
      <c r="A6377" s="46">
        <v>45455</v>
      </c>
      <c r="B6377" s="46" t="s">
        <v>724</v>
      </c>
      <c r="D6377" t="s">
        <v>1730</v>
      </c>
      <c r="E6377" s="46" t="s">
        <v>1436</v>
      </c>
      <c r="F6377" s="45">
        <v>5000</v>
      </c>
      <c r="G6377" t="s">
        <v>1437</v>
      </c>
      <c r="H6377" t="s">
        <v>1438</v>
      </c>
      <c r="I6377" t="s">
        <v>1439</v>
      </c>
      <c r="J6377">
        <v>3</v>
      </c>
    </row>
    <row r="6378" spans="1:11" hidden="1" x14ac:dyDescent="0.3">
      <c r="A6378" s="46">
        <v>45475</v>
      </c>
      <c r="B6378" s="46" t="s">
        <v>724</v>
      </c>
      <c r="D6378" t="s">
        <v>2121</v>
      </c>
      <c r="E6378" s="46" t="s">
        <v>1436</v>
      </c>
      <c r="F6378" s="45">
        <v>5000</v>
      </c>
      <c r="G6378" t="s">
        <v>1437</v>
      </c>
      <c r="H6378" t="s">
        <v>1438</v>
      </c>
      <c r="I6378" t="s">
        <v>1439</v>
      </c>
      <c r="J6378">
        <v>3</v>
      </c>
    </row>
    <row r="6379" spans="1:11" hidden="1" x14ac:dyDescent="0.3">
      <c r="A6379" s="46">
        <v>45477</v>
      </c>
      <c r="B6379" s="46" t="s">
        <v>727</v>
      </c>
      <c r="D6379" t="s">
        <v>2395</v>
      </c>
      <c r="E6379" s="46" t="s">
        <v>1436</v>
      </c>
      <c r="F6379" s="45">
        <v>4800</v>
      </c>
      <c r="G6379" t="s">
        <v>1463</v>
      </c>
      <c r="H6379" t="s">
        <v>1438</v>
      </c>
      <c r="I6379" t="s">
        <v>1439</v>
      </c>
      <c r="J6379">
        <v>1</v>
      </c>
    </row>
    <row r="6380" spans="1:11" hidden="1" x14ac:dyDescent="0.3">
      <c r="A6380" s="46">
        <v>45293</v>
      </c>
      <c r="B6380" s="46" t="s">
        <v>724</v>
      </c>
      <c r="D6380" t="s">
        <v>755</v>
      </c>
      <c r="E6380" s="46" t="s">
        <v>1436</v>
      </c>
      <c r="F6380" s="45">
        <v>4770</v>
      </c>
      <c r="G6380" t="s">
        <v>1437</v>
      </c>
      <c r="H6380" t="s">
        <v>1438</v>
      </c>
      <c r="I6380" t="s">
        <v>1439</v>
      </c>
      <c r="J6380">
        <v>1</v>
      </c>
    </row>
    <row r="6381" spans="1:11" hidden="1" x14ac:dyDescent="0.3">
      <c r="A6381" s="46">
        <v>45317</v>
      </c>
      <c r="B6381" s="46" t="s">
        <v>729</v>
      </c>
      <c r="D6381" t="s">
        <v>1490</v>
      </c>
      <c r="E6381" s="46" t="s">
        <v>1436</v>
      </c>
      <c r="F6381" s="45">
        <v>4700</v>
      </c>
      <c r="G6381" t="s">
        <v>1471</v>
      </c>
      <c r="H6381" t="s">
        <v>1438</v>
      </c>
      <c r="I6381" t="s">
        <v>1454</v>
      </c>
      <c r="K6381" t="s">
        <v>1588</v>
      </c>
    </row>
    <row r="6382" spans="1:11" hidden="1" x14ac:dyDescent="0.3">
      <c r="A6382" s="46">
        <v>45407</v>
      </c>
      <c r="B6382" s="46" t="s">
        <v>767</v>
      </c>
      <c r="D6382" t="s">
        <v>1502</v>
      </c>
      <c r="E6382" s="46" t="s">
        <v>1436</v>
      </c>
      <c r="F6382" s="45">
        <v>4500</v>
      </c>
      <c r="G6382" t="s">
        <v>1460</v>
      </c>
      <c r="H6382" t="s">
        <v>1484</v>
      </c>
      <c r="I6382" t="s">
        <v>1821</v>
      </c>
      <c r="K6382" t="s">
        <v>2325</v>
      </c>
    </row>
    <row r="6383" spans="1:11" hidden="1" x14ac:dyDescent="0.3">
      <c r="A6383" s="46">
        <v>45463</v>
      </c>
      <c r="B6383" s="46" t="s">
        <v>767</v>
      </c>
      <c r="D6383" t="s">
        <v>2326</v>
      </c>
      <c r="E6383" s="46" t="s">
        <v>1436</v>
      </c>
      <c r="F6383" s="45">
        <v>4500</v>
      </c>
      <c r="G6383" t="s">
        <v>1460</v>
      </c>
      <c r="H6383" t="s">
        <v>1484</v>
      </c>
      <c r="I6383" t="s">
        <v>1821</v>
      </c>
      <c r="K6383" t="s">
        <v>2314</v>
      </c>
    </row>
    <row r="6384" spans="1:11" hidden="1" x14ac:dyDescent="0.3">
      <c r="A6384" s="46">
        <v>45463</v>
      </c>
      <c r="B6384" s="46" t="s">
        <v>767</v>
      </c>
      <c r="D6384" t="s">
        <v>2327</v>
      </c>
      <c r="E6384" s="46" t="s">
        <v>1436</v>
      </c>
      <c r="F6384" s="45">
        <v>4500</v>
      </c>
      <c r="G6384" t="s">
        <v>1460</v>
      </c>
      <c r="H6384" t="s">
        <v>1484</v>
      </c>
      <c r="I6384" t="s">
        <v>1821</v>
      </c>
      <c r="K6384" t="s">
        <v>2314</v>
      </c>
    </row>
    <row r="6385" spans="1:11" hidden="1" x14ac:dyDescent="0.3">
      <c r="A6385" s="46">
        <v>45400</v>
      </c>
      <c r="B6385" s="46" t="s">
        <v>727</v>
      </c>
      <c r="D6385" t="s">
        <v>2319</v>
      </c>
      <c r="E6385" s="46" t="s">
        <v>1436</v>
      </c>
      <c r="F6385" s="45">
        <v>4400</v>
      </c>
      <c r="G6385" t="s">
        <v>1463</v>
      </c>
      <c r="H6385" t="s">
        <v>1484</v>
      </c>
      <c r="I6385" t="s">
        <v>1821</v>
      </c>
      <c r="K6385" t="s">
        <v>2257</v>
      </c>
    </row>
    <row r="6386" spans="1:11" hidden="1" x14ac:dyDescent="0.3">
      <c r="A6386" s="46">
        <v>45317</v>
      </c>
      <c r="B6386" s="46" t="s">
        <v>722</v>
      </c>
      <c r="D6386" t="s">
        <v>1461</v>
      </c>
      <c r="E6386" s="46" t="s">
        <v>1436</v>
      </c>
      <c r="F6386" s="45">
        <v>4280</v>
      </c>
      <c r="G6386" t="s">
        <v>1437</v>
      </c>
      <c r="H6386" t="s">
        <v>1442</v>
      </c>
      <c r="I6386" t="s">
        <v>1458</v>
      </c>
      <c r="K6386" t="s">
        <v>1780</v>
      </c>
    </row>
    <row r="6387" spans="1:11" hidden="1" x14ac:dyDescent="0.3">
      <c r="A6387" s="46">
        <v>45341</v>
      </c>
      <c r="B6387" s="46" t="s">
        <v>729</v>
      </c>
      <c r="D6387" t="s">
        <v>1461</v>
      </c>
      <c r="E6387" s="46" t="s">
        <v>1436</v>
      </c>
      <c r="F6387" s="45">
        <v>4270</v>
      </c>
      <c r="G6387" t="s">
        <v>1471</v>
      </c>
      <c r="H6387" t="s">
        <v>1442</v>
      </c>
      <c r="I6387" t="s">
        <v>1458</v>
      </c>
      <c r="K6387" t="s">
        <v>1781</v>
      </c>
    </row>
    <row r="6388" spans="1:11" hidden="1" x14ac:dyDescent="0.3">
      <c r="A6388" s="46">
        <v>45350</v>
      </c>
      <c r="B6388" s="46" t="s">
        <v>722</v>
      </c>
      <c r="D6388" t="s">
        <v>1605</v>
      </c>
      <c r="E6388" s="46" t="s">
        <v>1436</v>
      </c>
      <c r="F6388" s="45">
        <v>4000</v>
      </c>
      <c r="G6388" t="s">
        <v>1437</v>
      </c>
      <c r="H6388" t="s">
        <v>1448</v>
      </c>
      <c r="I6388" t="s">
        <v>1519</v>
      </c>
    </row>
    <row r="6389" spans="1:11" hidden="1" x14ac:dyDescent="0.3">
      <c r="A6389" s="46">
        <v>45350</v>
      </c>
      <c r="B6389" s="46" t="s">
        <v>722</v>
      </c>
      <c r="D6389" t="s">
        <v>1605</v>
      </c>
      <c r="E6389" s="46" t="s">
        <v>1436</v>
      </c>
      <c r="F6389" s="45">
        <v>4000</v>
      </c>
      <c r="G6389" t="s">
        <v>1437</v>
      </c>
      <c r="H6389" t="s">
        <v>1448</v>
      </c>
      <c r="I6389" t="s">
        <v>1519</v>
      </c>
    </row>
    <row r="6390" spans="1:11" hidden="1" x14ac:dyDescent="0.3">
      <c r="A6390" s="46">
        <v>45399</v>
      </c>
      <c r="B6390" s="46" t="s">
        <v>727</v>
      </c>
      <c r="D6390" t="s">
        <v>2321</v>
      </c>
      <c r="E6390" s="46" t="s">
        <v>1436</v>
      </c>
      <c r="F6390" s="45">
        <v>4000</v>
      </c>
      <c r="G6390" t="s">
        <v>1463</v>
      </c>
      <c r="H6390" t="s">
        <v>1484</v>
      </c>
      <c r="I6390" t="s">
        <v>2322</v>
      </c>
      <c r="K6390" t="s">
        <v>2323</v>
      </c>
    </row>
    <row r="6391" spans="1:11" hidden="1" x14ac:dyDescent="0.3">
      <c r="A6391" s="46">
        <v>45390</v>
      </c>
      <c r="B6391" s="46" t="s">
        <v>722</v>
      </c>
      <c r="D6391" t="s">
        <v>1605</v>
      </c>
      <c r="E6391" s="46" t="s">
        <v>1436</v>
      </c>
      <c r="F6391" s="45">
        <v>4000</v>
      </c>
      <c r="G6391" t="s">
        <v>1437</v>
      </c>
      <c r="H6391" t="s">
        <v>1448</v>
      </c>
      <c r="I6391" t="s">
        <v>1519</v>
      </c>
    </row>
    <row r="6392" spans="1:11" hidden="1" x14ac:dyDescent="0.3">
      <c r="A6392" s="46">
        <v>45335</v>
      </c>
      <c r="B6392" s="46" t="s">
        <v>724</v>
      </c>
      <c r="D6392" t="s">
        <v>780</v>
      </c>
      <c r="E6392" s="46" t="s">
        <v>1436</v>
      </c>
      <c r="F6392" s="45">
        <v>3860</v>
      </c>
      <c r="G6392" t="s">
        <v>1437</v>
      </c>
      <c r="H6392" t="s">
        <v>1499</v>
      </c>
      <c r="I6392" t="s">
        <v>1599</v>
      </c>
    </row>
    <row r="6393" spans="1:11" hidden="1" x14ac:dyDescent="0.3">
      <c r="A6393" s="46">
        <v>45363</v>
      </c>
      <c r="B6393" s="46" t="s">
        <v>724</v>
      </c>
      <c r="D6393" t="s">
        <v>780</v>
      </c>
      <c r="E6393" s="46" t="s">
        <v>1436</v>
      </c>
      <c r="F6393" s="45">
        <v>3740</v>
      </c>
      <c r="G6393" t="s">
        <v>1437</v>
      </c>
      <c r="H6393" t="s">
        <v>1499</v>
      </c>
      <c r="I6393" t="s">
        <v>1599</v>
      </c>
    </row>
    <row r="6394" spans="1:11" hidden="1" x14ac:dyDescent="0.3">
      <c r="A6394" s="46">
        <v>45339</v>
      </c>
      <c r="B6394" s="46" t="s">
        <v>722</v>
      </c>
      <c r="D6394" t="s">
        <v>1782</v>
      </c>
      <c r="E6394" s="46" t="s">
        <v>1436</v>
      </c>
      <c r="F6394" s="45">
        <v>3500</v>
      </c>
      <c r="G6394" t="s">
        <v>1471</v>
      </c>
      <c r="H6394" t="s">
        <v>1438</v>
      </c>
      <c r="I6394" t="s">
        <v>1456</v>
      </c>
      <c r="J6394">
        <v>3</v>
      </c>
      <c r="K6394" t="s">
        <v>1575</v>
      </c>
    </row>
    <row r="6395" spans="1:11" hidden="1" x14ac:dyDescent="0.3">
      <c r="A6395" s="46">
        <v>45307</v>
      </c>
      <c r="B6395" s="46" t="s">
        <v>729</v>
      </c>
      <c r="D6395" t="s">
        <v>1609</v>
      </c>
      <c r="E6395" s="46" t="s">
        <v>1436</v>
      </c>
      <c r="F6395" s="45">
        <v>3420</v>
      </c>
      <c r="G6395" t="s">
        <v>1471</v>
      </c>
      <c r="H6395" t="s">
        <v>1438</v>
      </c>
      <c r="I6395" t="s">
        <v>1439</v>
      </c>
      <c r="J6395">
        <v>2</v>
      </c>
    </row>
    <row r="6396" spans="1:11" hidden="1" x14ac:dyDescent="0.3">
      <c r="A6396" s="46">
        <v>45373</v>
      </c>
      <c r="B6396" s="46" t="s">
        <v>727</v>
      </c>
      <c r="D6396" t="s">
        <v>1836</v>
      </c>
      <c r="E6396" s="46" t="s">
        <v>1436</v>
      </c>
      <c r="F6396" s="45">
        <v>3400</v>
      </c>
      <c r="G6396" t="s">
        <v>1509</v>
      </c>
      <c r="H6396" t="s">
        <v>1438</v>
      </c>
      <c r="I6396" t="s">
        <v>1439</v>
      </c>
      <c r="J6396">
        <v>2</v>
      </c>
    </row>
    <row r="6397" spans="1:11" hidden="1" x14ac:dyDescent="0.3">
      <c r="A6397" s="46">
        <v>45328</v>
      </c>
      <c r="B6397" s="46" t="s">
        <v>722</v>
      </c>
      <c r="D6397" t="s">
        <v>1461</v>
      </c>
      <c r="E6397" s="46" t="s">
        <v>1436</v>
      </c>
      <c r="F6397" s="45">
        <v>3390</v>
      </c>
      <c r="G6397" t="s">
        <v>1466</v>
      </c>
      <c r="H6397" t="s">
        <v>1442</v>
      </c>
      <c r="I6397" t="s">
        <v>1458</v>
      </c>
      <c r="K6397" t="s">
        <v>1783</v>
      </c>
    </row>
    <row r="6398" spans="1:11" hidden="1" x14ac:dyDescent="0.3">
      <c r="A6398" s="46">
        <v>45313</v>
      </c>
      <c r="B6398" s="46" t="s">
        <v>734</v>
      </c>
      <c r="D6398" t="s">
        <v>1467</v>
      </c>
      <c r="E6398" s="46" t="s">
        <v>1436</v>
      </c>
      <c r="F6398" s="45">
        <v>2860</v>
      </c>
      <c r="G6398" t="s">
        <v>1441</v>
      </c>
      <c r="H6398" t="s">
        <v>1499</v>
      </c>
      <c r="I6398" t="s">
        <v>1599</v>
      </c>
    </row>
    <row r="6399" spans="1:11" hidden="1" x14ac:dyDescent="0.3">
      <c r="A6399" s="46">
        <v>45471</v>
      </c>
      <c r="B6399" s="46" t="s">
        <v>734</v>
      </c>
      <c r="D6399" t="s">
        <v>1467</v>
      </c>
      <c r="E6399" s="46" t="s">
        <v>1436</v>
      </c>
      <c r="F6399" s="45">
        <v>2740</v>
      </c>
      <c r="G6399" t="s">
        <v>1441</v>
      </c>
      <c r="H6399" t="s">
        <v>1499</v>
      </c>
      <c r="I6399" t="s">
        <v>1599</v>
      </c>
    </row>
    <row r="6400" spans="1:11" hidden="1" x14ac:dyDescent="0.3">
      <c r="A6400" s="46">
        <v>45301</v>
      </c>
      <c r="B6400" s="46" t="s">
        <v>722</v>
      </c>
      <c r="D6400" t="s">
        <v>1610</v>
      </c>
      <c r="E6400" s="46" t="s">
        <v>1436</v>
      </c>
      <c r="F6400" s="45">
        <v>2640</v>
      </c>
      <c r="G6400" t="s">
        <v>1437</v>
      </c>
      <c r="H6400" t="s">
        <v>1448</v>
      </c>
      <c r="I6400" t="s">
        <v>1519</v>
      </c>
    </row>
    <row r="6401" spans="1:11" hidden="1" x14ac:dyDescent="0.3">
      <c r="A6401" s="46">
        <v>45324</v>
      </c>
      <c r="B6401" s="46" t="s">
        <v>724</v>
      </c>
      <c r="D6401" t="s">
        <v>1391</v>
      </c>
      <c r="E6401" s="46" t="s">
        <v>1436</v>
      </c>
      <c r="F6401" s="45">
        <v>2250</v>
      </c>
      <c r="G6401" t="s">
        <v>1437</v>
      </c>
      <c r="H6401" t="s">
        <v>1442</v>
      </c>
      <c r="I6401" t="s">
        <v>1458</v>
      </c>
      <c r="J6401">
        <v>1</v>
      </c>
      <c r="K6401" t="s">
        <v>1744</v>
      </c>
    </row>
    <row r="6402" spans="1:11" hidden="1" x14ac:dyDescent="0.3">
      <c r="A6402" s="46">
        <v>45350</v>
      </c>
      <c r="B6402" s="46" t="s">
        <v>724</v>
      </c>
      <c r="D6402" t="s">
        <v>1373</v>
      </c>
      <c r="E6402" s="46" t="s">
        <v>1436</v>
      </c>
      <c r="F6402" s="45">
        <v>2000</v>
      </c>
      <c r="G6402" t="s">
        <v>1437</v>
      </c>
      <c r="H6402" t="s">
        <v>1448</v>
      </c>
      <c r="I6402" t="s">
        <v>1519</v>
      </c>
    </row>
    <row r="6403" spans="1:11" hidden="1" x14ac:dyDescent="0.3">
      <c r="A6403" s="46">
        <v>45350</v>
      </c>
      <c r="B6403" s="46" t="s">
        <v>724</v>
      </c>
      <c r="D6403" t="s">
        <v>1373</v>
      </c>
      <c r="E6403" s="46" t="s">
        <v>1436</v>
      </c>
      <c r="F6403" s="45">
        <v>2000</v>
      </c>
      <c r="G6403" t="s">
        <v>1437</v>
      </c>
      <c r="H6403" t="s">
        <v>1448</v>
      </c>
      <c r="I6403" t="s">
        <v>1519</v>
      </c>
    </row>
    <row r="6404" spans="1:11" hidden="1" x14ac:dyDescent="0.3">
      <c r="A6404" s="46">
        <v>45348</v>
      </c>
      <c r="B6404" s="46" t="s">
        <v>748</v>
      </c>
      <c r="D6404" t="s">
        <v>1611</v>
      </c>
      <c r="E6404" s="46" t="s">
        <v>1436</v>
      </c>
      <c r="F6404" s="45">
        <v>2000</v>
      </c>
      <c r="G6404" t="s">
        <v>1479</v>
      </c>
      <c r="H6404" t="s">
        <v>1452</v>
      </c>
      <c r="I6404" t="s">
        <v>1575</v>
      </c>
      <c r="K6404" t="s">
        <v>1784</v>
      </c>
    </row>
    <row r="6405" spans="1:11" hidden="1" x14ac:dyDescent="0.3">
      <c r="A6405" s="46">
        <v>45366</v>
      </c>
      <c r="B6405" s="46" t="s">
        <v>727</v>
      </c>
      <c r="D6405" t="s">
        <v>1608</v>
      </c>
      <c r="E6405" s="46" t="s">
        <v>1436</v>
      </c>
      <c r="F6405" s="45">
        <v>2000</v>
      </c>
      <c r="G6405" t="s">
        <v>1479</v>
      </c>
      <c r="H6405" t="s">
        <v>1452</v>
      </c>
      <c r="I6405" t="s">
        <v>1575</v>
      </c>
      <c r="K6405" t="s">
        <v>1785</v>
      </c>
    </row>
    <row r="6406" spans="1:11" hidden="1" x14ac:dyDescent="0.3">
      <c r="A6406" s="46">
        <v>45386</v>
      </c>
      <c r="B6406" s="46" t="s">
        <v>772</v>
      </c>
      <c r="D6406" t="s">
        <v>2098</v>
      </c>
      <c r="E6406" s="46" t="s">
        <v>1436</v>
      </c>
      <c r="F6406" s="45">
        <v>2000</v>
      </c>
      <c r="G6406" t="s">
        <v>1464</v>
      </c>
      <c r="H6406" t="s">
        <v>1438</v>
      </c>
      <c r="I6406" t="s">
        <v>1439</v>
      </c>
      <c r="J6406">
        <v>5</v>
      </c>
    </row>
    <row r="6407" spans="1:11" hidden="1" x14ac:dyDescent="0.3">
      <c r="A6407" s="46">
        <v>45436</v>
      </c>
      <c r="B6407" s="46" t="s">
        <v>724</v>
      </c>
      <c r="D6407" t="s">
        <v>1373</v>
      </c>
      <c r="E6407" s="46" t="s">
        <v>1436</v>
      </c>
      <c r="F6407" s="45">
        <v>2000</v>
      </c>
      <c r="G6407" t="s">
        <v>1437</v>
      </c>
      <c r="H6407" t="s">
        <v>1448</v>
      </c>
      <c r="I6407" t="s">
        <v>1519</v>
      </c>
    </row>
    <row r="6408" spans="1:11" hidden="1" x14ac:dyDescent="0.3">
      <c r="A6408" s="46">
        <v>45436</v>
      </c>
      <c r="B6408" s="46" t="s">
        <v>724</v>
      </c>
      <c r="D6408" t="s">
        <v>1373</v>
      </c>
      <c r="E6408" s="46" t="s">
        <v>1436</v>
      </c>
      <c r="F6408" s="45">
        <v>2000</v>
      </c>
      <c r="G6408" t="s">
        <v>1437</v>
      </c>
      <c r="H6408" t="s">
        <v>1448</v>
      </c>
      <c r="I6408" t="s">
        <v>1519</v>
      </c>
    </row>
    <row r="6409" spans="1:11" hidden="1" x14ac:dyDescent="0.3">
      <c r="A6409" s="46">
        <v>45470</v>
      </c>
      <c r="B6409" s="46" t="s">
        <v>734</v>
      </c>
      <c r="D6409" t="s">
        <v>1776</v>
      </c>
      <c r="E6409" s="46" t="s">
        <v>1436</v>
      </c>
      <c r="F6409" s="45">
        <v>1800</v>
      </c>
      <c r="G6409" t="s">
        <v>1441</v>
      </c>
      <c r="H6409" t="s">
        <v>1438</v>
      </c>
      <c r="I6409" t="s">
        <v>1439</v>
      </c>
      <c r="J6409">
        <v>1</v>
      </c>
    </row>
    <row r="6410" spans="1:11" hidden="1" x14ac:dyDescent="0.3">
      <c r="A6410" s="46">
        <v>45414</v>
      </c>
      <c r="B6410" s="46" t="s">
        <v>722</v>
      </c>
      <c r="D6410" t="s">
        <v>1461</v>
      </c>
      <c r="E6410" s="46" t="s">
        <v>1436</v>
      </c>
      <c r="F6410" s="45">
        <v>1750</v>
      </c>
      <c r="G6410" t="s">
        <v>1466</v>
      </c>
      <c r="H6410" t="s">
        <v>1442</v>
      </c>
      <c r="I6410" t="s">
        <v>1458</v>
      </c>
      <c r="K6410" t="s">
        <v>2328</v>
      </c>
    </row>
    <row r="6411" spans="1:11" hidden="1" x14ac:dyDescent="0.3">
      <c r="A6411" s="46">
        <v>45454</v>
      </c>
      <c r="B6411" s="46" t="s">
        <v>734</v>
      </c>
      <c r="D6411" t="s">
        <v>2329</v>
      </c>
      <c r="E6411" s="46" t="s">
        <v>1436</v>
      </c>
      <c r="F6411" s="45">
        <v>1628</v>
      </c>
      <c r="G6411" t="s">
        <v>1441</v>
      </c>
      <c r="H6411" t="s">
        <v>1448</v>
      </c>
      <c r="I6411" t="s">
        <v>1449</v>
      </c>
    </row>
    <row r="6412" spans="1:11" hidden="1" x14ac:dyDescent="0.3">
      <c r="A6412" s="46">
        <v>45355</v>
      </c>
      <c r="B6412" s="46" t="s">
        <v>772</v>
      </c>
      <c r="D6412" t="s">
        <v>1786</v>
      </c>
      <c r="E6412" s="46" t="s">
        <v>1436</v>
      </c>
      <c r="F6412" s="45">
        <v>1600</v>
      </c>
      <c r="G6412" t="s">
        <v>1480</v>
      </c>
      <c r="H6412" t="s">
        <v>1438</v>
      </c>
      <c r="I6412" t="s">
        <v>1456</v>
      </c>
      <c r="J6412">
        <v>1</v>
      </c>
      <c r="K6412" t="s">
        <v>1787</v>
      </c>
    </row>
    <row r="6413" spans="1:11" hidden="1" x14ac:dyDescent="0.3">
      <c r="A6413" s="46">
        <v>45362</v>
      </c>
      <c r="B6413" s="46" t="s">
        <v>748</v>
      </c>
      <c r="D6413" t="s">
        <v>1788</v>
      </c>
      <c r="E6413" s="46" t="s">
        <v>1436</v>
      </c>
      <c r="F6413" s="45">
        <v>1600</v>
      </c>
      <c r="G6413" t="s">
        <v>1483</v>
      </c>
      <c r="H6413" t="s">
        <v>1438</v>
      </c>
      <c r="I6413" t="s">
        <v>1439</v>
      </c>
      <c r="J6413">
        <v>1</v>
      </c>
    </row>
    <row r="6414" spans="1:11" hidden="1" x14ac:dyDescent="0.3">
      <c r="A6414" s="46">
        <v>45385</v>
      </c>
      <c r="B6414" s="46" t="s">
        <v>772</v>
      </c>
      <c r="D6414" t="s">
        <v>1614</v>
      </c>
      <c r="E6414" s="46" t="s">
        <v>1436</v>
      </c>
      <c r="F6414" s="45">
        <v>1500</v>
      </c>
      <c r="G6414" t="s">
        <v>1464</v>
      </c>
      <c r="H6414" t="s">
        <v>1452</v>
      </c>
      <c r="I6414" t="s">
        <v>1575</v>
      </c>
    </row>
    <row r="6415" spans="1:11" hidden="1" x14ac:dyDescent="0.3">
      <c r="A6415" s="46">
        <v>45383</v>
      </c>
      <c r="B6415" s="46" t="s">
        <v>772</v>
      </c>
      <c r="D6415" t="s">
        <v>1614</v>
      </c>
      <c r="E6415" s="46" t="s">
        <v>1436</v>
      </c>
      <c r="F6415" s="45">
        <v>1500</v>
      </c>
      <c r="G6415" t="s">
        <v>1464</v>
      </c>
      <c r="H6415" t="s">
        <v>1452</v>
      </c>
      <c r="I6415" t="s">
        <v>1575</v>
      </c>
    </row>
    <row r="6416" spans="1:11" hidden="1" x14ac:dyDescent="0.3">
      <c r="A6416" s="46">
        <v>45380</v>
      </c>
      <c r="B6416" s="46" t="s">
        <v>772</v>
      </c>
      <c r="D6416" t="s">
        <v>1614</v>
      </c>
      <c r="E6416" s="46" t="s">
        <v>1436</v>
      </c>
      <c r="F6416" s="45">
        <v>1500</v>
      </c>
      <c r="G6416" t="s">
        <v>1464</v>
      </c>
      <c r="H6416" t="s">
        <v>1452</v>
      </c>
      <c r="I6416" t="s">
        <v>1575</v>
      </c>
    </row>
    <row r="6417" spans="1:11" hidden="1" x14ac:dyDescent="0.3">
      <c r="A6417" s="46">
        <v>45406</v>
      </c>
      <c r="B6417" s="46" t="s">
        <v>772</v>
      </c>
      <c r="D6417" t="s">
        <v>2330</v>
      </c>
      <c r="E6417" s="46" t="s">
        <v>1436</v>
      </c>
      <c r="F6417" s="45">
        <v>1500</v>
      </c>
      <c r="G6417" t="s">
        <v>1464</v>
      </c>
      <c r="H6417" t="s">
        <v>1452</v>
      </c>
      <c r="I6417" t="s">
        <v>1575</v>
      </c>
    </row>
    <row r="6418" spans="1:11" hidden="1" x14ac:dyDescent="0.3">
      <c r="A6418" s="46">
        <v>45338</v>
      </c>
      <c r="B6418" s="46" t="s">
        <v>772</v>
      </c>
      <c r="D6418" t="s">
        <v>1614</v>
      </c>
      <c r="E6418" s="46" t="s">
        <v>1436</v>
      </c>
      <c r="F6418" s="45">
        <v>1500</v>
      </c>
      <c r="G6418" t="s">
        <v>1464</v>
      </c>
      <c r="H6418" t="s">
        <v>1452</v>
      </c>
      <c r="I6418" t="s">
        <v>1575</v>
      </c>
    </row>
    <row r="6419" spans="1:11" hidden="1" x14ac:dyDescent="0.3">
      <c r="A6419" s="46">
        <v>45335</v>
      </c>
      <c r="B6419" s="46" t="s">
        <v>772</v>
      </c>
      <c r="D6419" t="s">
        <v>1614</v>
      </c>
      <c r="E6419" s="46" t="s">
        <v>1436</v>
      </c>
      <c r="F6419" s="45">
        <v>1500</v>
      </c>
      <c r="G6419" t="s">
        <v>1464</v>
      </c>
      <c r="H6419" t="s">
        <v>1452</v>
      </c>
      <c r="I6419" t="s">
        <v>1575</v>
      </c>
    </row>
    <row r="6420" spans="1:11" hidden="1" x14ac:dyDescent="0.3">
      <c r="A6420" s="46">
        <v>45436</v>
      </c>
      <c r="B6420" s="46" t="s">
        <v>772</v>
      </c>
      <c r="D6420" t="s">
        <v>1614</v>
      </c>
      <c r="E6420" s="46" t="s">
        <v>1436</v>
      </c>
      <c r="F6420" s="45">
        <v>1500</v>
      </c>
      <c r="G6420" t="s">
        <v>1464</v>
      </c>
      <c r="H6420" t="s">
        <v>1452</v>
      </c>
      <c r="I6420" t="s">
        <v>1575</v>
      </c>
    </row>
    <row r="6421" spans="1:11" hidden="1" x14ac:dyDescent="0.3">
      <c r="A6421" s="46">
        <v>45399</v>
      </c>
      <c r="B6421" s="46" t="s">
        <v>727</v>
      </c>
      <c r="D6421" t="s">
        <v>2234</v>
      </c>
      <c r="E6421" s="46" t="s">
        <v>1436</v>
      </c>
      <c r="F6421" s="45">
        <v>1400</v>
      </c>
      <c r="G6421" t="s">
        <v>1463</v>
      </c>
      <c r="H6421" t="s">
        <v>1484</v>
      </c>
      <c r="I6421" t="s">
        <v>1821</v>
      </c>
      <c r="K6421" t="s">
        <v>2257</v>
      </c>
    </row>
    <row r="6422" spans="1:11" hidden="1" x14ac:dyDescent="0.3">
      <c r="A6422" s="46">
        <v>45399</v>
      </c>
      <c r="B6422" s="46" t="s">
        <v>727</v>
      </c>
      <c r="D6422" t="s">
        <v>2321</v>
      </c>
      <c r="E6422" s="46" t="s">
        <v>1436</v>
      </c>
      <c r="F6422" s="45">
        <v>1200</v>
      </c>
      <c r="G6422" t="s">
        <v>1463</v>
      </c>
      <c r="H6422" t="s">
        <v>1484</v>
      </c>
      <c r="I6422" t="s">
        <v>2322</v>
      </c>
      <c r="K6422" t="s">
        <v>2323</v>
      </c>
    </row>
    <row r="6423" spans="1:11" hidden="1" x14ac:dyDescent="0.3">
      <c r="A6423" s="46">
        <v>45355</v>
      </c>
      <c r="B6423" s="46" t="s">
        <v>772</v>
      </c>
      <c r="D6423" t="s">
        <v>1786</v>
      </c>
      <c r="E6423" s="46" t="s">
        <v>1436</v>
      </c>
      <c r="F6423" s="45">
        <v>1200</v>
      </c>
      <c r="G6423" t="s">
        <v>1480</v>
      </c>
      <c r="H6423" t="s">
        <v>1438</v>
      </c>
      <c r="I6423" t="s">
        <v>1456</v>
      </c>
      <c r="J6423">
        <v>1</v>
      </c>
      <c r="K6423" t="s">
        <v>1787</v>
      </c>
    </row>
    <row r="6424" spans="1:11" hidden="1" x14ac:dyDescent="0.3">
      <c r="A6424" s="46">
        <v>45296</v>
      </c>
      <c r="B6424" s="46" t="s">
        <v>729</v>
      </c>
      <c r="D6424" t="s">
        <v>1612</v>
      </c>
      <c r="E6424" s="46" t="s">
        <v>732</v>
      </c>
      <c r="F6424" s="45">
        <v>1199</v>
      </c>
      <c r="G6424" t="s">
        <v>1471</v>
      </c>
      <c r="H6424" t="s">
        <v>1492</v>
      </c>
      <c r="I6424" t="s">
        <v>1613</v>
      </c>
      <c r="K6424" t="s">
        <v>1615</v>
      </c>
    </row>
    <row r="6425" spans="1:11" hidden="1" x14ac:dyDescent="0.3">
      <c r="A6425" s="46">
        <v>45461</v>
      </c>
      <c r="B6425" s="46" t="s">
        <v>724</v>
      </c>
      <c r="D6425" t="s">
        <v>2331</v>
      </c>
      <c r="E6425" s="46" t="s">
        <v>732</v>
      </c>
      <c r="F6425" s="45">
        <v>1119</v>
      </c>
      <c r="G6425" t="s">
        <v>1437</v>
      </c>
      <c r="H6425" t="s">
        <v>1492</v>
      </c>
      <c r="I6425" t="s">
        <v>1613</v>
      </c>
      <c r="K6425" t="s">
        <v>2332</v>
      </c>
    </row>
    <row r="6426" spans="1:11" hidden="1" x14ac:dyDescent="0.3">
      <c r="A6426" s="46">
        <v>45300</v>
      </c>
      <c r="B6426" s="46" t="s">
        <v>772</v>
      </c>
      <c r="D6426" t="s">
        <v>1619</v>
      </c>
      <c r="E6426" s="46" t="s">
        <v>1436</v>
      </c>
      <c r="F6426" s="45">
        <v>1004</v>
      </c>
      <c r="G6426" t="s">
        <v>1464</v>
      </c>
      <c r="H6426" t="s">
        <v>1447</v>
      </c>
      <c r="I6426" t="s">
        <v>1617</v>
      </c>
      <c r="K6426" t="s">
        <v>1789</v>
      </c>
    </row>
    <row r="6427" spans="1:11" hidden="1" x14ac:dyDescent="0.3">
      <c r="A6427" s="46">
        <v>45300</v>
      </c>
      <c r="B6427" s="46" t="s">
        <v>724</v>
      </c>
      <c r="D6427" t="s">
        <v>1619</v>
      </c>
      <c r="E6427" s="46" t="s">
        <v>1436</v>
      </c>
      <c r="F6427" s="45">
        <v>1004</v>
      </c>
      <c r="G6427" t="s">
        <v>1437</v>
      </c>
      <c r="H6427" t="s">
        <v>1447</v>
      </c>
      <c r="I6427" t="s">
        <v>1617</v>
      </c>
      <c r="K6427" t="s">
        <v>1789</v>
      </c>
    </row>
    <row r="6428" spans="1:11" hidden="1" x14ac:dyDescent="0.3">
      <c r="A6428" s="46">
        <v>45300</v>
      </c>
      <c r="B6428" s="46" t="s">
        <v>727</v>
      </c>
      <c r="D6428" t="s">
        <v>1616</v>
      </c>
      <c r="E6428" s="46" t="s">
        <v>1436</v>
      </c>
      <c r="F6428" s="45">
        <v>1004</v>
      </c>
      <c r="G6428" t="s">
        <v>1437</v>
      </c>
      <c r="H6428" t="s">
        <v>1447</v>
      </c>
      <c r="I6428" t="s">
        <v>1617</v>
      </c>
    </row>
    <row r="6429" spans="1:11" hidden="1" x14ac:dyDescent="0.3">
      <c r="A6429" s="46">
        <v>45295</v>
      </c>
      <c r="B6429" s="46" t="s">
        <v>727</v>
      </c>
      <c r="D6429" t="s">
        <v>1616</v>
      </c>
      <c r="E6429" s="46" t="s">
        <v>1436</v>
      </c>
      <c r="F6429" s="45">
        <v>1004</v>
      </c>
      <c r="G6429" t="s">
        <v>1437</v>
      </c>
      <c r="H6429" t="s">
        <v>1447</v>
      </c>
      <c r="I6429" t="s">
        <v>1617</v>
      </c>
    </row>
    <row r="6430" spans="1:11" hidden="1" x14ac:dyDescent="0.3">
      <c r="A6430" s="46">
        <v>45356</v>
      </c>
      <c r="B6430" s="46" t="s">
        <v>722</v>
      </c>
      <c r="D6430" t="s">
        <v>1616</v>
      </c>
      <c r="E6430" s="46" t="s">
        <v>1436</v>
      </c>
      <c r="F6430" s="45">
        <v>1004</v>
      </c>
      <c r="G6430" t="s">
        <v>1437</v>
      </c>
      <c r="H6430" t="s">
        <v>1484</v>
      </c>
      <c r="I6430" t="s">
        <v>1485</v>
      </c>
    </row>
    <row r="6431" spans="1:11" hidden="1" x14ac:dyDescent="0.3">
      <c r="A6431" s="46">
        <v>45369</v>
      </c>
      <c r="B6431" s="46" t="s">
        <v>772</v>
      </c>
      <c r="D6431" t="s">
        <v>1620</v>
      </c>
      <c r="E6431" s="46" t="s">
        <v>1436</v>
      </c>
      <c r="F6431" s="45">
        <v>1000</v>
      </c>
      <c r="G6431" t="s">
        <v>1464</v>
      </c>
      <c r="H6431" t="s">
        <v>1452</v>
      </c>
      <c r="I6431" t="s">
        <v>1575</v>
      </c>
    </row>
    <row r="6432" spans="1:11" hidden="1" x14ac:dyDescent="0.3">
      <c r="A6432" s="46">
        <v>45372</v>
      </c>
      <c r="B6432" s="46" t="s">
        <v>722</v>
      </c>
      <c r="D6432" t="s">
        <v>1605</v>
      </c>
      <c r="E6432" s="46" t="s">
        <v>1436</v>
      </c>
      <c r="F6432" s="45">
        <v>1000</v>
      </c>
      <c r="G6432" t="s">
        <v>1437</v>
      </c>
      <c r="H6432" t="s">
        <v>1448</v>
      </c>
      <c r="I6432" t="s">
        <v>1519</v>
      </c>
    </row>
    <row r="6433" spans="1:11" hidden="1" x14ac:dyDescent="0.3">
      <c r="A6433" s="46">
        <v>45383</v>
      </c>
      <c r="B6433" s="46" t="s">
        <v>772</v>
      </c>
      <c r="D6433" t="s">
        <v>1620</v>
      </c>
      <c r="E6433" s="46" t="s">
        <v>1436</v>
      </c>
      <c r="F6433" s="45">
        <v>1000</v>
      </c>
      <c r="G6433" t="s">
        <v>1464</v>
      </c>
      <c r="H6433" t="s">
        <v>1452</v>
      </c>
      <c r="I6433" t="s">
        <v>1575</v>
      </c>
    </row>
    <row r="6434" spans="1:11" hidden="1" x14ac:dyDescent="0.3">
      <c r="A6434" s="46">
        <v>45378</v>
      </c>
      <c r="B6434" s="46" t="s">
        <v>772</v>
      </c>
      <c r="D6434" t="s">
        <v>1401</v>
      </c>
      <c r="E6434" s="46" t="s">
        <v>1436</v>
      </c>
      <c r="F6434" s="45">
        <v>1000</v>
      </c>
      <c r="G6434" t="s">
        <v>1464</v>
      </c>
      <c r="H6434" t="s">
        <v>1452</v>
      </c>
      <c r="I6434" t="s">
        <v>1575</v>
      </c>
    </row>
    <row r="6435" spans="1:11" hidden="1" x14ac:dyDescent="0.3">
      <c r="A6435" s="46">
        <v>45385</v>
      </c>
      <c r="B6435" s="46" t="s">
        <v>772</v>
      </c>
      <c r="D6435" t="s">
        <v>1620</v>
      </c>
      <c r="E6435" s="46" t="s">
        <v>1436</v>
      </c>
      <c r="F6435" s="45">
        <v>1000</v>
      </c>
      <c r="G6435" t="s">
        <v>1464</v>
      </c>
      <c r="H6435" t="s">
        <v>1452</v>
      </c>
      <c r="I6435" t="s">
        <v>1575</v>
      </c>
    </row>
    <row r="6436" spans="1:11" hidden="1" x14ac:dyDescent="0.3">
      <c r="A6436" s="46">
        <v>45399</v>
      </c>
      <c r="B6436" s="46" t="s">
        <v>748</v>
      </c>
      <c r="D6436" t="s">
        <v>2333</v>
      </c>
      <c r="E6436" s="46" t="s">
        <v>1436</v>
      </c>
      <c r="F6436" s="45">
        <v>1000</v>
      </c>
      <c r="G6436" t="s">
        <v>1451</v>
      </c>
      <c r="H6436" t="s">
        <v>1452</v>
      </c>
      <c r="I6436" t="s">
        <v>1575</v>
      </c>
      <c r="K6436" t="s">
        <v>2334</v>
      </c>
    </row>
    <row r="6437" spans="1:11" hidden="1" x14ac:dyDescent="0.3">
      <c r="A6437" s="46">
        <v>45401</v>
      </c>
      <c r="B6437" s="46" t="s">
        <v>772</v>
      </c>
      <c r="D6437" t="s">
        <v>1620</v>
      </c>
      <c r="E6437" s="46" t="s">
        <v>1436</v>
      </c>
      <c r="F6437" s="45">
        <v>1000</v>
      </c>
      <c r="G6437" t="s">
        <v>1464</v>
      </c>
      <c r="H6437" t="s">
        <v>1452</v>
      </c>
      <c r="I6437" t="s">
        <v>1575</v>
      </c>
    </row>
    <row r="6438" spans="1:11" hidden="1" x14ac:dyDescent="0.3">
      <c r="A6438" s="46">
        <v>45405</v>
      </c>
      <c r="B6438" s="46" t="s">
        <v>722</v>
      </c>
      <c r="D6438" t="s">
        <v>1605</v>
      </c>
      <c r="E6438" s="46" t="s">
        <v>1436</v>
      </c>
      <c r="F6438" s="45">
        <v>1000</v>
      </c>
      <c r="G6438" t="s">
        <v>1437</v>
      </c>
      <c r="H6438" t="s">
        <v>1448</v>
      </c>
      <c r="I6438" t="s">
        <v>1519</v>
      </c>
    </row>
    <row r="6439" spans="1:11" hidden="1" x14ac:dyDescent="0.3">
      <c r="A6439" s="46">
        <v>45411</v>
      </c>
      <c r="B6439" s="46" t="s">
        <v>772</v>
      </c>
      <c r="D6439" t="s">
        <v>1620</v>
      </c>
      <c r="E6439" s="46" t="s">
        <v>1436</v>
      </c>
      <c r="F6439" s="45">
        <v>1000</v>
      </c>
      <c r="G6439" t="s">
        <v>1464</v>
      </c>
      <c r="H6439" t="s">
        <v>1452</v>
      </c>
      <c r="I6439" t="s">
        <v>1575</v>
      </c>
    </row>
    <row r="6440" spans="1:11" hidden="1" x14ac:dyDescent="0.3">
      <c r="A6440" s="46">
        <v>45303</v>
      </c>
      <c r="B6440" s="46" t="s">
        <v>772</v>
      </c>
      <c r="D6440" t="s">
        <v>1620</v>
      </c>
      <c r="E6440" s="46" t="s">
        <v>1436</v>
      </c>
      <c r="F6440" s="45">
        <v>1000</v>
      </c>
      <c r="G6440" t="s">
        <v>1464</v>
      </c>
      <c r="H6440" t="s">
        <v>1452</v>
      </c>
      <c r="I6440" t="s">
        <v>1575</v>
      </c>
    </row>
    <row r="6441" spans="1:11" hidden="1" x14ac:dyDescent="0.3">
      <c r="A6441" s="46">
        <v>45301</v>
      </c>
      <c r="B6441" s="46" t="s">
        <v>772</v>
      </c>
      <c r="D6441" t="s">
        <v>1620</v>
      </c>
      <c r="E6441" s="46" t="s">
        <v>1436</v>
      </c>
      <c r="F6441" s="45">
        <v>1000</v>
      </c>
      <c r="G6441" t="s">
        <v>1464</v>
      </c>
      <c r="H6441" t="s">
        <v>1452</v>
      </c>
      <c r="I6441" t="s">
        <v>1575</v>
      </c>
    </row>
    <row r="6442" spans="1:11" hidden="1" x14ac:dyDescent="0.3">
      <c r="A6442" s="46">
        <v>45310</v>
      </c>
      <c r="B6442" s="46" t="s">
        <v>772</v>
      </c>
      <c r="D6442" t="s">
        <v>1620</v>
      </c>
      <c r="E6442" s="46" t="s">
        <v>1436</v>
      </c>
      <c r="F6442" s="45">
        <v>1000</v>
      </c>
      <c r="G6442" t="s">
        <v>1464</v>
      </c>
      <c r="H6442" t="s">
        <v>1452</v>
      </c>
      <c r="I6442" t="s">
        <v>1575</v>
      </c>
      <c r="K6442" t="s">
        <v>1533</v>
      </c>
    </row>
    <row r="6443" spans="1:11" hidden="1" x14ac:dyDescent="0.3">
      <c r="A6443" s="46">
        <v>45315</v>
      </c>
      <c r="B6443" s="46" t="s">
        <v>772</v>
      </c>
      <c r="D6443" t="s">
        <v>1620</v>
      </c>
      <c r="E6443" s="46" t="s">
        <v>1436</v>
      </c>
      <c r="F6443" s="45">
        <v>1000</v>
      </c>
      <c r="G6443" t="s">
        <v>1464</v>
      </c>
      <c r="H6443" t="s">
        <v>1452</v>
      </c>
      <c r="I6443" t="s">
        <v>1575</v>
      </c>
    </row>
    <row r="6444" spans="1:11" hidden="1" x14ac:dyDescent="0.3">
      <c r="A6444" s="46">
        <v>45341</v>
      </c>
      <c r="B6444" s="46" t="s">
        <v>772</v>
      </c>
      <c r="D6444" t="s">
        <v>1401</v>
      </c>
      <c r="E6444" s="46" t="s">
        <v>1436</v>
      </c>
      <c r="F6444" s="45">
        <v>1000</v>
      </c>
      <c r="G6444" t="s">
        <v>1464</v>
      </c>
      <c r="H6444" t="s">
        <v>1452</v>
      </c>
      <c r="I6444" t="s">
        <v>1575</v>
      </c>
    </row>
    <row r="6445" spans="1:11" hidden="1" x14ac:dyDescent="0.3">
      <c r="A6445" s="46">
        <v>45335</v>
      </c>
      <c r="B6445" s="46" t="s">
        <v>772</v>
      </c>
      <c r="D6445" t="s">
        <v>1401</v>
      </c>
      <c r="E6445" s="46" t="s">
        <v>1436</v>
      </c>
      <c r="F6445" s="45">
        <v>1000</v>
      </c>
      <c r="G6445" t="s">
        <v>1464</v>
      </c>
      <c r="H6445" t="s">
        <v>1452</v>
      </c>
      <c r="I6445" t="s">
        <v>1575</v>
      </c>
    </row>
    <row r="6446" spans="1:11" hidden="1" x14ac:dyDescent="0.3">
      <c r="A6446" s="46">
        <v>45453</v>
      </c>
      <c r="B6446" s="46" t="s">
        <v>772</v>
      </c>
      <c r="D6446" t="s">
        <v>1620</v>
      </c>
      <c r="E6446" s="46" t="s">
        <v>1436</v>
      </c>
      <c r="F6446" s="45">
        <v>1000</v>
      </c>
      <c r="G6446" t="s">
        <v>1464</v>
      </c>
      <c r="H6446" t="s">
        <v>1452</v>
      </c>
      <c r="I6446" t="s">
        <v>1575</v>
      </c>
    </row>
    <row r="6447" spans="1:11" hidden="1" x14ac:dyDescent="0.3">
      <c r="A6447" s="46">
        <v>45446</v>
      </c>
      <c r="B6447" s="46" t="s">
        <v>722</v>
      </c>
      <c r="D6447" t="s">
        <v>2335</v>
      </c>
      <c r="E6447" s="46" t="s">
        <v>1436</v>
      </c>
      <c r="F6447" s="45">
        <v>1000</v>
      </c>
      <c r="G6447" t="s">
        <v>1437</v>
      </c>
      <c r="H6447" t="s">
        <v>1448</v>
      </c>
      <c r="I6447" t="s">
        <v>1519</v>
      </c>
      <c r="K6447" t="s">
        <v>2336</v>
      </c>
    </row>
    <row r="6448" spans="1:11" hidden="1" x14ac:dyDescent="0.3">
      <c r="A6448" s="46">
        <v>45474</v>
      </c>
      <c r="B6448" s="46" t="s">
        <v>772</v>
      </c>
      <c r="D6448" t="s">
        <v>1620</v>
      </c>
      <c r="E6448" s="46" t="s">
        <v>1436</v>
      </c>
      <c r="F6448" s="45">
        <v>1000</v>
      </c>
      <c r="G6448" t="s">
        <v>1464</v>
      </c>
      <c r="H6448" t="s">
        <v>1452</v>
      </c>
      <c r="I6448" t="s">
        <v>1575</v>
      </c>
    </row>
    <row r="6449" spans="1:11" hidden="1" x14ac:dyDescent="0.3">
      <c r="A6449" s="46">
        <v>45408</v>
      </c>
      <c r="B6449" s="46" t="s">
        <v>743</v>
      </c>
      <c r="D6449" t="s">
        <v>1621</v>
      </c>
      <c r="E6449" s="46" t="s">
        <v>732</v>
      </c>
      <c r="F6449" s="45">
        <v>831.21</v>
      </c>
      <c r="G6449" t="s">
        <v>1437</v>
      </c>
      <c r="H6449" t="s">
        <v>1492</v>
      </c>
      <c r="I6449" t="s">
        <v>1613</v>
      </c>
      <c r="K6449" t="s">
        <v>2337</v>
      </c>
    </row>
    <row r="6450" spans="1:11" hidden="1" x14ac:dyDescent="0.3">
      <c r="A6450" s="46">
        <v>45450</v>
      </c>
      <c r="B6450" s="46" t="s">
        <v>746</v>
      </c>
      <c r="D6450" t="s">
        <v>1622</v>
      </c>
      <c r="E6450" s="46" t="s">
        <v>732</v>
      </c>
      <c r="F6450" s="45">
        <v>766.34</v>
      </c>
      <c r="G6450" t="s">
        <v>1437</v>
      </c>
      <c r="H6450" t="s">
        <v>1492</v>
      </c>
      <c r="I6450" t="s">
        <v>1613</v>
      </c>
      <c r="K6450" t="s">
        <v>2338</v>
      </c>
    </row>
    <row r="6451" spans="1:11" hidden="1" x14ac:dyDescent="0.3">
      <c r="A6451" s="46">
        <v>45399</v>
      </c>
      <c r="B6451" s="46" t="s">
        <v>746</v>
      </c>
      <c r="D6451" t="s">
        <v>2339</v>
      </c>
      <c r="E6451" s="46" t="s">
        <v>732</v>
      </c>
      <c r="F6451" s="45">
        <v>684</v>
      </c>
      <c r="G6451" t="s">
        <v>1437</v>
      </c>
      <c r="H6451" t="s">
        <v>1492</v>
      </c>
      <c r="I6451" t="s">
        <v>1613</v>
      </c>
      <c r="K6451" t="s">
        <v>2340</v>
      </c>
    </row>
    <row r="6452" spans="1:11" hidden="1" x14ac:dyDescent="0.3">
      <c r="A6452" s="46">
        <v>45327</v>
      </c>
      <c r="B6452" s="46" t="s">
        <v>772</v>
      </c>
      <c r="D6452" t="s">
        <v>1409</v>
      </c>
      <c r="E6452" s="46" t="s">
        <v>1436</v>
      </c>
      <c r="F6452" s="45">
        <v>600</v>
      </c>
      <c r="G6452" t="s">
        <v>1464</v>
      </c>
      <c r="H6452" t="s">
        <v>1452</v>
      </c>
      <c r="I6452" t="s">
        <v>1575</v>
      </c>
    </row>
    <row r="6453" spans="1:11" hidden="1" x14ac:dyDescent="0.3">
      <c r="A6453" s="46">
        <v>45464</v>
      </c>
      <c r="B6453" s="46" t="s">
        <v>743</v>
      </c>
      <c r="D6453" t="s">
        <v>1621</v>
      </c>
      <c r="E6453" s="46" t="s">
        <v>732</v>
      </c>
      <c r="F6453" s="45">
        <v>556.20000000000005</v>
      </c>
      <c r="G6453" t="s">
        <v>1437</v>
      </c>
      <c r="H6453" t="s">
        <v>1492</v>
      </c>
      <c r="I6453" t="s">
        <v>1613</v>
      </c>
      <c r="K6453" t="s">
        <v>2341</v>
      </c>
    </row>
    <row r="6454" spans="1:11" hidden="1" x14ac:dyDescent="0.3">
      <c r="A6454" s="46">
        <v>45366</v>
      </c>
      <c r="B6454" s="46" t="s">
        <v>798</v>
      </c>
      <c r="D6454" t="s">
        <v>1625</v>
      </c>
      <c r="E6454" s="46" t="s">
        <v>732</v>
      </c>
      <c r="F6454" s="45">
        <v>541</v>
      </c>
      <c r="G6454" t="s">
        <v>1437</v>
      </c>
      <c r="H6454" t="s">
        <v>1492</v>
      </c>
      <c r="I6454" t="s">
        <v>1613</v>
      </c>
      <c r="K6454" t="s">
        <v>1813</v>
      </c>
    </row>
    <row r="6455" spans="1:11" hidden="1" x14ac:dyDescent="0.3">
      <c r="A6455" s="46">
        <v>45367</v>
      </c>
      <c r="B6455" s="46" t="s">
        <v>743</v>
      </c>
      <c r="D6455" t="s">
        <v>1621</v>
      </c>
      <c r="E6455" s="46" t="s">
        <v>732</v>
      </c>
      <c r="F6455" s="45">
        <v>522.21</v>
      </c>
      <c r="G6455" t="s">
        <v>1437</v>
      </c>
      <c r="H6455" t="s">
        <v>1492</v>
      </c>
      <c r="I6455" t="s">
        <v>1613</v>
      </c>
      <c r="K6455" t="s">
        <v>1814</v>
      </c>
    </row>
    <row r="6456" spans="1:11" hidden="1" x14ac:dyDescent="0.3">
      <c r="A6456" s="46">
        <v>45308</v>
      </c>
      <c r="B6456" s="46" t="s">
        <v>743</v>
      </c>
      <c r="D6456" t="s">
        <v>1621</v>
      </c>
      <c r="E6456" s="46" t="s">
        <v>732</v>
      </c>
      <c r="F6456" s="45">
        <v>522.21</v>
      </c>
      <c r="G6456" t="s">
        <v>1437</v>
      </c>
      <c r="H6456" t="s">
        <v>1492</v>
      </c>
      <c r="I6456" t="s">
        <v>1613</v>
      </c>
      <c r="K6456" t="s">
        <v>1790</v>
      </c>
    </row>
    <row r="6457" spans="1:11" hidden="1" x14ac:dyDescent="0.3">
      <c r="A6457" s="46">
        <v>45318</v>
      </c>
      <c r="B6457" s="46" t="s">
        <v>746</v>
      </c>
      <c r="D6457" t="s">
        <v>1622</v>
      </c>
      <c r="E6457" s="46" t="s">
        <v>732</v>
      </c>
      <c r="F6457" s="45">
        <v>452.81</v>
      </c>
      <c r="G6457" t="s">
        <v>1437</v>
      </c>
      <c r="H6457" t="s">
        <v>1492</v>
      </c>
      <c r="I6457" t="s">
        <v>1613</v>
      </c>
      <c r="K6457" t="s">
        <v>1791</v>
      </c>
    </row>
    <row r="6458" spans="1:11" hidden="1" x14ac:dyDescent="0.3">
      <c r="A6458" s="46">
        <v>45346</v>
      </c>
      <c r="B6458" s="46" t="s">
        <v>746</v>
      </c>
      <c r="D6458" t="s">
        <v>1622</v>
      </c>
      <c r="E6458" s="46" t="s">
        <v>732</v>
      </c>
      <c r="F6458" s="45">
        <v>394.36</v>
      </c>
      <c r="G6458" t="s">
        <v>1437</v>
      </c>
      <c r="H6458" t="s">
        <v>1492</v>
      </c>
      <c r="I6458" t="s">
        <v>1613</v>
      </c>
      <c r="K6458" t="s">
        <v>1792</v>
      </c>
    </row>
    <row r="6459" spans="1:11" hidden="1" x14ac:dyDescent="0.3">
      <c r="A6459" s="46">
        <v>45373</v>
      </c>
      <c r="B6459" s="46" t="s">
        <v>798</v>
      </c>
      <c r="D6459" t="s">
        <v>1612</v>
      </c>
      <c r="E6459" s="46" t="s">
        <v>732</v>
      </c>
      <c r="F6459" s="45">
        <v>370</v>
      </c>
      <c r="G6459" t="s">
        <v>1437</v>
      </c>
      <c r="H6459" t="s">
        <v>1492</v>
      </c>
      <c r="I6459" t="s">
        <v>1613</v>
      </c>
      <c r="K6459" t="s">
        <v>1837</v>
      </c>
    </row>
    <row r="6460" spans="1:11" hidden="1" x14ac:dyDescent="0.3">
      <c r="A6460" s="46">
        <v>45360</v>
      </c>
      <c r="B6460" s="46" t="s">
        <v>743</v>
      </c>
      <c r="D6460" t="s">
        <v>1621</v>
      </c>
      <c r="E6460" s="46" t="s">
        <v>732</v>
      </c>
      <c r="F6460" s="45">
        <v>357.41</v>
      </c>
      <c r="G6460" t="s">
        <v>1437</v>
      </c>
      <c r="H6460" t="s">
        <v>1492</v>
      </c>
      <c r="I6460" t="s">
        <v>1613</v>
      </c>
      <c r="K6460" t="s">
        <v>1793</v>
      </c>
    </row>
    <row r="6461" spans="1:11" hidden="1" x14ac:dyDescent="0.3">
      <c r="A6461" s="46">
        <v>45392</v>
      </c>
      <c r="B6461" s="46" t="s">
        <v>743</v>
      </c>
      <c r="D6461" t="s">
        <v>1621</v>
      </c>
      <c r="E6461" s="46" t="s">
        <v>732</v>
      </c>
      <c r="F6461" s="45">
        <v>357.41</v>
      </c>
      <c r="G6461" t="s">
        <v>1437</v>
      </c>
      <c r="H6461" t="s">
        <v>1492</v>
      </c>
      <c r="I6461" t="s">
        <v>1613</v>
      </c>
      <c r="K6461" t="s">
        <v>2342</v>
      </c>
    </row>
    <row r="6462" spans="1:11" hidden="1" x14ac:dyDescent="0.3">
      <c r="A6462" s="46">
        <v>45314</v>
      </c>
      <c r="B6462" s="46" t="s">
        <v>743</v>
      </c>
      <c r="D6462" t="s">
        <v>1621</v>
      </c>
      <c r="E6462" s="46" t="s">
        <v>732</v>
      </c>
      <c r="F6462" s="45">
        <v>344.02</v>
      </c>
      <c r="G6462" t="s">
        <v>1437</v>
      </c>
      <c r="H6462" t="s">
        <v>1492</v>
      </c>
      <c r="I6462" t="s">
        <v>1613</v>
      </c>
      <c r="K6462" t="s">
        <v>1794</v>
      </c>
    </row>
    <row r="6463" spans="1:11" hidden="1" x14ac:dyDescent="0.3">
      <c r="A6463" s="46">
        <v>45371</v>
      </c>
      <c r="B6463" s="46" t="s">
        <v>746</v>
      </c>
      <c r="D6463" t="s">
        <v>1622</v>
      </c>
      <c r="E6463" s="46" t="s">
        <v>732</v>
      </c>
      <c r="F6463" s="45">
        <v>338.46</v>
      </c>
      <c r="G6463" t="s">
        <v>1437</v>
      </c>
      <c r="H6463" t="s">
        <v>1492</v>
      </c>
      <c r="I6463" t="s">
        <v>1613</v>
      </c>
      <c r="K6463" t="s">
        <v>1838</v>
      </c>
    </row>
    <row r="6464" spans="1:11" hidden="1" x14ac:dyDescent="0.3">
      <c r="A6464" s="46">
        <v>45339</v>
      </c>
      <c r="B6464" s="46" t="s">
        <v>743</v>
      </c>
      <c r="D6464" t="s">
        <v>1624</v>
      </c>
      <c r="E6464" s="46" t="s">
        <v>732</v>
      </c>
      <c r="F6464" s="45">
        <v>265</v>
      </c>
      <c r="G6464" t="s">
        <v>1437</v>
      </c>
      <c r="H6464" t="s">
        <v>1492</v>
      </c>
      <c r="I6464" t="s">
        <v>1613</v>
      </c>
      <c r="K6464" t="s">
        <v>1795</v>
      </c>
    </row>
    <row r="6465" spans="1:11" hidden="1" x14ac:dyDescent="0.3">
      <c r="A6465" s="46">
        <v>45364</v>
      </c>
      <c r="B6465" s="46" t="s">
        <v>743</v>
      </c>
      <c r="D6465" t="s">
        <v>1623</v>
      </c>
      <c r="E6465" s="46" t="s">
        <v>732</v>
      </c>
      <c r="F6465" s="45">
        <v>260</v>
      </c>
      <c r="G6465" t="s">
        <v>1437</v>
      </c>
      <c r="H6465" t="s">
        <v>1492</v>
      </c>
      <c r="I6465" t="s">
        <v>1613</v>
      </c>
      <c r="K6465" t="s">
        <v>1815</v>
      </c>
    </row>
    <row r="6466" spans="1:11" hidden="1" x14ac:dyDescent="0.3">
      <c r="A6466" s="46">
        <v>45394</v>
      </c>
      <c r="B6466" s="46" t="s">
        <v>743</v>
      </c>
      <c r="D6466" t="s">
        <v>1623</v>
      </c>
      <c r="E6466" s="46" t="s">
        <v>732</v>
      </c>
      <c r="F6466" s="45">
        <v>238</v>
      </c>
      <c r="G6466" t="s">
        <v>1437</v>
      </c>
      <c r="H6466" t="s">
        <v>1492</v>
      </c>
      <c r="I6466" t="s">
        <v>1613</v>
      </c>
      <c r="K6466" t="s">
        <v>2343</v>
      </c>
    </row>
    <row r="6467" spans="1:11" hidden="1" x14ac:dyDescent="0.3">
      <c r="A6467" s="46">
        <v>45297</v>
      </c>
      <c r="B6467" s="46" t="s">
        <v>743</v>
      </c>
      <c r="D6467" t="s">
        <v>1623</v>
      </c>
      <c r="E6467" s="46" t="s">
        <v>732</v>
      </c>
      <c r="F6467" s="45">
        <v>221</v>
      </c>
      <c r="G6467" t="s">
        <v>1437</v>
      </c>
      <c r="H6467" t="s">
        <v>1492</v>
      </c>
      <c r="I6467" t="s">
        <v>1613</v>
      </c>
      <c r="K6467" t="s">
        <v>1626</v>
      </c>
    </row>
    <row r="6468" spans="1:11" hidden="1" x14ac:dyDescent="0.3">
      <c r="A6468" s="46">
        <v>45377</v>
      </c>
      <c r="B6468" s="46" t="s">
        <v>734</v>
      </c>
      <c r="D6468" t="s">
        <v>1859</v>
      </c>
      <c r="E6468" s="46" t="s">
        <v>732</v>
      </c>
      <c r="F6468" s="45">
        <v>216.36</v>
      </c>
      <c r="G6468" t="s">
        <v>1441</v>
      </c>
      <c r="H6468" t="s">
        <v>1448</v>
      </c>
      <c r="I6468" t="s">
        <v>1449</v>
      </c>
    </row>
    <row r="6469" spans="1:11" hidden="1" x14ac:dyDescent="0.3">
      <c r="A6469" s="46">
        <v>45472</v>
      </c>
      <c r="B6469" s="46" t="s">
        <v>743</v>
      </c>
      <c r="D6469" t="s">
        <v>1623</v>
      </c>
      <c r="E6469" s="46" t="s">
        <v>732</v>
      </c>
      <c r="F6469" s="45">
        <v>205.5</v>
      </c>
      <c r="G6469" t="s">
        <v>1437</v>
      </c>
      <c r="H6469" t="s">
        <v>1492</v>
      </c>
      <c r="I6469" t="s">
        <v>1613</v>
      </c>
      <c r="K6469" t="s">
        <v>2344</v>
      </c>
    </row>
    <row r="6470" spans="1:11" hidden="1" x14ac:dyDescent="0.3">
      <c r="A6470" s="46">
        <v>45461</v>
      </c>
      <c r="B6470" s="46" t="s">
        <v>743</v>
      </c>
      <c r="D6470" t="s">
        <v>1621</v>
      </c>
      <c r="E6470" s="46" t="s">
        <v>732</v>
      </c>
      <c r="F6470" s="45">
        <v>202.91</v>
      </c>
      <c r="G6470" t="s">
        <v>1437</v>
      </c>
      <c r="H6470" t="s">
        <v>1492</v>
      </c>
      <c r="I6470" t="s">
        <v>1613</v>
      </c>
      <c r="K6470" t="s">
        <v>2345</v>
      </c>
    </row>
    <row r="6471" spans="1:11" hidden="1" x14ac:dyDescent="0.3">
      <c r="A6471" s="46">
        <v>45447</v>
      </c>
      <c r="B6471" s="46" t="s">
        <v>798</v>
      </c>
      <c r="D6471" t="s">
        <v>2346</v>
      </c>
      <c r="E6471" s="46" t="s">
        <v>732</v>
      </c>
      <c r="F6471" s="45">
        <v>185</v>
      </c>
      <c r="G6471" t="s">
        <v>1437</v>
      </c>
      <c r="H6471" t="s">
        <v>1492</v>
      </c>
      <c r="I6471" t="s">
        <v>1613</v>
      </c>
      <c r="K6471" t="s">
        <v>2347</v>
      </c>
    </row>
    <row r="6472" spans="1:11" hidden="1" x14ac:dyDescent="0.3">
      <c r="A6472" s="46">
        <v>45429</v>
      </c>
      <c r="B6472" s="46" t="s">
        <v>798</v>
      </c>
      <c r="D6472" t="s">
        <v>1625</v>
      </c>
      <c r="E6472" s="46" t="s">
        <v>732</v>
      </c>
      <c r="F6472" s="45">
        <v>161</v>
      </c>
      <c r="G6472" t="s">
        <v>1437</v>
      </c>
      <c r="H6472" t="s">
        <v>1492</v>
      </c>
      <c r="I6472" t="s">
        <v>1613</v>
      </c>
      <c r="K6472" t="s">
        <v>2348</v>
      </c>
    </row>
    <row r="6473" spans="1:11" hidden="1" x14ac:dyDescent="0.3">
      <c r="A6473" s="46">
        <v>45327</v>
      </c>
      <c r="B6473" s="46" t="s">
        <v>798</v>
      </c>
      <c r="D6473" t="s">
        <v>1625</v>
      </c>
      <c r="E6473" s="46" t="s">
        <v>732</v>
      </c>
      <c r="F6473" s="45">
        <v>161</v>
      </c>
      <c r="G6473" t="s">
        <v>1437</v>
      </c>
      <c r="H6473" t="s">
        <v>1492</v>
      </c>
      <c r="I6473" t="s">
        <v>1613</v>
      </c>
      <c r="K6473" t="s">
        <v>1796</v>
      </c>
    </row>
    <row r="6474" spans="1:11" hidden="1" x14ac:dyDescent="0.3">
      <c r="A6474" s="46">
        <v>45324</v>
      </c>
      <c r="B6474" s="46" t="s">
        <v>798</v>
      </c>
      <c r="D6474" t="s">
        <v>1625</v>
      </c>
      <c r="E6474" s="46" t="s">
        <v>732</v>
      </c>
      <c r="F6474" s="45">
        <v>161</v>
      </c>
      <c r="G6474" t="s">
        <v>1437</v>
      </c>
      <c r="H6474" t="s">
        <v>1492</v>
      </c>
      <c r="I6474" t="s">
        <v>1613</v>
      </c>
    </row>
    <row r="6475" spans="1:11" hidden="1" x14ac:dyDescent="0.3">
      <c r="A6475" s="46">
        <v>45393</v>
      </c>
      <c r="B6475" s="46" t="s">
        <v>746</v>
      </c>
      <c r="D6475" t="s">
        <v>1622</v>
      </c>
      <c r="E6475" s="46" t="s">
        <v>732</v>
      </c>
      <c r="F6475" s="45">
        <v>146.69999999999999</v>
      </c>
      <c r="G6475" t="s">
        <v>1437</v>
      </c>
      <c r="H6475" t="s">
        <v>1492</v>
      </c>
      <c r="I6475" t="s">
        <v>1613</v>
      </c>
      <c r="K6475" t="s">
        <v>2349</v>
      </c>
    </row>
    <row r="6476" spans="1:11" hidden="1" x14ac:dyDescent="0.3">
      <c r="A6476" s="46">
        <v>45388</v>
      </c>
      <c r="B6476" s="46" t="s">
        <v>746</v>
      </c>
      <c r="D6476" t="s">
        <v>1622</v>
      </c>
      <c r="E6476" s="46" t="s">
        <v>732</v>
      </c>
      <c r="F6476" s="45">
        <v>118.5</v>
      </c>
      <c r="G6476" t="s">
        <v>1437</v>
      </c>
      <c r="H6476" t="s">
        <v>1492</v>
      </c>
      <c r="I6476" t="s">
        <v>1613</v>
      </c>
      <c r="K6476" t="s">
        <v>2350</v>
      </c>
    </row>
    <row r="6477" spans="1:11" hidden="1" x14ac:dyDescent="0.3">
      <c r="A6477" s="46">
        <v>45420</v>
      </c>
      <c r="B6477" s="46" t="s">
        <v>743</v>
      </c>
      <c r="D6477" t="s">
        <v>2331</v>
      </c>
      <c r="E6477" s="46" t="s">
        <v>732</v>
      </c>
      <c r="F6477" s="45">
        <v>117</v>
      </c>
      <c r="G6477" t="s">
        <v>1437</v>
      </c>
      <c r="H6477" t="s">
        <v>1492</v>
      </c>
      <c r="I6477" t="s">
        <v>1613</v>
      </c>
      <c r="K6477" t="s">
        <v>2351</v>
      </c>
    </row>
    <row r="6478" spans="1:11" hidden="1" x14ac:dyDescent="0.3">
      <c r="A6478" s="46">
        <v>45419</v>
      </c>
      <c r="B6478" s="46" t="s">
        <v>734</v>
      </c>
      <c r="D6478" t="s">
        <v>1627</v>
      </c>
      <c r="E6478" s="46" t="s">
        <v>732</v>
      </c>
      <c r="F6478" s="45">
        <v>100</v>
      </c>
      <c r="G6478" t="s">
        <v>1441</v>
      </c>
      <c r="H6478" t="s">
        <v>1448</v>
      </c>
      <c r="I6478" t="s">
        <v>1449</v>
      </c>
    </row>
    <row r="6479" spans="1:11" hidden="1" x14ac:dyDescent="0.3">
      <c r="A6479" s="46">
        <v>45400</v>
      </c>
      <c r="B6479" s="46" t="s">
        <v>767</v>
      </c>
      <c r="D6479" t="s">
        <v>1595</v>
      </c>
      <c r="E6479" s="46" t="s">
        <v>1436</v>
      </c>
      <c r="F6479" s="45">
        <v>100</v>
      </c>
      <c r="G6479" t="s">
        <v>1460</v>
      </c>
      <c r="H6479" t="s">
        <v>1438</v>
      </c>
      <c r="I6479" t="s">
        <v>1439</v>
      </c>
      <c r="J6479">
        <v>4</v>
      </c>
      <c r="K6479" t="s">
        <v>2352</v>
      </c>
    </row>
    <row r="6480" spans="1:11" hidden="1" x14ac:dyDescent="0.3">
      <c r="A6480" s="46">
        <v>45389</v>
      </c>
      <c r="B6480" s="46" t="s">
        <v>734</v>
      </c>
      <c r="D6480" t="s">
        <v>1627</v>
      </c>
      <c r="E6480" s="46" t="s">
        <v>732</v>
      </c>
      <c r="F6480" s="45">
        <v>100</v>
      </c>
      <c r="G6480" t="s">
        <v>1441</v>
      </c>
      <c r="H6480" t="s">
        <v>1448</v>
      </c>
      <c r="I6480" t="s">
        <v>1449</v>
      </c>
    </row>
    <row r="6481" spans="1:11" hidden="1" x14ac:dyDescent="0.3">
      <c r="A6481" s="46">
        <v>45358</v>
      </c>
      <c r="B6481" s="46" t="s">
        <v>734</v>
      </c>
      <c r="D6481" t="s">
        <v>1627</v>
      </c>
      <c r="E6481" s="46" t="s">
        <v>732</v>
      </c>
      <c r="F6481" s="45">
        <v>100</v>
      </c>
      <c r="G6481" t="s">
        <v>1441</v>
      </c>
      <c r="H6481" t="s">
        <v>1448</v>
      </c>
      <c r="I6481" t="s">
        <v>1449</v>
      </c>
    </row>
    <row r="6482" spans="1:11" hidden="1" x14ac:dyDescent="0.3">
      <c r="A6482" s="46">
        <v>45329</v>
      </c>
      <c r="B6482" s="46" t="s">
        <v>734</v>
      </c>
      <c r="D6482" t="s">
        <v>1627</v>
      </c>
      <c r="E6482" s="46" t="s">
        <v>732</v>
      </c>
      <c r="F6482" s="45">
        <v>100</v>
      </c>
      <c r="G6482" t="s">
        <v>1441</v>
      </c>
      <c r="H6482" t="s">
        <v>1448</v>
      </c>
      <c r="I6482" t="s">
        <v>1449</v>
      </c>
    </row>
    <row r="6483" spans="1:11" hidden="1" x14ac:dyDescent="0.3">
      <c r="A6483" s="46">
        <v>45298</v>
      </c>
      <c r="B6483" s="46" t="s">
        <v>734</v>
      </c>
      <c r="D6483" t="s">
        <v>1627</v>
      </c>
      <c r="E6483" s="46" t="s">
        <v>732</v>
      </c>
      <c r="F6483" s="45">
        <v>100</v>
      </c>
      <c r="G6483" t="s">
        <v>1441</v>
      </c>
      <c r="H6483" t="s">
        <v>1448</v>
      </c>
      <c r="I6483" t="s">
        <v>1449</v>
      </c>
      <c r="K6483" t="s">
        <v>1628</v>
      </c>
    </row>
    <row r="6484" spans="1:11" hidden="1" x14ac:dyDescent="0.3">
      <c r="A6484" s="46">
        <v>45450</v>
      </c>
      <c r="B6484" s="46" t="s">
        <v>734</v>
      </c>
      <c r="D6484" t="s">
        <v>1627</v>
      </c>
      <c r="E6484" s="46" t="s">
        <v>732</v>
      </c>
      <c r="F6484" s="45">
        <v>100</v>
      </c>
      <c r="G6484" t="s">
        <v>1441</v>
      </c>
      <c r="H6484" t="s">
        <v>1448</v>
      </c>
      <c r="I6484" t="s">
        <v>1449</v>
      </c>
    </row>
    <row r="6485" spans="1:11" hidden="1" x14ac:dyDescent="0.3">
      <c r="A6485" s="46">
        <v>45480</v>
      </c>
      <c r="B6485" s="46" t="s">
        <v>734</v>
      </c>
      <c r="D6485" t="s">
        <v>1627</v>
      </c>
      <c r="E6485" s="46" t="s">
        <v>732</v>
      </c>
      <c r="F6485" s="45">
        <v>100</v>
      </c>
      <c r="G6485" t="s">
        <v>1441</v>
      </c>
      <c r="H6485" t="s">
        <v>1448</v>
      </c>
      <c r="I6485" t="s">
        <v>1449</v>
      </c>
    </row>
    <row r="6486" spans="1:11" hidden="1" x14ac:dyDescent="0.3">
      <c r="A6486" s="46">
        <v>45428</v>
      </c>
      <c r="B6486" s="46" t="s">
        <v>746</v>
      </c>
      <c r="D6486" t="s">
        <v>1828</v>
      </c>
      <c r="E6486" s="46" t="s">
        <v>732</v>
      </c>
      <c r="F6486" s="45">
        <v>79</v>
      </c>
      <c r="G6486" t="s">
        <v>1437</v>
      </c>
      <c r="H6486" t="s">
        <v>1492</v>
      </c>
      <c r="I6486" t="s">
        <v>1613</v>
      </c>
      <c r="K6486" t="s">
        <v>2353</v>
      </c>
    </row>
    <row r="6487" spans="1:11" hidden="1" x14ac:dyDescent="0.3">
      <c r="A6487" s="46">
        <v>45363</v>
      </c>
      <c r="B6487" s="46" t="s">
        <v>798</v>
      </c>
      <c r="D6487" t="s">
        <v>1625</v>
      </c>
      <c r="E6487" s="46" t="s">
        <v>732</v>
      </c>
      <c r="F6487" s="45">
        <v>63</v>
      </c>
      <c r="G6487" t="s">
        <v>1437</v>
      </c>
      <c r="H6487" t="s">
        <v>1492</v>
      </c>
      <c r="I6487" t="s">
        <v>1613</v>
      </c>
      <c r="K6487" t="s">
        <v>1816</v>
      </c>
    </row>
    <row r="6488" spans="1:11" hidden="1" x14ac:dyDescent="0.3">
      <c r="A6488" s="46">
        <v>45370</v>
      </c>
      <c r="B6488" s="46" t="s">
        <v>798</v>
      </c>
      <c r="D6488" t="s">
        <v>1625</v>
      </c>
      <c r="E6488" s="46" t="s">
        <v>732</v>
      </c>
      <c r="F6488" s="45">
        <v>63</v>
      </c>
      <c r="G6488" t="s">
        <v>1437</v>
      </c>
      <c r="H6488" t="s">
        <v>1492</v>
      </c>
      <c r="I6488" t="s">
        <v>1613</v>
      </c>
      <c r="K6488" t="s">
        <v>1816</v>
      </c>
    </row>
    <row r="6489" spans="1:11" hidden="1" x14ac:dyDescent="0.3">
      <c r="A6489" s="46">
        <v>45380</v>
      </c>
      <c r="B6489" s="46" t="s">
        <v>743</v>
      </c>
      <c r="D6489" t="s">
        <v>1621</v>
      </c>
      <c r="E6489" s="46" t="s">
        <v>732</v>
      </c>
      <c r="F6489" s="45">
        <v>59</v>
      </c>
      <c r="G6489" t="s">
        <v>1437</v>
      </c>
      <c r="H6489" t="s">
        <v>1492</v>
      </c>
      <c r="I6489" t="s">
        <v>1613</v>
      </c>
      <c r="K6489" t="s">
        <v>1870</v>
      </c>
    </row>
    <row r="6490" spans="1:11" hidden="1" x14ac:dyDescent="0.3">
      <c r="A6490" s="46">
        <v>45342</v>
      </c>
      <c r="B6490" s="46" t="s">
        <v>743</v>
      </c>
      <c r="D6490" t="s">
        <v>1623</v>
      </c>
      <c r="E6490" s="46" t="s">
        <v>732</v>
      </c>
      <c r="F6490" s="45">
        <v>55.25</v>
      </c>
      <c r="G6490" t="s">
        <v>1437</v>
      </c>
      <c r="H6490" t="s">
        <v>1492</v>
      </c>
      <c r="I6490" t="s">
        <v>1613</v>
      </c>
      <c r="K6490" t="s">
        <v>1797</v>
      </c>
    </row>
    <row r="6491" spans="1:11" hidden="1" x14ac:dyDescent="0.3">
      <c r="A6491" s="46">
        <v>45391</v>
      </c>
      <c r="B6491" s="46" t="s">
        <v>757</v>
      </c>
      <c r="D6491" t="s">
        <v>1623</v>
      </c>
      <c r="E6491" s="46" t="s">
        <v>732</v>
      </c>
      <c r="F6491" s="45">
        <v>51.75</v>
      </c>
      <c r="G6491" t="s">
        <v>1437</v>
      </c>
      <c r="H6491" t="s">
        <v>1492</v>
      </c>
      <c r="I6491" t="s">
        <v>1613</v>
      </c>
      <c r="K6491" t="s">
        <v>2354</v>
      </c>
    </row>
    <row r="6492" spans="1:11" hidden="1" x14ac:dyDescent="0.3">
      <c r="A6492" s="46">
        <v>45405</v>
      </c>
      <c r="B6492" s="46" t="s">
        <v>743</v>
      </c>
      <c r="D6492" t="s">
        <v>1623</v>
      </c>
      <c r="E6492" s="46" t="s">
        <v>732</v>
      </c>
      <c r="F6492" s="45">
        <v>50.25</v>
      </c>
      <c r="G6492" t="s">
        <v>1437</v>
      </c>
      <c r="H6492" t="s">
        <v>1492</v>
      </c>
      <c r="I6492" t="s">
        <v>1613</v>
      </c>
      <c r="K6492" t="s">
        <v>2355</v>
      </c>
    </row>
    <row r="6493" spans="1:11" hidden="1" x14ac:dyDescent="0.3">
      <c r="A6493" s="46">
        <v>45472</v>
      </c>
      <c r="B6493" s="46" t="s">
        <v>757</v>
      </c>
      <c r="D6493" t="s">
        <v>1623</v>
      </c>
      <c r="E6493" s="46" t="s">
        <v>732</v>
      </c>
      <c r="F6493" s="45">
        <v>48</v>
      </c>
      <c r="G6493" t="s">
        <v>1437</v>
      </c>
      <c r="H6493" t="s">
        <v>1492</v>
      </c>
      <c r="I6493" t="s">
        <v>1613</v>
      </c>
      <c r="K6493" t="s">
        <v>2356</v>
      </c>
    </row>
    <row r="6494" spans="1:11" hidden="1" x14ac:dyDescent="0.3">
      <c r="A6494" s="46">
        <v>45472</v>
      </c>
      <c r="B6494" s="46" t="s">
        <v>743</v>
      </c>
      <c r="D6494" t="s">
        <v>1623</v>
      </c>
      <c r="E6494" s="46" t="s">
        <v>732</v>
      </c>
      <c r="F6494" s="45">
        <v>48</v>
      </c>
      <c r="G6494" t="s">
        <v>1437</v>
      </c>
      <c r="H6494" t="s">
        <v>1492</v>
      </c>
      <c r="I6494" t="s">
        <v>1613</v>
      </c>
      <c r="K6494" t="s">
        <v>2356</v>
      </c>
    </row>
    <row r="6495" spans="1:11" hidden="1" x14ac:dyDescent="0.3">
      <c r="A6495" s="46">
        <v>45331</v>
      </c>
      <c r="B6495" s="46" t="s">
        <v>743</v>
      </c>
      <c r="D6495" t="s">
        <v>1623</v>
      </c>
      <c r="E6495" s="46" t="s">
        <v>732</v>
      </c>
      <c r="F6495" s="45">
        <v>30.75</v>
      </c>
      <c r="G6495" t="s">
        <v>1437</v>
      </c>
      <c r="H6495" t="s">
        <v>1492</v>
      </c>
      <c r="I6495" t="s">
        <v>1613</v>
      </c>
      <c r="K6495" t="s">
        <v>1798</v>
      </c>
    </row>
    <row r="6496" spans="1:11" hidden="1" x14ac:dyDescent="0.3">
      <c r="A6496" s="46">
        <v>45451</v>
      </c>
      <c r="B6496" s="46" t="s">
        <v>743</v>
      </c>
      <c r="D6496" t="s">
        <v>1623</v>
      </c>
      <c r="E6496" s="46" t="s">
        <v>732</v>
      </c>
      <c r="F6496" s="45">
        <v>26</v>
      </c>
      <c r="G6496" t="s">
        <v>1437</v>
      </c>
      <c r="H6496" t="s">
        <v>1492</v>
      </c>
      <c r="I6496" t="s">
        <v>1613</v>
      </c>
      <c r="K6496" t="s">
        <v>2357</v>
      </c>
    </row>
    <row r="6497" spans="1:11" hidden="1" x14ac:dyDescent="0.3">
      <c r="A6497" s="46">
        <v>45371</v>
      </c>
      <c r="B6497" s="46" t="s">
        <v>746</v>
      </c>
      <c r="D6497" t="s">
        <v>1828</v>
      </c>
      <c r="E6497" s="46" t="s">
        <v>732</v>
      </c>
      <c r="F6497" s="45">
        <v>12</v>
      </c>
      <c r="G6497" t="s">
        <v>1437</v>
      </c>
      <c r="H6497" t="s">
        <v>1492</v>
      </c>
      <c r="I6497" t="s">
        <v>1613</v>
      </c>
      <c r="K6497" t="s">
        <v>1839</v>
      </c>
    </row>
    <row r="6498" spans="1:11" hidden="1" x14ac:dyDescent="0.3">
      <c r="A6498" s="46">
        <v>45416</v>
      </c>
      <c r="B6498" s="46" t="s">
        <v>757</v>
      </c>
      <c r="D6498" t="s">
        <v>1623</v>
      </c>
      <c r="E6498" s="46" t="s">
        <v>732</v>
      </c>
      <c r="F6498" s="45">
        <v>11.25</v>
      </c>
      <c r="G6498" t="s">
        <v>1437</v>
      </c>
      <c r="H6498" t="s">
        <v>1492</v>
      </c>
      <c r="I6498" t="s">
        <v>1613</v>
      </c>
      <c r="K6498" t="s">
        <v>2358</v>
      </c>
    </row>
    <row r="6499" spans="1:11" hidden="1" x14ac:dyDescent="0.3">
      <c r="A6499" s="46">
        <v>45322</v>
      </c>
      <c r="B6499" s="46" t="s">
        <v>743</v>
      </c>
      <c r="D6499" t="s">
        <v>1623</v>
      </c>
      <c r="E6499" s="46" t="s">
        <v>732</v>
      </c>
      <c r="F6499" s="45">
        <v>11</v>
      </c>
      <c r="G6499" t="s">
        <v>1437</v>
      </c>
      <c r="H6499" t="s">
        <v>1492</v>
      </c>
      <c r="I6499" t="s">
        <v>1613</v>
      </c>
      <c r="K6499" t="s">
        <v>1799</v>
      </c>
    </row>
    <row r="6500" spans="1:11" hidden="1" x14ac:dyDescent="0.3">
      <c r="A6500" s="46">
        <v>45472</v>
      </c>
      <c r="B6500" s="46" t="s">
        <v>757</v>
      </c>
      <c r="C6500" s="45" t="s">
        <v>1557</v>
      </c>
      <c r="D6500" t="s">
        <v>1623</v>
      </c>
      <c r="E6500" s="46" t="s">
        <v>732</v>
      </c>
      <c r="F6500" s="45">
        <v>-48</v>
      </c>
      <c r="G6500" t="s">
        <v>1437</v>
      </c>
      <c r="H6500" t="s">
        <v>1492</v>
      </c>
      <c r="I6500" t="s">
        <v>1613</v>
      </c>
      <c r="K6500" t="s">
        <v>2356</v>
      </c>
    </row>
    <row r="6501" spans="1:11" hidden="1" x14ac:dyDescent="0.3">
      <c r="A6501" s="46">
        <v>45300</v>
      </c>
      <c r="B6501" s="46" t="s">
        <v>727</v>
      </c>
      <c r="C6501" s="45" t="s">
        <v>1557</v>
      </c>
      <c r="D6501" t="s">
        <v>1618</v>
      </c>
      <c r="E6501" s="46" t="s">
        <v>1436</v>
      </c>
      <c r="F6501" s="45">
        <v>-1004</v>
      </c>
      <c r="G6501" t="s">
        <v>1437</v>
      </c>
      <c r="H6501" t="s">
        <v>1447</v>
      </c>
      <c r="I6501" t="s">
        <v>1617</v>
      </c>
    </row>
    <row r="6502" spans="1:11" hidden="1" x14ac:dyDescent="0.3">
      <c r="A6502" s="46">
        <v>45300</v>
      </c>
      <c r="B6502" s="46" t="s">
        <v>724</v>
      </c>
      <c r="C6502" s="45" t="s">
        <v>1557</v>
      </c>
      <c r="D6502" t="s">
        <v>1619</v>
      </c>
      <c r="E6502" s="46" t="s">
        <v>1436</v>
      </c>
      <c r="F6502" s="45">
        <v>-1004</v>
      </c>
      <c r="G6502" t="s">
        <v>1437</v>
      </c>
      <c r="H6502" t="s">
        <v>1447</v>
      </c>
      <c r="I6502" t="s">
        <v>1617</v>
      </c>
      <c r="K6502" t="s">
        <v>1789</v>
      </c>
    </row>
    <row r="6503" spans="1:11" hidden="1" x14ac:dyDescent="0.3">
      <c r="A6503" s="46">
        <v>45300</v>
      </c>
      <c r="B6503" s="46" t="s">
        <v>772</v>
      </c>
      <c r="C6503" s="45" t="s">
        <v>1557</v>
      </c>
      <c r="D6503" t="s">
        <v>1619</v>
      </c>
      <c r="E6503" s="46" t="s">
        <v>1436</v>
      </c>
      <c r="F6503" s="45">
        <v>-1004</v>
      </c>
      <c r="G6503" t="s">
        <v>1464</v>
      </c>
      <c r="H6503" t="s">
        <v>1447</v>
      </c>
      <c r="I6503" t="s">
        <v>1617</v>
      </c>
      <c r="K6503" t="s">
        <v>1789</v>
      </c>
    </row>
    <row r="6504" spans="1:11" hidden="1" x14ac:dyDescent="0.3">
      <c r="A6504" s="46">
        <v>45295</v>
      </c>
      <c r="B6504" s="46" t="s">
        <v>727</v>
      </c>
      <c r="C6504" s="45" t="s">
        <v>1557</v>
      </c>
      <c r="D6504" t="s">
        <v>1618</v>
      </c>
      <c r="E6504" s="46" t="s">
        <v>1436</v>
      </c>
      <c r="F6504" s="45">
        <v>-1004</v>
      </c>
      <c r="G6504" t="s">
        <v>1437</v>
      </c>
      <c r="H6504" t="s">
        <v>1447</v>
      </c>
      <c r="I6504" t="s">
        <v>1617</v>
      </c>
    </row>
    <row r="6505" spans="1:11" hidden="1" x14ac:dyDescent="0.3">
      <c r="A6505" s="46">
        <v>45356</v>
      </c>
      <c r="B6505" s="46" t="s">
        <v>722</v>
      </c>
      <c r="C6505" s="45" t="s">
        <v>1557</v>
      </c>
      <c r="D6505" t="s">
        <v>1618</v>
      </c>
      <c r="E6505" s="46" t="s">
        <v>1436</v>
      </c>
      <c r="F6505" s="45">
        <v>-1004</v>
      </c>
      <c r="G6505" t="s">
        <v>1437</v>
      </c>
      <c r="H6505" t="s">
        <v>1484</v>
      </c>
      <c r="I6505" t="s">
        <v>1485</v>
      </c>
    </row>
    <row r="6506" spans="1:11" hidden="1" x14ac:dyDescent="0.3">
      <c r="A6506" s="46">
        <v>45367</v>
      </c>
      <c r="B6506" s="46" t="s">
        <v>722</v>
      </c>
      <c r="C6506" s="45" t="s">
        <v>1557</v>
      </c>
      <c r="D6506" t="s">
        <v>1373</v>
      </c>
      <c r="E6506" s="46" t="s">
        <v>1436</v>
      </c>
      <c r="F6506" s="45">
        <v>-4000</v>
      </c>
      <c r="G6506" t="s">
        <v>1437</v>
      </c>
      <c r="H6506" t="s">
        <v>1448</v>
      </c>
      <c r="I6506" t="s">
        <v>1519</v>
      </c>
    </row>
    <row r="6507" spans="1:11" hidden="1" x14ac:dyDescent="0.3">
      <c r="A6507" s="46">
        <v>45400</v>
      </c>
      <c r="B6507" s="46" t="s">
        <v>767</v>
      </c>
      <c r="C6507" s="45" t="s">
        <v>1557</v>
      </c>
      <c r="D6507" t="s">
        <v>2359</v>
      </c>
      <c r="E6507" s="46" t="s">
        <v>1436</v>
      </c>
      <c r="F6507" s="45">
        <v>-5700</v>
      </c>
      <c r="G6507" t="s">
        <v>1460</v>
      </c>
      <c r="H6507" t="s">
        <v>1438</v>
      </c>
      <c r="I6507" t="s">
        <v>1439</v>
      </c>
      <c r="K6507" t="s">
        <v>2180</v>
      </c>
    </row>
    <row r="6508" spans="1:11" hidden="1" x14ac:dyDescent="0.3">
      <c r="A6508" s="46">
        <v>45357</v>
      </c>
      <c r="B6508" s="46" t="s">
        <v>734</v>
      </c>
      <c r="C6508" s="45" t="s">
        <v>1557</v>
      </c>
      <c r="D6508" t="s">
        <v>1800</v>
      </c>
      <c r="E6508" s="46" t="s">
        <v>1436</v>
      </c>
      <c r="F6508" s="45">
        <v>-18000</v>
      </c>
      <c r="G6508" t="s">
        <v>1480</v>
      </c>
      <c r="H6508" t="s">
        <v>1438</v>
      </c>
      <c r="I6508" t="s">
        <v>1456</v>
      </c>
      <c r="K6508" t="s">
        <v>1683</v>
      </c>
    </row>
    <row r="6509" spans="1:11" hidden="1" x14ac:dyDescent="0.3">
      <c r="A6509" s="46">
        <v>45328</v>
      </c>
      <c r="B6509" s="46" t="s">
        <v>729</v>
      </c>
      <c r="C6509" s="45" t="s">
        <v>1557</v>
      </c>
      <c r="D6509" t="s">
        <v>765</v>
      </c>
      <c r="E6509" s="46" t="s">
        <v>1436</v>
      </c>
      <c r="F6509" s="45">
        <v>-22900</v>
      </c>
      <c r="G6509" t="s">
        <v>1471</v>
      </c>
      <c r="H6509" t="s">
        <v>1438</v>
      </c>
      <c r="I6509" t="s">
        <v>1454</v>
      </c>
      <c r="K6509" t="s">
        <v>1801</v>
      </c>
    </row>
    <row r="6510" spans="1:11" hidden="1" x14ac:dyDescent="0.3">
      <c r="A6510" s="46">
        <v>45327</v>
      </c>
      <c r="B6510" s="46" t="s">
        <v>727</v>
      </c>
      <c r="C6510" s="45" t="s">
        <v>1557</v>
      </c>
      <c r="D6510" t="s">
        <v>1740</v>
      </c>
      <c r="E6510" s="46" t="s">
        <v>1436</v>
      </c>
      <c r="F6510" s="45">
        <v>-23760</v>
      </c>
      <c r="G6510" t="s">
        <v>1463</v>
      </c>
      <c r="H6510" t="s">
        <v>1469</v>
      </c>
      <c r="I6510" t="s">
        <v>1470</v>
      </c>
      <c r="K6510" t="s">
        <v>1741</v>
      </c>
    </row>
    <row r="6511" spans="1:11" hidden="1" x14ac:dyDescent="0.3">
      <c r="A6511" s="46">
        <v>45338</v>
      </c>
      <c r="B6511" s="46" t="s">
        <v>734</v>
      </c>
      <c r="C6511" s="45" t="s">
        <v>1557</v>
      </c>
      <c r="D6511" t="s">
        <v>1802</v>
      </c>
      <c r="E6511" s="46" t="s">
        <v>1436</v>
      </c>
      <c r="F6511" s="45">
        <v>-24000</v>
      </c>
      <c r="G6511" t="s">
        <v>1441</v>
      </c>
      <c r="H6511" t="s">
        <v>1438</v>
      </c>
      <c r="I6511" t="s">
        <v>1439</v>
      </c>
      <c r="J6511">
        <v>2</v>
      </c>
    </row>
    <row r="6512" spans="1:11" hidden="1" x14ac:dyDescent="0.3">
      <c r="A6512" s="46">
        <v>45439</v>
      </c>
      <c r="B6512" s="46" t="s">
        <v>767</v>
      </c>
      <c r="C6512" s="45" t="s">
        <v>1557</v>
      </c>
      <c r="D6512" t="s">
        <v>2360</v>
      </c>
      <c r="E6512" s="46" t="s">
        <v>1436</v>
      </c>
      <c r="F6512" s="45">
        <v>-32000</v>
      </c>
      <c r="G6512" t="s">
        <v>1463</v>
      </c>
      <c r="H6512" t="s">
        <v>1438</v>
      </c>
      <c r="I6512" t="s">
        <v>1439</v>
      </c>
    </row>
    <row r="6513" spans="1:11" hidden="1" x14ac:dyDescent="0.3">
      <c r="A6513" s="46">
        <v>45397</v>
      </c>
      <c r="B6513" s="46" t="s">
        <v>772</v>
      </c>
      <c r="C6513" s="45" t="s">
        <v>1557</v>
      </c>
      <c r="D6513" t="s">
        <v>1138</v>
      </c>
      <c r="E6513" s="46" t="s">
        <v>1436</v>
      </c>
      <c r="F6513" s="45">
        <v>-37000</v>
      </c>
      <c r="G6513" t="s">
        <v>1464</v>
      </c>
      <c r="H6513" t="s">
        <v>1438</v>
      </c>
      <c r="I6513" t="s">
        <v>1439</v>
      </c>
      <c r="J6513">
        <v>3</v>
      </c>
    </row>
    <row r="6514" spans="1:11" hidden="1" x14ac:dyDescent="0.3">
      <c r="A6514" s="46">
        <v>45351</v>
      </c>
      <c r="B6514" s="46" t="s">
        <v>767</v>
      </c>
      <c r="C6514" s="45" t="s">
        <v>1557</v>
      </c>
      <c r="D6514" t="s">
        <v>1803</v>
      </c>
      <c r="E6514" s="46" t="s">
        <v>1436</v>
      </c>
      <c r="F6514" s="45">
        <v>-38000</v>
      </c>
      <c r="G6514" t="s">
        <v>1460</v>
      </c>
      <c r="H6514" t="s">
        <v>1438</v>
      </c>
      <c r="I6514" t="s">
        <v>1439</v>
      </c>
      <c r="K6514" t="s">
        <v>1804</v>
      </c>
    </row>
    <row r="6515" spans="1:11" hidden="1" x14ac:dyDescent="0.3">
      <c r="A6515" s="46">
        <v>45325</v>
      </c>
      <c r="B6515" s="46" t="s">
        <v>729</v>
      </c>
      <c r="C6515" s="45" t="s">
        <v>1557</v>
      </c>
      <c r="D6515" t="s">
        <v>765</v>
      </c>
      <c r="E6515" s="46" t="s">
        <v>1436</v>
      </c>
      <c r="F6515" s="45">
        <v>-38500</v>
      </c>
      <c r="G6515" t="s">
        <v>1471</v>
      </c>
      <c r="H6515" t="s">
        <v>1438</v>
      </c>
      <c r="I6515" t="s">
        <v>1454</v>
      </c>
      <c r="K6515" t="s">
        <v>1801</v>
      </c>
    </row>
    <row r="6516" spans="1:11" hidden="1" x14ac:dyDescent="0.3">
      <c r="A6516" s="46">
        <v>45440</v>
      </c>
      <c r="B6516" s="46" t="s">
        <v>748</v>
      </c>
      <c r="C6516" s="45" t="s">
        <v>1557</v>
      </c>
      <c r="D6516" t="s">
        <v>2361</v>
      </c>
      <c r="E6516" s="46" t="s">
        <v>1436</v>
      </c>
      <c r="F6516" s="45">
        <v>-39060</v>
      </c>
      <c r="G6516" t="s">
        <v>1479</v>
      </c>
      <c r="H6516" t="s">
        <v>1438</v>
      </c>
      <c r="I6516" t="s">
        <v>1439</v>
      </c>
      <c r="K6516" t="s">
        <v>1547</v>
      </c>
    </row>
    <row r="6517" spans="1:11" hidden="1" x14ac:dyDescent="0.3">
      <c r="A6517" s="46">
        <v>45411</v>
      </c>
      <c r="B6517" s="46" t="s">
        <v>772</v>
      </c>
      <c r="C6517" s="45" t="s">
        <v>1557</v>
      </c>
      <c r="D6517" t="s">
        <v>939</v>
      </c>
      <c r="E6517" s="46" t="s">
        <v>1436</v>
      </c>
      <c r="F6517" s="45">
        <v>-45500</v>
      </c>
      <c r="G6517" t="s">
        <v>1464</v>
      </c>
      <c r="H6517" t="s">
        <v>1438</v>
      </c>
      <c r="I6517" t="s">
        <v>1439</v>
      </c>
    </row>
    <row r="6518" spans="1:11" hidden="1" x14ac:dyDescent="0.3">
      <c r="A6518" s="46">
        <v>45335</v>
      </c>
      <c r="B6518" s="46" t="s">
        <v>722</v>
      </c>
      <c r="C6518" s="45" t="s">
        <v>1557</v>
      </c>
      <c r="D6518" t="s">
        <v>1586</v>
      </c>
      <c r="E6518" s="46" t="s">
        <v>1436</v>
      </c>
      <c r="F6518" s="45">
        <v>-47150</v>
      </c>
      <c r="G6518" t="s">
        <v>1466</v>
      </c>
      <c r="H6518" t="s">
        <v>1438</v>
      </c>
      <c r="I6518" t="s">
        <v>1439</v>
      </c>
      <c r="K6518" t="s">
        <v>1805</v>
      </c>
    </row>
    <row r="6519" spans="1:11" hidden="1" x14ac:dyDescent="0.3">
      <c r="A6519" s="46">
        <v>45345</v>
      </c>
      <c r="B6519" s="46" t="s">
        <v>748</v>
      </c>
      <c r="C6519" s="45" t="s">
        <v>1557</v>
      </c>
      <c r="D6519" t="s">
        <v>1514</v>
      </c>
      <c r="E6519" s="46" t="s">
        <v>1436</v>
      </c>
      <c r="F6519" s="45">
        <v>-100000</v>
      </c>
      <c r="G6519" t="s">
        <v>1480</v>
      </c>
      <c r="H6519" t="s">
        <v>1452</v>
      </c>
      <c r="I6519" t="s">
        <v>1494</v>
      </c>
    </row>
    <row r="6520" spans="1:11" hidden="1" x14ac:dyDescent="0.3">
      <c r="A6520" s="46">
        <v>45386</v>
      </c>
      <c r="B6520" s="46" t="s">
        <v>727</v>
      </c>
      <c r="C6520" s="45" t="s">
        <v>1557</v>
      </c>
      <c r="D6520" t="s">
        <v>2362</v>
      </c>
      <c r="E6520" s="46" t="s">
        <v>1436</v>
      </c>
      <c r="F6520" s="45">
        <v>-131000</v>
      </c>
      <c r="G6520" t="s">
        <v>1463</v>
      </c>
      <c r="H6520" t="s">
        <v>1438</v>
      </c>
      <c r="I6520" t="s">
        <v>1439</v>
      </c>
      <c r="J6520">
        <v>6</v>
      </c>
      <c r="K6520" t="s">
        <v>2180</v>
      </c>
    </row>
    <row r="6521" spans="1:11" hidden="1" x14ac:dyDescent="0.3">
      <c r="A6521" s="46">
        <v>45414</v>
      </c>
      <c r="B6521" s="46" t="s">
        <v>772</v>
      </c>
      <c r="C6521" s="45" t="s">
        <v>1557</v>
      </c>
      <c r="D6521" t="s">
        <v>920</v>
      </c>
      <c r="E6521" s="46" t="s">
        <v>1436</v>
      </c>
      <c r="F6521" s="45">
        <v>-140000</v>
      </c>
      <c r="G6521" t="s">
        <v>1464</v>
      </c>
      <c r="H6521" t="s">
        <v>1452</v>
      </c>
    </row>
    <row r="6522" spans="1:11" hidden="1" x14ac:dyDescent="0.3">
      <c r="A6522" s="46">
        <v>45394</v>
      </c>
      <c r="B6522" s="46" t="s">
        <v>772</v>
      </c>
      <c r="C6522" s="45" t="s">
        <v>1557</v>
      </c>
      <c r="D6522" t="s">
        <v>920</v>
      </c>
      <c r="E6522" s="46" t="s">
        <v>1436</v>
      </c>
      <c r="F6522" s="45">
        <v>-140000</v>
      </c>
      <c r="G6522" t="s">
        <v>1464</v>
      </c>
      <c r="H6522" t="s">
        <v>1452</v>
      </c>
      <c r="I6522" t="s">
        <v>1494</v>
      </c>
    </row>
    <row r="6523" spans="1:11" hidden="1" x14ac:dyDescent="0.3">
      <c r="A6523" s="46">
        <v>45328</v>
      </c>
      <c r="B6523" s="46" t="s">
        <v>772</v>
      </c>
      <c r="C6523" s="45" t="s">
        <v>1557</v>
      </c>
      <c r="D6523" t="s">
        <v>913</v>
      </c>
      <c r="E6523" s="46" t="s">
        <v>1436</v>
      </c>
      <c r="F6523" s="45">
        <v>-149900</v>
      </c>
      <c r="G6523" t="s">
        <v>1464</v>
      </c>
      <c r="H6523" t="s">
        <v>1452</v>
      </c>
      <c r="I6523" t="s">
        <v>1494</v>
      </c>
    </row>
    <row r="6524" spans="1:11" hidden="1" x14ac:dyDescent="0.3">
      <c r="A6524" s="46">
        <v>45350</v>
      </c>
      <c r="B6524" s="46" t="s">
        <v>772</v>
      </c>
      <c r="C6524" s="45" t="s">
        <v>1557</v>
      </c>
      <c r="D6524" t="s">
        <v>915</v>
      </c>
      <c r="E6524" s="46" t="s">
        <v>1436</v>
      </c>
      <c r="F6524" s="45">
        <v>-150000</v>
      </c>
      <c r="G6524" t="s">
        <v>1464</v>
      </c>
      <c r="H6524" t="s">
        <v>1452</v>
      </c>
      <c r="I6524" t="s">
        <v>1494</v>
      </c>
    </row>
    <row r="6525" spans="1:11" hidden="1" x14ac:dyDescent="0.3">
      <c r="A6525" s="46">
        <v>45306</v>
      </c>
      <c r="B6525" s="46" t="s">
        <v>772</v>
      </c>
      <c r="C6525" s="45" t="s">
        <v>1557</v>
      </c>
      <c r="D6525" t="s">
        <v>915</v>
      </c>
      <c r="E6525" s="46" t="s">
        <v>1436</v>
      </c>
      <c r="F6525" s="45">
        <v>-150000</v>
      </c>
      <c r="G6525" t="s">
        <v>1464</v>
      </c>
      <c r="H6525" t="s">
        <v>1452</v>
      </c>
      <c r="I6525" t="s">
        <v>1494</v>
      </c>
    </row>
    <row r="6526" spans="1:11" hidden="1" x14ac:dyDescent="0.3">
      <c r="A6526" s="46">
        <v>45373</v>
      </c>
      <c r="B6526" s="46" t="s">
        <v>772</v>
      </c>
      <c r="C6526" s="45" t="s">
        <v>1557</v>
      </c>
      <c r="D6526" t="s">
        <v>915</v>
      </c>
      <c r="E6526" s="46" t="s">
        <v>1436</v>
      </c>
      <c r="F6526" s="45">
        <v>-150000</v>
      </c>
      <c r="G6526" t="s">
        <v>1464</v>
      </c>
      <c r="H6526" t="s">
        <v>1452</v>
      </c>
      <c r="I6526" t="s">
        <v>1494</v>
      </c>
    </row>
    <row r="6527" spans="1:11" hidden="1" x14ac:dyDescent="0.3">
      <c r="A6527" s="46">
        <v>45439</v>
      </c>
      <c r="B6527" s="46" t="s">
        <v>772</v>
      </c>
      <c r="C6527" s="45" t="s">
        <v>1557</v>
      </c>
      <c r="D6527" t="s">
        <v>915</v>
      </c>
      <c r="E6527" s="46" t="s">
        <v>1436</v>
      </c>
      <c r="F6527" s="45">
        <v>-150000</v>
      </c>
      <c r="G6527" t="s">
        <v>1464</v>
      </c>
      <c r="H6527" t="s">
        <v>1452</v>
      </c>
      <c r="I6527" t="s">
        <v>1494</v>
      </c>
    </row>
    <row r="6528" spans="1:11" hidden="1" x14ac:dyDescent="0.3">
      <c r="A6528" s="46">
        <v>45460</v>
      </c>
      <c r="B6528" s="46" t="s">
        <v>772</v>
      </c>
      <c r="C6528" s="45" t="s">
        <v>1557</v>
      </c>
      <c r="D6528" t="s">
        <v>915</v>
      </c>
      <c r="E6528" s="46" t="s">
        <v>1436</v>
      </c>
      <c r="F6528" s="45">
        <v>-150000</v>
      </c>
      <c r="G6528" t="s">
        <v>1464</v>
      </c>
      <c r="H6528" t="s">
        <v>1452</v>
      </c>
      <c r="I6528" t="s">
        <v>1494</v>
      </c>
    </row>
    <row r="6529" spans="1:1" hidden="1" x14ac:dyDescent="0.3">
      <c r="A6529" s="46"/>
    </row>
    <row r="6530" spans="1:1" hidden="1" x14ac:dyDescent="0.3">
      <c r="A6530" s="46"/>
    </row>
    <row r="6531" spans="1:1" hidden="1" x14ac:dyDescent="0.3">
      <c r="A6531" s="46"/>
    </row>
    <row r="6532" spans="1:1" hidden="1" x14ac:dyDescent="0.3">
      <c r="A6532" s="46"/>
    </row>
    <row r="6533" spans="1:1" hidden="1" x14ac:dyDescent="0.3">
      <c r="A6533" s="46"/>
    </row>
    <row r="6534" spans="1:1" hidden="1" x14ac:dyDescent="0.3">
      <c r="A6534" s="46"/>
    </row>
    <row r="6535" spans="1:1" hidden="1" x14ac:dyDescent="0.3">
      <c r="A6535" s="46"/>
    </row>
    <row r="6536" spans="1:1" hidden="1" x14ac:dyDescent="0.3">
      <c r="A6536" s="46"/>
    </row>
    <row r="6537" spans="1:1" hidden="1" x14ac:dyDescent="0.3">
      <c r="A6537" s="46"/>
    </row>
    <row r="6538" spans="1:1" hidden="1" x14ac:dyDescent="0.3">
      <c r="A6538" s="46"/>
    </row>
    <row r="6539" spans="1:1" hidden="1" x14ac:dyDescent="0.3">
      <c r="A6539" s="46"/>
    </row>
    <row r="6540" spans="1:1" hidden="1" x14ac:dyDescent="0.3">
      <c r="A6540" s="46"/>
    </row>
    <row r="6541" spans="1:1" hidden="1" x14ac:dyDescent="0.3">
      <c r="A6541" s="46"/>
    </row>
    <row r="6542" spans="1:1" hidden="1" x14ac:dyDescent="0.3">
      <c r="A6542" s="46"/>
    </row>
    <row r="6543" spans="1:1" hidden="1" x14ac:dyDescent="0.3">
      <c r="A6543" s="46"/>
    </row>
    <row r="6544" spans="1:1" hidden="1" x14ac:dyDescent="0.3">
      <c r="A6544" s="46"/>
    </row>
    <row r="6545" spans="1:1" hidden="1" x14ac:dyDescent="0.3">
      <c r="A6545" s="46"/>
    </row>
    <row r="6546" spans="1:1" hidden="1" x14ac:dyDescent="0.3">
      <c r="A6546" s="46"/>
    </row>
    <row r="6547" spans="1:1" hidden="1" x14ac:dyDescent="0.3">
      <c r="A6547" s="46"/>
    </row>
    <row r="6548" spans="1:1" hidden="1" x14ac:dyDescent="0.3">
      <c r="A6548" s="46"/>
    </row>
    <row r="6549" spans="1:1" hidden="1" x14ac:dyDescent="0.3">
      <c r="A6549" s="46"/>
    </row>
    <row r="6550" spans="1:1" hidden="1" x14ac:dyDescent="0.3">
      <c r="A6550" s="46"/>
    </row>
    <row r="6551" spans="1:1" hidden="1" x14ac:dyDescent="0.3">
      <c r="A6551" s="46"/>
    </row>
    <row r="6552" spans="1:1" hidden="1" x14ac:dyDescent="0.3">
      <c r="A6552" s="46"/>
    </row>
    <row r="6553" spans="1:1" hidden="1" x14ac:dyDescent="0.3">
      <c r="A6553" s="46"/>
    </row>
    <row r="6554" spans="1:1" hidden="1" x14ac:dyDescent="0.3">
      <c r="A6554" s="46"/>
    </row>
    <row r="6555" spans="1:1" hidden="1" x14ac:dyDescent="0.3">
      <c r="A6555" s="46"/>
    </row>
    <row r="6556" spans="1:1" hidden="1" x14ac:dyDescent="0.3">
      <c r="A6556" s="46"/>
    </row>
    <row r="6557" spans="1:1" hidden="1" x14ac:dyDescent="0.3">
      <c r="A6557" s="46"/>
    </row>
    <row r="6558" spans="1:1" hidden="1" x14ac:dyDescent="0.3">
      <c r="A6558" s="46"/>
    </row>
    <row r="6559" spans="1:1" hidden="1" x14ac:dyDescent="0.3">
      <c r="A6559" s="46"/>
    </row>
    <row r="6560" spans="1:1" hidden="1" x14ac:dyDescent="0.3">
      <c r="A6560" s="46"/>
    </row>
    <row r="6561" spans="1:1" hidden="1" x14ac:dyDescent="0.3">
      <c r="A6561" s="46"/>
    </row>
    <row r="6562" spans="1:1" hidden="1" x14ac:dyDescent="0.3">
      <c r="A6562" s="46"/>
    </row>
    <row r="6563" spans="1:1" hidden="1" x14ac:dyDescent="0.3">
      <c r="A6563" s="46"/>
    </row>
    <row r="6564" spans="1:1" hidden="1" x14ac:dyDescent="0.3">
      <c r="A6564" s="46"/>
    </row>
    <row r="6565" spans="1:1" hidden="1" x14ac:dyDescent="0.3">
      <c r="A6565" s="46"/>
    </row>
    <row r="6566" spans="1:1" hidden="1" x14ac:dyDescent="0.3">
      <c r="A6566" s="46"/>
    </row>
    <row r="6567" spans="1:1" hidden="1" x14ac:dyDescent="0.3">
      <c r="A6567" s="46"/>
    </row>
    <row r="6568" spans="1:1" hidden="1" x14ac:dyDescent="0.3">
      <c r="A6568" s="46"/>
    </row>
    <row r="6569" spans="1:1" hidden="1" x14ac:dyDescent="0.3">
      <c r="A6569" s="46"/>
    </row>
    <row r="6570" spans="1:1" hidden="1" x14ac:dyDescent="0.3">
      <c r="A6570" s="46"/>
    </row>
    <row r="6571" spans="1:1" hidden="1" x14ac:dyDescent="0.3">
      <c r="A6571" s="46"/>
    </row>
    <row r="6572" spans="1:1" hidden="1" x14ac:dyDescent="0.3">
      <c r="A6572" s="46"/>
    </row>
    <row r="6573" spans="1:1" hidden="1" x14ac:dyDescent="0.3">
      <c r="A6573" s="46"/>
    </row>
    <row r="6574" spans="1:1" hidden="1" x14ac:dyDescent="0.3">
      <c r="A6574" s="46"/>
    </row>
    <row r="6575" spans="1:1" hidden="1" x14ac:dyDescent="0.3">
      <c r="A6575" s="46"/>
    </row>
    <row r="6576" spans="1:1" hidden="1" x14ac:dyDescent="0.3">
      <c r="A6576" s="46"/>
    </row>
    <row r="6577" spans="1:1" hidden="1" x14ac:dyDescent="0.3">
      <c r="A6577" s="46"/>
    </row>
    <row r="6578" spans="1:1" hidden="1" x14ac:dyDescent="0.3">
      <c r="A6578" s="46"/>
    </row>
    <row r="6579" spans="1:1" hidden="1" x14ac:dyDescent="0.3">
      <c r="A6579" s="46"/>
    </row>
    <row r="6580" spans="1:1" hidden="1" x14ac:dyDescent="0.3">
      <c r="A6580" s="46"/>
    </row>
    <row r="6581" spans="1:1" hidden="1" x14ac:dyDescent="0.3">
      <c r="A6581" s="46"/>
    </row>
    <row r="6582" spans="1:1" hidden="1" x14ac:dyDescent="0.3">
      <c r="A6582" s="46"/>
    </row>
    <row r="6583" spans="1:1" hidden="1" x14ac:dyDescent="0.3">
      <c r="A6583" s="46"/>
    </row>
    <row r="6584" spans="1:1" hidden="1" x14ac:dyDescent="0.3">
      <c r="A6584" s="46"/>
    </row>
    <row r="6585" spans="1:1" hidden="1" x14ac:dyDescent="0.3">
      <c r="A6585" s="46"/>
    </row>
    <row r="6586" spans="1:1" hidden="1" x14ac:dyDescent="0.3">
      <c r="A6586" s="46"/>
    </row>
    <row r="6587" spans="1:1" hidden="1" x14ac:dyDescent="0.3">
      <c r="A6587" s="46"/>
    </row>
    <row r="6588" spans="1:1" hidden="1" x14ac:dyDescent="0.3">
      <c r="A6588" s="46"/>
    </row>
    <row r="6589" spans="1:1" hidden="1" x14ac:dyDescent="0.3">
      <c r="A6589" s="46"/>
    </row>
    <row r="6590" spans="1:1" hidden="1" x14ac:dyDescent="0.3">
      <c r="A6590" s="46"/>
    </row>
    <row r="6591" spans="1:1" hidden="1" x14ac:dyDescent="0.3">
      <c r="A6591" s="46"/>
    </row>
    <row r="6592" spans="1:1" hidden="1" x14ac:dyDescent="0.3">
      <c r="A6592" s="46"/>
    </row>
    <row r="6593" spans="1:1" hidden="1" x14ac:dyDescent="0.3">
      <c r="A6593" s="46"/>
    </row>
    <row r="6594" spans="1:1" hidden="1" x14ac:dyDescent="0.3">
      <c r="A6594" s="46"/>
    </row>
    <row r="6595" spans="1:1" hidden="1" x14ac:dyDescent="0.3">
      <c r="A6595" s="46"/>
    </row>
    <row r="6596" spans="1:1" hidden="1" x14ac:dyDescent="0.3">
      <c r="A6596" s="46"/>
    </row>
    <row r="6597" spans="1:1" hidden="1" x14ac:dyDescent="0.3">
      <c r="A6597" s="46"/>
    </row>
    <row r="6598" spans="1:1" hidden="1" x14ac:dyDescent="0.3">
      <c r="A6598" s="46"/>
    </row>
    <row r="6599" spans="1:1" hidden="1" x14ac:dyDescent="0.3">
      <c r="A6599" s="46"/>
    </row>
    <row r="6600" spans="1:1" hidden="1" x14ac:dyDescent="0.3">
      <c r="A6600" s="46"/>
    </row>
    <row r="6601" spans="1:1" hidden="1" x14ac:dyDescent="0.3">
      <c r="A6601" s="46"/>
    </row>
    <row r="6602" spans="1:1" hidden="1" x14ac:dyDescent="0.3">
      <c r="A6602" s="46"/>
    </row>
    <row r="6603" spans="1:1" hidden="1" x14ac:dyDescent="0.3">
      <c r="A6603" s="46"/>
    </row>
    <row r="6604" spans="1:1" hidden="1" x14ac:dyDescent="0.3">
      <c r="A6604" s="46"/>
    </row>
    <row r="6605" spans="1:1" hidden="1" x14ac:dyDescent="0.3">
      <c r="A6605" s="46"/>
    </row>
    <row r="6606" spans="1:1" hidden="1" x14ac:dyDescent="0.3">
      <c r="A6606" s="46"/>
    </row>
    <row r="6607" spans="1:1" hidden="1" x14ac:dyDescent="0.3">
      <c r="A6607" s="46"/>
    </row>
    <row r="6608" spans="1:1" hidden="1" x14ac:dyDescent="0.3">
      <c r="A6608" s="46"/>
    </row>
    <row r="6609" spans="1:1" hidden="1" x14ac:dyDescent="0.3">
      <c r="A6609" s="46"/>
    </row>
    <row r="6610" spans="1:1" hidden="1" x14ac:dyDescent="0.3">
      <c r="A6610" s="46"/>
    </row>
    <row r="6611" spans="1:1" hidden="1" x14ac:dyDescent="0.3">
      <c r="A6611" s="46"/>
    </row>
    <row r="6612" spans="1:1" hidden="1" x14ac:dyDescent="0.3">
      <c r="A6612" s="46"/>
    </row>
    <row r="6613" spans="1:1" hidden="1" x14ac:dyDescent="0.3">
      <c r="A6613" s="46"/>
    </row>
    <row r="6614" spans="1:1" hidden="1" x14ac:dyDescent="0.3">
      <c r="A6614" s="46"/>
    </row>
    <row r="6615" spans="1:1" hidden="1" x14ac:dyDescent="0.3">
      <c r="A6615" s="46"/>
    </row>
    <row r="6616" spans="1:1" hidden="1" x14ac:dyDescent="0.3">
      <c r="A6616" s="46"/>
    </row>
    <row r="6617" spans="1:1" hidden="1" x14ac:dyDescent="0.3">
      <c r="A6617" s="46"/>
    </row>
    <row r="6618" spans="1:1" hidden="1" x14ac:dyDescent="0.3">
      <c r="A6618" s="46"/>
    </row>
    <row r="6619" spans="1:1" hidden="1" x14ac:dyDescent="0.3">
      <c r="A6619" s="46"/>
    </row>
    <row r="6620" spans="1:1" hidden="1" x14ac:dyDescent="0.3">
      <c r="A6620" s="46"/>
    </row>
    <row r="6621" spans="1:1" hidden="1" x14ac:dyDescent="0.3">
      <c r="A6621" s="46"/>
    </row>
    <row r="6622" spans="1:1" hidden="1" x14ac:dyDescent="0.3">
      <c r="A6622" s="46"/>
    </row>
    <row r="6623" spans="1:1" hidden="1" x14ac:dyDescent="0.3">
      <c r="A6623" s="46"/>
    </row>
    <row r="6624" spans="1:1" hidden="1" x14ac:dyDescent="0.3">
      <c r="A6624" s="46"/>
    </row>
    <row r="6625" spans="1:1" hidden="1" x14ac:dyDescent="0.3">
      <c r="A6625" s="46"/>
    </row>
    <row r="6626" spans="1:1" hidden="1" x14ac:dyDescent="0.3">
      <c r="A6626" s="46"/>
    </row>
    <row r="6627" spans="1:1" hidden="1" x14ac:dyDescent="0.3">
      <c r="A6627" s="46"/>
    </row>
    <row r="6628" spans="1:1" hidden="1" x14ac:dyDescent="0.3">
      <c r="A6628" s="46"/>
    </row>
    <row r="6629" spans="1:1" hidden="1" x14ac:dyDescent="0.3">
      <c r="A6629" s="46"/>
    </row>
    <row r="6630" spans="1:1" hidden="1" x14ac:dyDescent="0.3">
      <c r="A6630" s="46"/>
    </row>
    <row r="6631" spans="1:1" hidden="1" x14ac:dyDescent="0.3">
      <c r="A6631" s="46"/>
    </row>
    <row r="6632" spans="1:1" hidden="1" x14ac:dyDescent="0.3">
      <c r="A6632" s="46"/>
    </row>
    <row r="6633" spans="1:1" hidden="1" x14ac:dyDescent="0.3">
      <c r="A6633" s="46"/>
    </row>
    <row r="6634" spans="1:1" hidden="1" x14ac:dyDescent="0.3">
      <c r="A6634" s="46"/>
    </row>
    <row r="6635" spans="1:1" hidden="1" x14ac:dyDescent="0.3">
      <c r="A6635" s="46"/>
    </row>
    <row r="6636" spans="1:1" hidden="1" x14ac:dyDescent="0.3">
      <c r="A6636" s="46"/>
    </row>
    <row r="6637" spans="1:1" hidden="1" x14ac:dyDescent="0.3">
      <c r="A6637" s="46"/>
    </row>
    <row r="6638" spans="1:1" hidden="1" x14ac:dyDescent="0.3">
      <c r="A6638" s="46"/>
    </row>
    <row r="6639" spans="1:1" hidden="1" x14ac:dyDescent="0.3">
      <c r="A6639" s="46"/>
    </row>
    <row r="6640" spans="1:1" hidden="1" x14ac:dyDescent="0.3">
      <c r="A6640" s="46"/>
    </row>
    <row r="6641" spans="1:1" hidden="1" x14ac:dyDescent="0.3">
      <c r="A6641" s="46"/>
    </row>
    <row r="6642" spans="1:1" hidden="1" x14ac:dyDescent="0.3">
      <c r="A6642" s="46"/>
    </row>
    <row r="6643" spans="1:1" hidden="1" x14ac:dyDescent="0.3">
      <c r="A6643" s="46"/>
    </row>
    <row r="6644" spans="1:1" hidden="1" x14ac:dyDescent="0.3">
      <c r="A6644" s="46"/>
    </row>
    <row r="6645" spans="1:1" hidden="1" x14ac:dyDescent="0.3">
      <c r="A6645" s="46"/>
    </row>
    <row r="6646" spans="1:1" hidden="1" x14ac:dyDescent="0.3">
      <c r="A6646" s="46"/>
    </row>
    <row r="6647" spans="1:1" hidden="1" x14ac:dyDescent="0.3">
      <c r="A6647" s="46"/>
    </row>
    <row r="6648" spans="1:1" hidden="1" x14ac:dyDescent="0.3">
      <c r="A6648" s="46"/>
    </row>
    <row r="6649" spans="1:1" hidden="1" x14ac:dyDescent="0.3">
      <c r="A6649" s="46"/>
    </row>
    <row r="6650" spans="1:1" hidden="1" x14ac:dyDescent="0.3">
      <c r="A6650" s="46"/>
    </row>
    <row r="6651" spans="1:1" hidden="1" x14ac:dyDescent="0.3">
      <c r="A6651" s="46"/>
    </row>
    <row r="6652" spans="1:1" hidden="1" x14ac:dyDescent="0.3">
      <c r="A6652" s="46"/>
    </row>
    <row r="6653" spans="1:1" hidden="1" x14ac:dyDescent="0.3">
      <c r="A6653" s="46"/>
    </row>
    <row r="6654" spans="1:1" hidden="1" x14ac:dyDescent="0.3">
      <c r="A6654" s="46"/>
    </row>
    <row r="6655" spans="1:1" hidden="1" x14ac:dyDescent="0.3">
      <c r="A6655" s="46"/>
    </row>
    <row r="6656" spans="1:1" hidden="1" x14ac:dyDescent="0.3">
      <c r="A6656" s="46"/>
    </row>
    <row r="6657" spans="1:1" hidden="1" x14ac:dyDescent="0.3">
      <c r="A6657" s="46"/>
    </row>
    <row r="6658" spans="1:1" hidden="1" x14ac:dyDescent="0.3">
      <c r="A6658" s="46"/>
    </row>
    <row r="6659" spans="1:1" hidden="1" x14ac:dyDescent="0.3">
      <c r="A6659" s="46"/>
    </row>
    <row r="6660" spans="1:1" hidden="1" x14ac:dyDescent="0.3">
      <c r="A6660" s="46"/>
    </row>
    <row r="6661" spans="1:1" hidden="1" x14ac:dyDescent="0.3">
      <c r="A6661" s="46"/>
    </row>
    <row r="6662" spans="1:1" hidden="1" x14ac:dyDescent="0.3">
      <c r="A6662" s="46"/>
    </row>
    <row r="6663" spans="1:1" hidden="1" x14ac:dyDescent="0.3">
      <c r="A6663" s="46"/>
    </row>
    <row r="6664" spans="1:1" hidden="1" x14ac:dyDescent="0.3">
      <c r="A6664" s="46"/>
    </row>
    <row r="6665" spans="1:1" hidden="1" x14ac:dyDescent="0.3">
      <c r="A6665" s="46"/>
    </row>
    <row r="6666" spans="1:1" hidden="1" x14ac:dyDescent="0.3">
      <c r="A6666" s="46"/>
    </row>
    <row r="6667" spans="1:1" hidden="1" x14ac:dyDescent="0.3">
      <c r="A6667" s="46"/>
    </row>
    <row r="6668" spans="1:1" hidden="1" x14ac:dyDescent="0.3">
      <c r="A6668" s="46"/>
    </row>
    <row r="6669" spans="1:1" hidden="1" x14ac:dyDescent="0.3">
      <c r="A6669" s="46"/>
    </row>
    <row r="6670" spans="1:1" hidden="1" x14ac:dyDescent="0.3">
      <c r="A6670" s="46"/>
    </row>
    <row r="6671" spans="1:1" hidden="1" x14ac:dyDescent="0.3">
      <c r="A6671" s="46"/>
    </row>
    <row r="6672" spans="1:1" hidden="1" x14ac:dyDescent="0.3">
      <c r="A6672" s="46"/>
    </row>
    <row r="6673" spans="1:1" hidden="1" x14ac:dyDescent="0.3">
      <c r="A6673" s="46"/>
    </row>
    <row r="6674" spans="1:1" hidden="1" x14ac:dyDescent="0.3">
      <c r="A6674" s="46"/>
    </row>
    <row r="6675" spans="1:1" hidden="1" x14ac:dyDescent="0.3">
      <c r="A6675" s="46"/>
    </row>
    <row r="6676" spans="1:1" hidden="1" x14ac:dyDescent="0.3">
      <c r="A6676" s="46"/>
    </row>
    <row r="6677" spans="1:1" hidden="1" x14ac:dyDescent="0.3">
      <c r="A6677" s="46"/>
    </row>
    <row r="6678" spans="1:1" hidden="1" x14ac:dyDescent="0.3">
      <c r="A6678" s="46"/>
    </row>
    <row r="6679" spans="1:1" hidden="1" x14ac:dyDescent="0.3">
      <c r="A6679" s="46"/>
    </row>
    <row r="6680" spans="1:1" hidden="1" x14ac:dyDescent="0.3">
      <c r="A6680" s="46"/>
    </row>
    <row r="6681" spans="1:1" hidden="1" x14ac:dyDescent="0.3">
      <c r="A6681" s="46"/>
    </row>
    <row r="6682" spans="1:1" hidden="1" x14ac:dyDescent="0.3">
      <c r="A6682" s="46"/>
    </row>
    <row r="6683" spans="1:1" hidden="1" x14ac:dyDescent="0.3">
      <c r="A6683" s="46"/>
    </row>
    <row r="6684" spans="1:1" hidden="1" x14ac:dyDescent="0.3">
      <c r="A6684" s="46"/>
    </row>
    <row r="6685" spans="1:1" hidden="1" x14ac:dyDescent="0.3">
      <c r="A6685" s="46"/>
    </row>
    <row r="6686" spans="1:1" hidden="1" x14ac:dyDescent="0.3">
      <c r="A6686" s="46"/>
    </row>
    <row r="6687" spans="1:1" hidden="1" x14ac:dyDescent="0.3">
      <c r="A6687" s="46"/>
    </row>
    <row r="6688" spans="1:1" hidden="1" x14ac:dyDescent="0.3">
      <c r="A6688" s="46"/>
    </row>
    <row r="6689" spans="1:1" hidden="1" x14ac:dyDescent="0.3">
      <c r="A6689" s="46"/>
    </row>
    <row r="6690" spans="1:1" hidden="1" x14ac:dyDescent="0.3">
      <c r="A6690" s="46"/>
    </row>
    <row r="6691" spans="1:1" hidden="1" x14ac:dyDescent="0.3">
      <c r="A6691" s="46"/>
    </row>
    <row r="6692" spans="1:1" hidden="1" x14ac:dyDescent="0.3">
      <c r="A6692" s="46"/>
    </row>
    <row r="6693" spans="1:1" hidden="1" x14ac:dyDescent="0.3">
      <c r="A6693" s="46"/>
    </row>
    <row r="6694" spans="1:1" hidden="1" x14ac:dyDescent="0.3">
      <c r="A6694" s="46"/>
    </row>
    <row r="6695" spans="1:1" hidden="1" x14ac:dyDescent="0.3">
      <c r="A6695" s="46"/>
    </row>
    <row r="6696" spans="1:1" hidden="1" x14ac:dyDescent="0.3">
      <c r="A6696" s="46"/>
    </row>
    <row r="6697" spans="1:1" hidden="1" x14ac:dyDescent="0.3">
      <c r="A6697" s="46"/>
    </row>
    <row r="6698" spans="1:1" hidden="1" x14ac:dyDescent="0.3">
      <c r="A6698" s="46"/>
    </row>
    <row r="6699" spans="1:1" hidden="1" x14ac:dyDescent="0.3">
      <c r="A6699" s="46"/>
    </row>
    <row r="6700" spans="1:1" hidden="1" x14ac:dyDescent="0.3">
      <c r="A6700" s="46"/>
    </row>
    <row r="6701" spans="1:1" hidden="1" x14ac:dyDescent="0.3">
      <c r="A6701" s="46"/>
    </row>
    <row r="6702" spans="1:1" hidden="1" x14ac:dyDescent="0.3">
      <c r="A6702" s="46"/>
    </row>
    <row r="6703" spans="1:1" hidden="1" x14ac:dyDescent="0.3">
      <c r="A6703" s="46"/>
    </row>
    <row r="6704" spans="1:1" hidden="1" x14ac:dyDescent="0.3">
      <c r="A6704" s="46"/>
    </row>
    <row r="6705" spans="1:1" hidden="1" x14ac:dyDescent="0.3">
      <c r="A6705" s="46"/>
    </row>
    <row r="6706" spans="1:1" hidden="1" x14ac:dyDescent="0.3">
      <c r="A6706" s="46"/>
    </row>
    <row r="6707" spans="1:1" hidden="1" x14ac:dyDescent="0.3">
      <c r="A6707" s="46"/>
    </row>
    <row r="6708" spans="1:1" hidden="1" x14ac:dyDescent="0.3">
      <c r="A6708" s="46"/>
    </row>
    <row r="6709" spans="1:1" hidden="1" x14ac:dyDescent="0.3">
      <c r="A6709" s="46"/>
    </row>
    <row r="6710" spans="1:1" hidden="1" x14ac:dyDescent="0.3">
      <c r="A6710" s="46"/>
    </row>
    <row r="6711" spans="1:1" hidden="1" x14ac:dyDescent="0.3">
      <c r="A6711" s="46"/>
    </row>
    <row r="6712" spans="1:1" hidden="1" x14ac:dyDescent="0.3">
      <c r="A6712" s="46"/>
    </row>
    <row r="6713" spans="1:1" hidden="1" x14ac:dyDescent="0.3">
      <c r="A6713" s="46"/>
    </row>
    <row r="6714" spans="1:1" hidden="1" x14ac:dyDescent="0.3">
      <c r="A6714" s="46"/>
    </row>
    <row r="6715" spans="1:1" hidden="1" x14ac:dyDescent="0.3">
      <c r="A6715" s="46"/>
    </row>
    <row r="6716" spans="1:1" hidden="1" x14ac:dyDescent="0.3">
      <c r="A6716" s="46"/>
    </row>
    <row r="6717" spans="1:1" hidden="1" x14ac:dyDescent="0.3">
      <c r="A6717" s="46"/>
    </row>
    <row r="6718" spans="1:1" hidden="1" x14ac:dyDescent="0.3">
      <c r="A6718" s="46"/>
    </row>
    <row r="6719" spans="1:1" hidden="1" x14ac:dyDescent="0.3">
      <c r="A6719" s="46"/>
    </row>
    <row r="6720" spans="1:1" hidden="1" x14ac:dyDescent="0.3">
      <c r="A6720" s="46"/>
    </row>
    <row r="6721" spans="1:1" hidden="1" x14ac:dyDescent="0.3">
      <c r="A6721" s="46"/>
    </row>
    <row r="6722" spans="1:1" hidden="1" x14ac:dyDescent="0.3">
      <c r="A6722" s="46"/>
    </row>
    <row r="6723" spans="1:1" hidden="1" x14ac:dyDescent="0.3">
      <c r="A6723" s="46"/>
    </row>
    <row r="6724" spans="1:1" hidden="1" x14ac:dyDescent="0.3">
      <c r="A6724" s="46"/>
    </row>
    <row r="6725" spans="1:1" hidden="1" x14ac:dyDescent="0.3">
      <c r="A6725" s="46"/>
    </row>
    <row r="6726" spans="1:1" hidden="1" x14ac:dyDescent="0.3">
      <c r="A6726" s="46"/>
    </row>
    <row r="6727" spans="1:1" hidden="1" x14ac:dyDescent="0.3">
      <c r="A6727" s="46"/>
    </row>
    <row r="6728" spans="1:1" hidden="1" x14ac:dyDescent="0.3">
      <c r="A6728" s="46"/>
    </row>
    <row r="6729" spans="1:1" hidden="1" x14ac:dyDescent="0.3">
      <c r="A6729" s="46"/>
    </row>
    <row r="6730" spans="1:1" hidden="1" x14ac:dyDescent="0.3">
      <c r="A6730" s="46"/>
    </row>
    <row r="6731" spans="1:1" hidden="1" x14ac:dyDescent="0.3">
      <c r="A6731" s="46"/>
    </row>
    <row r="6732" spans="1:1" hidden="1" x14ac:dyDescent="0.3">
      <c r="A6732" s="46"/>
    </row>
    <row r="6733" spans="1:1" hidden="1" x14ac:dyDescent="0.3">
      <c r="A6733" s="46"/>
    </row>
    <row r="6734" spans="1:1" hidden="1" x14ac:dyDescent="0.3">
      <c r="A6734" s="46"/>
    </row>
    <row r="6735" spans="1:1" hidden="1" x14ac:dyDescent="0.3">
      <c r="A6735" s="46"/>
    </row>
    <row r="6736" spans="1:1" hidden="1" x14ac:dyDescent="0.3">
      <c r="A6736" s="46"/>
    </row>
    <row r="6737" spans="1:1" hidden="1" x14ac:dyDescent="0.3">
      <c r="A6737" s="46"/>
    </row>
    <row r="6738" spans="1:1" hidden="1" x14ac:dyDescent="0.3">
      <c r="A6738" s="46"/>
    </row>
    <row r="6739" spans="1:1" hidden="1" x14ac:dyDescent="0.3">
      <c r="A6739" s="46"/>
    </row>
    <row r="6740" spans="1:1" hidden="1" x14ac:dyDescent="0.3">
      <c r="A6740" s="46"/>
    </row>
    <row r="6741" spans="1:1" hidden="1" x14ac:dyDescent="0.3">
      <c r="A6741" s="46"/>
    </row>
    <row r="6742" spans="1:1" hidden="1" x14ac:dyDescent="0.3">
      <c r="A6742" s="46"/>
    </row>
    <row r="6743" spans="1:1" hidden="1" x14ac:dyDescent="0.3">
      <c r="A6743" s="46"/>
    </row>
    <row r="6744" spans="1:1" hidden="1" x14ac:dyDescent="0.3">
      <c r="A6744" s="46"/>
    </row>
    <row r="6745" spans="1:1" hidden="1" x14ac:dyDescent="0.3">
      <c r="A6745" s="46"/>
    </row>
    <row r="6746" spans="1:1" hidden="1" x14ac:dyDescent="0.3">
      <c r="A6746" s="46"/>
    </row>
    <row r="6747" spans="1:1" hidden="1" x14ac:dyDescent="0.3">
      <c r="A6747" s="46"/>
    </row>
    <row r="6748" spans="1:1" hidden="1" x14ac:dyDescent="0.3">
      <c r="A6748" s="46"/>
    </row>
    <row r="6749" spans="1:1" hidden="1" x14ac:dyDescent="0.3">
      <c r="A6749" s="46"/>
    </row>
    <row r="6750" spans="1:1" hidden="1" x14ac:dyDescent="0.3">
      <c r="A6750" s="46"/>
    </row>
    <row r="6751" spans="1:1" hidden="1" x14ac:dyDescent="0.3">
      <c r="A6751" s="46"/>
    </row>
    <row r="6752" spans="1:1" hidden="1" x14ac:dyDescent="0.3">
      <c r="A6752" s="46"/>
    </row>
    <row r="6753" spans="1:1" hidden="1" x14ac:dyDescent="0.3">
      <c r="A6753" s="46"/>
    </row>
    <row r="6754" spans="1:1" hidden="1" x14ac:dyDescent="0.3">
      <c r="A6754" s="46"/>
    </row>
    <row r="6755" spans="1:1" hidden="1" x14ac:dyDescent="0.3">
      <c r="A6755" s="46"/>
    </row>
    <row r="6756" spans="1:1" hidden="1" x14ac:dyDescent="0.3">
      <c r="A6756" s="46"/>
    </row>
    <row r="6757" spans="1:1" hidden="1" x14ac:dyDescent="0.3">
      <c r="A6757" s="46"/>
    </row>
    <row r="6758" spans="1:1" hidden="1" x14ac:dyDescent="0.3">
      <c r="A6758" s="46"/>
    </row>
    <row r="6759" spans="1:1" hidden="1" x14ac:dyDescent="0.3">
      <c r="A6759" s="46"/>
    </row>
    <row r="6760" spans="1:1" hidden="1" x14ac:dyDescent="0.3">
      <c r="A6760" s="46"/>
    </row>
    <row r="6761" spans="1:1" hidden="1" x14ac:dyDescent="0.3">
      <c r="A6761" s="46"/>
    </row>
    <row r="6762" spans="1:1" hidden="1" x14ac:dyDescent="0.3">
      <c r="A6762" s="46"/>
    </row>
    <row r="6763" spans="1:1" hidden="1" x14ac:dyDescent="0.3">
      <c r="A6763" s="46"/>
    </row>
    <row r="6764" spans="1:1" hidden="1" x14ac:dyDescent="0.3">
      <c r="A6764" s="46"/>
    </row>
    <row r="6765" spans="1:1" hidden="1" x14ac:dyDescent="0.3">
      <c r="A6765" s="46"/>
    </row>
    <row r="6766" spans="1:1" hidden="1" x14ac:dyDescent="0.3">
      <c r="A6766" s="46"/>
    </row>
    <row r="6767" spans="1:1" hidden="1" x14ac:dyDescent="0.3">
      <c r="A6767" s="46"/>
    </row>
    <row r="6768" spans="1:1" hidden="1" x14ac:dyDescent="0.3">
      <c r="A6768" s="46"/>
    </row>
    <row r="6769" spans="1:1" hidden="1" x14ac:dyDescent="0.3">
      <c r="A6769" s="46"/>
    </row>
    <row r="6770" spans="1:1" hidden="1" x14ac:dyDescent="0.3">
      <c r="A6770" s="46"/>
    </row>
    <row r="6771" spans="1:1" hidden="1" x14ac:dyDescent="0.3">
      <c r="A6771" s="46"/>
    </row>
    <row r="6772" spans="1:1" hidden="1" x14ac:dyDescent="0.3">
      <c r="A6772" s="46"/>
    </row>
    <row r="6773" spans="1:1" hidden="1" x14ac:dyDescent="0.3">
      <c r="A6773" s="46"/>
    </row>
    <row r="6774" spans="1:1" hidden="1" x14ac:dyDescent="0.3">
      <c r="A6774" s="46"/>
    </row>
    <row r="6775" spans="1:1" hidden="1" x14ac:dyDescent="0.3">
      <c r="A6775" s="46"/>
    </row>
    <row r="6776" spans="1:1" hidden="1" x14ac:dyDescent="0.3">
      <c r="A6776" s="46"/>
    </row>
    <row r="6777" spans="1:1" hidden="1" x14ac:dyDescent="0.3">
      <c r="A6777" s="46"/>
    </row>
    <row r="6778" spans="1:1" hidden="1" x14ac:dyDescent="0.3">
      <c r="A6778" s="46"/>
    </row>
    <row r="6779" spans="1:1" hidden="1" x14ac:dyDescent="0.3">
      <c r="A6779" s="46"/>
    </row>
    <row r="6780" spans="1:1" hidden="1" x14ac:dyDescent="0.3">
      <c r="A6780" s="46"/>
    </row>
    <row r="6781" spans="1:1" hidden="1" x14ac:dyDescent="0.3">
      <c r="A6781" s="46"/>
    </row>
    <row r="6782" spans="1:1" hidden="1" x14ac:dyDescent="0.3">
      <c r="A6782" s="46"/>
    </row>
    <row r="6783" spans="1:1" hidden="1" x14ac:dyDescent="0.3">
      <c r="A6783" s="46"/>
    </row>
    <row r="6784" spans="1:1" hidden="1" x14ac:dyDescent="0.3">
      <c r="A6784" s="46"/>
    </row>
    <row r="6785" spans="1:1" hidden="1" x14ac:dyDescent="0.3">
      <c r="A6785" s="46"/>
    </row>
    <row r="6786" spans="1:1" hidden="1" x14ac:dyDescent="0.3">
      <c r="A6786" s="46"/>
    </row>
    <row r="6787" spans="1:1" hidden="1" x14ac:dyDescent="0.3">
      <c r="A6787" s="46"/>
    </row>
    <row r="6788" spans="1:1" hidden="1" x14ac:dyDescent="0.3">
      <c r="A6788" s="46"/>
    </row>
    <row r="6789" spans="1:1" hidden="1" x14ac:dyDescent="0.3">
      <c r="A6789" s="46"/>
    </row>
    <row r="6790" spans="1:1" hidden="1" x14ac:dyDescent="0.3">
      <c r="A6790" s="46"/>
    </row>
    <row r="6791" spans="1:1" hidden="1" x14ac:dyDescent="0.3">
      <c r="A6791" s="46"/>
    </row>
    <row r="6792" spans="1:1" hidden="1" x14ac:dyDescent="0.3">
      <c r="A6792" s="46"/>
    </row>
    <row r="6793" spans="1:1" hidden="1" x14ac:dyDescent="0.3">
      <c r="A6793" s="46"/>
    </row>
    <row r="6794" spans="1:1" hidden="1" x14ac:dyDescent="0.3">
      <c r="A6794" s="46"/>
    </row>
    <row r="6795" spans="1:1" hidden="1" x14ac:dyDescent="0.3">
      <c r="A6795" s="46"/>
    </row>
    <row r="6796" spans="1:1" hidden="1" x14ac:dyDescent="0.3">
      <c r="A6796" s="46"/>
    </row>
    <row r="6797" spans="1:1" hidden="1" x14ac:dyDescent="0.3">
      <c r="A6797" s="46"/>
    </row>
    <row r="6798" spans="1:1" hidden="1" x14ac:dyDescent="0.3">
      <c r="A6798" s="46"/>
    </row>
    <row r="6799" spans="1:1" hidden="1" x14ac:dyDescent="0.3">
      <c r="A6799" s="46"/>
    </row>
    <row r="6800" spans="1:1" hidden="1" x14ac:dyDescent="0.3">
      <c r="A6800" s="46"/>
    </row>
    <row r="6801" spans="1:1" hidden="1" x14ac:dyDescent="0.3">
      <c r="A6801" s="46"/>
    </row>
    <row r="6802" spans="1:1" hidden="1" x14ac:dyDescent="0.3">
      <c r="A6802" s="46"/>
    </row>
    <row r="6803" spans="1:1" hidden="1" x14ac:dyDescent="0.3">
      <c r="A6803" s="46"/>
    </row>
    <row r="6804" spans="1:1" hidden="1" x14ac:dyDescent="0.3">
      <c r="A6804" s="46"/>
    </row>
    <row r="6805" spans="1:1" hidden="1" x14ac:dyDescent="0.3">
      <c r="A6805" s="46"/>
    </row>
    <row r="6806" spans="1:1" hidden="1" x14ac:dyDescent="0.3">
      <c r="A6806" s="46"/>
    </row>
    <row r="6807" spans="1:1" hidden="1" x14ac:dyDescent="0.3">
      <c r="A6807" s="46"/>
    </row>
    <row r="6808" spans="1:1" hidden="1" x14ac:dyDescent="0.3">
      <c r="A6808" s="46"/>
    </row>
    <row r="6809" spans="1:1" hidden="1" x14ac:dyDescent="0.3">
      <c r="A6809" s="46"/>
    </row>
    <row r="6810" spans="1:1" hidden="1" x14ac:dyDescent="0.3">
      <c r="A6810" s="46"/>
    </row>
    <row r="6811" spans="1:1" hidden="1" x14ac:dyDescent="0.3">
      <c r="A6811" s="46"/>
    </row>
    <row r="6812" spans="1:1" hidden="1" x14ac:dyDescent="0.3">
      <c r="A6812" s="46"/>
    </row>
    <row r="6813" spans="1:1" hidden="1" x14ac:dyDescent="0.3">
      <c r="A6813" s="46"/>
    </row>
    <row r="6814" spans="1:1" hidden="1" x14ac:dyDescent="0.3">
      <c r="A6814" s="46"/>
    </row>
    <row r="6815" spans="1:1" hidden="1" x14ac:dyDescent="0.3">
      <c r="A6815" s="46"/>
    </row>
    <row r="6816" spans="1:1" hidden="1" x14ac:dyDescent="0.3">
      <c r="A6816" s="46"/>
    </row>
    <row r="6817" spans="1:1" hidden="1" x14ac:dyDescent="0.3">
      <c r="A6817" s="46"/>
    </row>
    <row r="6818" spans="1:1" hidden="1" x14ac:dyDescent="0.3">
      <c r="A6818" s="46"/>
    </row>
    <row r="6819" spans="1:1" hidden="1" x14ac:dyDescent="0.3">
      <c r="A6819" s="46"/>
    </row>
    <row r="6820" spans="1:1" hidden="1" x14ac:dyDescent="0.3">
      <c r="A6820" s="46"/>
    </row>
    <row r="6821" spans="1:1" hidden="1" x14ac:dyDescent="0.3">
      <c r="A6821" s="46"/>
    </row>
    <row r="6822" spans="1:1" hidden="1" x14ac:dyDescent="0.3">
      <c r="A6822" s="46"/>
    </row>
    <row r="6823" spans="1:1" hidden="1" x14ac:dyDescent="0.3">
      <c r="A6823" s="46"/>
    </row>
    <row r="6824" spans="1:1" hidden="1" x14ac:dyDescent="0.3">
      <c r="A6824" s="46"/>
    </row>
    <row r="6825" spans="1:1" hidden="1" x14ac:dyDescent="0.3">
      <c r="A6825" s="46"/>
    </row>
    <row r="6826" spans="1:1" hidden="1" x14ac:dyDescent="0.3">
      <c r="A6826" s="46"/>
    </row>
    <row r="6827" spans="1:1" hidden="1" x14ac:dyDescent="0.3">
      <c r="A6827" s="46"/>
    </row>
    <row r="6828" spans="1:1" hidden="1" x14ac:dyDescent="0.3">
      <c r="A6828" s="46"/>
    </row>
    <row r="6829" spans="1:1" hidden="1" x14ac:dyDescent="0.3">
      <c r="A6829" s="46"/>
    </row>
    <row r="6830" spans="1:1" hidden="1" x14ac:dyDescent="0.3">
      <c r="A6830" s="46"/>
    </row>
    <row r="6831" spans="1:1" hidden="1" x14ac:dyDescent="0.3">
      <c r="A6831" s="46"/>
    </row>
    <row r="6832" spans="1:1" hidden="1" x14ac:dyDescent="0.3">
      <c r="A6832" s="46"/>
    </row>
    <row r="6833" spans="1:1" hidden="1" x14ac:dyDescent="0.3">
      <c r="A6833" s="46"/>
    </row>
    <row r="6834" spans="1:1" hidden="1" x14ac:dyDescent="0.3">
      <c r="A6834" s="46"/>
    </row>
    <row r="6835" spans="1:1" hidden="1" x14ac:dyDescent="0.3">
      <c r="A6835" s="46"/>
    </row>
    <row r="6836" spans="1:1" hidden="1" x14ac:dyDescent="0.3">
      <c r="A6836" s="46"/>
    </row>
    <row r="6837" spans="1:1" hidden="1" x14ac:dyDescent="0.3">
      <c r="A6837" s="46"/>
    </row>
    <row r="6838" spans="1:1" hidden="1" x14ac:dyDescent="0.3">
      <c r="A6838" s="46"/>
    </row>
    <row r="6839" spans="1:1" hidden="1" x14ac:dyDescent="0.3">
      <c r="A6839" s="46"/>
    </row>
    <row r="6840" spans="1:1" hidden="1" x14ac:dyDescent="0.3">
      <c r="A6840" s="46"/>
    </row>
    <row r="6841" spans="1:1" hidden="1" x14ac:dyDescent="0.3">
      <c r="A6841" s="46"/>
    </row>
    <row r="6842" spans="1:1" hidden="1" x14ac:dyDescent="0.3">
      <c r="A6842" s="46"/>
    </row>
    <row r="6843" spans="1:1" hidden="1" x14ac:dyDescent="0.3">
      <c r="A6843" s="46"/>
    </row>
    <row r="6844" spans="1:1" hidden="1" x14ac:dyDescent="0.3">
      <c r="A6844" s="46"/>
    </row>
    <row r="6845" spans="1:1" hidden="1" x14ac:dyDescent="0.3">
      <c r="A6845" s="46"/>
    </row>
    <row r="6846" spans="1:1" hidden="1" x14ac:dyDescent="0.3">
      <c r="A6846" s="46"/>
    </row>
    <row r="6847" spans="1:1" hidden="1" x14ac:dyDescent="0.3">
      <c r="A6847" s="46"/>
    </row>
    <row r="6848" spans="1:1" hidden="1" x14ac:dyDescent="0.3">
      <c r="A6848" s="46"/>
    </row>
    <row r="6849" spans="1:1" hidden="1" x14ac:dyDescent="0.3">
      <c r="A6849" s="46"/>
    </row>
    <row r="6850" spans="1:1" hidden="1" x14ac:dyDescent="0.3">
      <c r="A6850" s="46"/>
    </row>
    <row r="6851" spans="1:1" hidden="1" x14ac:dyDescent="0.3">
      <c r="A6851" s="46"/>
    </row>
    <row r="6852" spans="1:1" hidden="1" x14ac:dyDescent="0.3">
      <c r="A6852" s="46"/>
    </row>
    <row r="6853" spans="1:1" hidden="1" x14ac:dyDescent="0.3">
      <c r="A6853" s="46"/>
    </row>
    <row r="6854" spans="1:1" hidden="1" x14ac:dyDescent="0.3">
      <c r="A6854" s="46"/>
    </row>
    <row r="6855" spans="1:1" hidden="1" x14ac:dyDescent="0.3">
      <c r="A6855" s="46"/>
    </row>
    <row r="6856" spans="1:1" hidden="1" x14ac:dyDescent="0.3">
      <c r="A6856" s="46"/>
    </row>
    <row r="6857" spans="1:1" hidden="1" x14ac:dyDescent="0.3">
      <c r="A6857" s="46"/>
    </row>
    <row r="6858" spans="1:1" hidden="1" x14ac:dyDescent="0.3">
      <c r="A6858" s="46"/>
    </row>
    <row r="6859" spans="1:1" hidden="1" x14ac:dyDescent="0.3">
      <c r="A6859" s="46"/>
    </row>
    <row r="6860" spans="1:1" hidden="1" x14ac:dyDescent="0.3">
      <c r="A6860" s="46"/>
    </row>
    <row r="6861" spans="1:1" hidden="1" x14ac:dyDescent="0.3">
      <c r="A6861" s="46"/>
    </row>
    <row r="6862" spans="1:1" hidden="1" x14ac:dyDescent="0.3">
      <c r="A6862" s="46"/>
    </row>
    <row r="6863" spans="1:1" hidden="1" x14ac:dyDescent="0.3">
      <c r="A6863" s="46"/>
    </row>
    <row r="6864" spans="1:1" hidden="1" x14ac:dyDescent="0.3">
      <c r="A6864" s="46"/>
    </row>
    <row r="6865" spans="1:1" hidden="1" x14ac:dyDescent="0.3">
      <c r="A6865" s="46"/>
    </row>
    <row r="6866" spans="1:1" hidden="1" x14ac:dyDescent="0.3">
      <c r="A6866" s="46"/>
    </row>
    <row r="6867" spans="1:1" hidden="1" x14ac:dyDescent="0.3">
      <c r="A6867" s="46"/>
    </row>
    <row r="6868" spans="1:1" hidden="1" x14ac:dyDescent="0.3">
      <c r="A6868" s="46"/>
    </row>
    <row r="6869" spans="1:1" hidden="1" x14ac:dyDescent="0.3">
      <c r="A6869" s="46"/>
    </row>
    <row r="6870" spans="1:1" hidden="1" x14ac:dyDescent="0.3">
      <c r="A6870" s="46"/>
    </row>
    <row r="6871" spans="1:1" hidden="1" x14ac:dyDescent="0.3">
      <c r="A6871" s="46"/>
    </row>
    <row r="6872" spans="1:1" hidden="1" x14ac:dyDescent="0.3">
      <c r="A6872" s="46"/>
    </row>
    <row r="6873" spans="1:1" hidden="1" x14ac:dyDescent="0.3">
      <c r="A6873" s="46"/>
    </row>
    <row r="6874" spans="1:1" hidden="1" x14ac:dyDescent="0.3">
      <c r="A6874" s="46"/>
    </row>
    <row r="6875" spans="1:1" hidden="1" x14ac:dyDescent="0.3">
      <c r="A6875" s="46"/>
    </row>
    <row r="6876" spans="1:1" hidden="1" x14ac:dyDescent="0.3">
      <c r="A6876" s="46"/>
    </row>
    <row r="6877" spans="1:1" hidden="1" x14ac:dyDescent="0.3">
      <c r="A6877" s="46"/>
    </row>
    <row r="6878" spans="1:1" hidden="1" x14ac:dyDescent="0.3">
      <c r="A6878" s="46"/>
    </row>
    <row r="6879" spans="1:1" hidden="1" x14ac:dyDescent="0.3">
      <c r="A6879" s="46"/>
    </row>
    <row r="6880" spans="1:1" hidden="1" x14ac:dyDescent="0.3">
      <c r="A6880" s="46"/>
    </row>
    <row r="6881" spans="1:1" hidden="1" x14ac:dyDescent="0.3">
      <c r="A6881" s="46"/>
    </row>
    <row r="6882" spans="1:1" hidden="1" x14ac:dyDescent="0.3">
      <c r="A6882" s="46"/>
    </row>
    <row r="6883" spans="1:1" hidden="1" x14ac:dyDescent="0.3">
      <c r="A6883" s="46"/>
    </row>
    <row r="6884" spans="1:1" hidden="1" x14ac:dyDescent="0.3">
      <c r="A6884" s="46"/>
    </row>
    <row r="6885" spans="1:1" hidden="1" x14ac:dyDescent="0.3">
      <c r="A6885" s="46"/>
    </row>
    <row r="6886" spans="1:1" hidden="1" x14ac:dyDescent="0.3">
      <c r="A6886" s="46"/>
    </row>
    <row r="6887" spans="1:1" hidden="1" x14ac:dyDescent="0.3">
      <c r="A6887" s="46"/>
    </row>
    <row r="6888" spans="1:1" hidden="1" x14ac:dyDescent="0.3">
      <c r="A6888" s="46"/>
    </row>
    <row r="6889" spans="1:1" hidden="1" x14ac:dyDescent="0.3">
      <c r="A6889" s="46"/>
    </row>
    <row r="6890" spans="1:1" hidden="1" x14ac:dyDescent="0.3">
      <c r="A6890" s="46"/>
    </row>
    <row r="6891" spans="1:1" hidden="1" x14ac:dyDescent="0.3">
      <c r="A6891" s="46"/>
    </row>
    <row r="6892" spans="1:1" hidden="1" x14ac:dyDescent="0.3">
      <c r="A6892" s="46"/>
    </row>
    <row r="6893" spans="1:1" hidden="1" x14ac:dyDescent="0.3">
      <c r="A6893" s="46"/>
    </row>
    <row r="6894" spans="1:1" hidden="1" x14ac:dyDescent="0.3">
      <c r="A6894" s="46"/>
    </row>
    <row r="6895" spans="1:1" hidden="1" x14ac:dyDescent="0.3">
      <c r="A6895" s="46"/>
    </row>
    <row r="6896" spans="1:1" hidden="1" x14ac:dyDescent="0.3">
      <c r="A6896" s="46"/>
    </row>
    <row r="6897" spans="1:1" hidden="1" x14ac:dyDescent="0.3">
      <c r="A6897" s="46"/>
    </row>
    <row r="6898" spans="1:1" hidden="1" x14ac:dyDescent="0.3">
      <c r="A6898" s="46"/>
    </row>
    <row r="6899" spans="1:1" hidden="1" x14ac:dyDescent="0.3">
      <c r="A6899" s="46"/>
    </row>
    <row r="6900" spans="1:1" hidden="1" x14ac:dyDescent="0.3">
      <c r="A6900" s="46"/>
    </row>
    <row r="6901" spans="1:1" hidden="1" x14ac:dyDescent="0.3">
      <c r="A6901" s="46"/>
    </row>
    <row r="6902" spans="1:1" hidden="1" x14ac:dyDescent="0.3">
      <c r="A6902" s="46"/>
    </row>
    <row r="6903" spans="1:1" hidden="1" x14ac:dyDescent="0.3">
      <c r="A6903" s="46"/>
    </row>
    <row r="6904" spans="1:1" hidden="1" x14ac:dyDescent="0.3">
      <c r="A6904" s="46"/>
    </row>
    <row r="6905" spans="1:1" hidden="1" x14ac:dyDescent="0.3">
      <c r="A6905" s="46"/>
    </row>
    <row r="6906" spans="1:1" hidden="1" x14ac:dyDescent="0.3">
      <c r="A6906" s="46"/>
    </row>
    <row r="6907" spans="1:1" hidden="1" x14ac:dyDescent="0.3">
      <c r="A6907" s="46"/>
    </row>
    <row r="6908" spans="1:1" hidden="1" x14ac:dyDescent="0.3">
      <c r="A6908" s="46"/>
    </row>
    <row r="6909" spans="1:1" hidden="1" x14ac:dyDescent="0.3">
      <c r="A6909" s="46"/>
    </row>
    <row r="6910" spans="1:1" hidden="1" x14ac:dyDescent="0.3">
      <c r="A6910" s="46"/>
    </row>
    <row r="6911" spans="1:1" hidden="1" x14ac:dyDescent="0.3">
      <c r="A6911" s="46"/>
    </row>
    <row r="6912" spans="1:1" hidden="1" x14ac:dyDescent="0.3">
      <c r="A6912" s="46"/>
    </row>
    <row r="6913" spans="1:1" hidden="1" x14ac:dyDescent="0.3">
      <c r="A6913" s="46"/>
    </row>
    <row r="6914" spans="1:1" hidden="1" x14ac:dyDescent="0.3">
      <c r="A6914" s="46"/>
    </row>
    <row r="6915" spans="1:1" hidden="1" x14ac:dyDescent="0.3">
      <c r="A6915" s="46"/>
    </row>
    <row r="6916" spans="1:1" hidden="1" x14ac:dyDescent="0.3">
      <c r="A6916" s="46"/>
    </row>
    <row r="6917" spans="1:1" hidden="1" x14ac:dyDescent="0.3">
      <c r="A6917" s="46"/>
    </row>
    <row r="6918" spans="1:1" hidden="1" x14ac:dyDescent="0.3">
      <c r="A6918" s="46"/>
    </row>
    <row r="6919" spans="1:1" hidden="1" x14ac:dyDescent="0.3">
      <c r="A6919" s="46"/>
    </row>
    <row r="6920" spans="1:1" hidden="1" x14ac:dyDescent="0.3">
      <c r="A6920" s="46"/>
    </row>
    <row r="6921" spans="1:1" hidden="1" x14ac:dyDescent="0.3">
      <c r="A6921" s="46"/>
    </row>
    <row r="6922" spans="1:1" hidden="1" x14ac:dyDescent="0.3">
      <c r="A6922" s="46"/>
    </row>
    <row r="6923" spans="1:1" hidden="1" x14ac:dyDescent="0.3">
      <c r="A6923" s="46"/>
    </row>
    <row r="6924" spans="1:1" hidden="1" x14ac:dyDescent="0.3">
      <c r="A6924" s="46"/>
    </row>
    <row r="6925" spans="1:1" hidden="1" x14ac:dyDescent="0.3">
      <c r="A6925" s="46"/>
    </row>
    <row r="6926" spans="1:1" hidden="1" x14ac:dyDescent="0.3">
      <c r="A6926" s="46"/>
    </row>
    <row r="6927" spans="1:1" hidden="1" x14ac:dyDescent="0.3">
      <c r="A6927" s="46"/>
    </row>
    <row r="6928" spans="1:1" hidden="1" x14ac:dyDescent="0.3">
      <c r="A6928" s="46"/>
    </row>
    <row r="6929" spans="1:1" hidden="1" x14ac:dyDescent="0.3">
      <c r="A6929" s="46"/>
    </row>
    <row r="6930" spans="1:1" hidden="1" x14ac:dyDescent="0.3">
      <c r="A6930" s="46"/>
    </row>
    <row r="6931" spans="1:1" hidden="1" x14ac:dyDescent="0.3">
      <c r="A6931" s="46"/>
    </row>
    <row r="6932" spans="1:1" hidden="1" x14ac:dyDescent="0.3">
      <c r="A6932" s="46"/>
    </row>
    <row r="6933" spans="1:1" hidden="1" x14ac:dyDescent="0.3">
      <c r="A6933" s="46"/>
    </row>
    <row r="6934" spans="1:1" hidden="1" x14ac:dyDescent="0.3">
      <c r="A6934" s="46"/>
    </row>
    <row r="6935" spans="1:1" hidden="1" x14ac:dyDescent="0.3">
      <c r="A6935" s="46"/>
    </row>
    <row r="6936" spans="1:1" hidden="1" x14ac:dyDescent="0.3">
      <c r="A6936" s="46"/>
    </row>
    <row r="6937" spans="1:1" hidden="1" x14ac:dyDescent="0.3">
      <c r="A6937" s="46"/>
    </row>
    <row r="6938" spans="1:1" hidden="1" x14ac:dyDescent="0.3">
      <c r="A6938" s="46"/>
    </row>
    <row r="6939" spans="1:1" hidden="1" x14ac:dyDescent="0.3">
      <c r="A6939" s="46"/>
    </row>
    <row r="6940" spans="1:1" hidden="1" x14ac:dyDescent="0.3">
      <c r="A6940" s="46"/>
    </row>
    <row r="6941" spans="1:1" hidden="1" x14ac:dyDescent="0.3">
      <c r="A6941" s="46"/>
    </row>
    <row r="6942" spans="1:1" hidden="1" x14ac:dyDescent="0.3">
      <c r="A6942" s="46"/>
    </row>
    <row r="6943" spans="1:1" hidden="1" x14ac:dyDescent="0.3">
      <c r="A6943" s="46"/>
    </row>
    <row r="6944" spans="1:1" hidden="1" x14ac:dyDescent="0.3">
      <c r="A6944" s="46"/>
    </row>
    <row r="6945" spans="1:1" hidden="1" x14ac:dyDescent="0.3">
      <c r="A6945" s="46"/>
    </row>
    <row r="6946" spans="1:1" hidden="1" x14ac:dyDescent="0.3">
      <c r="A6946" s="46"/>
    </row>
    <row r="6947" spans="1:1" hidden="1" x14ac:dyDescent="0.3">
      <c r="A6947" s="46"/>
    </row>
    <row r="6948" spans="1:1" hidden="1" x14ac:dyDescent="0.3">
      <c r="A6948" s="46"/>
    </row>
    <row r="6949" spans="1:1" hidden="1" x14ac:dyDescent="0.3">
      <c r="A6949" s="46"/>
    </row>
    <row r="6950" spans="1:1" hidden="1" x14ac:dyDescent="0.3">
      <c r="A6950" s="46"/>
    </row>
    <row r="6951" spans="1:1" hidden="1" x14ac:dyDescent="0.3">
      <c r="A6951" s="46"/>
    </row>
    <row r="6952" spans="1:1" hidden="1" x14ac:dyDescent="0.3">
      <c r="A6952" s="46"/>
    </row>
    <row r="6953" spans="1:1" hidden="1" x14ac:dyDescent="0.3">
      <c r="A6953" s="46"/>
    </row>
    <row r="6954" spans="1:1" hidden="1" x14ac:dyDescent="0.3">
      <c r="A6954" s="46"/>
    </row>
    <row r="6955" spans="1:1" hidden="1" x14ac:dyDescent="0.3">
      <c r="A6955" s="46"/>
    </row>
    <row r="6956" spans="1:1" hidden="1" x14ac:dyDescent="0.3">
      <c r="A6956" s="46"/>
    </row>
    <row r="6957" spans="1:1" hidden="1" x14ac:dyDescent="0.3">
      <c r="A6957" s="46"/>
    </row>
    <row r="6958" spans="1:1" hidden="1" x14ac:dyDescent="0.3">
      <c r="A6958" s="46"/>
    </row>
    <row r="6959" spans="1:1" hidden="1" x14ac:dyDescent="0.3">
      <c r="A6959" s="46"/>
    </row>
    <row r="6960" spans="1:1" hidden="1" x14ac:dyDescent="0.3">
      <c r="A6960" s="46"/>
    </row>
    <row r="6961" spans="1:1" hidden="1" x14ac:dyDescent="0.3">
      <c r="A6961" s="46"/>
    </row>
    <row r="6962" spans="1:1" hidden="1" x14ac:dyDescent="0.3">
      <c r="A6962" s="46"/>
    </row>
    <row r="6963" spans="1:1" hidden="1" x14ac:dyDescent="0.3">
      <c r="A6963" s="46"/>
    </row>
    <row r="6964" spans="1:1" hidden="1" x14ac:dyDescent="0.3">
      <c r="A6964" s="46"/>
    </row>
    <row r="6965" spans="1:1" hidden="1" x14ac:dyDescent="0.3">
      <c r="A6965" s="46"/>
    </row>
    <row r="6966" spans="1:1" hidden="1" x14ac:dyDescent="0.3">
      <c r="A6966" s="46"/>
    </row>
    <row r="6967" spans="1:1" hidden="1" x14ac:dyDescent="0.3">
      <c r="A6967" s="46"/>
    </row>
    <row r="6968" spans="1:1" hidden="1" x14ac:dyDescent="0.3">
      <c r="A6968" s="46"/>
    </row>
    <row r="6969" spans="1:1" hidden="1" x14ac:dyDescent="0.3">
      <c r="A6969" s="46"/>
    </row>
    <row r="6970" spans="1:1" hidden="1" x14ac:dyDescent="0.3">
      <c r="A6970" s="46"/>
    </row>
    <row r="6971" spans="1:1" hidden="1" x14ac:dyDescent="0.3">
      <c r="A6971" s="46"/>
    </row>
    <row r="6972" spans="1:1" hidden="1" x14ac:dyDescent="0.3">
      <c r="A6972" s="46"/>
    </row>
    <row r="6973" spans="1:1" hidden="1" x14ac:dyDescent="0.3">
      <c r="A6973" s="46"/>
    </row>
    <row r="6974" spans="1:1" hidden="1" x14ac:dyDescent="0.3">
      <c r="A6974" s="46"/>
    </row>
    <row r="6975" spans="1:1" hidden="1" x14ac:dyDescent="0.3">
      <c r="A6975" s="46"/>
    </row>
    <row r="6976" spans="1:1" hidden="1" x14ac:dyDescent="0.3">
      <c r="A6976" s="46"/>
    </row>
    <row r="6977" spans="1:1" hidden="1" x14ac:dyDescent="0.3">
      <c r="A6977" s="46"/>
    </row>
    <row r="6978" spans="1:1" hidden="1" x14ac:dyDescent="0.3">
      <c r="A6978" s="46"/>
    </row>
    <row r="6979" spans="1:1" hidden="1" x14ac:dyDescent="0.3">
      <c r="A6979" s="46"/>
    </row>
    <row r="6980" spans="1:1" hidden="1" x14ac:dyDescent="0.3">
      <c r="A6980" s="46"/>
    </row>
    <row r="6981" spans="1:1" hidden="1" x14ac:dyDescent="0.3">
      <c r="A6981" s="46"/>
    </row>
    <row r="6982" spans="1:1" hidden="1" x14ac:dyDescent="0.3">
      <c r="A6982" s="46"/>
    </row>
    <row r="6983" spans="1:1" hidden="1" x14ac:dyDescent="0.3">
      <c r="A6983" s="46"/>
    </row>
    <row r="6984" spans="1:1" hidden="1" x14ac:dyDescent="0.3">
      <c r="A6984" s="46"/>
    </row>
    <row r="6985" spans="1:1" hidden="1" x14ac:dyDescent="0.3">
      <c r="A6985" s="46"/>
    </row>
    <row r="6986" spans="1:1" hidden="1" x14ac:dyDescent="0.3">
      <c r="A6986" s="46"/>
    </row>
    <row r="6987" spans="1:1" hidden="1" x14ac:dyDescent="0.3">
      <c r="A6987" s="46"/>
    </row>
    <row r="6988" spans="1:1" hidden="1" x14ac:dyDescent="0.3">
      <c r="A6988" s="46"/>
    </row>
    <row r="6989" spans="1:1" hidden="1" x14ac:dyDescent="0.3">
      <c r="A6989" s="46"/>
    </row>
    <row r="6990" spans="1:1" hidden="1" x14ac:dyDescent="0.3">
      <c r="A6990" s="46"/>
    </row>
    <row r="6991" spans="1:1" hidden="1" x14ac:dyDescent="0.3">
      <c r="A6991" s="46"/>
    </row>
    <row r="6992" spans="1:1" hidden="1" x14ac:dyDescent="0.3">
      <c r="A6992" s="46"/>
    </row>
    <row r="6993" spans="1:1" hidden="1" x14ac:dyDescent="0.3">
      <c r="A6993" s="46"/>
    </row>
    <row r="6994" spans="1:1" hidden="1" x14ac:dyDescent="0.3">
      <c r="A6994" s="46"/>
    </row>
    <row r="6995" spans="1:1" hidden="1" x14ac:dyDescent="0.3">
      <c r="A6995" s="46"/>
    </row>
    <row r="6996" spans="1:1" hidden="1" x14ac:dyDescent="0.3">
      <c r="A6996" s="46"/>
    </row>
    <row r="6997" spans="1:1" hidden="1" x14ac:dyDescent="0.3">
      <c r="A6997" s="46"/>
    </row>
    <row r="6998" spans="1:1" hidden="1" x14ac:dyDescent="0.3">
      <c r="A6998" s="46"/>
    </row>
    <row r="6999" spans="1:1" hidden="1" x14ac:dyDescent="0.3">
      <c r="A6999" s="46"/>
    </row>
    <row r="7000" spans="1:1" hidden="1" x14ac:dyDescent="0.3">
      <c r="A7000" s="46"/>
    </row>
    <row r="7001" spans="1:1" hidden="1" x14ac:dyDescent="0.3">
      <c r="A7001" s="46"/>
    </row>
    <row r="7002" spans="1:1" hidden="1" x14ac:dyDescent="0.3">
      <c r="A7002" s="46"/>
    </row>
    <row r="7003" spans="1:1" hidden="1" x14ac:dyDescent="0.3">
      <c r="A7003" s="46"/>
    </row>
    <row r="7004" spans="1:1" hidden="1" x14ac:dyDescent="0.3">
      <c r="A7004" s="46"/>
    </row>
    <row r="7005" spans="1:1" hidden="1" x14ac:dyDescent="0.3">
      <c r="A7005" s="46"/>
    </row>
    <row r="7006" spans="1:1" hidden="1" x14ac:dyDescent="0.3">
      <c r="A7006" s="46"/>
    </row>
    <row r="7007" spans="1:1" hidden="1" x14ac:dyDescent="0.3">
      <c r="A7007" s="46"/>
    </row>
    <row r="7008" spans="1:1" hidden="1" x14ac:dyDescent="0.3">
      <c r="A7008" s="46"/>
    </row>
    <row r="7009" spans="1:1" hidden="1" x14ac:dyDescent="0.3">
      <c r="A7009" s="46"/>
    </row>
    <row r="7010" spans="1:1" hidden="1" x14ac:dyDescent="0.3">
      <c r="A7010" s="46"/>
    </row>
    <row r="7011" spans="1:1" hidden="1" x14ac:dyDescent="0.3">
      <c r="A7011" s="46"/>
    </row>
    <row r="7012" spans="1:1" hidden="1" x14ac:dyDescent="0.3">
      <c r="A7012" s="46"/>
    </row>
    <row r="7013" spans="1:1" hidden="1" x14ac:dyDescent="0.3">
      <c r="A7013" s="46"/>
    </row>
    <row r="7014" spans="1:1" hidden="1" x14ac:dyDescent="0.3">
      <c r="A7014" s="46"/>
    </row>
    <row r="7015" spans="1:1" hidden="1" x14ac:dyDescent="0.3">
      <c r="A7015" s="46"/>
    </row>
    <row r="7016" spans="1:1" hidden="1" x14ac:dyDescent="0.3">
      <c r="A7016" s="46"/>
    </row>
    <row r="7017" spans="1:1" hidden="1" x14ac:dyDescent="0.3">
      <c r="A7017" s="46"/>
    </row>
    <row r="7018" spans="1:1" hidden="1" x14ac:dyDescent="0.3">
      <c r="A7018" s="46"/>
    </row>
    <row r="7019" spans="1:1" hidden="1" x14ac:dyDescent="0.3">
      <c r="A7019" s="46"/>
    </row>
    <row r="7020" spans="1:1" hidden="1" x14ac:dyDescent="0.3">
      <c r="A7020" s="46"/>
    </row>
    <row r="7021" spans="1:1" hidden="1" x14ac:dyDescent="0.3">
      <c r="A7021" s="46"/>
    </row>
    <row r="7022" spans="1:1" hidden="1" x14ac:dyDescent="0.3">
      <c r="A7022" s="46"/>
    </row>
    <row r="7023" spans="1:1" hidden="1" x14ac:dyDescent="0.3">
      <c r="A7023" s="46"/>
    </row>
    <row r="7024" spans="1:1" hidden="1" x14ac:dyDescent="0.3">
      <c r="A7024" s="46"/>
    </row>
    <row r="7025" spans="1:1" hidden="1" x14ac:dyDescent="0.3">
      <c r="A7025" s="46"/>
    </row>
    <row r="7026" spans="1:1" hidden="1" x14ac:dyDescent="0.3">
      <c r="A7026" s="46"/>
    </row>
    <row r="7027" spans="1:1" hidden="1" x14ac:dyDescent="0.3">
      <c r="A7027" s="46"/>
    </row>
    <row r="7028" spans="1:1" hidden="1" x14ac:dyDescent="0.3">
      <c r="A7028" s="46"/>
    </row>
    <row r="7029" spans="1:1" hidden="1" x14ac:dyDescent="0.3">
      <c r="A7029" s="46"/>
    </row>
    <row r="7030" spans="1:1" hidden="1" x14ac:dyDescent="0.3">
      <c r="A7030" s="46"/>
    </row>
    <row r="7031" spans="1:1" hidden="1" x14ac:dyDescent="0.3">
      <c r="A7031" s="46"/>
    </row>
    <row r="7032" spans="1:1" hidden="1" x14ac:dyDescent="0.3">
      <c r="A7032" s="46"/>
    </row>
    <row r="7033" spans="1:1" hidden="1" x14ac:dyDescent="0.3">
      <c r="A7033" s="46"/>
    </row>
    <row r="7034" spans="1:1" hidden="1" x14ac:dyDescent="0.3">
      <c r="A7034" s="46"/>
    </row>
    <row r="7035" spans="1:1" hidden="1" x14ac:dyDescent="0.3">
      <c r="A7035" s="46"/>
    </row>
    <row r="7036" spans="1:1" hidden="1" x14ac:dyDescent="0.3">
      <c r="A7036" s="46"/>
    </row>
    <row r="7037" spans="1:1" hidden="1" x14ac:dyDescent="0.3">
      <c r="A7037" s="46"/>
    </row>
    <row r="7038" spans="1:1" hidden="1" x14ac:dyDescent="0.3">
      <c r="A7038" s="46"/>
    </row>
    <row r="7039" spans="1:1" hidden="1" x14ac:dyDescent="0.3">
      <c r="A7039" s="46"/>
    </row>
    <row r="7040" spans="1:1" hidden="1" x14ac:dyDescent="0.3">
      <c r="A7040" s="46"/>
    </row>
    <row r="7041" spans="1:1" hidden="1" x14ac:dyDescent="0.3">
      <c r="A7041" s="46"/>
    </row>
    <row r="7042" spans="1:1" hidden="1" x14ac:dyDescent="0.3">
      <c r="A7042" s="46"/>
    </row>
    <row r="7043" spans="1:1" hidden="1" x14ac:dyDescent="0.3">
      <c r="A7043" s="46"/>
    </row>
    <row r="7044" spans="1:1" hidden="1" x14ac:dyDescent="0.3">
      <c r="A7044" s="46"/>
    </row>
    <row r="7045" spans="1:1" hidden="1" x14ac:dyDescent="0.3">
      <c r="A7045" s="46"/>
    </row>
    <row r="7046" spans="1:1" hidden="1" x14ac:dyDescent="0.3">
      <c r="A7046" s="46"/>
    </row>
    <row r="7047" spans="1:1" hidden="1" x14ac:dyDescent="0.3">
      <c r="A7047" s="46"/>
    </row>
    <row r="7048" spans="1:1" hidden="1" x14ac:dyDescent="0.3">
      <c r="A7048" s="46"/>
    </row>
    <row r="7049" spans="1:1" hidden="1" x14ac:dyDescent="0.3">
      <c r="A7049" s="46"/>
    </row>
    <row r="7050" spans="1:1" hidden="1" x14ac:dyDescent="0.3">
      <c r="A7050" s="46"/>
    </row>
    <row r="7051" spans="1:1" hidden="1" x14ac:dyDescent="0.3">
      <c r="A7051" s="46"/>
    </row>
    <row r="7052" spans="1:1" hidden="1" x14ac:dyDescent="0.3">
      <c r="A7052" s="46"/>
    </row>
    <row r="7053" spans="1:1" hidden="1" x14ac:dyDescent="0.3">
      <c r="A7053" s="46"/>
    </row>
    <row r="7054" spans="1:1" hidden="1" x14ac:dyDescent="0.3">
      <c r="A7054" s="46"/>
    </row>
    <row r="7055" spans="1:1" hidden="1" x14ac:dyDescent="0.3">
      <c r="A7055" s="46"/>
    </row>
    <row r="7056" spans="1:1" hidden="1" x14ac:dyDescent="0.3">
      <c r="A7056" s="46"/>
    </row>
    <row r="7057" spans="1:1" hidden="1" x14ac:dyDescent="0.3">
      <c r="A7057" s="46"/>
    </row>
    <row r="7058" spans="1:1" hidden="1" x14ac:dyDescent="0.3">
      <c r="A7058" s="46"/>
    </row>
    <row r="7059" spans="1:1" hidden="1" x14ac:dyDescent="0.3">
      <c r="A7059" s="46"/>
    </row>
    <row r="7060" spans="1:1" hidden="1" x14ac:dyDescent="0.3">
      <c r="A7060" s="46"/>
    </row>
    <row r="7061" spans="1:1" hidden="1" x14ac:dyDescent="0.3">
      <c r="A7061" s="46"/>
    </row>
    <row r="7062" spans="1:1" hidden="1" x14ac:dyDescent="0.3">
      <c r="A7062" s="46"/>
    </row>
    <row r="7063" spans="1:1" hidden="1" x14ac:dyDescent="0.3">
      <c r="A7063" s="46"/>
    </row>
    <row r="7064" spans="1:1" hidden="1" x14ac:dyDescent="0.3">
      <c r="A7064" s="46"/>
    </row>
    <row r="7065" spans="1:1" hidden="1" x14ac:dyDescent="0.3">
      <c r="A7065" s="46"/>
    </row>
    <row r="7066" spans="1:1" hidden="1" x14ac:dyDescent="0.3">
      <c r="A7066" s="46"/>
    </row>
    <row r="7067" spans="1:1" hidden="1" x14ac:dyDescent="0.3">
      <c r="A7067" s="46"/>
    </row>
    <row r="7068" spans="1:1" hidden="1" x14ac:dyDescent="0.3">
      <c r="A7068" s="46"/>
    </row>
    <row r="7069" spans="1:1" hidden="1" x14ac:dyDescent="0.3">
      <c r="A7069" s="46"/>
    </row>
    <row r="7070" spans="1:1" hidden="1" x14ac:dyDescent="0.3">
      <c r="A7070" s="46"/>
    </row>
    <row r="7071" spans="1:1" hidden="1" x14ac:dyDescent="0.3">
      <c r="A7071" s="46"/>
    </row>
    <row r="7072" spans="1:1" hidden="1" x14ac:dyDescent="0.3">
      <c r="A7072" s="46"/>
    </row>
    <row r="7073" spans="1:1" hidden="1" x14ac:dyDescent="0.3">
      <c r="A7073" s="46"/>
    </row>
    <row r="7074" spans="1:1" hidden="1" x14ac:dyDescent="0.3">
      <c r="A7074" s="46"/>
    </row>
    <row r="7075" spans="1:1" hidden="1" x14ac:dyDescent="0.3">
      <c r="A7075" s="46"/>
    </row>
    <row r="7076" spans="1:1" hidden="1" x14ac:dyDescent="0.3">
      <c r="A7076" s="46"/>
    </row>
    <row r="7077" spans="1:1" hidden="1" x14ac:dyDescent="0.3">
      <c r="A7077" s="46"/>
    </row>
    <row r="7078" spans="1:1" hidden="1" x14ac:dyDescent="0.3">
      <c r="A7078" s="46"/>
    </row>
    <row r="7079" spans="1:1" hidden="1" x14ac:dyDescent="0.3">
      <c r="A7079" s="46"/>
    </row>
    <row r="7080" spans="1:1" hidden="1" x14ac:dyDescent="0.3">
      <c r="A7080" s="46"/>
    </row>
    <row r="7081" spans="1:1" hidden="1" x14ac:dyDescent="0.3">
      <c r="A7081" s="46"/>
    </row>
    <row r="7082" spans="1:1" hidden="1" x14ac:dyDescent="0.3">
      <c r="A7082" s="46"/>
    </row>
    <row r="7083" spans="1:1" hidden="1" x14ac:dyDescent="0.3">
      <c r="A7083" s="46"/>
    </row>
    <row r="7084" spans="1:1" hidden="1" x14ac:dyDescent="0.3">
      <c r="A7084" s="46"/>
    </row>
    <row r="7085" spans="1:1" hidden="1" x14ac:dyDescent="0.3">
      <c r="A7085" s="46"/>
    </row>
    <row r="7086" spans="1:1" hidden="1" x14ac:dyDescent="0.3">
      <c r="A7086" s="46"/>
    </row>
    <row r="7087" spans="1:1" hidden="1" x14ac:dyDescent="0.3">
      <c r="A7087" s="46"/>
    </row>
    <row r="7088" spans="1:1" hidden="1" x14ac:dyDescent="0.3">
      <c r="A7088" s="46"/>
    </row>
    <row r="7089" spans="1:1" hidden="1" x14ac:dyDescent="0.3">
      <c r="A7089" s="46"/>
    </row>
    <row r="7090" spans="1:1" hidden="1" x14ac:dyDescent="0.3">
      <c r="A7090" s="46"/>
    </row>
    <row r="7091" spans="1:1" hidden="1" x14ac:dyDescent="0.3">
      <c r="A7091" s="46"/>
    </row>
    <row r="7092" spans="1:1" hidden="1" x14ac:dyDescent="0.3">
      <c r="A7092" s="46"/>
    </row>
    <row r="7093" spans="1:1" hidden="1" x14ac:dyDescent="0.3">
      <c r="A7093" s="46"/>
    </row>
    <row r="7094" spans="1:1" hidden="1" x14ac:dyDescent="0.3">
      <c r="A7094" s="46"/>
    </row>
    <row r="7095" spans="1:1" hidden="1" x14ac:dyDescent="0.3">
      <c r="A7095" s="46"/>
    </row>
    <row r="7096" spans="1:1" hidden="1" x14ac:dyDescent="0.3">
      <c r="A7096" s="46"/>
    </row>
    <row r="7097" spans="1:1" hidden="1" x14ac:dyDescent="0.3">
      <c r="A7097" s="46"/>
    </row>
    <row r="7098" spans="1:1" hidden="1" x14ac:dyDescent="0.3">
      <c r="A7098" s="46"/>
    </row>
    <row r="7099" spans="1:1" hidden="1" x14ac:dyDescent="0.3">
      <c r="A7099" s="46"/>
    </row>
    <row r="7100" spans="1:1" hidden="1" x14ac:dyDescent="0.3">
      <c r="A7100" s="46"/>
    </row>
    <row r="7101" spans="1:1" hidden="1" x14ac:dyDescent="0.3">
      <c r="A7101" s="46"/>
    </row>
    <row r="7102" spans="1:1" hidden="1" x14ac:dyDescent="0.3">
      <c r="A7102" s="46"/>
    </row>
    <row r="7103" spans="1:1" hidden="1" x14ac:dyDescent="0.3">
      <c r="A7103" s="46"/>
    </row>
    <row r="7104" spans="1:1" hidden="1" x14ac:dyDescent="0.3">
      <c r="A7104" s="46"/>
    </row>
    <row r="7105" spans="1:1" hidden="1" x14ac:dyDescent="0.3">
      <c r="A7105" s="46"/>
    </row>
    <row r="7106" spans="1:1" hidden="1" x14ac:dyDescent="0.3">
      <c r="A7106" s="46"/>
    </row>
    <row r="7107" spans="1:1" hidden="1" x14ac:dyDescent="0.3">
      <c r="A7107" s="46"/>
    </row>
    <row r="7108" spans="1:1" hidden="1" x14ac:dyDescent="0.3">
      <c r="A7108" s="46"/>
    </row>
    <row r="7109" spans="1:1" hidden="1" x14ac:dyDescent="0.3">
      <c r="A7109" s="46"/>
    </row>
    <row r="7110" spans="1:1" hidden="1" x14ac:dyDescent="0.3">
      <c r="A7110" s="46"/>
    </row>
    <row r="7111" spans="1:1" hidden="1" x14ac:dyDescent="0.3">
      <c r="A7111" s="46"/>
    </row>
    <row r="7112" spans="1:1" hidden="1" x14ac:dyDescent="0.3">
      <c r="A7112" s="46"/>
    </row>
    <row r="7113" spans="1:1" hidden="1" x14ac:dyDescent="0.3">
      <c r="A7113" s="46"/>
    </row>
    <row r="7114" spans="1:1" hidden="1" x14ac:dyDescent="0.3">
      <c r="A7114" s="46"/>
    </row>
    <row r="7115" spans="1:1" hidden="1" x14ac:dyDescent="0.3">
      <c r="A7115" s="46"/>
    </row>
    <row r="7116" spans="1:1" hidden="1" x14ac:dyDescent="0.3">
      <c r="A7116" s="46"/>
    </row>
    <row r="7117" spans="1:1" hidden="1" x14ac:dyDescent="0.3">
      <c r="A7117" s="46"/>
    </row>
    <row r="7118" spans="1:1" hidden="1" x14ac:dyDescent="0.3">
      <c r="A7118" s="46"/>
    </row>
    <row r="7119" spans="1:1" hidden="1" x14ac:dyDescent="0.3">
      <c r="A7119" s="46"/>
    </row>
    <row r="7120" spans="1:1" hidden="1" x14ac:dyDescent="0.3">
      <c r="A7120" s="46"/>
    </row>
    <row r="7121" spans="1:1" hidden="1" x14ac:dyDescent="0.3">
      <c r="A7121" s="46"/>
    </row>
    <row r="7122" spans="1:1" hidden="1" x14ac:dyDescent="0.3">
      <c r="A7122" s="46"/>
    </row>
    <row r="7123" spans="1:1" hidden="1" x14ac:dyDescent="0.3">
      <c r="A7123" s="46"/>
    </row>
    <row r="7124" spans="1:1" hidden="1" x14ac:dyDescent="0.3">
      <c r="A7124" s="46"/>
    </row>
    <row r="7125" spans="1:1" hidden="1" x14ac:dyDescent="0.3">
      <c r="A7125" s="46"/>
    </row>
    <row r="7126" spans="1:1" hidden="1" x14ac:dyDescent="0.3">
      <c r="A7126" s="46"/>
    </row>
    <row r="7127" spans="1:1" hidden="1" x14ac:dyDescent="0.3">
      <c r="A7127" s="46"/>
    </row>
    <row r="7128" spans="1:1" hidden="1" x14ac:dyDescent="0.3">
      <c r="A7128" s="46"/>
    </row>
    <row r="7129" spans="1:1" hidden="1" x14ac:dyDescent="0.3">
      <c r="A7129" s="46"/>
    </row>
    <row r="7130" spans="1:1" hidden="1" x14ac:dyDescent="0.3">
      <c r="A7130" s="46"/>
    </row>
    <row r="7131" spans="1:1" hidden="1" x14ac:dyDescent="0.3">
      <c r="A7131" s="46"/>
    </row>
    <row r="7132" spans="1:1" hidden="1" x14ac:dyDescent="0.3">
      <c r="A7132" s="46"/>
    </row>
    <row r="7133" spans="1:1" hidden="1" x14ac:dyDescent="0.3">
      <c r="A7133" s="46"/>
    </row>
    <row r="7134" spans="1:1" hidden="1" x14ac:dyDescent="0.3">
      <c r="A7134" s="46"/>
    </row>
    <row r="7135" spans="1:1" hidden="1" x14ac:dyDescent="0.3">
      <c r="A7135" s="46"/>
    </row>
    <row r="7136" spans="1:1" hidden="1" x14ac:dyDescent="0.3">
      <c r="A7136" s="46"/>
    </row>
    <row r="7137" spans="1:1" hidden="1" x14ac:dyDescent="0.3">
      <c r="A7137" s="46"/>
    </row>
    <row r="7138" spans="1:1" hidden="1" x14ac:dyDescent="0.3">
      <c r="A7138" s="46"/>
    </row>
    <row r="7139" spans="1:1" hidden="1" x14ac:dyDescent="0.3">
      <c r="A7139" s="46"/>
    </row>
    <row r="7140" spans="1:1" hidden="1" x14ac:dyDescent="0.3">
      <c r="A7140" s="46"/>
    </row>
    <row r="7141" spans="1:1" hidden="1" x14ac:dyDescent="0.3">
      <c r="A7141" s="46"/>
    </row>
    <row r="7142" spans="1:1" hidden="1" x14ac:dyDescent="0.3">
      <c r="A7142" s="46"/>
    </row>
    <row r="7143" spans="1:1" hidden="1" x14ac:dyDescent="0.3">
      <c r="A7143" s="46"/>
    </row>
    <row r="7144" spans="1:1" hidden="1" x14ac:dyDescent="0.3">
      <c r="A7144" s="46"/>
    </row>
    <row r="7145" spans="1:1" hidden="1" x14ac:dyDescent="0.3">
      <c r="A7145" s="46"/>
    </row>
    <row r="7146" spans="1:1" hidden="1" x14ac:dyDescent="0.3">
      <c r="A7146" s="46"/>
    </row>
    <row r="7147" spans="1:1" hidden="1" x14ac:dyDescent="0.3">
      <c r="A7147" s="46"/>
    </row>
    <row r="7148" spans="1:1" hidden="1" x14ac:dyDescent="0.3">
      <c r="A7148" s="46"/>
    </row>
    <row r="7149" spans="1:1" hidden="1" x14ac:dyDescent="0.3">
      <c r="A7149" s="46"/>
    </row>
    <row r="7150" spans="1:1" hidden="1" x14ac:dyDescent="0.3">
      <c r="A7150" s="46"/>
    </row>
    <row r="7151" spans="1:1" hidden="1" x14ac:dyDescent="0.3">
      <c r="A7151" s="46"/>
    </row>
    <row r="7152" spans="1:1" hidden="1" x14ac:dyDescent="0.3">
      <c r="A7152" s="46"/>
    </row>
    <row r="7153" spans="1:1" hidden="1" x14ac:dyDescent="0.3">
      <c r="A7153" s="46"/>
    </row>
    <row r="7154" spans="1:1" hidden="1" x14ac:dyDescent="0.3">
      <c r="A7154" s="46"/>
    </row>
    <row r="7155" spans="1:1" hidden="1" x14ac:dyDescent="0.3">
      <c r="A7155" s="46"/>
    </row>
    <row r="7156" spans="1:1" hidden="1" x14ac:dyDescent="0.3">
      <c r="A7156" s="46"/>
    </row>
    <row r="7157" spans="1:1" hidden="1" x14ac:dyDescent="0.3">
      <c r="A7157" s="46"/>
    </row>
    <row r="7158" spans="1:1" hidden="1" x14ac:dyDescent="0.3">
      <c r="A7158" s="46"/>
    </row>
    <row r="7159" spans="1:1" hidden="1" x14ac:dyDescent="0.3">
      <c r="A7159" s="46"/>
    </row>
    <row r="7160" spans="1:1" hidden="1" x14ac:dyDescent="0.3">
      <c r="A7160" s="46"/>
    </row>
    <row r="7161" spans="1:1" hidden="1" x14ac:dyDescent="0.3">
      <c r="A7161" s="46"/>
    </row>
    <row r="7162" spans="1:1" hidden="1" x14ac:dyDescent="0.3">
      <c r="A7162" s="46"/>
    </row>
    <row r="7163" spans="1:1" hidden="1" x14ac:dyDescent="0.3">
      <c r="A7163" s="46"/>
    </row>
    <row r="7164" spans="1:1" hidden="1" x14ac:dyDescent="0.3">
      <c r="A7164" s="46"/>
    </row>
    <row r="7165" spans="1:1" hidden="1" x14ac:dyDescent="0.3">
      <c r="A7165" s="46"/>
    </row>
    <row r="7166" spans="1:1" hidden="1" x14ac:dyDescent="0.3">
      <c r="A7166" s="46"/>
    </row>
    <row r="7167" spans="1:1" hidden="1" x14ac:dyDescent="0.3">
      <c r="A7167" s="46"/>
    </row>
    <row r="7168" spans="1:1" hidden="1" x14ac:dyDescent="0.3">
      <c r="A7168" s="46"/>
    </row>
    <row r="7169" spans="1:1" hidden="1" x14ac:dyDescent="0.3">
      <c r="A7169" s="46"/>
    </row>
    <row r="7170" spans="1:1" hidden="1" x14ac:dyDescent="0.3">
      <c r="A7170" s="46"/>
    </row>
    <row r="7171" spans="1:1" hidden="1" x14ac:dyDescent="0.3">
      <c r="A7171" s="46"/>
    </row>
    <row r="7172" spans="1:1" hidden="1" x14ac:dyDescent="0.3">
      <c r="A7172" s="46"/>
    </row>
    <row r="7173" spans="1:1" hidden="1" x14ac:dyDescent="0.3">
      <c r="A7173" s="46"/>
    </row>
    <row r="7174" spans="1:1" hidden="1" x14ac:dyDescent="0.3">
      <c r="A7174" s="46"/>
    </row>
    <row r="7175" spans="1:1" hidden="1" x14ac:dyDescent="0.3">
      <c r="A7175" s="46"/>
    </row>
    <row r="7176" spans="1:1" hidden="1" x14ac:dyDescent="0.3">
      <c r="A7176" s="46"/>
    </row>
    <row r="7177" spans="1:1" hidden="1" x14ac:dyDescent="0.3">
      <c r="A7177" s="46"/>
    </row>
    <row r="7178" spans="1:1" hidden="1" x14ac:dyDescent="0.3">
      <c r="A7178" s="46"/>
    </row>
    <row r="7179" spans="1:1" hidden="1" x14ac:dyDescent="0.3">
      <c r="A7179" s="46"/>
    </row>
    <row r="7180" spans="1:1" hidden="1" x14ac:dyDescent="0.3">
      <c r="A7180" s="46"/>
    </row>
    <row r="7181" spans="1:1" hidden="1" x14ac:dyDescent="0.3">
      <c r="A7181" s="46"/>
    </row>
    <row r="7182" spans="1:1" hidden="1" x14ac:dyDescent="0.3">
      <c r="A7182" s="46"/>
    </row>
    <row r="7183" spans="1:1" hidden="1" x14ac:dyDescent="0.3">
      <c r="A7183" s="46"/>
    </row>
    <row r="7184" spans="1:1" hidden="1" x14ac:dyDescent="0.3">
      <c r="A7184" s="46"/>
    </row>
    <row r="7185" spans="1:1" hidden="1" x14ac:dyDescent="0.3">
      <c r="A7185" s="46"/>
    </row>
    <row r="7186" spans="1:1" hidden="1" x14ac:dyDescent="0.3">
      <c r="A7186" s="46"/>
    </row>
    <row r="7187" spans="1:1" hidden="1" x14ac:dyDescent="0.3">
      <c r="A7187" s="46"/>
    </row>
    <row r="7188" spans="1:1" hidden="1" x14ac:dyDescent="0.3">
      <c r="A7188" s="46"/>
    </row>
    <row r="7189" spans="1:1" hidden="1" x14ac:dyDescent="0.3">
      <c r="A7189" s="46"/>
    </row>
    <row r="7190" spans="1:1" hidden="1" x14ac:dyDescent="0.3">
      <c r="A7190" s="46"/>
    </row>
    <row r="7191" spans="1:1" hidden="1" x14ac:dyDescent="0.3">
      <c r="A7191" s="46"/>
    </row>
    <row r="7192" spans="1:1" hidden="1" x14ac:dyDescent="0.3">
      <c r="A7192" s="46"/>
    </row>
    <row r="7193" spans="1:1" hidden="1" x14ac:dyDescent="0.3">
      <c r="A7193" s="46"/>
    </row>
    <row r="7194" spans="1:1" hidden="1" x14ac:dyDescent="0.3">
      <c r="A7194" s="46"/>
    </row>
    <row r="7195" spans="1:1" hidden="1" x14ac:dyDescent="0.3">
      <c r="A7195" s="46"/>
    </row>
    <row r="7196" spans="1:1" hidden="1" x14ac:dyDescent="0.3">
      <c r="A7196" s="46"/>
    </row>
    <row r="7197" spans="1:1" hidden="1" x14ac:dyDescent="0.3">
      <c r="A7197" s="46"/>
    </row>
    <row r="7198" spans="1:1" hidden="1" x14ac:dyDescent="0.3">
      <c r="A7198" s="46"/>
    </row>
    <row r="7199" spans="1:1" hidden="1" x14ac:dyDescent="0.3">
      <c r="A7199" s="46"/>
    </row>
    <row r="7200" spans="1:1" hidden="1" x14ac:dyDescent="0.3">
      <c r="A7200" s="46"/>
    </row>
    <row r="7201" spans="1:1" hidden="1" x14ac:dyDescent="0.3">
      <c r="A7201" s="46"/>
    </row>
    <row r="7202" spans="1:1" hidden="1" x14ac:dyDescent="0.3">
      <c r="A7202" s="46"/>
    </row>
    <row r="7203" spans="1:1" hidden="1" x14ac:dyDescent="0.3">
      <c r="A7203" s="46"/>
    </row>
    <row r="7204" spans="1:1" hidden="1" x14ac:dyDescent="0.3">
      <c r="A7204" s="46"/>
    </row>
    <row r="7205" spans="1:1" hidden="1" x14ac:dyDescent="0.3">
      <c r="A7205" s="46"/>
    </row>
    <row r="7206" spans="1:1" hidden="1" x14ac:dyDescent="0.3">
      <c r="A7206" s="46"/>
    </row>
    <row r="7207" spans="1:1" hidden="1" x14ac:dyDescent="0.3">
      <c r="A7207" s="46"/>
    </row>
    <row r="7208" spans="1:1" hidden="1" x14ac:dyDescent="0.3">
      <c r="A7208" s="46"/>
    </row>
    <row r="7209" spans="1:1" hidden="1" x14ac:dyDescent="0.3">
      <c r="A7209" s="46"/>
    </row>
    <row r="7210" spans="1:1" hidden="1" x14ac:dyDescent="0.3">
      <c r="A7210" s="46"/>
    </row>
    <row r="7211" spans="1:1" hidden="1" x14ac:dyDescent="0.3">
      <c r="A7211" s="46"/>
    </row>
    <row r="7212" spans="1:1" hidden="1" x14ac:dyDescent="0.3">
      <c r="A7212" s="46"/>
    </row>
    <row r="7213" spans="1:1" hidden="1" x14ac:dyDescent="0.3">
      <c r="A7213" s="46"/>
    </row>
    <row r="7214" spans="1:1" hidden="1" x14ac:dyDescent="0.3">
      <c r="A7214" s="46"/>
    </row>
    <row r="7215" spans="1:1" hidden="1" x14ac:dyDescent="0.3">
      <c r="A7215" s="46"/>
    </row>
    <row r="7216" spans="1:1" hidden="1" x14ac:dyDescent="0.3">
      <c r="A7216" s="46"/>
    </row>
    <row r="7217" spans="1:1" hidden="1" x14ac:dyDescent="0.3">
      <c r="A7217" s="46"/>
    </row>
    <row r="7218" spans="1:1" hidden="1" x14ac:dyDescent="0.3">
      <c r="A7218" s="46"/>
    </row>
    <row r="7219" spans="1:1" hidden="1" x14ac:dyDescent="0.3">
      <c r="A7219" s="46"/>
    </row>
    <row r="7220" spans="1:1" hidden="1" x14ac:dyDescent="0.3">
      <c r="A7220" s="46"/>
    </row>
    <row r="7221" spans="1:1" hidden="1" x14ac:dyDescent="0.3">
      <c r="A7221" s="46"/>
    </row>
    <row r="7222" spans="1:1" hidden="1" x14ac:dyDescent="0.3">
      <c r="A7222" s="46"/>
    </row>
    <row r="7223" spans="1:1" hidden="1" x14ac:dyDescent="0.3">
      <c r="A7223" s="46"/>
    </row>
    <row r="7224" spans="1:1" hidden="1" x14ac:dyDescent="0.3">
      <c r="A7224" s="46"/>
    </row>
    <row r="7225" spans="1:1" hidden="1" x14ac:dyDescent="0.3">
      <c r="A7225" s="46"/>
    </row>
    <row r="7226" spans="1:1" hidden="1" x14ac:dyDescent="0.3">
      <c r="A7226" s="46"/>
    </row>
    <row r="7227" spans="1:1" hidden="1" x14ac:dyDescent="0.3">
      <c r="A7227" s="46"/>
    </row>
    <row r="7228" spans="1:1" hidden="1" x14ac:dyDescent="0.3">
      <c r="A7228" s="46"/>
    </row>
    <row r="7229" spans="1:1" hidden="1" x14ac:dyDescent="0.3">
      <c r="A7229" s="46"/>
    </row>
    <row r="7230" spans="1:1" hidden="1" x14ac:dyDescent="0.3">
      <c r="A7230" s="46"/>
    </row>
    <row r="7231" spans="1:1" hidden="1" x14ac:dyDescent="0.3">
      <c r="A7231" s="46"/>
    </row>
    <row r="7232" spans="1:1" hidden="1" x14ac:dyDescent="0.3">
      <c r="A7232" s="46"/>
    </row>
    <row r="7233" spans="1:1" hidden="1" x14ac:dyDescent="0.3">
      <c r="A7233" s="46"/>
    </row>
    <row r="7234" spans="1:1" hidden="1" x14ac:dyDescent="0.3">
      <c r="A7234" s="46"/>
    </row>
    <row r="7235" spans="1:1" hidden="1" x14ac:dyDescent="0.3">
      <c r="A7235" s="46"/>
    </row>
    <row r="7236" spans="1:1" hidden="1" x14ac:dyDescent="0.3">
      <c r="A7236" s="46"/>
    </row>
    <row r="7237" spans="1:1" hidden="1" x14ac:dyDescent="0.3">
      <c r="A7237" s="46"/>
    </row>
    <row r="7238" spans="1:1" hidden="1" x14ac:dyDescent="0.3">
      <c r="A7238" s="46"/>
    </row>
    <row r="7239" spans="1:1" hidden="1" x14ac:dyDescent="0.3">
      <c r="A7239" s="46"/>
    </row>
    <row r="7240" spans="1:1" hidden="1" x14ac:dyDescent="0.3">
      <c r="A7240" s="46"/>
    </row>
    <row r="7241" spans="1:1" hidden="1" x14ac:dyDescent="0.3">
      <c r="A7241" s="46"/>
    </row>
    <row r="7242" spans="1:1" hidden="1" x14ac:dyDescent="0.3">
      <c r="A7242" s="46"/>
    </row>
    <row r="7243" spans="1:1" hidden="1" x14ac:dyDescent="0.3">
      <c r="A7243" s="46"/>
    </row>
    <row r="7244" spans="1:1" hidden="1" x14ac:dyDescent="0.3">
      <c r="A7244" s="46"/>
    </row>
    <row r="7245" spans="1:1" hidden="1" x14ac:dyDescent="0.3">
      <c r="A7245" s="46"/>
    </row>
    <row r="7246" spans="1:1" hidden="1" x14ac:dyDescent="0.3">
      <c r="A7246" s="46"/>
    </row>
    <row r="7247" spans="1:1" hidden="1" x14ac:dyDescent="0.3">
      <c r="A7247" s="46"/>
    </row>
    <row r="7248" spans="1:1" hidden="1" x14ac:dyDescent="0.3">
      <c r="A7248" s="46"/>
    </row>
    <row r="7249" spans="1:1" hidden="1" x14ac:dyDescent="0.3">
      <c r="A7249" s="46"/>
    </row>
    <row r="7250" spans="1:1" hidden="1" x14ac:dyDescent="0.3">
      <c r="A7250" s="46"/>
    </row>
    <row r="7251" spans="1:1" hidden="1" x14ac:dyDescent="0.3">
      <c r="A7251" s="46"/>
    </row>
    <row r="7252" spans="1:1" hidden="1" x14ac:dyDescent="0.3">
      <c r="A7252" s="46"/>
    </row>
    <row r="7253" spans="1:1" hidden="1" x14ac:dyDescent="0.3">
      <c r="A7253" s="46"/>
    </row>
    <row r="7254" spans="1:1" hidden="1" x14ac:dyDescent="0.3">
      <c r="A7254" s="46"/>
    </row>
    <row r="7255" spans="1:1" hidden="1" x14ac:dyDescent="0.3">
      <c r="A7255" s="46"/>
    </row>
    <row r="7256" spans="1:1" hidden="1" x14ac:dyDescent="0.3">
      <c r="A7256" s="46"/>
    </row>
    <row r="7257" spans="1:1" hidden="1" x14ac:dyDescent="0.3">
      <c r="A7257" s="46"/>
    </row>
    <row r="7258" spans="1:1" hidden="1" x14ac:dyDescent="0.3">
      <c r="A7258" s="46"/>
    </row>
    <row r="7259" spans="1:1" hidden="1" x14ac:dyDescent="0.3">
      <c r="A7259" s="46"/>
    </row>
    <row r="7260" spans="1:1" hidden="1" x14ac:dyDescent="0.3">
      <c r="A7260" s="46"/>
    </row>
    <row r="7261" spans="1:1" hidden="1" x14ac:dyDescent="0.3">
      <c r="A7261" s="46"/>
    </row>
    <row r="7262" spans="1:1" hidden="1" x14ac:dyDescent="0.3">
      <c r="A7262" s="46"/>
    </row>
    <row r="7263" spans="1:1" hidden="1" x14ac:dyDescent="0.3">
      <c r="A7263" s="46"/>
    </row>
    <row r="7264" spans="1:1" hidden="1" x14ac:dyDescent="0.3">
      <c r="A7264" s="46"/>
    </row>
    <row r="7265" spans="1:1" hidden="1" x14ac:dyDescent="0.3">
      <c r="A7265" s="46"/>
    </row>
    <row r="7266" spans="1:1" hidden="1" x14ac:dyDescent="0.3">
      <c r="A7266" s="46"/>
    </row>
    <row r="7267" spans="1:1" hidden="1" x14ac:dyDescent="0.3">
      <c r="A7267" s="46"/>
    </row>
    <row r="7268" spans="1:1" hidden="1" x14ac:dyDescent="0.3">
      <c r="A7268" s="46"/>
    </row>
    <row r="7269" spans="1:1" hidden="1" x14ac:dyDescent="0.3">
      <c r="A7269" s="46"/>
    </row>
    <row r="7270" spans="1:1" hidden="1" x14ac:dyDescent="0.3">
      <c r="A7270" s="46"/>
    </row>
    <row r="7271" spans="1:1" hidden="1" x14ac:dyDescent="0.3">
      <c r="A7271" s="46"/>
    </row>
    <row r="7272" spans="1:1" hidden="1" x14ac:dyDescent="0.3">
      <c r="A7272" s="46"/>
    </row>
    <row r="7273" spans="1:1" hidden="1" x14ac:dyDescent="0.3">
      <c r="A7273" s="46"/>
    </row>
    <row r="7274" spans="1:1" hidden="1" x14ac:dyDescent="0.3">
      <c r="A7274" s="46"/>
    </row>
    <row r="7275" spans="1:1" hidden="1" x14ac:dyDescent="0.3">
      <c r="A7275" s="46"/>
    </row>
    <row r="7276" spans="1:1" hidden="1" x14ac:dyDescent="0.3">
      <c r="A7276" s="46"/>
    </row>
    <row r="7277" spans="1:1" hidden="1" x14ac:dyDescent="0.3">
      <c r="A7277" s="46"/>
    </row>
    <row r="7278" spans="1:1" hidden="1" x14ac:dyDescent="0.3">
      <c r="A7278" s="46"/>
    </row>
    <row r="7279" spans="1:1" hidden="1" x14ac:dyDescent="0.3">
      <c r="A7279" s="46"/>
    </row>
    <row r="7280" spans="1:1" hidden="1" x14ac:dyDescent="0.3">
      <c r="A7280" s="46"/>
    </row>
    <row r="7281" spans="1:1" hidden="1" x14ac:dyDescent="0.3">
      <c r="A7281" s="46"/>
    </row>
    <row r="7282" spans="1:1" hidden="1" x14ac:dyDescent="0.3">
      <c r="A7282" s="46"/>
    </row>
    <row r="7283" spans="1:1" hidden="1" x14ac:dyDescent="0.3">
      <c r="A7283" s="46"/>
    </row>
    <row r="7284" spans="1:1" hidden="1" x14ac:dyDescent="0.3">
      <c r="A7284" s="46"/>
    </row>
    <row r="7285" spans="1:1" hidden="1" x14ac:dyDescent="0.3">
      <c r="A7285" s="46"/>
    </row>
    <row r="7286" spans="1:1" hidden="1" x14ac:dyDescent="0.3">
      <c r="A7286" s="46"/>
    </row>
    <row r="7287" spans="1:1" hidden="1" x14ac:dyDescent="0.3">
      <c r="A7287" s="46"/>
    </row>
    <row r="7288" spans="1:1" hidden="1" x14ac:dyDescent="0.3">
      <c r="A7288" s="46"/>
    </row>
    <row r="7289" spans="1:1" hidden="1" x14ac:dyDescent="0.3">
      <c r="A7289" s="46"/>
    </row>
    <row r="7290" spans="1:1" hidden="1" x14ac:dyDescent="0.3">
      <c r="A7290" s="46"/>
    </row>
    <row r="7291" spans="1:1" hidden="1" x14ac:dyDescent="0.3">
      <c r="A7291" s="46"/>
    </row>
    <row r="7292" spans="1:1" hidden="1" x14ac:dyDescent="0.3">
      <c r="A7292" s="46"/>
    </row>
    <row r="7293" spans="1:1" hidden="1" x14ac:dyDescent="0.3">
      <c r="A7293" s="46"/>
    </row>
    <row r="7294" spans="1:1" hidden="1" x14ac:dyDescent="0.3">
      <c r="A7294" s="46"/>
    </row>
    <row r="7295" spans="1:1" hidden="1" x14ac:dyDescent="0.3">
      <c r="A7295" s="46"/>
    </row>
    <row r="7296" spans="1:1" hidden="1" x14ac:dyDescent="0.3">
      <c r="A7296" s="46"/>
    </row>
    <row r="7297" spans="1:1" hidden="1" x14ac:dyDescent="0.3">
      <c r="A7297" s="46"/>
    </row>
    <row r="7298" spans="1:1" hidden="1" x14ac:dyDescent="0.3">
      <c r="A7298" s="46"/>
    </row>
    <row r="7299" spans="1:1" hidden="1" x14ac:dyDescent="0.3">
      <c r="A7299" s="46"/>
    </row>
    <row r="7300" spans="1:1" hidden="1" x14ac:dyDescent="0.3">
      <c r="A7300" s="46"/>
    </row>
    <row r="7301" spans="1:1" hidden="1" x14ac:dyDescent="0.3">
      <c r="A7301" s="46"/>
    </row>
    <row r="7302" spans="1:1" hidden="1" x14ac:dyDescent="0.3">
      <c r="A7302" s="46"/>
    </row>
    <row r="7303" spans="1:1" hidden="1" x14ac:dyDescent="0.3">
      <c r="A7303" s="46"/>
    </row>
    <row r="7304" spans="1:1" hidden="1" x14ac:dyDescent="0.3">
      <c r="A7304" s="46"/>
    </row>
    <row r="7305" spans="1:1" hidden="1" x14ac:dyDescent="0.3">
      <c r="A7305" s="46"/>
    </row>
    <row r="7306" spans="1:1" hidden="1" x14ac:dyDescent="0.3">
      <c r="A7306" s="46"/>
    </row>
    <row r="7307" spans="1:1" hidden="1" x14ac:dyDescent="0.3">
      <c r="A7307" s="46"/>
    </row>
    <row r="7308" spans="1:1" hidden="1" x14ac:dyDescent="0.3">
      <c r="A7308" s="46"/>
    </row>
    <row r="7309" spans="1:1" hidden="1" x14ac:dyDescent="0.3">
      <c r="A7309" s="46"/>
    </row>
    <row r="7310" spans="1:1" hidden="1" x14ac:dyDescent="0.3">
      <c r="A7310" s="46"/>
    </row>
    <row r="7311" spans="1:1" hidden="1" x14ac:dyDescent="0.3">
      <c r="A7311" s="46"/>
    </row>
    <row r="7312" spans="1:1" hidden="1" x14ac:dyDescent="0.3">
      <c r="A7312" s="46"/>
    </row>
    <row r="7313" spans="1:1" hidden="1" x14ac:dyDescent="0.3">
      <c r="A7313" s="46"/>
    </row>
    <row r="7314" spans="1:1" hidden="1" x14ac:dyDescent="0.3">
      <c r="A7314" s="46"/>
    </row>
    <row r="7315" spans="1:1" hidden="1" x14ac:dyDescent="0.3">
      <c r="A7315" s="46"/>
    </row>
    <row r="7316" spans="1:1" hidden="1" x14ac:dyDescent="0.3">
      <c r="A7316" s="46"/>
    </row>
    <row r="7317" spans="1:1" hidden="1" x14ac:dyDescent="0.3">
      <c r="A7317" s="46"/>
    </row>
    <row r="7318" spans="1:1" hidden="1" x14ac:dyDescent="0.3">
      <c r="A7318" s="46"/>
    </row>
    <row r="7319" spans="1:1" hidden="1" x14ac:dyDescent="0.3">
      <c r="A7319" s="46"/>
    </row>
    <row r="7320" spans="1:1" hidden="1" x14ac:dyDescent="0.3">
      <c r="A7320" s="46"/>
    </row>
    <row r="7321" spans="1:1" hidden="1" x14ac:dyDescent="0.3">
      <c r="A7321" s="46"/>
    </row>
    <row r="7322" spans="1:1" hidden="1" x14ac:dyDescent="0.3">
      <c r="A7322" s="46"/>
    </row>
    <row r="7323" spans="1:1" hidden="1" x14ac:dyDescent="0.3">
      <c r="A7323" s="46"/>
    </row>
    <row r="7324" spans="1:1" hidden="1" x14ac:dyDescent="0.3">
      <c r="A7324" s="46"/>
    </row>
    <row r="7325" spans="1:1" hidden="1" x14ac:dyDescent="0.3">
      <c r="A7325" s="46"/>
    </row>
    <row r="7326" spans="1:1" hidden="1" x14ac:dyDescent="0.3">
      <c r="A7326" s="46"/>
    </row>
    <row r="7327" spans="1:1" hidden="1" x14ac:dyDescent="0.3">
      <c r="A7327" s="46"/>
    </row>
    <row r="7328" spans="1:1" hidden="1" x14ac:dyDescent="0.3">
      <c r="A7328" s="46"/>
    </row>
    <row r="7329" spans="1:1" hidden="1" x14ac:dyDescent="0.3">
      <c r="A7329" s="46"/>
    </row>
    <row r="7330" spans="1:1" hidden="1" x14ac:dyDescent="0.3">
      <c r="A7330" s="46"/>
    </row>
    <row r="7331" spans="1:1" hidden="1" x14ac:dyDescent="0.3">
      <c r="A7331" s="46"/>
    </row>
    <row r="7332" spans="1:1" hidden="1" x14ac:dyDescent="0.3">
      <c r="A7332" s="46"/>
    </row>
    <row r="7333" spans="1:1" hidden="1" x14ac:dyDescent="0.3">
      <c r="A7333" s="46"/>
    </row>
    <row r="7334" spans="1:1" hidden="1" x14ac:dyDescent="0.3">
      <c r="A7334" s="46"/>
    </row>
    <row r="7335" spans="1:1" hidden="1" x14ac:dyDescent="0.3">
      <c r="A7335" s="46"/>
    </row>
    <row r="7336" spans="1:1" hidden="1" x14ac:dyDescent="0.3">
      <c r="A7336" s="46"/>
    </row>
    <row r="7337" spans="1:1" hidden="1" x14ac:dyDescent="0.3">
      <c r="A7337" s="46"/>
    </row>
    <row r="7338" spans="1:1" hidden="1" x14ac:dyDescent="0.3">
      <c r="A7338" s="46"/>
    </row>
    <row r="7339" spans="1:1" hidden="1" x14ac:dyDescent="0.3">
      <c r="A7339" s="46"/>
    </row>
    <row r="7340" spans="1:1" hidden="1" x14ac:dyDescent="0.3">
      <c r="A7340" s="46"/>
    </row>
    <row r="7341" spans="1:1" hidden="1" x14ac:dyDescent="0.3">
      <c r="A7341" s="46"/>
    </row>
    <row r="7342" spans="1:1" hidden="1" x14ac:dyDescent="0.3">
      <c r="A7342" s="46"/>
    </row>
    <row r="7343" spans="1:1" hidden="1" x14ac:dyDescent="0.3">
      <c r="A7343" s="46"/>
    </row>
    <row r="7344" spans="1:1" hidden="1" x14ac:dyDescent="0.3">
      <c r="A7344" s="46"/>
    </row>
    <row r="7345" spans="1:1" hidden="1" x14ac:dyDescent="0.3">
      <c r="A7345" s="46"/>
    </row>
    <row r="7346" spans="1:1" hidden="1" x14ac:dyDescent="0.3">
      <c r="A7346" s="46"/>
    </row>
    <row r="7347" spans="1:1" hidden="1" x14ac:dyDescent="0.3">
      <c r="A7347" s="46"/>
    </row>
    <row r="7348" spans="1:1" hidden="1" x14ac:dyDescent="0.3">
      <c r="A7348" s="46"/>
    </row>
    <row r="7349" spans="1:1" hidden="1" x14ac:dyDescent="0.3">
      <c r="A7349" s="46"/>
    </row>
    <row r="7350" spans="1:1" hidden="1" x14ac:dyDescent="0.3">
      <c r="A7350" s="46"/>
    </row>
    <row r="7351" spans="1:1" hidden="1" x14ac:dyDescent="0.3">
      <c r="A7351" s="46"/>
    </row>
    <row r="7352" spans="1:1" hidden="1" x14ac:dyDescent="0.3">
      <c r="A7352" s="46"/>
    </row>
    <row r="7353" spans="1:1" hidden="1" x14ac:dyDescent="0.3">
      <c r="A7353" s="46"/>
    </row>
    <row r="7354" spans="1:1" hidden="1" x14ac:dyDescent="0.3">
      <c r="A7354" s="46"/>
    </row>
    <row r="7355" spans="1:1" hidden="1" x14ac:dyDescent="0.3">
      <c r="A7355" s="46"/>
    </row>
    <row r="7356" spans="1:1" hidden="1" x14ac:dyDescent="0.3">
      <c r="A7356" s="46"/>
    </row>
    <row r="7357" spans="1:1" hidden="1" x14ac:dyDescent="0.3">
      <c r="A7357" s="46"/>
    </row>
    <row r="7358" spans="1:1" hidden="1" x14ac:dyDescent="0.3">
      <c r="A7358" s="46"/>
    </row>
    <row r="7359" spans="1:1" hidden="1" x14ac:dyDescent="0.3">
      <c r="A7359" s="46"/>
    </row>
    <row r="7360" spans="1:1" hidden="1" x14ac:dyDescent="0.3">
      <c r="A7360" s="46"/>
    </row>
    <row r="7361" spans="1:1" hidden="1" x14ac:dyDescent="0.3">
      <c r="A7361" s="46"/>
    </row>
    <row r="7362" spans="1:1" hidden="1" x14ac:dyDescent="0.3">
      <c r="A7362" s="46"/>
    </row>
    <row r="7363" spans="1:1" hidden="1" x14ac:dyDescent="0.3">
      <c r="A7363" s="46"/>
    </row>
    <row r="7364" spans="1:1" hidden="1" x14ac:dyDescent="0.3">
      <c r="A7364" s="46"/>
    </row>
    <row r="7365" spans="1:1" hidden="1" x14ac:dyDescent="0.3">
      <c r="A7365" s="46"/>
    </row>
    <row r="7366" spans="1:1" hidden="1" x14ac:dyDescent="0.3">
      <c r="A7366" s="46"/>
    </row>
    <row r="7367" spans="1:1" hidden="1" x14ac:dyDescent="0.3">
      <c r="A7367" s="46"/>
    </row>
    <row r="7368" spans="1:1" hidden="1" x14ac:dyDescent="0.3">
      <c r="A7368" s="46"/>
    </row>
    <row r="7369" spans="1:1" hidden="1" x14ac:dyDescent="0.3">
      <c r="A7369" s="46"/>
    </row>
    <row r="7370" spans="1:1" hidden="1" x14ac:dyDescent="0.3">
      <c r="A7370" s="46"/>
    </row>
    <row r="7371" spans="1:1" hidden="1" x14ac:dyDescent="0.3">
      <c r="A7371" s="46"/>
    </row>
    <row r="7372" spans="1:1" hidden="1" x14ac:dyDescent="0.3">
      <c r="A7372" s="46"/>
    </row>
    <row r="7373" spans="1:1" hidden="1" x14ac:dyDescent="0.3">
      <c r="A7373" s="46"/>
    </row>
    <row r="7374" spans="1:1" hidden="1" x14ac:dyDescent="0.3">
      <c r="A7374" s="46"/>
    </row>
    <row r="7375" spans="1:1" hidden="1" x14ac:dyDescent="0.3">
      <c r="A7375" s="46"/>
    </row>
    <row r="7376" spans="1:1" hidden="1" x14ac:dyDescent="0.3">
      <c r="A7376" s="46"/>
    </row>
    <row r="7377" spans="1:1" hidden="1" x14ac:dyDescent="0.3">
      <c r="A7377" s="46"/>
    </row>
    <row r="7378" spans="1:1" hidden="1" x14ac:dyDescent="0.3">
      <c r="A7378" s="46"/>
    </row>
    <row r="7379" spans="1:1" hidden="1" x14ac:dyDescent="0.3">
      <c r="A7379" s="46"/>
    </row>
    <row r="7380" spans="1:1" hidden="1" x14ac:dyDescent="0.3">
      <c r="A7380" s="46"/>
    </row>
    <row r="7381" spans="1:1" hidden="1" x14ac:dyDescent="0.3">
      <c r="A7381" s="46"/>
    </row>
    <row r="7382" spans="1:1" hidden="1" x14ac:dyDescent="0.3">
      <c r="A7382" s="46"/>
    </row>
    <row r="7383" spans="1:1" hidden="1" x14ac:dyDescent="0.3">
      <c r="A7383" s="46"/>
    </row>
    <row r="7384" spans="1:1" hidden="1" x14ac:dyDescent="0.3">
      <c r="A7384" s="46"/>
    </row>
    <row r="7385" spans="1:1" hidden="1" x14ac:dyDescent="0.3">
      <c r="A7385" s="46"/>
    </row>
    <row r="7386" spans="1:1" hidden="1" x14ac:dyDescent="0.3">
      <c r="A7386" s="46"/>
    </row>
    <row r="7387" spans="1:1" hidden="1" x14ac:dyDescent="0.3">
      <c r="A7387" s="46"/>
    </row>
    <row r="7388" spans="1:1" hidden="1" x14ac:dyDescent="0.3">
      <c r="A7388" s="46"/>
    </row>
    <row r="7389" spans="1:1" hidden="1" x14ac:dyDescent="0.3">
      <c r="A7389" s="46"/>
    </row>
    <row r="7390" spans="1:1" hidden="1" x14ac:dyDescent="0.3">
      <c r="A7390" s="46"/>
    </row>
    <row r="7391" spans="1:1" hidden="1" x14ac:dyDescent="0.3">
      <c r="A7391" s="46"/>
    </row>
    <row r="7392" spans="1:1" hidden="1" x14ac:dyDescent="0.3">
      <c r="A7392" s="46"/>
    </row>
    <row r="7393" spans="1:1" hidden="1" x14ac:dyDescent="0.3">
      <c r="A7393" s="46"/>
    </row>
    <row r="7394" spans="1:1" hidden="1" x14ac:dyDescent="0.3">
      <c r="A7394" s="46"/>
    </row>
    <row r="7395" spans="1:1" hidden="1" x14ac:dyDescent="0.3">
      <c r="A7395" s="46"/>
    </row>
    <row r="7396" spans="1:1" hidden="1" x14ac:dyDescent="0.3">
      <c r="A7396" s="46"/>
    </row>
    <row r="7397" spans="1:1" hidden="1" x14ac:dyDescent="0.3">
      <c r="A7397" s="46"/>
    </row>
    <row r="7398" spans="1:1" hidden="1" x14ac:dyDescent="0.3">
      <c r="A7398" s="46"/>
    </row>
    <row r="7399" spans="1:1" hidden="1" x14ac:dyDescent="0.3">
      <c r="A7399" s="46"/>
    </row>
    <row r="7400" spans="1:1" hidden="1" x14ac:dyDescent="0.3">
      <c r="A7400" s="46"/>
    </row>
    <row r="7401" spans="1:1" hidden="1" x14ac:dyDescent="0.3">
      <c r="A7401" s="46"/>
    </row>
    <row r="7402" spans="1:1" hidden="1" x14ac:dyDescent="0.3">
      <c r="A7402" s="46"/>
    </row>
    <row r="7403" spans="1:1" hidden="1" x14ac:dyDescent="0.3">
      <c r="A7403" s="46"/>
    </row>
    <row r="7404" spans="1:1" hidden="1" x14ac:dyDescent="0.3">
      <c r="A7404" s="46"/>
    </row>
    <row r="7405" spans="1:1" hidden="1" x14ac:dyDescent="0.3">
      <c r="A7405" s="46"/>
    </row>
    <row r="7406" spans="1:1" hidden="1" x14ac:dyDescent="0.3">
      <c r="A7406" s="46"/>
    </row>
    <row r="7407" spans="1:1" hidden="1" x14ac:dyDescent="0.3">
      <c r="A7407" s="46"/>
    </row>
    <row r="7408" spans="1:1" hidden="1" x14ac:dyDescent="0.3">
      <c r="A7408" s="46"/>
    </row>
    <row r="7409" spans="1:11" hidden="1" x14ac:dyDescent="0.3">
      <c r="A7409" s="46"/>
    </row>
    <row r="7410" spans="1:11" hidden="1" x14ac:dyDescent="0.3">
      <c r="A7410" s="46"/>
      <c r="D7410" s="31"/>
      <c r="G7410" s="31"/>
      <c r="H7410" s="31"/>
      <c r="I7410" s="31"/>
      <c r="J7410" s="31"/>
      <c r="K7410" s="31"/>
    </row>
    <row r="7411" spans="1:11" hidden="1" x14ac:dyDescent="0.3">
      <c r="A7411" s="46"/>
    </row>
    <row r="7412" spans="1:11" hidden="1" x14ac:dyDescent="0.3">
      <c r="A7412" s="46"/>
    </row>
    <row r="7413" spans="1:11" hidden="1" x14ac:dyDescent="0.3">
      <c r="A7413" s="46"/>
    </row>
    <row r="7414" spans="1:11" hidden="1" x14ac:dyDescent="0.3">
      <c r="A7414" s="46"/>
    </row>
    <row r="7415" spans="1:11" hidden="1" x14ac:dyDescent="0.3">
      <c r="A7415" s="46"/>
    </row>
    <row r="7416" spans="1:11" hidden="1" x14ac:dyDescent="0.3">
      <c r="A7416" s="46"/>
    </row>
    <row r="7417" spans="1:11" hidden="1" x14ac:dyDescent="0.3">
      <c r="A7417" s="46"/>
    </row>
    <row r="7418" spans="1:11" hidden="1" x14ac:dyDescent="0.3">
      <c r="A7418" s="46"/>
    </row>
    <row r="7419" spans="1:11" hidden="1" x14ac:dyDescent="0.3">
      <c r="A7419" s="46"/>
    </row>
    <row r="7420" spans="1:11" hidden="1" x14ac:dyDescent="0.3">
      <c r="A7420" s="46"/>
    </row>
    <row r="7421" spans="1:11" hidden="1" x14ac:dyDescent="0.3">
      <c r="A7421" s="46"/>
    </row>
    <row r="7422" spans="1:11" hidden="1" x14ac:dyDescent="0.3">
      <c r="A7422" s="46"/>
    </row>
    <row r="7423" spans="1:11" hidden="1" x14ac:dyDescent="0.3">
      <c r="A7423" s="46"/>
    </row>
    <row r="7424" spans="1:11" hidden="1" x14ac:dyDescent="0.3">
      <c r="A7424" s="46"/>
    </row>
    <row r="7425" spans="1:1" hidden="1" x14ac:dyDescent="0.3">
      <c r="A7425" s="46"/>
    </row>
    <row r="7426" spans="1:1" hidden="1" x14ac:dyDescent="0.3">
      <c r="A7426" s="46"/>
    </row>
    <row r="7427" spans="1:1" hidden="1" x14ac:dyDescent="0.3">
      <c r="A7427" s="46"/>
    </row>
    <row r="7428" spans="1:1" hidden="1" x14ac:dyDescent="0.3">
      <c r="A7428" s="46"/>
    </row>
    <row r="7429" spans="1:1" hidden="1" x14ac:dyDescent="0.3">
      <c r="A7429" s="46"/>
    </row>
    <row r="7430" spans="1:1" hidden="1" x14ac:dyDescent="0.3">
      <c r="A7430" s="46"/>
    </row>
    <row r="7431" spans="1:1" hidden="1" x14ac:dyDescent="0.3">
      <c r="A7431" s="46"/>
    </row>
    <row r="7432" spans="1:1" hidden="1" x14ac:dyDescent="0.3">
      <c r="A7432" s="46"/>
    </row>
    <row r="7433" spans="1:1" hidden="1" x14ac:dyDescent="0.3">
      <c r="A7433" s="46"/>
    </row>
    <row r="7434" spans="1:1" hidden="1" x14ac:dyDescent="0.3">
      <c r="A7434" s="46"/>
    </row>
    <row r="7435" spans="1:1" hidden="1" x14ac:dyDescent="0.3">
      <c r="A7435" s="46"/>
    </row>
    <row r="7436" spans="1:1" hidden="1" x14ac:dyDescent="0.3">
      <c r="A7436" s="46"/>
    </row>
    <row r="7437" spans="1:1" hidden="1" x14ac:dyDescent="0.3">
      <c r="A7437" s="46"/>
    </row>
    <row r="7438" spans="1:1" hidden="1" x14ac:dyDescent="0.3">
      <c r="A7438" s="46"/>
    </row>
    <row r="7439" spans="1:1" hidden="1" x14ac:dyDescent="0.3">
      <c r="A7439" s="46"/>
    </row>
    <row r="7440" spans="1:1" hidden="1" x14ac:dyDescent="0.3">
      <c r="A7440" s="46"/>
    </row>
    <row r="7441" spans="1:1" hidden="1" x14ac:dyDescent="0.3">
      <c r="A7441" s="46"/>
    </row>
    <row r="7442" spans="1:1" hidden="1" x14ac:dyDescent="0.3">
      <c r="A7442" s="46"/>
    </row>
    <row r="7443" spans="1:1" hidden="1" x14ac:dyDescent="0.3">
      <c r="A7443" s="46"/>
    </row>
    <row r="7444" spans="1:1" hidden="1" x14ac:dyDescent="0.3">
      <c r="A7444" s="46"/>
    </row>
    <row r="7445" spans="1:1" hidden="1" x14ac:dyDescent="0.3">
      <c r="A7445" s="46"/>
    </row>
    <row r="7446" spans="1:1" hidden="1" x14ac:dyDescent="0.3">
      <c r="A7446" s="46"/>
    </row>
    <row r="7447" spans="1:1" hidden="1" x14ac:dyDescent="0.3">
      <c r="A7447" s="46"/>
    </row>
    <row r="7448" spans="1:1" hidden="1" x14ac:dyDescent="0.3">
      <c r="A7448" s="46"/>
    </row>
    <row r="7449" spans="1:1" hidden="1" x14ac:dyDescent="0.3">
      <c r="A7449" s="46"/>
    </row>
    <row r="7450" spans="1:1" hidden="1" x14ac:dyDescent="0.3">
      <c r="A7450" s="46"/>
    </row>
    <row r="7451" spans="1:1" hidden="1" x14ac:dyDescent="0.3">
      <c r="A7451" s="46"/>
    </row>
    <row r="7452" spans="1:1" hidden="1" x14ac:dyDescent="0.3">
      <c r="A7452" s="46"/>
    </row>
    <row r="7453" spans="1:1" hidden="1" x14ac:dyDescent="0.3">
      <c r="A7453" s="46"/>
    </row>
    <row r="7454" spans="1:1" hidden="1" x14ac:dyDescent="0.3">
      <c r="A7454" s="46"/>
    </row>
    <row r="7455" spans="1:1" hidden="1" x14ac:dyDescent="0.3">
      <c r="A7455" s="46"/>
    </row>
    <row r="7456" spans="1:1" hidden="1" x14ac:dyDescent="0.3">
      <c r="A7456" s="46"/>
    </row>
    <row r="7457" spans="1:1" hidden="1" x14ac:dyDescent="0.3">
      <c r="A7457" s="46"/>
    </row>
    <row r="7458" spans="1:1" hidden="1" x14ac:dyDescent="0.3">
      <c r="A7458" s="46"/>
    </row>
    <row r="7459" spans="1:1" hidden="1" x14ac:dyDescent="0.3">
      <c r="A7459" s="46"/>
    </row>
    <row r="7460" spans="1:1" hidden="1" x14ac:dyDescent="0.3">
      <c r="A7460" s="46"/>
    </row>
    <row r="7461" spans="1:1" hidden="1" x14ac:dyDescent="0.3">
      <c r="A7461" s="46"/>
    </row>
    <row r="7462" spans="1:1" hidden="1" x14ac:dyDescent="0.3">
      <c r="A7462" s="46"/>
    </row>
    <row r="7463" spans="1:1" hidden="1" x14ac:dyDescent="0.3">
      <c r="A7463" s="46"/>
    </row>
    <row r="7464" spans="1:1" hidden="1" x14ac:dyDescent="0.3">
      <c r="A7464" s="46"/>
    </row>
    <row r="7465" spans="1:1" hidden="1" x14ac:dyDescent="0.3">
      <c r="A7465" s="46"/>
    </row>
    <row r="7466" spans="1:1" hidden="1" x14ac:dyDescent="0.3">
      <c r="A7466" s="46"/>
    </row>
    <row r="7467" spans="1:1" hidden="1" x14ac:dyDescent="0.3">
      <c r="A7467" s="46"/>
    </row>
    <row r="7468" spans="1:1" hidden="1" x14ac:dyDescent="0.3">
      <c r="A7468" s="46"/>
    </row>
    <row r="7469" spans="1:1" hidden="1" x14ac:dyDescent="0.3">
      <c r="A7469" s="46"/>
    </row>
    <row r="7470" spans="1:1" hidden="1" x14ac:dyDescent="0.3">
      <c r="A7470" s="46"/>
    </row>
    <row r="7471" spans="1:1" hidden="1" x14ac:dyDescent="0.3">
      <c r="A7471" s="46"/>
    </row>
    <row r="7472" spans="1:1" hidden="1" x14ac:dyDescent="0.3">
      <c r="A7472" s="46"/>
    </row>
    <row r="7473" spans="1:1" hidden="1" x14ac:dyDescent="0.3">
      <c r="A7473" s="46"/>
    </row>
    <row r="7474" spans="1:1" hidden="1" x14ac:dyDescent="0.3">
      <c r="A7474" s="46"/>
    </row>
    <row r="7475" spans="1:1" hidden="1" x14ac:dyDescent="0.3">
      <c r="A7475" s="46"/>
    </row>
    <row r="7476" spans="1:1" hidden="1" x14ac:dyDescent="0.3">
      <c r="A7476" s="46"/>
    </row>
    <row r="7477" spans="1:1" hidden="1" x14ac:dyDescent="0.3">
      <c r="A7477" s="46"/>
    </row>
    <row r="7478" spans="1:1" hidden="1" x14ac:dyDescent="0.3">
      <c r="A7478" s="46"/>
    </row>
    <row r="7479" spans="1:1" hidden="1" x14ac:dyDescent="0.3">
      <c r="A7479" s="46"/>
    </row>
    <row r="7480" spans="1:1" hidden="1" x14ac:dyDescent="0.3">
      <c r="A7480" s="46"/>
    </row>
    <row r="7481" spans="1:1" hidden="1" x14ac:dyDescent="0.3">
      <c r="A7481" s="46"/>
    </row>
    <row r="7482" spans="1:1" hidden="1" x14ac:dyDescent="0.3">
      <c r="A7482" s="46"/>
    </row>
    <row r="7483" spans="1:1" hidden="1" x14ac:dyDescent="0.3">
      <c r="A7483" s="46"/>
    </row>
    <row r="7484" spans="1:1" hidden="1" x14ac:dyDescent="0.3">
      <c r="A7484" s="46"/>
    </row>
    <row r="7485" spans="1:1" hidden="1" x14ac:dyDescent="0.3">
      <c r="A7485" s="46"/>
    </row>
    <row r="7486" spans="1:1" hidden="1" x14ac:dyDescent="0.3">
      <c r="A7486" s="46"/>
    </row>
    <row r="7487" spans="1:1" hidden="1" x14ac:dyDescent="0.3">
      <c r="A7487" s="46"/>
    </row>
    <row r="7488" spans="1:1" hidden="1" x14ac:dyDescent="0.3">
      <c r="A7488" s="46"/>
    </row>
    <row r="7489" spans="1:1" hidden="1" x14ac:dyDescent="0.3">
      <c r="A7489" s="46"/>
    </row>
    <row r="7490" spans="1:1" hidden="1" x14ac:dyDescent="0.3">
      <c r="A7490" s="46"/>
    </row>
    <row r="7491" spans="1:1" hidden="1" x14ac:dyDescent="0.3">
      <c r="A7491" s="46"/>
    </row>
    <row r="7492" spans="1:1" hidden="1" x14ac:dyDescent="0.3">
      <c r="A7492" s="46"/>
    </row>
    <row r="7493" spans="1:1" hidden="1" x14ac:dyDescent="0.3">
      <c r="A7493" s="46"/>
    </row>
    <row r="7494" spans="1:1" hidden="1" x14ac:dyDescent="0.3">
      <c r="A7494" s="46"/>
    </row>
    <row r="7495" spans="1:1" hidden="1" x14ac:dyDescent="0.3">
      <c r="A7495" s="46"/>
    </row>
    <row r="7496" spans="1:1" hidden="1" x14ac:dyDescent="0.3">
      <c r="A7496" s="46"/>
    </row>
    <row r="7497" spans="1:1" hidden="1" x14ac:dyDescent="0.3">
      <c r="A7497" s="46"/>
    </row>
    <row r="7498" spans="1:1" hidden="1" x14ac:dyDescent="0.3">
      <c r="A7498" s="46"/>
    </row>
    <row r="7499" spans="1:1" hidden="1" x14ac:dyDescent="0.3">
      <c r="A7499" s="46"/>
    </row>
    <row r="7500" spans="1:1" hidden="1" x14ac:dyDescent="0.3">
      <c r="A7500" s="46"/>
    </row>
    <row r="7501" spans="1:1" hidden="1" x14ac:dyDescent="0.3">
      <c r="A7501" s="46"/>
    </row>
    <row r="7502" spans="1:1" hidden="1" x14ac:dyDescent="0.3">
      <c r="A7502" s="46"/>
    </row>
    <row r="7503" spans="1:1" hidden="1" x14ac:dyDescent="0.3">
      <c r="A7503" s="46"/>
    </row>
    <row r="7504" spans="1:1" hidden="1" x14ac:dyDescent="0.3">
      <c r="A7504" s="46"/>
    </row>
    <row r="7505" spans="1:1" hidden="1" x14ac:dyDescent="0.3">
      <c r="A7505" s="46"/>
    </row>
    <row r="7506" spans="1:1" hidden="1" x14ac:dyDescent="0.3">
      <c r="A7506" s="46"/>
    </row>
    <row r="7507" spans="1:1" hidden="1" x14ac:dyDescent="0.3">
      <c r="A7507" s="46"/>
    </row>
    <row r="7508" spans="1:1" hidden="1" x14ac:dyDescent="0.3">
      <c r="A7508" s="46"/>
    </row>
    <row r="7509" spans="1:1" hidden="1" x14ac:dyDescent="0.3">
      <c r="A7509" s="46"/>
    </row>
    <row r="7510" spans="1:1" hidden="1" x14ac:dyDescent="0.3">
      <c r="A7510" s="46"/>
    </row>
    <row r="7511" spans="1:1" hidden="1" x14ac:dyDescent="0.3">
      <c r="A7511" s="46"/>
    </row>
    <row r="7512" spans="1:1" hidden="1" x14ac:dyDescent="0.3">
      <c r="A7512" s="46"/>
    </row>
    <row r="7513" spans="1:1" hidden="1" x14ac:dyDescent="0.3">
      <c r="A7513" s="46"/>
    </row>
    <row r="7514" spans="1:1" hidden="1" x14ac:dyDescent="0.3">
      <c r="A7514" s="46"/>
    </row>
    <row r="7515" spans="1:1" hidden="1" x14ac:dyDescent="0.3">
      <c r="A7515" s="46"/>
    </row>
    <row r="7516" spans="1:1" hidden="1" x14ac:dyDescent="0.3">
      <c r="A7516" s="46"/>
    </row>
    <row r="7517" spans="1:1" hidden="1" x14ac:dyDescent="0.3">
      <c r="A7517" s="46"/>
    </row>
    <row r="7518" spans="1:1" hidden="1" x14ac:dyDescent="0.3">
      <c r="A7518" s="46"/>
    </row>
    <row r="7519" spans="1:1" hidden="1" x14ac:dyDescent="0.3">
      <c r="A7519" s="46"/>
    </row>
    <row r="7520" spans="1:1" hidden="1" x14ac:dyDescent="0.3">
      <c r="A7520" s="46"/>
    </row>
    <row r="7521" spans="1:1" hidden="1" x14ac:dyDescent="0.3">
      <c r="A7521" s="46"/>
    </row>
    <row r="7522" spans="1:1" hidden="1" x14ac:dyDescent="0.3">
      <c r="A7522" s="46"/>
    </row>
    <row r="7523" spans="1:1" hidden="1" x14ac:dyDescent="0.3">
      <c r="A7523" s="46"/>
    </row>
    <row r="7524" spans="1:1" hidden="1" x14ac:dyDescent="0.3">
      <c r="A7524" s="46"/>
    </row>
    <row r="7525" spans="1:1" hidden="1" x14ac:dyDescent="0.3">
      <c r="A7525" s="46"/>
    </row>
    <row r="7526" spans="1:1" hidden="1" x14ac:dyDescent="0.3">
      <c r="A7526" s="46"/>
    </row>
    <row r="7527" spans="1:1" hidden="1" x14ac:dyDescent="0.3">
      <c r="A7527" s="46"/>
    </row>
    <row r="7528" spans="1:1" hidden="1" x14ac:dyDescent="0.3">
      <c r="A7528" s="46"/>
    </row>
    <row r="7529" spans="1:1" hidden="1" x14ac:dyDescent="0.3">
      <c r="A7529" s="46"/>
    </row>
    <row r="7530" spans="1:1" hidden="1" x14ac:dyDescent="0.3">
      <c r="A7530" s="46"/>
    </row>
    <row r="7531" spans="1:1" hidden="1" x14ac:dyDescent="0.3">
      <c r="A7531" s="46"/>
    </row>
    <row r="7532" spans="1:1" hidden="1" x14ac:dyDescent="0.3">
      <c r="A7532" s="46"/>
    </row>
    <row r="7533" spans="1:1" hidden="1" x14ac:dyDescent="0.3">
      <c r="A7533" s="46"/>
    </row>
    <row r="7534" spans="1:1" hidden="1" x14ac:dyDescent="0.3">
      <c r="A7534" s="46"/>
    </row>
    <row r="7535" spans="1:1" hidden="1" x14ac:dyDescent="0.3">
      <c r="A7535" s="46"/>
    </row>
    <row r="7536" spans="1:1" hidden="1" x14ac:dyDescent="0.3">
      <c r="A7536" s="46"/>
    </row>
    <row r="7537" spans="1:1" hidden="1" x14ac:dyDescent="0.3">
      <c r="A7537" s="46"/>
    </row>
    <row r="7538" spans="1:1" hidden="1" x14ac:dyDescent="0.3">
      <c r="A7538" s="46"/>
    </row>
    <row r="7539" spans="1:1" hidden="1" x14ac:dyDescent="0.3">
      <c r="A7539" s="46"/>
    </row>
    <row r="7540" spans="1:1" hidden="1" x14ac:dyDescent="0.3">
      <c r="A7540" s="46"/>
    </row>
    <row r="7541" spans="1:1" hidden="1" x14ac:dyDescent="0.3">
      <c r="A7541" s="46"/>
    </row>
    <row r="7542" spans="1:1" hidden="1" x14ac:dyDescent="0.3">
      <c r="A7542" s="46"/>
    </row>
    <row r="7543" spans="1:1" hidden="1" x14ac:dyDescent="0.3">
      <c r="A7543" s="46"/>
    </row>
    <row r="7544" spans="1:1" hidden="1" x14ac:dyDescent="0.3">
      <c r="A7544" s="46"/>
    </row>
    <row r="7545" spans="1:1" hidden="1" x14ac:dyDescent="0.3">
      <c r="A7545" s="46"/>
    </row>
    <row r="7546" spans="1:1" hidden="1" x14ac:dyDescent="0.3">
      <c r="A7546" s="46"/>
    </row>
    <row r="7547" spans="1:1" hidden="1" x14ac:dyDescent="0.3">
      <c r="A7547" s="46"/>
    </row>
    <row r="7548" spans="1:1" hidden="1" x14ac:dyDescent="0.3">
      <c r="A7548" s="46"/>
    </row>
    <row r="7549" spans="1:1" hidden="1" x14ac:dyDescent="0.3">
      <c r="A7549" s="46"/>
    </row>
    <row r="7550" spans="1:1" hidden="1" x14ac:dyDescent="0.3">
      <c r="A7550" s="46"/>
    </row>
    <row r="7551" spans="1:1" hidden="1" x14ac:dyDescent="0.3">
      <c r="A7551" s="46"/>
    </row>
    <row r="7552" spans="1:1" hidden="1" x14ac:dyDescent="0.3">
      <c r="A7552" s="46"/>
    </row>
    <row r="7553" spans="1:1" hidden="1" x14ac:dyDescent="0.3">
      <c r="A7553" s="46"/>
    </row>
    <row r="7554" spans="1:1" hidden="1" x14ac:dyDescent="0.3">
      <c r="A7554" s="46"/>
    </row>
    <row r="7555" spans="1:1" hidden="1" x14ac:dyDescent="0.3">
      <c r="A7555" s="46"/>
    </row>
    <row r="7556" spans="1:1" hidden="1" x14ac:dyDescent="0.3">
      <c r="A7556" s="46"/>
    </row>
    <row r="7557" spans="1:1" hidden="1" x14ac:dyDescent="0.3">
      <c r="A7557" s="46"/>
    </row>
    <row r="7558" spans="1:1" hidden="1" x14ac:dyDescent="0.3">
      <c r="A7558" s="46"/>
    </row>
    <row r="7559" spans="1:1" hidden="1" x14ac:dyDescent="0.3">
      <c r="A7559" s="46"/>
    </row>
    <row r="7560" spans="1:1" hidden="1" x14ac:dyDescent="0.3">
      <c r="A7560" s="46"/>
    </row>
    <row r="7561" spans="1:1" hidden="1" x14ac:dyDescent="0.3">
      <c r="A7561" s="46"/>
    </row>
    <row r="7562" spans="1:1" hidden="1" x14ac:dyDescent="0.3">
      <c r="A7562" s="46"/>
    </row>
    <row r="7563" spans="1:1" hidden="1" x14ac:dyDescent="0.3">
      <c r="A7563" s="46"/>
    </row>
    <row r="7564" spans="1:1" hidden="1" x14ac:dyDescent="0.3">
      <c r="A7564" s="46"/>
    </row>
    <row r="7565" spans="1:1" hidden="1" x14ac:dyDescent="0.3">
      <c r="A7565" s="46"/>
    </row>
    <row r="7566" spans="1:1" hidden="1" x14ac:dyDescent="0.3">
      <c r="A7566" s="46"/>
    </row>
    <row r="7567" spans="1:1" hidden="1" x14ac:dyDescent="0.3">
      <c r="A7567" s="46"/>
    </row>
    <row r="7568" spans="1:1" hidden="1" x14ac:dyDescent="0.3">
      <c r="A7568" s="46"/>
    </row>
    <row r="7569" spans="1:1" hidden="1" x14ac:dyDescent="0.3">
      <c r="A7569" s="46"/>
    </row>
    <row r="7570" spans="1:1" hidden="1" x14ac:dyDescent="0.3">
      <c r="A7570" s="46"/>
    </row>
    <row r="7571" spans="1:1" hidden="1" x14ac:dyDescent="0.3">
      <c r="A7571" s="46"/>
    </row>
    <row r="7572" spans="1:1" hidden="1" x14ac:dyDescent="0.3">
      <c r="A7572" s="46"/>
    </row>
    <row r="7573" spans="1:1" hidden="1" x14ac:dyDescent="0.3">
      <c r="A7573" s="46"/>
    </row>
    <row r="7574" spans="1:1" hidden="1" x14ac:dyDescent="0.3">
      <c r="A7574" s="46"/>
    </row>
    <row r="7575" spans="1:1" hidden="1" x14ac:dyDescent="0.3">
      <c r="A7575" s="46"/>
    </row>
    <row r="7576" spans="1:1" hidden="1" x14ac:dyDescent="0.3">
      <c r="A7576" s="46"/>
    </row>
    <row r="7577" spans="1:1" hidden="1" x14ac:dyDescent="0.3">
      <c r="A7577" s="46"/>
    </row>
    <row r="7578" spans="1:1" hidden="1" x14ac:dyDescent="0.3">
      <c r="A7578" s="46"/>
    </row>
    <row r="7579" spans="1:1" hidden="1" x14ac:dyDescent="0.3">
      <c r="A7579" s="46"/>
    </row>
    <row r="7580" spans="1:1" hidden="1" x14ac:dyDescent="0.3">
      <c r="A7580" s="46"/>
    </row>
    <row r="7581" spans="1:1" hidden="1" x14ac:dyDescent="0.3">
      <c r="A7581" s="46"/>
    </row>
    <row r="7582" spans="1:1" hidden="1" x14ac:dyDescent="0.3">
      <c r="A7582" s="46"/>
    </row>
    <row r="7583" spans="1:1" hidden="1" x14ac:dyDescent="0.3">
      <c r="A7583" s="46"/>
    </row>
    <row r="7584" spans="1:1" hidden="1" x14ac:dyDescent="0.3">
      <c r="A7584" s="46"/>
    </row>
    <row r="7585" spans="1:1" hidden="1" x14ac:dyDescent="0.3">
      <c r="A7585" s="46"/>
    </row>
    <row r="7586" spans="1:1" hidden="1" x14ac:dyDescent="0.3">
      <c r="A7586" s="46"/>
    </row>
    <row r="7587" spans="1:1" hidden="1" x14ac:dyDescent="0.3">
      <c r="A7587" s="46"/>
    </row>
    <row r="7588" spans="1:1" hidden="1" x14ac:dyDescent="0.3">
      <c r="A7588" s="46"/>
    </row>
    <row r="7589" spans="1:1" hidden="1" x14ac:dyDescent="0.3">
      <c r="A7589" s="46"/>
    </row>
    <row r="7590" spans="1:1" hidden="1" x14ac:dyDescent="0.3">
      <c r="A7590" s="46"/>
    </row>
    <row r="7591" spans="1:1" hidden="1" x14ac:dyDescent="0.3">
      <c r="A7591" s="46"/>
    </row>
    <row r="7592" spans="1:1" hidden="1" x14ac:dyDescent="0.3">
      <c r="A7592" s="46"/>
    </row>
    <row r="7593" spans="1:1" hidden="1" x14ac:dyDescent="0.3">
      <c r="A7593" s="46"/>
    </row>
    <row r="7594" spans="1:1" hidden="1" x14ac:dyDescent="0.3">
      <c r="A7594" s="46"/>
    </row>
    <row r="7595" spans="1:1" hidden="1" x14ac:dyDescent="0.3">
      <c r="A7595" s="46"/>
    </row>
    <row r="7596" spans="1:1" hidden="1" x14ac:dyDescent="0.3">
      <c r="A7596" s="46"/>
    </row>
    <row r="7597" spans="1:1" hidden="1" x14ac:dyDescent="0.3">
      <c r="A7597" s="46"/>
    </row>
    <row r="7598" spans="1:1" hidden="1" x14ac:dyDescent="0.3">
      <c r="A7598" s="46"/>
    </row>
    <row r="7599" spans="1:1" hidden="1" x14ac:dyDescent="0.3">
      <c r="A7599" s="46"/>
    </row>
    <row r="7600" spans="1:1" hidden="1" x14ac:dyDescent="0.3">
      <c r="A7600" s="46"/>
    </row>
    <row r="7601" spans="1:1" hidden="1" x14ac:dyDescent="0.3">
      <c r="A7601" s="46"/>
    </row>
    <row r="7602" spans="1:1" hidden="1" x14ac:dyDescent="0.3">
      <c r="A7602" s="46"/>
    </row>
    <row r="7603" spans="1:1" hidden="1" x14ac:dyDescent="0.3">
      <c r="A7603" s="46"/>
    </row>
    <row r="7604" spans="1:1" hidden="1" x14ac:dyDescent="0.3">
      <c r="A7604" s="46"/>
    </row>
    <row r="7605" spans="1:1" hidden="1" x14ac:dyDescent="0.3">
      <c r="A7605" s="46"/>
    </row>
    <row r="7606" spans="1:1" hidden="1" x14ac:dyDescent="0.3">
      <c r="A7606" s="46"/>
    </row>
    <row r="7607" spans="1:1" hidden="1" x14ac:dyDescent="0.3">
      <c r="A7607" s="46"/>
    </row>
    <row r="7608" spans="1:1" hidden="1" x14ac:dyDescent="0.3">
      <c r="A7608" s="46"/>
    </row>
    <row r="7609" spans="1:1" hidden="1" x14ac:dyDescent="0.3">
      <c r="A7609" s="46"/>
    </row>
    <row r="7610" spans="1:1" hidden="1" x14ac:dyDescent="0.3">
      <c r="A7610" s="46"/>
    </row>
    <row r="7611" spans="1:1" hidden="1" x14ac:dyDescent="0.3">
      <c r="A7611" s="46"/>
    </row>
    <row r="7612" spans="1:1" hidden="1" x14ac:dyDescent="0.3">
      <c r="A7612" s="46"/>
    </row>
    <row r="7613" spans="1:1" hidden="1" x14ac:dyDescent="0.3">
      <c r="A7613" s="46"/>
    </row>
    <row r="7614" spans="1:1" hidden="1" x14ac:dyDescent="0.3">
      <c r="A7614" s="46"/>
    </row>
    <row r="7615" spans="1:1" hidden="1" x14ac:dyDescent="0.3">
      <c r="A7615" s="46"/>
    </row>
    <row r="7616" spans="1:1" hidden="1" x14ac:dyDescent="0.3">
      <c r="A7616" s="46"/>
    </row>
    <row r="7617" spans="1:1" hidden="1" x14ac:dyDescent="0.3">
      <c r="A7617" s="46"/>
    </row>
    <row r="7618" spans="1:1" hidden="1" x14ac:dyDescent="0.3">
      <c r="A7618" s="46"/>
    </row>
    <row r="7619" spans="1:1" hidden="1" x14ac:dyDescent="0.3">
      <c r="A7619" s="46"/>
    </row>
    <row r="7620" spans="1:1" hidden="1" x14ac:dyDescent="0.3">
      <c r="A7620" s="46"/>
    </row>
    <row r="7621" spans="1:1" hidden="1" x14ac:dyDescent="0.3">
      <c r="A7621" s="46"/>
    </row>
    <row r="7622" spans="1:1" hidden="1" x14ac:dyDescent="0.3">
      <c r="A7622" s="46"/>
    </row>
    <row r="7623" spans="1:1" hidden="1" x14ac:dyDescent="0.3">
      <c r="A7623" s="46"/>
    </row>
    <row r="7624" spans="1:1" hidden="1" x14ac:dyDescent="0.3">
      <c r="A7624" s="46"/>
    </row>
    <row r="7625" spans="1:1" hidden="1" x14ac:dyDescent="0.3">
      <c r="A7625" s="46"/>
    </row>
    <row r="7626" spans="1:1" hidden="1" x14ac:dyDescent="0.3">
      <c r="A7626" s="46"/>
    </row>
    <row r="7627" spans="1:1" hidden="1" x14ac:dyDescent="0.3">
      <c r="A7627" s="46"/>
    </row>
    <row r="7628" spans="1:1" hidden="1" x14ac:dyDescent="0.3">
      <c r="A7628" s="46"/>
    </row>
    <row r="7629" spans="1:1" hidden="1" x14ac:dyDescent="0.3">
      <c r="A7629" s="46"/>
    </row>
    <row r="7630" spans="1:1" hidden="1" x14ac:dyDescent="0.3">
      <c r="A7630" s="46"/>
    </row>
    <row r="7631" spans="1:1" hidden="1" x14ac:dyDescent="0.3">
      <c r="A7631" s="46"/>
    </row>
    <row r="7632" spans="1:1" hidden="1" x14ac:dyDescent="0.3">
      <c r="A7632" s="46"/>
    </row>
    <row r="7633" spans="1:1" hidden="1" x14ac:dyDescent="0.3">
      <c r="A7633" s="46"/>
    </row>
    <row r="7634" spans="1:1" hidden="1" x14ac:dyDescent="0.3">
      <c r="A7634" s="46"/>
    </row>
    <row r="7635" spans="1:1" hidden="1" x14ac:dyDescent="0.3">
      <c r="A7635" s="46"/>
    </row>
    <row r="7636" spans="1:1" hidden="1" x14ac:dyDescent="0.3">
      <c r="A7636" s="46"/>
    </row>
    <row r="7637" spans="1:1" hidden="1" x14ac:dyDescent="0.3">
      <c r="A7637" s="46"/>
    </row>
    <row r="7638" spans="1:1" hidden="1" x14ac:dyDescent="0.3">
      <c r="A7638" s="46"/>
    </row>
    <row r="7639" spans="1:1" hidden="1" x14ac:dyDescent="0.3">
      <c r="A7639" s="46"/>
    </row>
    <row r="7640" spans="1:1" hidden="1" x14ac:dyDescent="0.3">
      <c r="A7640" s="46"/>
    </row>
    <row r="7641" spans="1:1" hidden="1" x14ac:dyDescent="0.3">
      <c r="A7641" s="46"/>
    </row>
    <row r="7642" spans="1:1" hidden="1" x14ac:dyDescent="0.3">
      <c r="A7642" s="46"/>
    </row>
    <row r="7643" spans="1:1" hidden="1" x14ac:dyDescent="0.3">
      <c r="A7643" s="46"/>
    </row>
    <row r="7644" spans="1:1" hidden="1" x14ac:dyDescent="0.3">
      <c r="A7644" s="46"/>
    </row>
    <row r="7645" spans="1:1" hidden="1" x14ac:dyDescent="0.3">
      <c r="A7645" s="46"/>
    </row>
    <row r="7646" spans="1:1" hidden="1" x14ac:dyDescent="0.3">
      <c r="A7646" s="46"/>
    </row>
    <row r="7647" spans="1:1" hidden="1" x14ac:dyDescent="0.3">
      <c r="A7647" s="46"/>
    </row>
    <row r="7648" spans="1:1" hidden="1" x14ac:dyDescent="0.3">
      <c r="A7648" s="46"/>
    </row>
    <row r="7649" spans="1:1" hidden="1" x14ac:dyDescent="0.3">
      <c r="A7649" s="46"/>
    </row>
    <row r="7650" spans="1:1" hidden="1" x14ac:dyDescent="0.3">
      <c r="A7650" s="46"/>
    </row>
    <row r="7651" spans="1:1" hidden="1" x14ac:dyDescent="0.3">
      <c r="A7651" s="46"/>
    </row>
    <row r="7652" spans="1:1" hidden="1" x14ac:dyDescent="0.3">
      <c r="A7652" s="46"/>
    </row>
    <row r="7653" spans="1:1" hidden="1" x14ac:dyDescent="0.3">
      <c r="A7653" s="46"/>
    </row>
    <row r="7654" spans="1:1" hidden="1" x14ac:dyDescent="0.3">
      <c r="A7654" s="46"/>
    </row>
    <row r="7655" spans="1:1" hidden="1" x14ac:dyDescent="0.3">
      <c r="A7655" s="46"/>
    </row>
    <row r="7656" spans="1:1" hidden="1" x14ac:dyDescent="0.3">
      <c r="A7656" s="46"/>
    </row>
    <row r="7657" spans="1:1" hidden="1" x14ac:dyDescent="0.3">
      <c r="A7657" s="46"/>
    </row>
    <row r="7658" spans="1:1" hidden="1" x14ac:dyDescent="0.3">
      <c r="A7658" s="46"/>
    </row>
    <row r="7659" spans="1:1" hidden="1" x14ac:dyDescent="0.3">
      <c r="A7659" s="46"/>
    </row>
    <row r="7660" spans="1:1" hidden="1" x14ac:dyDescent="0.3">
      <c r="A7660" s="46"/>
    </row>
    <row r="7661" spans="1:1" hidden="1" x14ac:dyDescent="0.3">
      <c r="A7661" s="46"/>
    </row>
    <row r="7662" spans="1:1" hidden="1" x14ac:dyDescent="0.3">
      <c r="A7662" s="46"/>
    </row>
    <row r="7663" spans="1:1" hidden="1" x14ac:dyDescent="0.3">
      <c r="A7663" s="46"/>
    </row>
    <row r="7664" spans="1:1" hidden="1" x14ac:dyDescent="0.3">
      <c r="A7664" s="46"/>
    </row>
    <row r="7665" spans="1:1" hidden="1" x14ac:dyDescent="0.3">
      <c r="A7665" s="46"/>
    </row>
    <row r="7666" spans="1:1" hidden="1" x14ac:dyDescent="0.3">
      <c r="A7666" s="46"/>
    </row>
    <row r="7667" spans="1:1" hidden="1" x14ac:dyDescent="0.3">
      <c r="A7667" s="46"/>
    </row>
    <row r="7668" spans="1:1" hidden="1" x14ac:dyDescent="0.3">
      <c r="A7668" s="46"/>
    </row>
    <row r="7669" spans="1:1" hidden="1" x14ac:dyDescent="0.3">
      <c r="A7669" s="46"/>
    </row>
    <row r="7670" spans="1:1" hidden="1" x14ac:dyDescent="0.3">
      <c r="A7670" s="46"/>
    </row>
    <row r="7671" spans="1:1" hidden="1" x14ac:dyDescent="0.3">
      <c r="A7671" s="46"/>
    </row>
    <row r="7672" spans="1:1" hidden="1" x14ac:dyDescent="0.3">
      <c r="A7672" s="46"/>
    </row>
    <row r="7673" spans="1:1" hidden="1" x14ac:dyDescent="0.3">
      <c r="A7673" s="46"/>
    </row>
    <row r="7674" spans="1:1" hidden="1" x14ac:dyDescent="0.3">
      <c r="A7674" s="46"/>
    </row>
    <row r="7675" spans="1:1" hidden="1" x14ac:dyDescent="0.3">
      <c r="A7675" s="46"/>
    </row>
    <row r="7676" spans="1:1" hidden="1" x14ac:dyDescent="0.3">
      <c r="A7676" s="46"/>
    </row>
    <row r="7677" spans="1:1" hidden="1" x14ac:dyDescent="0.3">
      <c r="A7677" s="46"/>
    </row>
    <row r="7678" spans="1:1" hidden="1" x14ac:dyDescent="0.3">
      <c r="A7678" s="46"/>
    </row>
    <row r="7679" spans="1:1" hidden="1" x14ac:dyDescent="0.3">
      <c r="A7679" s="46"/>
    </row>
    <row r="7680" spans="1:1" hidden="1" x14ac:dyDescent="0.3">
      <c r="A7680" s="46"/>
    </row>
    <row r="7681" spans="1:1" hidden="1" x14ac:dyDescent="0.3">
      <c r="A7681" s="46"/>
    </row>
    <row r="7682" spans="1:1" hidden="1" x14ac:dyDescent="0.3">
      <c r="A7682" s="46"/>
    </row>
    <row r="7683" spans="1:1" hidden="1" x14ac:dyDescent="0.3">
      <c r="A7683" s="46"/>
    </row>
    <row r="7684" spans="1:1" hidden="1" x14ac:dyDescent="0.3">
      <c r="A7684" s="46"/>
    </row>
    <row r="7685" spans="1:1" hidden="1" x14ac:dyDescent="0.3">
      <c r="A7685" s="46"/>
    </row>
    <row r="7686" spans="1:1" hidden="1" x14ac:dyDescent="0.3">
      <c r="A7686" s="46"/>
    </row>
    <row r="7687" spans="1:1" hidden="1" x14ac:dyDescent="0.3">
      <c r="A7687" s="46"/>
    </row>
    <row r="7688" spans="1:1" hidden="1" x14ac:dyDescent="0.3">
      <c r="A7688" s="46"/>
    </row>
    <row r="7689" spans="1:1" hidden="1" x14ac:dyDescent="0.3">
      <c r="A7689" s="46"/>
    </row>
    <row r="7690" spans="1:1" hidden="1" x14ac:dyDescent="0.3">
      <c r="A7690" s="46"/>
    </row>
    <row r="7691" spans="1:1" hidden="1" x14ac:dyDescent="0.3">
      <c r="A7691" s="46"/>
    </row>
    <row r="7692" spans="1:1" hidden="1" x14ac:dyDescent="0.3">
      <c r="A7692" s="46"/>
    </row>
    <row r="7693" spans="1:1" hidden="1" x14ac:dyDescent="0.3">
      <c r="A7693" s="46"/>
    </row>
    <row r="7694" spans="1:1" hidden="1" x14ac:dyDescent="0.3">
      <c r="A7694" s="46"/>
    </row>
    <row r="7695" spans="1:1" hidden="1" x14ac:dyDescent="0.3">
      <c r="A7695" s="46"/>
    </row>
    <row r="7696" spans="1:1" hidden="1" x14ac:dyDescent="0.3">
      <c r="A7696" s="46"/>
    </row>
    <row r="7697" spans="1:1" hidden="1" x14ac:dyDescent="0.3">
      <c r="A7697" s="46"/>
    </row>
    <row r="7698" spans="1:1" hidden="1" x14ac:dyDescent="0.3">
      <c r="A7698" s="46"/>
    </row>
    <row r="7699" spans="1:1" hidden="1" x14ac:dyDescent="0.3">
      <c r="A7699" s="46"/>
    </row>
    <row r="7700" spans="1:1" hidden="1" x14ac:dyDescent="0.3">
      <c r="A7700" s="46"/>
    </row>
    <row r="7701" spans="1:1" hidden="1" x14ac:dyDescent="0.3">
      <c r="A7701" s="46"/>
    </row>
    <row r="7702" spans="1:1" hidden="1" x14ac:dyDescent="0.3">
      <c r="A7702" s="46"/>
    </row>
    <row r="7703" spans="1:1" hidden="1" x14ac:dyDescent="0.3">
      <c r="A7703" s="46"/>
    </row>
    <row r="7704" spans="1:1" hidden="1" x14ac:dyDescent="0.3">
      <c r="A7704" s="46"/>
    </row>
    <row r="7705" spans="1:1" hidden="1" x14ac:dyDescent="0.3">
      <c r="A7705" s="46"/>
    </row>
    <row r="7706" spans="1:1" hidden="1" x14ac:dyDescent="0.3">
      <c r="A7706" s="46"/>
    </row>
    <row r="7707" spans="1:1" hidden="1" x14ac:dyDescent="0.3">
      <c r="A7707" s="46"/>
    </row>
    <row r="7708" spans="1:1" hidden="1" x14ac:dyDescent="0.3">
      <c r="A7708" s="46"/>
    </row>
    <row r="7709" spans="1:1" hidden="1" x14ac:dyDescent="0.3">
      <c r="A7709" s="46"/>
    </row>
    <row r="7710" spans="1:1" hidden="1" x14ac:dyDescent="0.3">
      <c r="A7710" s="46"/>
    </row>
    <row r="7711" spans="1:1" hidden="1" x14ac:dyDescent="0.3">
      <c r="A7711" s="46"/>
    </row>
    <row r="7712" spans="1:1" hidden="1" x14ac:dyDescent="0.3">
      <c r="A7712" s="46"/>
    </row>
    <row r="7713" spans="1:1" hidden="1" x14ac:dyDescent="0.3">
      <c r="A7713" s="46"/>
    </row>
    <row r="7714" spans="1:1" hidden="1" x14ac:dyDescent="0.3">
      <c r="A7714" s="46"/>
    </row>
    <row r="7715" spans="1:1" hidden="1" x14ac:dyDescent="0.3">
      <c r="A7715" s="46"/>
    </row>
    <row r="7716" spans="1:1" hidden="1" x14ac:dyDescent="0.3">
      <c r="A7716" s="46"/>
    </row>
    <row r="7717" spans="1:1" hidden="1" x14ac:dyDescent="0.3">
      <c r="A7717" s="46"/>
    </row>
    <row r="7718" spans="1:1" hidden="1" x14ac:dyDescent="0.3">
      <c r="A7718" s="46"/>
    </row>
    <row r="7719" spans="1:1" hidden="1" x14ac:dyDescent="0.3">
      <c r="A7719" s="46"/>
    </row>
    <row r="7720" spans="1:1" hidden="1" x14ac:dyDescent="0.3">
      <c r="A7720" s="46"/>
    </row>
    <row r="7721" spans="1:1" hidden="1" x14ac:dyDescent="0.3">
      <c r="A7721" s="46"/>
    </row>
    <row r="7722" spans="1:1" hidden="1" x14ac:dyDescent="0.3">
      <c r="A7722" s="46"/>
    </row>
    <row r="7723" spans="1:1" hidden="1" x14ac:dyDescent="0.3">
      <c r="A7723" s="46"/>
    </row>
    <row r="7724" spans="1:1" hidden="1" x14ac:dyDescent="0.3">
      <c r="A7724" s="46"/>
    </row>
    <row r="7725" spans="1:1" hidden="1" x14ac:dyDescent="0.3">
      <c r="A7725" s="46"/>
    </row>
    <row r="7726" spans="1:1" hidden="1" x14ac:dyDescent="0.3">
      <c r="A7726" s="46"/>
    </row>
    <row r="7727" spans="1:1" hidden="1" x14ac:dyDescent="0.3">
      <c r="A7727" s="46"/>
    </row>
    <row r="7728" spans="1:1" hidden="1" x14ac:dyDescent="0.3">
      <c r="A7728" s="46"/>
    </row>
    <row r="7729" spans="1:1" hidden="1" x14ac:dyDescent="0.3">
      <c r="A7729" s="46"/>
    </row>
    <row r="7730" spans="1:1" hidden="1" x14ac:dyDescent="0.3">
      <c r="A7730" s="46"/>
    </row>
    <row r="7731" spans="1:1" hidden="1" x14ac:dyDescent="0.3">
      <c r="A7731" s="46"/>
    </row>
    <row r="7732" spans="1:1" hidden="1" x14ac:dyDescent="0.3">
      <c r="A7732" s="46"/>
    </row>
    <row r="7733" spans="1:1" hidden="1" x14ac:dyDescent="0.3">
      <c r="A7733" s="46"/>
    </row>
    <row r="7734" spans="1:1" hidden="1" x14ac:dyDescent="0.3">
      <c r="A7734" s="46"/>
    </row>
    <row r="7735" spans="1:1" hidden="1" x14ac:dyDescent="0.3">
      <c r="A7735" s="46"/>
    </row>
    <row r="7736" spans="1:1" hidden="1" x14ac:dyDescent="0.3">
      <c r="A7736" s="46"/>
    </row>
    <row r="7737" spans="1:1" hidden="1" x14ac:dyDescent="0.3">
      <c r="A7737" s="46"/>
    </row>
    <row r="7738" spans="1:1" hidden="1" x14ac:dyDescent="0.3">
      <c r="A7738" s="46"/>
    </row>
    <row r="7739" spans="1:1" hidden="1" x14ac:dyDescent="0.3">
      <c r="A7739" s="46"/>
    </row>
    <row r="7740" spans="1:1" hidden="1" x14ac:dyDescent="0.3">
      <c r="A7740" s="46"/>
    </row>
    <row r="7741" spans="1:1" hidden="1" x14ac:dyDescent="0.3">
      <c r="A7741" s="46"/>
    </row>
    <row r="7742" spans="1:1" hidden="1" x14ac:dyDescent="0.3">
      <c r="A7742" s="46"/>
    </row>
    <row r="7743" spans="1:1" hidden="1" x14ac:dyDescent="0.3">
      <c r="A7743" s="46"/>
    </row>
    <row r="7744" spans="1:1" hidden="1" x14ac:dyDescent="0.3">
      <c r="A7744" s="46"/>
    </row>
    <row r="7745" spans="1:1" hidden="1" x14ac:dyDescent="0.3">
      <c r="A7745" s="46"/>
    </row>
    <row r="7746" spans="1:1" hidden="1" x14ac:dyDescent="0.3">
      <c r="A7746" s="46"/>
    </row>
    <row r="7747" spans="1:1" hidden="1" x14ac:dyDescent="0.3">
      <c r="A7747" s="46"/>
    </row>
    <row r="7748" spans="1:1" hidden="1" x14ac:dyDescent="0.3">
      <c r="A7748" s="46"/>
    </row>
    <row r="7749" spans="1:1" hidden="1" x14ac:dyDescent="0.3">
      <c r="A7749" s="46"/>
    </row>
    <row r="7750" spans="1:1" hidden="1" x14ac:dyDescent="0.3">
      <c r="A7750" s="46"/>
    </row>
    <row r="7751" spans="1:1" hidden="1" x14ac:dyDescent="0.3">
      <c r="A7751" s="46"/>
    </row>
    <row r="7752" spans="1:1" hidden="1" x14ac:dyDescent="0.3">
      <c r="A7752" s="46"/>
    </row>
    <row r="7753" spans="1:1" hidden="1" x14ac:dyDescent="0.3">
      <c r="A7753" s="46"/>
    </row>
    <row r="7754" spans="1:1" hidden="1" x14ac:dyDescent="0.3">
      <c r="A7754" s="46"/>
    </row>
    <row r="7755" spans="1:1" hidden="1" x14ac:dyDescent="0.3">
      <c r="A7755" s="46"/>
    </row>
    <row r="7756" spans="1:1" hidden="1" x14ac:dyDescent="0.3">
      <c r="A7756" s="46"/>
    </row>
    <row r="7757" spans="1:1" hidden="1" x14ac:dyDescent="0.3">
      <c r="A7757" s="46"/>
    </row>
    <row r="7758" spans="1:1" hidden="1" x14ac:dyDescent="0.3">
      <c r="A7758" s="46"/>
    </row>
    <row r="7759" spans="1:1" hidden="1" x14ac:dyDescent="0.3">
      <c r="A7759" s="46"/>
    </row>
    <row r="7760" spans="1:1" hidden="1" x14ac:dyDescent="0.3">
      <c r="A7760" s="46"/>
    </row>
    <row r="7761" spans="1:1" hidden="1" x14ac:dyDescent="0.3">
      <c r="A7761" s="46"/>
    </row>
    <row r="7762" spans="1:1" hidden="1" x14ac:dyDescent="0.3">
      <c r="A7762" s="46"/>
    </row>
    <row r="7763" spans="1:1" hidden="1" x14ac:dyDescent="0.3">
      <c r="A7763" s="46"/>
    </row>
    <row r="7764" spans="1:1" hidden="1" x14ac:dyDescent="0.3">
      <c r="A7764" s="46"/>
    </row>
    <row r="7765" spans="1:1" hidden="1" x14ac:dyDescent="0.3">
      <c r="A7765" s="46"/>
    </row>
    <row r="7766" spans="1:1" hidden="1" x14ac:dyDescent="0.3">
      <c r="A7766" s="46"/>
    </row>
    <row r="7767" spans="1:1" hidden="1" x14ac:dyDescent="0.3">
      <c r="A7767" s="46"/>
    </row>
    <row r="7768" spans="1:1" hidden="1" x14ac:dyDescent="0.3">
      <c r="A7768" s="46"/>
    </row>
    <row r="7769" spans="1:1" hidden="1" x14ac:dyDescent="0.3">
      <c r="A7769" s="46"/>
    </row>
    <row r="7770" spans="1:1" hidden="1" x14ac:dyDescent="0.3">
      <c r="A7770" s="46"/>
    </row>
    <row r="7771" spans="1:1" hidden="1" x14ac:dyDescent="0.3">
      <c r="A7771" s="46"/>
    </row>
    <row r="7772" spans="1:1" hidden="1" x14ac:dyDescent="0.3">
      <c r="A7772" s="46"/>
    </row>
    <row r="7773" spans="1:1" hidden="1" x14ac:dyDescent="0.3">
      <c r="A7773" s="46"/>
    </row>
    <row r="7774" spans="1:1" hidden="1" x14ac:dyDescent="0.3">
      <c r="A7774" s="46"/>
    </row>
    <row r="7775" spans="1:1" hidden="1" x14ac:dyDescent="0.3">
      <c r="A7775" s="46"/>
    </row>
    <row r="7776" spans="1:1" hidden="1" x14ac:dyDescent="0.3">
      <c r="A7776" s="46"/>
    </row>
    <row r="7777" spans="1:1" hidden="1" x14ac:dyDescent="0.3">
      <c r="A7777" s="46"/>
    </row>
    <row r="7778" spans="1:1" hidden="1" x14ac:dyDescent="0.3">
      <c r="A7778" s="46"/>
    </row>
    <row r="7779" spans="1:1" hidden="1" x14ac:dyDescent="0.3">
      <c r="A7779" s="46"/>
    </row>
    <row r="7780" spans="1:1" hidden="1" x14ac:dyDescent="0.3">
      <c r="A7780" s="46"/>
    </row>
    <row r="7781" spans="1:1" hidden="1" x14ac:dyDescent="0.3">
      <c r="A7781" s="46"/>
    </row>
    <row r="7782" spans="1:1" hidden="1" x14ac:dyDescent="0.3">
      <c r="A7782" s="46"/>
    </row>
    <row r="7783" spans="1:1" hidden="1" x14ac:dyDescent="0.3">
      <c r="A7783" s="46"/>
    </row>
    <row r="7784" spans="1:1" hidden="1" x14ac:dyDescent="0.3">
      <c r="A7784" s="46"/>
    </row>
    <row r="7785" spans="1:1" hidden="1" x14ac:dyDescent="0.3">
      <c r="A7785" s="46"/>
    </row>
    <row r="7786" spans="1:1" hidden="1" x14ac:dyDescent="0.3">
      <c r="A7786" s="46"/>
    </row>
    <row r="7787" spans="1:1" hidden="1" x14ac:dyDescent="0.3">
      <c r="A7787" s="46"/>
    </row>
    <row r="7788" spans="1:1" hidden="1" x14ac:dyDescent="0.3">
      <c r="A7788" s="46"/>
    </row>
    <row r="7789" spans="1:1" hidden="1" x14ac:dyDescent="0.3">
      <c r="A7789" s="46"/>
    </row>
    <row r="7790" spans="1:1" hidden="1" x14ac:dyDescent="0.3">
      <c r="A7790" s="46"/>
    </row>
    <row r="7791" spans="1:1" hidden="1" x14ac:dyDescent="0.3">
      <c r="A7791" s="46"/>
    </row>
    <row r="7792" spans="1:1" hidden="1" x14ac:dyDescent="0.3">
      <c r="A7792" s="46"/>
    </row>
    <row r="7793" spans="1:1" hidden="1" x14ac:dyDescent="0.3">
      <c r="A7793" s="46"/>
    </row>
    <row r="7794" spans="1:1" hidden="1" x14ac:dyDescent="0.3">
      <c r="A7794" s="46"/>
    </row>
    <row r="7795" spans="1:1" hidden="1" x14ac:dyDescent="0.3">
      <c r="A7795" s="46"/>
    </row>
    <row r="7796" spans="1:1" hidden="1" x14ac:dyDescent="0.3">
      <c r="A7796" s="46"/>
    </row>
    <row r="7797" spans="1:1" hidden="1" x14ac:dyDescent="0.3">
      <c r="A7797" s="46"/>
    </row>
    <row r="7798" spans="1:1" hidden="1" x14ac:dyDescent="0.3">
      <c r="A7798" s="46"/>
    </row>
    <row r="7799" spans="1:1" hidden="1" x14ac:dyDescent="0.3">
      <c r="A7799" s="46"/>
    </row>
    <row r="7800" spans="1:1" hidden="1" x14ac:dyDescent="0.3">
      <c r="A7800" s="46"/>
    </row>
    <row r="7801" spans="1:1" hidden="1" x14ac:dyDescent="0.3">
      <c r="A7801" s="46"/>
    </row>
    <row r="7802" spans="1:1" hidden="1" x14ac:dyDescent="0.3">
      <c r="A7802" s="46"/>
    </row>
    <row r="7803" spans="1:1" hidden="1" x14ac:dyDescent="0.3">
      <c r="A7803" s="46"/>
    </row>
    <row r="7804" spans="1:1" hidden="1" x14ac:dyDescent="0.3">
      <c r="A7804" s="46"/>
    </row>
    <row r="7805" spans="1:1" hidden="1" x14ac:dyDescent="0.3">
      <c r="A7805" s="46"/>
    </row>
    <row r="7806" spans="1:1" hidden="1" x14ac:dyDescent="0.3">
      <c r="A7806" s="46"/>
    </row>
    <row r="7807" spans="1:1" hidden="1" x14ac:dyDescent="0.3">
      <c r="A7807" s="46"/>
    </row>
    <row r="7808" spans="1:1" hidden="1" x14ac:dyDescent="0.3">
      <c r="A7808" s="46"/>
    </row>
    <row r="7809" spans="1:1" hidden="1" x14ac:dyDescent="0.3">
      <c r="A7809" s="46"/>
    </row>
    <row r="7810" spans="1:1" hidden="1" x14ac:dyDescent="0.3">
      <c r="A7810" s="46"/>
    </row>
    <row r="7811" spans="1:1" hidden="1" x14ac:dyDescent="0.3">
      <c r="A7811" s="46"/>
    </row>
    <row r="7812" spans="1:1" hidden="1" x14ac:dyDescent="0.3">
      <c r="A7812" s="46"/>
    </row>
    <row r="7813" spans="1:1" hidden="1" x14ac:dyDescent="0.3">
      <c r="A7813" s="46"/>
    </row>
    <row r="7814" spans="1:1" hidden="1" x14ac:dyDescent="0.3">
      <c r="A7814" s="46"/>
    </row>
    <row r="7815" spans="1:1" hidden="1" x14ac:dyDescent="0.3">
      <c r="A7815" s="46"/>
    </row>
    <row r="7816" spans="1:1" hidden="1" x14ac:dyDescent="0.3">
      <c r="A7816" s="46"/>
    </row>
    <row r="7817" spans="1:1" hidden="1" x14ac:dyDescent="0.3">
      <c r="A7817" s="46"/>
    </row>
    <row r="7818" spans="1:1" hidden="1" x14ac:dyDescent="0.3">
      <c r="A7818" s="46"/>
    </row>
    <row r="7819" spans="1:1" hidden="1" x14ac:dyDescent="0.3">
      <c r="A7819" s="46"/>
    </row>
    <row r="7820" spans="1:1" hidden="1" x14ac:dyDescent="0.3">
      <c r="A7820" s="46"/>
    </row>
    <row r="7821" spans="1:1" hidden="1" x14ac:dyDescent="0.3">
      <c r="A7821" s="46"/>
    </row>
    <row r="7822" spans="1:1" hidden="1" x14ac:dyDescent="0.3">
      <c r="A7822" s="46"/>
    </row>
    <row r="7823" spans="1:1" hidden="1" x14ac:dyDescent="0.3">
      <c r="A7823" s="46"/>
    </row>
    <row r="7824" spans="1:1" hidden="1" x14ac:dyDescent="0.3">
      <c r="A7824" s="46"/>
    </row>
    <row r="7825" spans="1:1" hidden="1" x14ac:dyDescent="0.3">
      <c r="A7825" s="46"/>
    </row>
    <row r="7826" spans="1:1" hidden="1" x14ac:dyDescent="0.3">
      <c r="A7826" s="46"/>
    </row>
    <row r="7827" spans="1:1" hidden="1" x14ac:dyDescent="0.3">
      <c r="A7827" s="46"/>
    </row>
    <row r="7828" spans="1:1" hidden="1" x14ac:dyDescent="0.3">
      <c r="A7828" s="46"/>
    </row>
    <row r="7829" spans="1:1" hidden="1" x14ac:dyDescent="0.3">
      <c r="A7829" s="46"/>
    </row>
    <row r="7830" spans="1:1" hidden="1" x14ac:dyDescent="0.3">
      <c r="A7830" s="46"/>
    </row>
    <row r="7831" spans="1:1" hidden="1" x14ac:dyDescent="0.3">
      <c r="A7831" s="46"/>
    </row>
    <row r="7832" spans="1:1" hidden="1" x14ac:dyDescent="0.3">
      <c r="A7832" s="46"/>
    </row>
    <row r="7833" spans="1:1" hidden="1" x14ac:dyDescent="0.3">
      <c r="A7833" s="46"/>
    </row>
    <row r="7834" spans="1:1" hidden="1" x14ac:dyDescent="0.3">
      <c r="A7834" s="46"/>
    </row>
    <row r="7835" spans="1:1" hidden="1" x14ac:dyDescent="0.3">
      <c r="A7835" s="46"/>
    </row>
    <row r="7836" spans="1:1" hidden="1" x14ac:dyDescent="0.3">
      <c r="A7836" s="46"/>
    </row>
    <row r="7837" spans="1:1" hidden="1" x14ac:dyDescent="0.3">
      <c r="A7837" s="46"/>
    </row>
    <row r="7838" spans="1:1" hidden="1" x14ac:dyDescent="0.3">
      <c r="A7838" s="46"/>
    </row>
    <row r="7839" spans="1:1" hidden="1" x14ac:dyDescent="0.3">
      <c r="A7839" s="46"/>
    </row>
    <row r="7840" spans="1:1" hidden="1" x14ac:dyDescent="0.3">
      <c r="A7840" s="46"/>
    </row>
    <row r="7841" spans="1:1" hidden="1" x14ac:dyDescent="0.3">
      <c r="A7841" s="46"/>
    </row>
    <row r="7842" spans="1:1" hidden="1" x14ac:dyDescent="0.3">
      <c r="A7842" s="46"/>
    </row>
    <row r="7843" spans="1:1" hidden="1" x14ac:dyDescent="0.3">
      <c r="A7843" s="46"/>
    </row>
    <row r="7844" spans="1:1" hidden="1" x14ac:dyDescent="0.3">
      <c r="A7844" s="46"/>
    </row>
    <row r="7845" spans="1:1" hidden="1" x14ac:dyDescent="0.3">
      <c r="A7845" s="46"/>
    </row>
    <row r="7846" spans="1:1" hidden="1" x14ac:dyDescent="0.3">
      <c r="A7846" s="46"/>
    </row>
    <row r="7847" spans="1:1" hidden="1" x14ac:dyDescent="0.3">
      <c r="A7847" s="46"/>
    </row>
    <row r="7848" spans="1:1" hidden="1" x14ac:dyDescent="0.3">
      <c r="A7848" s="46"/>
    </row>
    <row r="7849" spans="1:1" hidden="1" x14ac:dyDescent="0.3">
      <c r="A7849" s="46"/>
    </row>
    <row r="7850" spans="1:1" hidden="1" x14ac:dyDescent="0.3">
      <c r="A7850" s="46"/>
    </row>
    <row r="7851" spans="1:1" hidden="1" x14ac:dyDescent="0.3">
      <c r="A7851" s="46"/>
    </row>
    <row r="7852" spans="1:1" hidden="1" x14ac:dyDescent="0.3">
      <c r="A7852" s="46"/>
    </row>
    <row r="7853" spans="1:1" hidden="1" x14ac:dyDescent="0.3">
      <c r="A7853" s="46"/>
    </row>
    <row r="7854" spans="1:1" hidden="1" x14ac:dyDescent="0.3">
      <c r="A7854" s="46"/>
    </row>
    <row r="7855" spans="1:1" hidden="1" x14ac:dyDescent="0.3">
      <c r="A7855" s="46"/>
    </row>
    <row r="7856" spans="1:1" hidden="1" x14ac:dyDescent="0.3">
      <c r="A7856" s="46"/>
    </row>
    <row r="7857" spans="1:1" hidden="1" x14ac:dyDescent="0.3">
      <c r="A7857" s="46"/>
    </row>
    <row r="7858" spans="1:1" hidden="1" x14ac:dyDescent="0.3">
      <c r="A7858" s="46"/>
    </row>
    <row r="7859" spans="1:1" hidden="1" x14ac:dyDescent="0.3">
      <c r="A7859" s="46"/>
    </row>
    <row r="7860" spans="1:1" hidden="1" x14ac:dyDescent="0.3">
      <c r="A7860" s="46"/>
    </row>
    <row r="7861" spans="1:1" hidden="1" x14ac:dyDescent="0.3">
      <c r="A7861" s="46"/>
    </row>
    <row r="7862" spans="1:1" hidden="1" x14ac:dyDescent="0.3">
      <c r="A7862" s="46"/>
    </row>
    <row r="7863" spans="1:1" hidden="1" x14ac:dyDescent="0.3">
      <c r="A7863" s="46"/>
    </row>
    <row r="7864" spans="1:1" hidden="1" x14ac:dyDescent="0.3">
      <c r="A7864" s="46"/>
    </row>
    <row r="7865" spans="1:1" hidden="1" x14ac:dyDescent="0.3">
      <c r="A7865" s="46"/>
    </row>
    <row r="7866" spans="1:1" hidden="1" x14ac:dyDescent="0.3">
      <c r="A7866" s="46"/>
    </row>
    <row r="7867" spans="1:1" hidden="1" x14ac:dyDescent="0.3">
      <c r="A7867" s="46"/>
    </row>
    <row r="7868" spans="1:1" hidden="1" x14ac:dyDescent="0.3">
      <c r="A7868" s="46"/>
    </row>
    <row r="7869" spans="1:1" hidden="1" x14ac:dyDescent="0.3">
      <c r="A7869" s="46"/>
    </row>
    <row r="7870" spans="1:1" hidden="1" x14ac:dyDescent="0.3">
      <c r="A7870" s="46"/>
    </row>
    <row r="7871" spans="1:1" hidden="1" x14ac:dyDescent="0.3">
      <c r="A7871" s="46"/>
    </row>
    <row r="7872" spans="1:1" hidden="1" x14ac:dyDescent="0.3">
      <c r="A7872" s="46"/>
    </row>
    <row r="7873" spans="1:1" hidden="1" x14ac:dyDescent="0.3">
      <c r="A7873" s="46"/>
    </row>
    <row r="7874" spans="1:1" hidden="1" x14ac:dyDescent="0.3">
      <c r="A7874" s="46"/>
    </row>
    <row r="7875" spans="1:1" hidden="1" x14ac:dyDescent="0.3">
      <c r="A7875" s="46"/>
    </row>
    <row r="7876" spans="1:1" hidden="1" x14ac:dyDescent="0.3">
      <c r="A7876" s="46"/>
    </row>
    <row r="7877" spans="1:1" hidden="1" x14ac:dyDescent="0.3">
      <c r="A7877" s="46"/>
    </row>
    <row r="7878" spans="1:1" hidden="1" x14ac:dyDescent="0.3">
      <c r="A7878" s="46"/>
    </row>
    <row r="7879" spans="1:1" hidden="1" x14ac:dyDescent="0.3">
      <c r="A7879" s="46"/>
    </row>
    <row r="7880" spans="1:1" hidden="1" x14ac:dyDescent="0.3">
      <c r="A7880" s="46"/>
    </row>
    <row r="7881" spans="1:1" hidden="1" x14ac:dyDescent="0.3">
      <c r="A7881" s="46"/>
    </row>
    <row r="7882" spans="1:1" hidden="1" x14ac:dyDescent="0.3">
      <c r="A7882" s="46"/>
    </row>
    <row r="7883" spans="1:1" hidden="1" x14ac:dyDescent="0.3">
      <c r="A7883" s="46"/>
    </row>
    <row r="7884" spans="1:1" hidden="1" x14ac:dyDescent="0.3">
      <c r="A7884" s="46"/>
    </row>
    <row r="7885" spans="1:1" hidden="1" x14ac:dyDescent="0.3">
      <c r="A7885" s="46"/>
    </row>
    <row r="7886" spans="1:1" hidden="1" x14ac:dyDescent="0.3">
      <c r="A7886" s="46"/>
    </row>
    <row r="7887" spans="1:1" hidden="1" x14ac:dyDescent="0.3">
      <c r="A7887" s="46"/>
    </row>
    <row r="7888" spans="1:1" hidden="1" x14ac:dyDescent="0.3">
      <c r="A7888" s="46"/>
    </row>
    <row r="7889" spans="1:1" hidden="1" x14ac:dyDescent="0.3">
      <c r="A7889" s="46"/>
    </row>
    <row r="7890" spans="1:1" hidden="1" x14ac:dyDescent="0.3">
      <c r="A7890" s="46"/>
    </row>
    <row r="7891" spans="1:1" hidden="1" x14ac:dyDescent="0.3">
      <c r="A7891" s="46"/>
    </row>
    <row r="7892" spans="1:1" hidden="1" x14ac:dyDescent="0.3">
      <c r="A7892" s="46"/>
    </row>
    <row r="7893" spans="1:1" hidden="1" x14ac:dyDescent="0.3">
      <c r="A7893" s="46"/>
    </row>
    <row r="7894" spans="1:1" hidden="1" x14ac:dyDescent="0.3">
      <c r="A7894" s="46"/>
    </row>
    <row r="7895" spans="1:1" hidden="1" x14ac:dyDescent="0.3">
      <c r="A7895" s="46"/>
    </row>
    <row r="7896" spans="1:1" hidden="1" x14ac:dyDescent="0.3">
      <c r="A7896" s="46"/>
    </row>
    <row r="7897" spans="1:1" hidden="1" x14ac:dyDescent="0.3">
      <c r="A7897" s="46"/>
    </row>
    <row r="7898" spans="1:1" hidden="1" x14ac:dyDescent="0.3">
      <c r="A7898" s="46"/>
    </row>
    <row r="7899" spans="1:1" hidden="1" x14ac:dyDescent="0.3">
      <c r="A7899" s="46"/>
    </row>
    <row r="7900" spans="1:1" hidden="1" x14ac:dyDescent="0.3">
      <c r="A7900" s="46"/>
    </row>
    <row r="7901" spans="1:1" hidden="1" x14ac:dyDescent="0.3">
      <c r="A7901" s="46"/>
    </row>
    <row r="7902" spans="1:1" hidden="1" x14ac:dyDescent="0.3">
      <c r="A7902" s="46"/>
    </row>
    <row r="7903" spans="1:1" hidden="1" x14ac:dyDescent="0.3">
      <c r="A7903" s="46"/>
    </row>
    <row r="7904" spans="1:1" hidden="1" x14ac:dyDescent="0.3">
      <c r="A7904" s="46"/>
    </row>
    <row r="7905" spans="1:1" hidden="1" x14ac:dyDescent="0.3">
      <c r="A7905" s="46"/>
    </row>
    <row r="7906" spans="1:1" hidden="1" x14ac:dyDescent="0.3">
      <c r="A7906" s="46"/>
    </row>
    <row r="7907" spans="1:1" hidden="1" x14ac:dyDescent="0.3">
      <c r="A7907" s="46"/>
    </row>
    <row r="7908" spans="1:1" hidden="1" x14ac:dyDescent="0.3">
      <c r="A7908" s="46"/>
    </row>
    <row r="7909" spans="1:1" hidden="1" x14ac:dyDescent="0.3">
      <c r="A7909" s="46"/>
    </row>
    <row r="7910" spans="1:1" hidden="1" x14ac:dyDescent="0.3">
      <c r="A7910" s="46"/>
    </row>
    <row r="7911" spans="1:1" hidden="1" x14ac:dyDescent="0.3">
      <c r="A7911" s="46"/>
    </row>
    <row r="7912" spans="1:1" hidden="1" x14ac:dyDescent="0.3">
      <c r="A7912" s="46"/>
    </row>
    <row r="7913" spans="1:1" hidden="1" x14ac:dyDescent="0.3">
      <c r="A7913" s="46"/>
    </row>
    <row r="7914" spans="1:1" hidden="1" x14ac:dyDescent="0.3">
      <c r="A7914" s="46"/>
    </row>
    <row r="7915" spans="1:1" hidden="1" x14ac:dyDescent="0.3">
      <c r="A7915" s="46"/>
    </row>
    <row r="7916" spans="1:1" hidden="1" x14ac:dyDescent="0.3">
      <c r="A7916" s="46"/>
    </row>
    <row r="7917" spans="1:1" hidden="1" x14ac:dyDescent="0.3">
      <c r="A7917" s="46"/>
    </row>
    <row r="7918" spans="1:1" hidden="1" x14ac:dyDescent="0.3">
      <c r="A7918" s="46"/>
    </row>
    <row r="7919" spans="1:1" hidden="1" x14ac:dyDescent="0.3">
      <c r="A7919" s="46"/>
    </row>
    <row r="7920" spans="1:1" hidden="1" x14ac:dyDescent="0.3">
      <c r="A7920" s="46"/>
    </row>
    <row r="7921" spans="1:1" hidden="1" x14ac:dyDescent="0.3">
      <c r="A7921" s="46"/>
    </row>
    <row r="7922" spans="1:1" hidden="1" x14ac:dyDescent="0.3">
      <c r="A7922" s="46"/>
    </row>
    <row r="7923" spans="1:1" hidden="1" x14ac:dyDescent="0.3">
      <c r="A7923" s="46"/>
    </row>
    <row r="7924" spans="1:1" hidden="1" x14ac:dyDescent="0.3">
      <c r="A7924" s="46"/>
    </row>
    <row r="7925" spans="1:1" hidden="1" x14ac:dyDescent="0.3">
      <c r="A7925" s="46"/>
    </row>
    <row r="7926" spans="1:1" hidden="1" x14ac:dyDescent="0.3">
      <c r="A7926" s="46"/>
    </row>
    <row r="7927" spans="1:1" hidden="1" x14ac:dyDescent="0.3">
      <c r="A7927" s="46"/>
    </row>
    <row r="7928" spans="1:1" hidden="1" x14ac:dyDescent="0.3">
      <c r="A7928" s="46"/>
    </row>
    <row r="7929" spans="1:1" hidden="1" x14ac:dyDescent="0.3">
      <c r="A7929" s="46"/>
    </row>
    <row r="7930" spans="1:1" hidden="1" x14ac:dyDescent="0.3">
      <c r="A7930" s="46"/>
    </row>
    <row r="7931" spans="1:1" hidden="1" x14ac:dyDescent="0.3">
      <c r="A7931" s="46"/>
    </row>
    <row r="7932" spans="1:1" hidden="1" x14ac:dyDescent="0.3">
      <c r="A7932" s="46"/>
    </row>
    <row r="7933" spans="1:1" hidden="1" x14ac:dyDescent="0.3">
      <c r="A7933" s="46"/>
    </row>
    <row r="7934" spans="1:1" hidden="1" x14ac:dyDescent="0.3">
      <c r="A7934" s="46"/>
    </row>
    <row r="7935" spans="1:1" hidden="1" x14ac:dyDescent="0.3">
      <c r="A7935" s="46"/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결재요청</vt:lpstr>
      <vt:lpstr>경영정보</vt:lpstr>
      <vt:lpstr>ezchemtech_계좌</vt:lpstr>
      <vt:lpstr>ezchemtech_카드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2024-07-11T00:50:59Z</dcterms:modified>
</cp:coreProperties>
</file>