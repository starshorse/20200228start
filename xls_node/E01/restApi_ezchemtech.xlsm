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5B5643FC-AE34-4CD0-ABAA-3693BB873A46}" xr6:coauthVersionLast="47" xr6:coauthVersionMax="47" xr10:uidLastSave="{00000000-0000-0000-0000-000000000000}"/>
  <bookViews>
    <workbookView xWindow="-120" yWindow="-120" windowWidth="38640" windowHeight="15840" activeTab="2" xr2:uid="{00000000-000D-0000-FFFF-FFFF00000000}"/>
  </bookViews>
  <sheets>
    <sheet name="Sheet1" sheetId="1" r:id="rId1"/>
    <sheet name="Analysis" sheetId="3" r:id="rId2"/>
    <sheet name="Auth_Machine" sheetId="16" r:id="rId3"/>
    <sheet name="Admin" sheetId="17" r:id="rId4"/>
    <sheet name="User" sheetId="18" r:id="rId5"/>
  </sheets>
  <functionGroups builtInGroupCount="19"/>
  <definedNames>
    <definedName name="_xlnm._FilterDatabase" localSheetId="0" hidden="1">Sheet1!$B$6:$J$138</definedName>
    <definedName name="DB_List">OFFSET(Analysis!$B$6,0,0,COUNTA(Analysis!$B:$B)-1, 1)</definedName>
    <definedName name="TBL_List" localSheetId="1">OFFSET( Analysis!XFC3, 1, MATCH( Analysis!XFD1, Analysis!XFD3:K3, 0),Analysis!G1,1)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6" l="1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6" i="3"/>
  <c r="E5" i="3" a="1"/>
  <c r="E5" i="3"/>
  <c r="F5" i="3"/>
  <c r="G5" i="3"/>
  <c r="H5" i="3"/>
  <c r="I5" i="3"/>
  <c r="J5" i="3"/>
  <c r="K5" i="3"/>
  <c r="L5" i="3"/>
  <c r="M5" i="3"/>
  <c r="N5" i="3"/>
  <c r="O5" i="3"/>
  <c r="P5" i="3"/>
  <c r="H3" i="3" l="1"/>
  <c r="L3" i="3" s="1"/>
  <c r="G3" i="3"/>
  <c r="I3" i="3"/>
  <c r="K3" i="3" s="1"/>
</calcChain>
</file>

<file path=xl/sharedStrings.xml><?xml version="1.0" encoding="utf-8"?>
<sst xmlns="http://schemas.openxmlformats.org/spreadsheetml/2006/main" count="4488" uniqueCount="1313">
  <si>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</si>
  <si>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</si>
  <si>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</si>
  <si>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</si>
  <si>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</si>
  <si>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</si>
  <si>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</si>
  <si>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</si>
  <si>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</si>
  <si>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</si>
  <si>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</si>
  <si>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</si>
  <si>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</si>
  <si>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</si>
  <si>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</si>
  <si>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</si>
  <si>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</si>
  <si>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</si>
  <si>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</si>
  <si>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</si>
  <si>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</si>
  <si>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</si>
  <si>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</si>
  <si>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</si>
  <si>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</si>
  <si>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</si>
  <si>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</si>
  <si>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</si>
  <si>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</si>
  <si>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</si>
  <si>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</si>
  <si>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</si>
  <si>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</si>
  <si>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</si>
  <si>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</si>
  <si>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</si>
  <si>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</si>
  <si>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</si>
  <si>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</si>
  <si>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</si>
  <si>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</si>
  <si>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</si>
  <si>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</si>
  <si>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</si>
  <si>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</si>
  <si>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</si>
  <si>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</si>
  <si>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</si>
  <si>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</si>
  <si>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</si>
  <si>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</si>
  <si>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</si>
  <si>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</si>
  <si>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</si>
  <si>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</si>
  <si>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</si>
  <si>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</si>
  <si>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</si>
  <si>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</si>
  <si>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</si>
  <si>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</si>
  <si>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</si>
  <si>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</si>
  <si>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</si>
  <si>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</si>
  <si>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</si>
  <si>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</si>
  <si>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</si>
  <si>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</si>
  <si>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</si>
  <si>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</si>
  <si>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</si>
  <si>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</si>
  <si>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</si>
  <si>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</si>
  <si>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</si>
  <si>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</si>
  <si>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</si>
  <si>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</si>
  <si>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</si>
  <si>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</si>
  <si>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</si>
  <si>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</si>
  <si>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</si>
  <si>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</si>
  <si>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</si>
  <si>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</si>
  <si>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</si>
  <si>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</si>
  <si>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</si>
  <si>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</si>
  <si>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</si>
  <si>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</si>
  <si>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</si>
  <si>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</si>
  <si>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</si>
  <si>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</si>
  <si>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</si>
  <si>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</si>
  <si>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</si>
  <si>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</si>
  <si>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</si>
  <si>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</si>
  <si>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</si>
  <si>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</si>
  <si>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</si>
  <si>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</si>
  <si>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</si>
  <si>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</si>
  <si>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</si>
  <si>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</si>
  <si>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</si>
  <si>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</si>
  <si>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</si>
  <si>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</si>
  <si>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</si>
  <si>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</si>
  <si>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</si>
  <si>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</si>
  <si>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</si>
  <si>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</si>
  <si>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</si>
  <si>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</si>
  <si>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</si>
  <si>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</si>
  <si>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</si>
  <si>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</si>
  <si>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</si>
  <si>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</si>
  <si>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</si>
  <si>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</si>
  <si>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</si>
  <si>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</si>
  <si>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</si>
  <si>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</si>
  <si>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</si>
  <si>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</si>
  <si>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</si>
  <si>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</si>
  <si>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</si>
  <si>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</si>
  <si>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</si>
  <si>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</si>
  <si>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</si>
  <si>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</si>
  <si>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</si>
  <si>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</si>
  <si>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</si>
  <si>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</si>
  <si>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</si>
  <si>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</si>
  <si>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</si>
  <si>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</si>
  <si>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</si>
  <si>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</si>
  <si>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</si>
  <si>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</si>
  <si>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</si>
  <si>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</si>
  <si>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</si>
  <si>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</si>
  <si>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</si>
  <si>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</si>
  <si>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</si>
  <si>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</si>
  <si>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</si>
  <si>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</si>
  <si>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</si>
  <si>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</si>
  <si>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</si>
  <si>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</si>
  <si>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</si>
  <si>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</si>
  <si>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</si>
  <si>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</si>
  <si>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</si>
  <si>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</si>
  <si>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</si>
  <si>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</si>
  <si>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</si>
  <si>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</si>
  <si>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</si>
  <si>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</si>
  <si>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</si>
  <si>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</si>
  <si>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</si>
  <si>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</si>
  <si>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</si>
  <si>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</si>
  <si>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</si>
  <si>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</si>
  <si>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</si>
  <si>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</si>
  <si>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</si>
  <si>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</si>
  <si>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</si>
  <si>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</si>
  <si>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</si>
  <si>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</si>
  <si>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</si>
  <si>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</si>
  <si>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</si>
  <si>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</si>
  <si>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</si>
  <si>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</si>
  <si>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</si>
  <si>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</si>
  <si>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</si>
  <si>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</si>
  <si>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</si>
  <si>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</si>
  <si>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</si>
  <si>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</si>
  <si>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</si>
  <si>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</si>
  <si>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</si>
  <si>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</si>
  <si>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</si>
  <si>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</si>
  <si>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</si>
  <si>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</si>
  <si>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</si>
  <si>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</si>
  <si>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</si>
  <si>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</si>
  <si>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</si>
  <si>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</si>
  <si>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</si>
  <si>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</si>
  <si>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</si>
  <si>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</si>
  <si>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</si>
  <si>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</si>
  <si>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</si>
  <si>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</si>
  <si>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</si>
  <si>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</si>
  <si>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</si>
  <si>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</si>
  <si>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</si>
  <si>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</si>
  <si>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</si>
  <si>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</si>
  <si>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</si>
  <si>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</si>
  <si>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</si>
  <si>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</si>
  <si>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</si>
  <si>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</si>
  <si>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</si>
  <si>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</si>
  <si>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</si>
  <si>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</si>
  <si>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</si>
  <si>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</si>
  <si>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</si>
  <si>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</si>
  <si>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</si>
  <si>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</si>
  <si>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</si>
  <si>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</si>
  <si>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</si>
  <si>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</si>
  <si>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</si>
  <si>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</si>
  <si>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</si>
  <si>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</si>
  <si>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</si>
  <si>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</si>
  <si>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</si>
  <si>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</si>
  <si>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</si>
  <si>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</si>
  <si>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</si>
  <si>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</si>
  <si>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</si>
  <si>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</si>
  <si>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</si>
  <si>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</si>
  <si>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</si>
  <si>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</si>
  <si>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</si>
  <si>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</si>
  <si>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</si>
  <si>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</si>
  <si>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</si>
  <si>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</si>
  <si>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</si>
  <si>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</si>
  <si>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</si>
  <si>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</si>
  <si>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</si>
  <si>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</si>
  <si>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</si>
  <si>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</si>
  <si>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</si>
  <si>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</si>
  <si>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</si>
  <si>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</si>
  <si>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</si>
  <si>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</si>
  <si>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</si>
  <si>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</si>
  <si>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</si>
  <si>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</si>
  <si>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</si>
  <si>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</si>
  <si>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</si>
  <si>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</si>
  <si>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</si>
  <si>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</si>
  <si>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</si>
  <si>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</si>
  <si>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</si>
  <si>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</si>
  <si>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</si>
  <si>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</si>
  <si>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</si>
  <si>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</si>
  <si>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</si>
  <si>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</si>
  <si>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</si>
  <si>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</si>
  <si>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</si>
  <si>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</si>
  <si>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</si>
  <si>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</si>
  <si>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</si>
  <si>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</si>
  <si>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</si>
  <si>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</si>
  <si>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</si>
  <si>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</si>
  <si>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</si>
  <si>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</si>
  <si>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</si>
  <si>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</si>
  <si>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</si>
  <si>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</si>
  <si>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</si>
  <si>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</si>
  <si>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</si>
  <si>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</si>
  <si>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</si>
  <si>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</si>
  <si>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</si>
  <si>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</si>
  <si>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</si>
  <si>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</si>
  <si>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</si>
  <si>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</si>
  <si>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</si>
  <si>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</si>
  <si>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</si>
  <si>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</si>
  <si>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</si>
  <si>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</si>
  <si>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</si>
  <si>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</si>
  <si>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</si>
  <si>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</si>
  <si>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</si>
  <si>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</si>
  <si>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</si>
  <si>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</si>
  <si>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</si>
  <si>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</si>
  <si>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</si>
  <si>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</si>
  <si>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</si>
  <si>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</si>
  <si>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</si>
  <si>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</si>
  <si>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</si>
  <si>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</si>
  <si>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</si>
  <si>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</si>
  <si>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</si>
  <si>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</si>
  <si>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</si>
  <si>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</si>
  <si>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</si>
  <si>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</si>
  <si>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</si>
  <si>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</si>
  <si>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</si>
  <si>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</si>
  <si>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</si>
  <si>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</si>
  <si>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</si>
  <si>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</si>
  <si>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</si>
  <si>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</si>
  <si>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</si>
  <si>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</si>
  <si>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</si>
  <si>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</si>
  <si>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</si>
  <si>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</si>
  <si>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</si>
  <si>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</si>
  <si>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</si>
  <si>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</si>
  <si>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</si>
  <si>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</si>
  <si>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</si>
  <si>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</si>
  <si>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</si>
  <si>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</si>
  <si>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</si>
  <si>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</si>
  <si>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</si>
  <si>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</si>
  <si>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</si>
  <si>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</si>
  <si>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</si>
  <si>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</si>
  <si>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</si>
  <si>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</si>
  <si>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</si>
  <si>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</si>
  <si>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</si>
  <si>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</si>
  <si>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</si>
  <si>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</si>
  <si>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</si>
  <si>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</si>
  <si>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</si>
  <si>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</si>
  <si>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</si>
  <si>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</si>
  <si>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</si>
  <si>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</si>
  <si>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</si>
  <si>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</si>
  <si>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</si>
  <si>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</si>
  <si>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</si>
  <si>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</si>
  <si>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</si>
  <si>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</si>
  <si>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</si>
  <si>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</si>
  <si>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</si>
  <si>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</si>
  <si>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</si>
  <si>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</si>
  <si>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</si>
  <si>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</si>
  <si>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</si>
  <si>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</si>
  <si>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</si>
  <si>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</si>
  <si>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</si>
  <si>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</si>
  <si>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</si>
  <si>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</si>
  <si>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</si>
  <si>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</si>
  <si>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</si>
  <si>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</si>
  <si>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</si>
  <si>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</si>
  <si>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</si>
  <si>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</si>
  <si>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</si>
  <si>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</si>
  <si>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</si>
  <si>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</si>
  <si>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</si>
  <si>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</si>
  <si>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</si>
  <si>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</si>
  <si>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</si>
  <si>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</si>
  <si>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</si>
  <si>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</si>
  <si>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</si>
  <si>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</si>
  <si>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</si>
  <si>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</si>
  <si>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</si>
  <si>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</si>
  <si>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</si>
  <si>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</si>
  <si>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</si>
  <si>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</si>
  <si>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</si>
  <si>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</si>
  <si>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</si>
  <si>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</si>
  <si>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</si>
  <si>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</si>
  <si>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</si>
  <si>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</si>
  <si>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</si>
  <si>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</si>
  <si>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</si>
  <si>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</si>
  <si>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</si>
  <si>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</si>
  <si>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</si>
  <si>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</si>
  <si>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</si>
  <si>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</si>
  <si>
    <t>A1</t>
    <phoneticPr fontId="1" type="noConversion"/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</si>
  <si>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</si>
  <si>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</si>
  <si>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</si>
  <si>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</si>
  <si>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</si>
  <si>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</si>
  <si>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</si>
  <si>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</si>
  <si>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</si>
  <si>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</si>
  <si>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B2</t>
    <phoneticPr fontId="1" type="noConversion"/>
  </si>
  <si>
    <t>C3</t>
    <phoneticPr fontId="1" type="noConversion"/>
  </si>
  <si>
    <t>D4</t>
    <phoneticPr fontId="1" type="noConversion"/>
  </si>
  <si>
    <t>E5</t>
    <phoneticPr fontId="1" type="noConversion"/>
  </si>
  <si>
    <t>F6</t>
    <phoneticPr fontId="1" type="noConversion"/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</si>
  <si>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</si>
  <si>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</si>
  <si>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</si>
  <si>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</si>
  <si>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</si>
  <si>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</si>
  <si>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</si>
  <si>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</si>
  <si>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</si>
  <si>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</si>
  <si>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</si>
  <si>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</si>
  <si>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</si>
  <si>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</si>
  <si>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</si>
  <si>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</si>
  <si>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</si>
  <si>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</si>
  <si>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</si>
  <si>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</si>
  <si>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</si>
  <si>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</si>
  <si>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</si>
  <si>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</si>
  <si>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</si>
  <si>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</si>
  <si>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</si>
  <si>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</si>
  <si>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</si>
  <si>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</si>
  <si>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</si>
  <si>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</si>
  <si>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</si>
  <si>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</si>
  <si>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</si>
  <si>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</si>
  <si>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</si>
  <si>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</si>
  <si>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</si>
  <si>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</si>
  <si>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</si>
  <si>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</si>
  <si>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</si>
  <si>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</si>
  <si>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</si>
  <si>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</si>
  <si>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</si>
  <si>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</si>
  <si>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</si>
  <si>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</si>
  <si>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DB</t>
    <phoneticPr fontId="1" type="noConversion"/>
  </si>
  <si>
    <t>TABLE</t>
    <phoneticPr fontId="1" type="noConversion"/>
  </si>
  <si>
    <t>Tbl_list[OFFSET]</t>
    <phoneticPr fontId="1" type="noConversion"/>
  </si>
  <si>
    <t>OFFSET match</t>
    <phoneticPr fontId="1" type="noConversion"/>
  </si>
  <si>
    <t>Table Count</t>
    <phoneticPr fontId="1" type="noConversion"/>
  </si>
  <si>
    <t>abs OFFSET[ROW]</t>
    <phoneticPr fontId="1" type="noConversion"/>
  </si>
  <si>
    <t>[const] Max row</t>
    <phoneticPr fontId="1" type="noConversion"/>
  </si>
  <si>
    <t>TB_Admin</t>
    <phoneticPr fontId="1" type="noConversion"/>
  </si>
  <si>
    <t>TB_log</t>
    <phoneticPr fontId="1" type="noConversion"/>
  </si>
  <si>
    <t>choihyeryun@daeryuk.co.kr</t>
  </si>
  <si>
    <t>2024-03-25T11:00:26.203Z</t>
  </si>
  <si>
    <t>2024-03-25T02:00:26.135Z</t>
  </si>
  <si>
    <t>2024-03-25T02:00:26.376Z</t>
  </si>
  <si>
    <t>config</t>
  </si>
  <si>
    <t>config</t>
    <phoneticPr fontId="1" type="noConversion"/>
  </si>
  <si>
    <t>Admin</t>
    <phoneticPr fontId="1" type="noConversion"/>
  </si>
  <si>
    <t>Auth_Machine</t>
    <phoneticPr fontId="1" type="noConversion"/>
  </si>
  <si>
    <t>Auth_Organization</t>
    <phoneticPr fontId="1" type="noConversion"/>
  </si>
  <si>
    <t>Organization</t>
    <phoneticPr fontId="1" type="noConversion"/>
  </si>
  <si>
    <t>User</t>
  </si>
  <si>
    <t>User</t>
    <phoneticPr fontId="1" type="noConversion"/>
  </si>
  <si>
    <t>Log_Collector</t>
    <phoneticPr fontId="1" type="noConversion"/>
  </si>
  <si>
    <t>rpa@bkcrowd.co.kr</t>
  </si>
  <si>
    <t>2024-03-25T11:46:17.937Z</t>
  </si>
  <si>
    <t>$2b$10$Lrz1JQa.lP5ae0O0M/AFzes/yG7nu8SYvzTUe.3iwKZFGDceloxWS</t>
  </si>
  <si>
    <t>2024-03-25T02:46:17.870Z</t>
  </si>
  <si>
    <t>2024-03-25T02:50:07.242Z</t>
  </si>
  <si>
    <t>eyJhbGciOiJIUzI1NiIsInR5cCI6IkpXVCJ9.eyJjb21wYW55IjoiYmtjcm93ZCIsImlkIjoicnBhQGJrY3Jvd2QuY28ua3IiLCJzb3VyY2UiOiJleGNlbCIsInR5cGUiOiJNYWNoaW5lIiwidmVyIjoiMS4wIiwibm8iOjEsImlhdCI6MTcxMTMzNDg5NH0.2yiodflpMbNG2gNnR1dUf5VA8wJ7Y4u0okCoxkWTFtg</t>
  </si>
  <si>
    <t>2024-12-31T00:00:00.000Z</t>
  </si>
  <si>
    <t>8f4deb96d8047f9c483071d61d325a9d33970a9d6cffeb2a9a83dc6960ca08485ac46d5a96174e120a73aba8d8a1041742ef651b52711deb25dc1861f7cda9db</t>
  </si>
  <si>
    <t>RPA용 PC</t>
  </si>
  <si>
    <t>@</t>
  </si>
  <si>
    <t>2024-03-25T11:48:15.013Z</t>
  </si>
  <si>
    <t>2024-03-25T11:51:46.363Z</t>
  </si>
  <si>
    <t>eyJhbGciOiJIUzI1NiIsInR5cCI6IkpXVCJ9.eyJjb21wYW55IjoiZGFlcnl1ayIsImlkIjoiY2hvaWh5ZXJ5dW5AZGFlcnl1ay5jby5rciIsInNvdXJjZSI6ImV4Y2VsIiwidHlwZSI6Ik1hY2hpbmUiLCJ2ZXIiOiIxLjAiLCJubyI6MSwiaWF0IjoxNzExMzMyMDc4fQ.C1YRlJftf8-Qx68UmaIXFAFnCBHrIvXl856BcAwqcaE</t>
  </si>
  <si>
    <t>c6e60c300f86022970adc3641226fbe939111720c7da3ff5582fbe283856521c3202cfe844e633adf37ca6c451de12cd856711c8af9561cd2ddde03562fbe11b</t>
  </si>
  <si>
    <t>사무실DT</t>
  </si>
  <si>
    <t>2024-03-25T11:01:18.900Z</t>
  </si>
  <si>
    <t>2024-03-25T11:03:08.487Z</t>
  </si>
  <si>
    <t>eyJhbGciOiJIUzI1NiIsInR5cCI6IkpXVCJ9.eyJjb21wYW55IjoiYXNpYWZuaSIsImlkIjoiY2hvaWh5ZXJ5dW5AYXNpYWZuaS5jb20iLCJzb3VyY2UiOiJleGNlbCIsInR5cGUiOiJNYWNoaW5lIiwidmVyIjoiMS4wIiwibm8iOjEsImlhdCI6MTcxMDEyMzU0OX0.94vbHIf9nLIhK_QMFC6jFNROp7SDjNQP1GeWP8mPVWU</t>
  </si>
  <si>
    <t>2024-03-11T11:19:09.303Z</t>
  </si>
  <si>
    <t>2024-03-11T11:22:07.277Z</t>
  </si>
  <si>
    <t>eyJhbGciOiJIUzI1NiIsInR5cCI6IkpXVCJ9.eyJjb21wYW55IjoiYmtjcm93ZCIsImlkIjoiY2hvaWh5ZXJ5dW5AYmtjcm93ZC5jb20iLCJzb3VyY2UiOiJleGNlbCIsInR5cGUiOiJNYWNoaW5lIiwidmVyIjoiMS4wIiwibm8iOjEsImlhdCI6MTcwOTE2NzYzNn0.4YuYkOAAc5FTej65OsH6kYMy0Re7rnjBam2OyS_M8Hk</t>
  </si>
  <si>
    <t>2024-02-29T09:47:16.887Z</t>
  </si>
  <si>
    <t>2024-02-29T09:50:07.247Z</t>
  </si>
  <si>
    <t>eyJhbGciOiJIUzI1NiIsInR5cCI6IkpXVCJ9.eyJjb21wYW55IjoiYmtjcm93ZCIsImlkIjoic2NpcGlvQGJrY3Jvd2QuY29tIiwic291cmNlIjoiZXhjZWwiLCJ0eXBlIjoiTWFjaGluZSIsInZlciI6IjEuMCIsIm5vIjozLCJpYXQiOjE3MDkxMTI1MzR9.2hEkAdaPgOfsyFP-wO6yezg1UTzEF63JsG41q-7xktE</t>
  </si>
  <si>
    <t>24f46c75b4bad4c905d498771b21f38fa0478d6d8190b63a04b4d5e520bf031ceef3debfec63ec2b4296b451019bb70ee3d94cee59c0107cb23b33dd8bb6c9e6</t>
  </si>
  <si>
    <t>집PC</t>
  </si>
  <si>
    <t>2024-02-28T18:28:54.847Z</t>
  </si>
  <si>
    <t>2024-03-13T18:46:11.067Z</t>
  </si>
  <si>
    <t>eyJhbGciOiJIUzI1NiIsInR5cCI6IkpXVCJ9.eyJjb21wYW55IjoiYmtjcm93ZCIsImlkIjoic2NpcGlvQGJrY3Jvd2QuY29tIiwic291cmNlIjoiZXhjZWwiLCJ0eXBlIjoiTWFjaGluZSIsInZlciI6IjEuMCIsIm5vIjoyLCJpYXQiOjE3MDkxMTI1Mjl9.Oga-m-o2Nk3jwt-ZdL-9-y9WfXUzhd_e_rxkaEx-Bu4</t>
  </si>
  <si>
    <t>노트북</t>
  </si>
  <si>
    <t>2024-02-28T18:28:49.593Z</t>
  </si>
  <si>
    <t>eyJhbGciOiJIUzI1NiIsInR5cCI6IkpXVCJ9.eyJjb21wYW55IjoiYmtjcm93ZCIsImlkIjoic2NpcGlvQGJrY3Jvd2QuY29tIiwic291cmNlIjoiZXhjZWwiLCJ0eXBlIjoiTWFjaGluZSIsInZlciI6IjEuMCIsIm5vIjoxLCJpYXQiOjE3MDkxMTI1MjJ9.BtWlk8kuA1YBt4jCtVBTnfiFTS4DGhgm1KU_Fa7p4l4</t>
  </si>
  <si>
    <t>0ea73b609ec1ca60c47bd0f03cc9d078320818d3c5b9e7fbdac08ad7a688a2b21ca994c0593694d08d4a57e2476e18b39130002411647c508435b6d890d5a62d</t>
  </si>
  <si>
    <t>2024-02-28T18:28:42.800Z</t>
  </si>
  <si>
    <t>2024-03-13T10:57:52.753Z</t>
  </si>
  <si>
    <t>eyJhbGciOiJIUzI1NiIsInR5cCI6IkpXVCJ9.eyJjb21wYW55IjoiZGFlcnl1ayIsImlkIjoic2NpcGlvQGRhZXJ5dWsuY28ua3IiLCJzb3VyY2UiOiJleGNlbCIsInR5cGUiOiJNYWNoaW5lIiwidmVyIjoiMS4wIiwibm8iOjMsImlhdCI6MTcwOTExMTc4OH0.X_kEjtwRMzx3hYK1n5Z-ZPEpE6TV2ifbvi-HWWIy2WI</t>
  </si>
  <si>
    <t>2024-02-28T18:16:28.227Z</t>
  </si>
  <si>
    <t>eyJhbGciOiJIUzI1NiIsInR5cCI6IkpXVCJ9.eyJjb21wYW55IjoiZGFlcnl1ayIsImlkIjoic2NpcGlvQGRhZXJ5dWsuY28ua3IiLCJzb3VyY2UiOiJleGNlbCIsInR5cGUiOiJNYWNoaW5lIiwidmVyIjoiMS4wIiwibm8iOjIsImlhdCI6MTcwOTExMTc3OH0.jg2iMfYnmCoOTs2GL7ZIpfV9SayAdYejRaKC2IsABKI</t>
  </si>
  <si>
    <t>2024-02-28T18:16:18.400Z</t>
  </si>
  <si>
    <t>eyJhbGciOiJIUzI1NiIsInR5cCI6IkpXVCJ9.eyJjb21wYW55IjoiZGFlcnl1ayIsImlkIjoic2NpcGlvQGRhZXJ5dWsuY28ua3IiLCJzb3VyY2UiOiJleGNlbCIsInR5cGUiOiJNYWNoaW5lIiwidmVyIjoiMS4wIiwibm8iOjEsImlhdCI6MTcwOTExMTc3MH0.dwrL2agCeV1yswRmWpUJ7vrm_UKzC3vQdLTPzCya2XQ</t>
  </si>
  <si>
    <t>2024-02-28T18:16:10.910Z</t>
  </si>
  <si>
    <t>eyJhbGciOiJIUzI1NiIsInR5cCI6IkpXVCJ9.eyJjb21wYW55IjoiYmtjcm93ZCIsImlkIjoibGVlMGJvazBAbmF2ZXIuY29tIiwic291cmNlIjoiZXhjZWwiLCJ0eXBlIjoiTWFjaGluZSIsInZlciI6IjEuMCIsIm5vIjoxLCJpYXQiOjE3MDcyODQ1OTN9.VaSo3L2WyE6zb3vXnhiUEfg7j9pyMK4wAPU1kFkowiY</t>
  </si>
  <si>
    <t>비케이크라우드</t>
  </si>
  <si>
    <t>2024-02-07T14:43:13.723Z</t>
  </si>
  <si>
    <t>eyJhbGciOiJIUzI1NiIsInR5cCI6IkpXVCJ9.eyJjb21wYW55IjoiYmtjcm93ZCIsImlkIjoicW9hYW5zbWxAbmF2ZXIuY29tIiwic291cmNlIjoiZXhjZWwiLCJ0eXBlIjoiTWFjaGluZSIsInZlciI6IjEuMCIsIm5vIjoxLCJpYXQiOjE3MDcyODMyMDR9.xSN1tAffYOzAGkuRWgFTgW9kI5LdhVZMy6j3bgKt3X8</t>
  </si>
  <si>
    <t>2024-02-07T14:19:51.653Z</t>
  </si>
  <si>
    <t>eyJhbGciOiJIUzI1NiIsInR5cCI6IkpXVCJ9.eyJjb21wYW55IjoiZXpjaGVtdGVjaCIsImlkIjoibHVjeUBlemNoZW10ZWNoLmNvbSIsInNvdXJjZSI6ImV4Y2VsIiwidHlwZSI6Ik1hY2hpbmUiLCJ2ZXIiOiIxLjAiLCJubyI6MSwiaWF0IjoxNzA0NDIwODM0fQ.miCKNFl7rWvHS7FvHVAR2lhhNrjmYZuOJM2lkNk1Kis</t>
  </si>
  <si>
    <t>8ed85fcd044ec8e00c0b89b6f80207ab29cab9ffb85c7e85a2f00a0566ccb5fd5f2ffb36cf16044ac298d946f3dee19eed8bbc9449a74478176df17bcf23a75a</t>
  </si>
  <si>
    <t>이현아대리 사무실PC</t>
  </si>
  <si>
    <t>2024-01-05T11:13:54.747Z</t>
  </si>
  <si>
    <t>2024-01-05T11:15:18.010Z</t>
  </si>
  <si>
    <t>eyJhbGciOiJIUzI1NiIsInR5cCI6IkpXVCJ9.eyJjb21wYW55IjoiZXpvZmZpY2UiLCJpZCI6Imx1Y3lAZXotb2ZmaWNlLmNvLmtyIiwic291cmNlIjoiZXhjZWwiLCJ0eXBlIjoiTWFjaGluZSIsInZlciI6IjEuMCIsIm5vIjoxLCJpYXQiOjE3MDQ0MTY1ODV9.xxWWK1AkMUBL12DyiLTzVjNxM7tv2Uiv7Jj5T7w-4Ug</t>
  </si>
  <si>
    <t>사무실PC</t>
  </si>
  <si>
    <t>2024-01-05T10:03:05.707Z</t>
  </si>
  <si>
    <t>2024-01-05T10:35:12.680Z</t>
  </si>
  <si>
    <t>eyJhbGciOiJIUzI1NiIsInR5cCI6IkpXVCJ9.eyJjb21wYW55IjoiZ3NlbGVjIiwiaWQiOiJlZGVuLmxlZUBnc2VsZWMuY29tIiwic291cmNlIjoiZXhjZWwiLCJ0eXBlIjoiTWFjaGluZSIsInZlciI6IjEuMCIsIm5vIjoxLCJpYXQiOjE3MDQyNTkzMjJ9.-yPIhag_NL6IHXV6P8oGUrs5DswRlV89BnvK8b5RoN4</t>
  </si>
  <si>
    <t>7ddad3cdc2f0e0f90e690272795dff0ad47225a62cb1eb16247e891b2ff214ba2801b3c59eff9bea9155040ab3b34bd9b67b03ac9d74082eb7d9c124acfb5834</t>
  </si>
  <si>
    <t>2024-01-03T14:22:02.650Z</t>
  </si>
  <si>
    <t>2024-01-03T15:25:07.000Z</t>
  </si>
  <si>
    <t>eyJhbGciOiJIUzI1NiIsInR5cCI6IkpXVCJ9.eyJjb21wYW55IjoiZ3NlbGVjIiwiaWQiOiJjaG9paHllcnl1bkBnc2VsZWMuY29tIiwic291cmNlIjoiZXhjZWwiLCJ0eXBlIjoiTWFjaGluZSIsInZlciI6IjEuMCIsIm5vIjoxLCJpYXQiOjE3MDQyNTkzMTd9.niR8j63aB8lNA5hPjAo8TYhxkR0-BpDorIpqbGsAD3o</t>
  </si>
  <si>
    <t>2024-01-03T14:21:57.897Z</t>
  </si>
  <si>
    <t>2024-01-03T15:44:53.703Z</t>
  </si>
  <si>
    <t>eyJhbGciOiJIUzI1NiIsInR5cCI6IkpXVCJ9.eyJjb21wYW55Ijoia3Vtc3VuZyIsImlkIjoiZWRlbi5sZWVAa3Vtc3VuZy5jb20iLCJzb3VyY2UiOiJleGNlbCIsInR5cGUiOiJNYWNoaW5lIiwidmVyIjoiMS4wIiwibm8iOjEsImlhdCI6MTcwNDI0NzQ4NH0.QOgf-tEQwf_NkFkR2sgSHZbDmQOWXkmK_oAY0GffvNU</t>
  </si>
  <si>
    <t>null</t>
  </si>
  <si>
    <t>2024-01-03T11:04:44.213Z</t>
  </si>
  <si>
    <t>eyJhbGciOiJIUzI1NiIsInR5cCI6IkpXVCJ9.eyJjb21wYW55Ijoia3Vtc3VuZyIsImlkIjoiY2hvaWh5ZXJ5dW5Aa3Vtc3VuZy5jb20iLCJzb3VyY2UiOiJleGNlbCIsInR5cGUiOiJNYWNoaW5lIiwidmVyIjoiMS4wIiwibm8iOjEsImlhdCI6MTcwNDI0NzM0M30.ZszU6OZHnmKJgN9aIaoXhN0L7hiUApqrhozMEIg3_fg</t>
  </si>
  <si>
    <t>2024-01-03T11:02:23.943Z</t>
  </si>
  <si>
    <t>2024-01-03T11:06:11.000Z</t>
  </si>
  <si>
    <t>eyJhbGciOiJIUzI1NiIsInR5cCI6IkpXVCJ9.eyJjb21wYW55IjoiZ3NlbGVjIiwiaWQiOiJpc2FiZWxsZUBnc2VsZWMuY29tIiwic291cmNlIjoiZXhjZWwiLCJ0eXBlIjoiTWFjaGluZSIsInZlciI6IjEuMCIsIm5vIjoyLCJpYXQiOjE3MDM2NzMxMzR9.MVZCv6jJbqMS5fEEvKunhrPNJd_w_RLhTjE29LwNd5Y</t>
  </si>
  <si>
    <t>0ca06524446f8f9dc89e85c2a092afd33a2340889c5371e65f3628f7de0da498ee012bf25b1702a804dc9b4719bed864b34e2b8f5f46c967fddb63ea6fadc627</t>
  </si>
  <si>
    <t>LT</t>
  </si>
  <si>
    <t>2023-12-27T19:32:14.520Z</t>
  </si>
  <si>
    <t>2023-12-27T19:38:14.447Z</t>
  </si>
  <si>
    <t>eyJhbGciOiJIUzI1NiIsInR5cCI6IkpXVCJ9.eyJjb21wYW55IjoiZ3NlbGVjIiwiaWQiOiJpc2FiZWxsZUBnc2VsZWMuY29tIiwic291cmNlIjoiZXhjZWwiLCJ0eXBlIjoiTWFjaGluZSIsInZlciI6IjEuMCIsIm5vIjoxLCJpYXQiOjE3MDM2NzMxMjB9.jZqDtSf6s0gYYKrK62xyRnpABwAcbeam-AkU5uOfen8</t>
  </si>
  <si>
    <t>DT</t>
  </si>
  <si>
    <t>2023-12-27T19:32:00.433Z</t>
  </si>
  <si>
    <t>eyJhbGciOiJIUzI1NiIsInR5cCI6IkpXVCJ9.eyJjb21wYW55IjoiZXpjaGVtdGVjaCIsImlkIjoidGVzdDAxQGV6Y2hlbXRlY2guY29tIiwic291cmNlIjoiZXhjZWwiLCJ0eXBlIjoiTWFjaGluZSIsInZlciI6IjEuMCIsIm5vIjoxLCJpYXQiOjE3MDE2NjY4Mzl9.zJsnkRj3UNESKJLJnxWozbBRx7cTZSdO0IaRj9r9QCA</t>
  </si>
  <si>
    <t>279eb270bffce403007c3569993cea977756f0025df8715bd2d672b5a19ca217a0400b45bc4a72667e6c3a74d722e0461b182f38e787cf2457e1ef58fc82a926</t>
  </si>
  <si>
    <t>최종규이사ESR테스트용</t>
  </si>
  <si>
    <t>2023-12-04T14:14:00.160Z</t>
  </si>
  <si>
    <t>2023-12-04T14:25:11.750Z</t>
  </si>
  <si>
    <t>eyJhbGciOiJIUzI1NiIsInR5cCI6IkpXVCJ9.eyJjb21wYW55IjoiZGVtbyIsImlkIjoiandob25nQGRlbW8uY28ua3IiLCJzb3VyY2UiOiJleGNlbCIsInR5cGUiOiJNYWNoaW5lIiwidmVyIjoiMS4wIiwibm8iOjEsImlhdCI6MTcwMTA3NzUxM30.13TYjjCU5JvUbs91SwEkvt3CBRns4FdoOiPFVT5DvSE</t>
  </si>
  <si>
    <t>2023-11-27T18:31:53.967Z</t>
  </si>
  <si>
    <t>eyJhbGciOiJIUzI1NiIsInR5cCI6IkpXVCJ9.eyJjb21wYW55IjoiZGVtbyIsImlkIjoiaGp3b29AZGVtby5jby5rciIsInNvdXJjZSI6ImV4Y2VsIiwidHlwZSI6Ik1hY2hpbmUiLCJ2ZXIiOiIxLjAiLCJubyI6MSwiaWF0IjoxNzAxMDc3NDA5fQ.45gqEvtmBLqE68U7ODYNJt6SjF-5wrY_OvcZB0vicC8</t>
  </si>
  <si>
    <t>2023-11-27T18:30:09.690Z</t>
  </si>
  <si>
    <t>eyJhbGciOiJIUzI1NiIsInR5cCI6IkpXVCJ9.eyJjb21wYW55IjoibmdjMTk5NCIsImlkIjoia2ouc2ltQG5nYzE5OTQuY28ua3IiLCJzb3VyY2UiOiJleGNlbCIsInR5cGUiOiJNYWNoaW5lIiwidmVyIjoiMS4wIiwibm8iOjEsImlhdCI6MTcwMDcyMTY2Nn0.4WxjJxtVvTzsrofa4mqegBKJy4HkxbPEuW2SZyhNk4k</t>
  </si>
  <si>
    <t>8f8e1ee3751dece96bd6f2d71a4e80f40b65d83bf7c85dce0bafdf280fa0e920e3651dc700fdf8bc6a296325dffe9e24ee52a323d26dc6ca3f3c8860fda9d3ab</t>
  </si>
  <si>
    <t>2023-11-23T15:41:07.050Z</t>
  </si>
  <si>
    <t>2023-11-23T15:44:09.940Z</t>
  </si>
  <si>
    <t>eyJhbGciOiJIUzI1NiIsInR5cCI6IkpXVCJ9.eyJjb21wYW55IjoibmdjMTk5NCIsImlkIjoic2NpcGlvQG5nYzE5OTQuY28ua3IiLCJzb3VyY2UiOiJleGNlbCIsInR5cGUiOiJNYWNoaW5lIiwidmVyIjoiMS4wIiwibm8iOjMsImlhdCI6MTcwMDcxOTAxNn0.u_ao9ZhUMAJTZNF_9FraSPYRTcBj7zMiTI794rYBpvQ</t>
  </si>
  <si>
    <t>2023-11-23T14:56:56.750Z</t>
  </si>
  <si>
    <t>2023-11-23T16:34:37.917Z</t>
  </si>
  <si>
    <t>eyJhbGciOiJIUzI1NiIsInR5cCI6IkpXVCJ9.eyJjb21wYW55IjoibmdjMTk5NCIsImlkIjoic2NpcGlvQG5nYzE5OTQuY28ua3IiLCJzb3VyY2UiOiJleGNlbCIsInR5cGUiOiJNYWNoaW5lIiwidmVyIjoiMS4wIiwibm8iOjIsImlhdCI6MTcwMDcxOTAxNX0.jV-k2YGBUIdnKBZ_KqS2x8AM5tWVMewaViZIXdDxf0Q</t>
  </si>
  <si>
    <t>2023-11-23T14:56:55.750Z</t>
  </si>
  <si>
    <t>2023-11-24T00:05:27.860Z</t>
  </si>
  <si>
    <t>eyJhbGciOiJIUzI1NiIsInR5cCI6IkpXVCJ9.eyJjb21wYW55IjoibmdjMTk5NCIsImlkIjoic2NpcGlvQG5nYzE5OTQuY28ua3IiLCJzb3VyY2UiOiJleGNlbCIsInR5cGUiOiJNYWNoaW5lIiwidmVyIjoiMS4wIiwibm8iOjEsImlhdCI6MTcwMDcxOTAwN30.d8X0DKU2xRz9KmU1ilsgTejowLcdFOodjSOqVwz7BMk</t>
  </si>
  <si>
    <t>2023-11-23T14:56:47.747Z</t>
  </si>
  <si>
    <t>eyJhbGciOiJIUzI1NiIsInR5cCI6IkpXVCJ9.eyJjb21wYW55Ijoid29ybGRzaG9wcGUiLCJpZCI6ImtqLnNpbUB3b3JsZHNob3BwZS5jb20iLCJzb3VyY2UiOiJleGNlbCIsInR5cGUiOiJNYWNoaW5lIiwidmVyIjoiMS4wIiwibm8iOjEsImlhdCI6MTcwMDU1NDUyMn0.5fT--poaUCr8zbQE3tnIBCR3ofuAVvExe5mGGjn24II</t>
  </si>
  <si>
    <t>kj.sim_for_WorldshoppePilot</t>
  </si>
  <si>
    <t>2023-11-21T17:15:22.967Z</t>
  </si>
  <si>
    <t>2023-11-21T17:18:12.260Z</t>
  </si>
  <si>
    <t>eyJhbGciOiJIUzI1NiIsInR5cCI6IkpXVCJ9.eyJjb21wYW55Ijoid29ybGRzaG9wcGUiLCJpZCI6ImlzYWJlbGxlQHdvcmxkc2hvcHBlLmNvbSIsInNvdXJjZSI6ImV4Y2VsIiwidHlwZSI6Ik1hY2hpbmUiLCJ2ZXIiOiIxLjAiLCJubyI6MSwiaWF0IjoxNzAwMDM4NDM0fQ.OTglBh3ApRo9YJ2hIRCKY40d44SFgu8NUfYGDFa2Ul4</t>
  </si>
  <si>
    <t>2023-11-15T17:53:54.790Z</t>
  </si>
  <si>
    <t>2023-11-15T17:55:43.980Z</t>
  </si>
  <si>
    <t>eyJhbGciOiJIUzI1NiIsInR5cCI6IkpXVCJ9.eyJjb21wYW55Ijoid29ybGRzaG9wcGUiLCJpZCI6ImlzYWJlbGxlQHdvcmtkc2hvcHBlLmNvbSIsInNvdXJjZSI6ImV4Y2VsIiwidHlwZSI6Ik1hY2hpbmUiLCJ2ZXIiOiIxLjAiLCJubyI6MSwiaWF0IjoxNzAwMDM4MTE3fQ.U20lqnOYDilnKsUM2Z6zbSnUpuirFzUY2Gj04ZyCNps</t>
  </si>
  <si>
    <t>2023-11-15T17:48:37.397Z</t>
  </si>
  <si>
    <t>eyJhbGciOiJIUzI1NiIsInR5cCI6IkpXVCJ9.eyJjb21wYW55Ijoid29ybGRzaG9wcGUiLCJpZCI6InNjaXBpb0B3b3JsZHNob3BwZS5jb20iLCJzb3VyY2UiOiJleGNlbCIsInR5cGUiOiJNYWNoaW5lIiwidmVyIjoiMS4wIiwibm8iOjMsImlhdCI6MTY5OTk1NTUyNH0.3YwzIyZM3ha3ws3URLyfBXQuMSpGy0GhMHjaKhs9DBQ</t>
  </si>
  <si>
    <t>대표님집PC</t>
  </si>
  <si>
    <t>2023-11-14T18:52:04.820Z</t>
  </si>
  <si>
    <t>2023-11-14T19:28:56.400Z</t>
  </si>
  <si>
    <t>eyJhbGciOiJIUzI1NiIsInR5cCI6IkpXVCJ9.eyJjb21wYW55Ijoid29ybGRzaG9wcGUiLCJpZCI6InNjaXBpb0B3b3JsZHNob3BwZS5jb20iLCJzb3VyY2UiOiJleGNlbCIsInR5cGUiOiJNYWNoaW5lIiwidmVyIjoiMS4wIiwibm8iOjIsImlhdCI6MTY5OTk1NTUwNH0.PbGQkaoF56CIrW06FAMnKcN_V_dba_szGzsldI47ly0</t>
  </si>
  <si>
    <t>대표님노트북</t>
  </si>
  <si>
    <t>2023-11-14T18:51:44.333Z</t>
  </si>
  <si>
    <t>eyJhbGciOiJIUzI1NiIsInR5cCI6IkpXVCJ9.eyJjb21wYW55Ijoid29ybGRzaG9wcGUiLCJpZCI6InNjaXBpb0B3b3JsZHNob3BwZS5jb20iLCJzb3VyY2UiOiJleGNlbCIsInR5cGUiOiJNYWNoaW5lIiwidmVyIjoiMS4wIiwibm8iOjEsImlhdCI6MTY5OTk1NTQ0Nn0.hVQNtw7TG0IhYhwBF0xnhaNuL6y5cJEfp2ltKZikb_c</t>
  </si>
  <si>
    <t>대표님사무실DT</t>
  </si>
  <si>
    <t>2023-11-14T18:50:46.590Z</t>
  </si>
  <si>
    <t>2023-11-14T22:18:01.843Z</t>
  </si>
  <si>
    <t>eyJhbGciOiJIUzI1NiIsInR5cCI6IkpXVCJ9.eyJjb21wYW55IjoiZXpjaGVtdGVjaCIsImlkIjoiZGV2QGV6Y2hlbXRlY2guY29tIiwic291cmNlIjoiZXhjZWwiLCJ0eXBlIjoiTWFjaGluZSIsInZlciI6IjEuMCIsIm5vIjoyLCJpYXQiOjE2OTkzNzA5MjJ9.j6knHWHtmQlKzbtDlVTH2w6MYQ5hXW06lQvmlxjq9nY</t>
  </si>
  <si>
    <t>4e4efb3fe184a8d5d3578bef67f2a52df25214198d107a50035e30a82a31e4a546be34aaf469364db1a285b39a3d2d4cd8b0ec0af5ce45031ac0c2c4c9825e7b</t>
  </si>
  <si>
    <t>LAPTOP</t>
  </si>
  <si>
    <t>2023-11-08T00:28:43.137Z</t>
  </si>
  <si>
    <t>2023-11-08T00:30:22.973Z</t>
  </si>
  <si>
    <t>eyJhbGciOiJIUzI1NiIsInR5cCI6IkpXVCJ9.eyJjb21wYW55IjoiYWdvcHRpY3MiLCJpZCI6ImlzYWJlbGxlQGFnb3B0aWNzLmNvLmtyIiwic291cmNlIjoiZXhjZWwiLCJ0eXBlIjoiTWFjaGluZSIsInZlciI6IjEuMCIsIm5vIjoxLCJpYXQiOjE2OTkzMjQwMTR9.DPLGYxRW2cETHGmSnoO7GY-D1kfXUYxxFmSen6P8zm8</t>
  </si>
  <si>
    <t>2023-11-07T11:26:54.557Z</t>
  </si>
  <si>
    <t>2023-11-07T11:32:17.550Z</t>
  </si>
  <si>
    <t>eyJhbGciOiJIUzI1NiIsInR5cCI6IkpXVCJ9.eyJjb21wYW55IjoiaGVsaWtvcmVhIiwiaWQiOiJjaG9paHllcnl1bkBoZWxpa29yZWEuY29tIiwic291cmNlIjoiZXhjZWwiLCJ0eXBlIjoiTWFjaGluZSIsInZlciI6IjEuMCIsIm5vIjoxLCJpYXQiOjE2OTgzMDc0OTF9.l3Ae6AWqw35YmNbgRkKolIyYzAFhkK1P2RKzRxI2DK8</t>
  </si>
  <si>
    <t>Office DT</t>
  </si>
  <si>
    <t>2023-10-26T17:04:51.717Z</t>
  </si>
  <si>
    <t>2023-11-01T17:40:34.963Z</t>
  </si>
  <si>
    <t>eyJhbGciOiJIUzI1NiIsInR5cCI6IkpXVCJ9.eyJjb21wYW55IjoiaGVsaWtvcmVhIiwiaWQiOiJzY2lwaW9AaGVsaWtvcmVhLmNvbSIsInNvdXJjZSI6ImV4Y2VsIiwidHlwZSI6Ik1hY2hpbmUiLCJ2ZXIiOiIxLjAiLCJubyI6NCwiaWF0IjoxNjk4MzA3NDgzfQ.aPbuVgPyooymGo6pP_O3zhYPzR60jlc3BTzeN4VitU4</t>
  </si>
  <si>
    <t>2023-10-26T17:04:43.760Z</t>
  </si>
  <si>
    <t>eyJhbGciOiJIUzI1NiIsInR5cCI6IkpXVCJ9.eyJjb21wYW55IjoiaGVsaWtvcmVhIiwiaWQiOiJzY2lwaW9AaGVsaWtvcmVhLmNvbSIsInNvdXJjZSI6ImV4Y2VsIiwidHlwZSI6Ik1hY2hpbmUiLCJ2ZXIiOiIxLjAiLCJubyI6MywiaWF0IjoxNjk4MzA3NDczfQ.xbN3gp4X75vvRZtHP_k63Pige0tM7f9I85-O3Ox_DG8</t>
  </si>
  <si>
    <t>Office LT</t>
  </si>
  <si>
    <t>2023-10-26T17:04:33.750Z</t>
  </si>
  <si>
    <t>eyJhbGciOiJIUzI1NiIsInR5cCI6IkpXVCJ9.eyJjb21wYW55IjoiaGVsaWtvcmVhIiwiaWQiOiJzY2lwaW9AaGVsaWtvcmVhLmNvbSIsInNvdXJjZSI6ImV4Y2VsIiwidHlwZSI6Ik1hY2hpbmUiLCJ2ZXIiOiIxLjAiLCJubyI6MiwiaWF0IjoxNjk4MzA3NDYxfQ.c9mRAdkOkQnu5QKgQYtmwTv2L08MbiASQ9LDKbVY7sU</t>
  </si>
  <si>
    <t>2023-10-26T17:04:21.833Z</t>
  </si>
  <si>
    <t>eyJhbGciOiJIUzI1NiIsInR5cCI6IkpXVCJ9.eyJjb21wYW55IjoiaGVsaWtvcmVhIiwiaWQiOiJzY2lwaW9AaGVsaWtvcmVhLmNvbSIsInNvdXJjZSI6ImV4Y2VsIiwidHlwZSI6Ik1hY2hpbmUiLCJ2ZXIiOiIxLjAiLCJubyI6MSwiaWF0IjoxNjk4MzA3NDU0fQ.yGGTfNVXzKVxKNoO4sWB6vPEjL5JnHP4dR_XYdwPwG8</t>
  </si>
  <si>
    <t>2023-10-26T17:04:14.967Z</t>
  </si>
  <si>
    <t>eyJhbGciOiJIUzI1NiIsInR5cCI6IkpXVCJ9.eyJjb21wYW55IjoiaGVsaWtvcmVhIiwiaWQiOiJpc2FiZWxsZUBoZWxpa29yZWEuY29tIiwic291cmNlIjoiZXhjZWwiLCJ0eXBlIjoiTWFjaGluZSIsInZlciI6IjEuMCIsIm5vIjoyLCJpYXQiOjE2OTgzMDc0NDF9.GD1hZr1SGcEP78aNCjL1C-yIe2qA3O97u7_a9Jzl-h0</t>
  </si>
  <si>
    <t>2023-10-26T17:04:01.963Z</t>
  </si>
  <si>
    <t>eyJhbGciOiJIUzI1NiIsInR5cCI6IkpXVCJ9.eyJjb21wYW55IjoiaGVsaWtvcmVhIiwiaWQiOiJpc2FiZWxsZUBoZWxpa29yZWEuY29tIiwic291cmNlIjoiZXhjZWwiLCJ0eXBlIjoiTWFjaGluZSIsInZlciI6IjEuMCIsIm5vIjoxLCJpYXQiOjE2OTgzMDc0MzB9.aPROVmuVuA_a_y_QGvyp7O7RMRIe69HmQ1cVVrFtr2E</t>
  </si>
  <si>
    <t>2023-10-26T17:03:50.840Z</t>
  </si>
  <si>
    <t>2023-12-20T17:48:02.097Z</t>
  </si>
  <si>
    <t>eyJhbGciOiJIUzI1NiIsInR5cCI6IkpXVCJ9.eyJjb21wYW55IjoiYWdvcHRpY3MiLCJpZCI6ImlzYWJlbGxlQGFnb3B0aWNzLmNvLmtyIiwic291cmNlIjoiZXhjZWwiLCJ0eXBlIjoiTWFjaGluZSIsInZlciI6IjEuMCIsIm5vIjoyLCJpYXQiOjE2OTgyMTY3ODJ9.03rDGC7H0y_ZegYYzngLaNJ8vMpCVvkc9AXPxceUSxI</t>
  </si>
  <si>
    <t>2023-10-25T15:53:02.157Z</t>
  </si>
  <si>
    <t>2024-01-02T14:42:21.977Z</t>
  </si>
  <si>
    <t>eyJhbGciOiJIUzI1NiIsInR5cCI6IkpXVCJ9.eyJjb21wYW55IjoiYWdvcHRpY3MiLCJpZCI6ImlzYWJlbGxlQGFnb3B0aWNzLmNvLmtyIiwic291cmNlIjoiZXhjZWwiLCJ0eXBlIjoiTWFjaGluZSIsInZlciI6IjEuMCIsIm5vIjoxLCJpYXQiOjE2OTgyMTY3Mzh9.qhX4BHUOCzsdIeOjAUuI0i2aYGGWmd1AtEX6-1DU-oo</t>
  </si>
  <si>
    <t>2023-10-25T15:52:18.953Z</t>
  </si>
  <si>
    <t>eyJhbGciOiJIUzI1NiIsInR5cCI6IkpXVCJ9.eyJjb21wYW55IjoiYWdvcHRpY3MiLCJpZCI6InNjaXBpb0BhZ29wdGljcy5jby5rciIsInNvdXJjZSI6ImV4Y2VsIiwidHlwZSI6Ik1hY2hpbmUiLCJ2ZXIiOiIxLjAiLCJubyI6MywiaWF0IjoxNjk4MjE2NjEwfQ.CPQ8-cTVji7ZkTIt-TOZ5_wLikq3x0gke9tsoC1qTbE</t>
  </si>
  <si>
    <t>집DT</t>
  </si>
  <si>
    <t>2023-10-25T15:50:10.330Z</t>
  </si>
  <si>
    <t>2023-10-25T18:18:00.183Z</t>
  </si>
  <si>
    <t>eyJhbGciOiJIUzI1NiIsInR5cCI6IkpXVCJ9.eyJjb21wYW55IjoiYWdvcHRpY3MiLCJpZCI6InNjaXBpb0BhZ29wdGljcy5jby5rciIsInNvdXJjZSI6ImV4Y2VsIiwidHlwZSI6Ik1hY2hpbmUiLCJ2ZXIiOiIxLjAiLCJubyI6MiwiaWF0IjoxNjk4MjE2NjAxfQ.V0MxTPxf3cMT0OnKn1fK7iT0ANFix-NHPgMAn0zUAxc</t>
  </si>
  <si>
    <t>e8e302812109e4cdd9c4bf12d68073dfaa88a78dca9441a17b5566adfd4b362a9e52a1a748de02b46bde9cb79d7da4fae7dc598c380afd21312423cafc7277ce</t>
  </si>
  <si>
    <t>2023-10-25T15:50:01.767Z</t>
  </si>
  <si>
    <t>2023-10-25T17:14:03.573Z</t>
  </si>
  <si>
    <t>eyJhbGciOiJIUzI1NiIsInR5cCI6IkpXVCJ9.eyJjb21wYW55IjoiYWdvcHRpY3MiLCJpZCI6InNjaXBpb0BhZ29wdGljcy5jby5rciIsInNvdXJjZSI6ImV4Y2VsIiwidHlwZSI6Ik1hY2hpbmUiLCJ2ZXIiOiIxLjAiLCJubyI6MSwiaWF0IjoxNjk4MjE2NTkyfQ.3XwwMvth1z3UfG_Z3QVjTjRe_0-tey2SVDvMGTXICTs</t>
  </si>
  <si>
    <t>2023-10-25T15:49:52.527Z</t>
  </si>
  <si>
    <t>2023-10-26T02:59:37.870Z</t>
  </si>
  <si>
    <t>eyJhbGciOiJIUzI1NiIsInR5cCI6IkpXVCJ9.eyJjb21wYW55IjoiYWdvcHRpY3MiLCJpZCI6ImNob2loeWVyeXVuQGFnb3B0aWNzLmNvLmtyIiwic291cmNlIjoiZXhjZWwiLCJ0eXBlIjoiTWFjaGluZSIsInZlciI6IjEuMCIsIm5vIjoyLCJpYXQiOjE2OTgyMTY0NDF9.nv-ixQbwn_7lHGmxfQyByvX7pPSn5wL_vlNe3r_w3h0</t>
  </si>
  <si>
    <t>2023-10-25T15:47:21.363Z</t>
  </si>
  <si>
    <t>2023-10-25T15:55:37.510Z</t>
  </si>
  <si>
    <t>eyJhbGciOiJIUzI1NiIsInR5cCI6IkpXVCJ9.eyJjb21wYW55IjoiZXpvZmZpY2UiLCJpZCI6ImlzYWJlbGxlQGV6LW9mZmljZS5jby5rciIsInNvdXJjZSI6ImV4Y2VsIiwidHlwZSI6Ik1hY2hpbmUiLCJ2ZXIiOiIxLjAiLCJubyI6MSwiaWF0IjoxNjk4MDc1OTIzfQ.zmKActCTmmc7ECnuQ6_jRjKtKBmmR8ETvVMO8Db2Z7A</t>
  </si>
  <si>
    <t>Laptop</t>
  </si>
  <si>
    <t>2023-10-24T00:45:23.627Z</t>
  </si>
  <si>
    <t>2023-10-24T00:57:09.827Z</t>
  </si>
  <si>
    <t>eyJhbGciOiJIUzI1NiIsInR5cCI6IkpXVCJ9.eyJjb21wYW55IjoiZXpvZmZpY2UiLCJpZCI6ImtqLnNpbUBlei1vZmZpY2UuY28ua3IiLCJzb3VyY2UiOiJleGNlbCIsInR5cGUiOiJNYWNoaW5lIiwidmVyIjoiMS4wIiwibm8iOjEsImlhdCI6MTY5NzA3NjcwMH0.30YkcZDqzT4zMyupVLmuvyquZ-nxmTIn8df64nhCE8I</t>
  </si>
  <si>
    <t>742bf73a505b48a211ca4be666c572b62f4739dd575525d66511cb58aa5afbea8e928541b5b57877161166efc4347ddcde29529ea40288bf56447bef4ac6dea6</t>
  </si>
  <si>
    <t>이지오피스데모PC</t>
  </si>
  <si>
    <t>2023-10-12T11:11:40.620Z</t>
  </si>
  <si>
    <t>2023-10-12T11:13:17.653Z</t>
  </si>
  <si>
    <t>eyJhbGciOiJIUzI1NiIsInR5cCI6IkpXVCJ9.eyJjb21wYW55IjoiZXpvZmZpY2UiLCJpZCI6ImlzYWJlbGxlQGV6LW9mZmljZS5jby5rciIsInNvdXJjZSI6ImV4Y2VsIiwidHlwZSI6Ik1hY2hpbmUiLCJ2ZXIiOiIxLjAiLCJubyI6MSwiaWF0IjoxNjk2OTg4MzczfQ.rrmpnr0I5K3LbVur6PFUfFzT7WyoDUE_kPgU9GMdyOA</t>
  </si>
  <si>
    <t>d2992358283a1ca2ed1cf1156e0841f89a20d4974d6ca19bee7099c4b8200c301f81cebc15493e4bdd443166285980f09027b06fdb0a752460b697051014a5be</t>
  </si>
  <si>
    <t>laptop</t>
  </si>
  <si>
    <t>2023-10-11T10:39:33.970Z</t>
  </si>
  <si>
    <t>2023-10-11T10:41:18.463Z</t>
  </si>
  <si>
    <t>eyJhbGciOiJIUzI1NiIsInR5cCI6IkpXVCJ9.eyJjb21wYW55IjoiY29udmVuaWVuY2UiLCJpZCI6ImNob2loeWVyeXVuQGNvbnZlbmllbmNlLmNvbSIsInNvdXJjZSI6ImV4Y2VsIiwidHlwZSI6Ik1hY2hpbmUiLCJ2ZXIiOiIxLjAiLCJubyI6MSwiaWF0IjoxNjk1NzkzMzYwfQ.YcWEl6UbGGbzATVJtOHMRtJrqD9wnZux4l6FGtxuZGs</t>
  </si>
  <si>
    <t>최혜련주임 사무실 DT</t>
  </si>
  <si>
    <t>2023-09-27T14:42:40.393Z</t>
  </si>
  <si>
    <t>2023-10-05T14:14:48.350Z</t>
  </si>
  <si>
    <t>eyJhbGciOiJIUzI1NiIsInR5cCI6IkpXVCJ9.eyJjb21wYW55IjoiY29udmVuaWVuY2UiLCJpZCI6InNjaXBpb0BjdmtvcmVhLmNvLmtyIiwic291cmNlIjoiZXhjZWwiLCJ0eXBlIjoiTWFjaGluZSIsInZlciI6IjEuMCIsIm5vIjozLCJpYXQiOjE2OTU3OTMzNDV9.ZVv_siajLYDJawAHxWyUAhU3Q7SOj9pcimllUJ88m8g</t>
  </si>
  <si>
    <t>대표님 집 PC</t>
  </si>
  <si>
    <t>2023-09-27T14:42:25.640Z</t>
  </si>
  <si>
    <t>2023-10-04T08:52:25.163Z</t>
  </si>
  <si>
    <t>eyJhbGciOiJIUzI1NiIsInR5cCI6IkpXVCJ9.eyJjb21wYW55IjoiY29udmVuaWVuY2UiLCJpZCI6InNjaXBpb0BjdmtvcmVhLmNvLmtyIiwic291cmNlIjoiZXhjZWwiLCJ0eXBlIjoiTWFjaGluZSIsInZlciI6IjEuMCIsIm5vIjoyLCJpYXQiOjE2OTU3OTMzMzl9.KhGkwrG90Pt9ZCBxTGqt310PvVTq9Km1bGIrKOtfwnQ</t>
  </si>
  <si>
    <t>대표님 노트북</t>
  </si>
  <si>
    <t>2023-09-27T14:42:19.300Z</t>
  </si>
  <si>
    <t>2023-10-04T20:22:36.293Z</t>
  </si>
  <si>
    <t>eyJhbGciOiJIUzI1NiIsInR5cCI6IkpXVCJ9.eyJjb21wYW55IjoiY29udmVuaWVuY2UiLCJpZCI6InNjaXBpb0BjdmtvcmVhLmNvLmtyIiwic291cmNlIjoiZXhjZWwiLCJ0eXBlIjoiTWFjaGluZSIsInZlciI6IjEuMCIsIm5vIjoxLCJpYXQiOjE2OTU3OTMzMzF9.v-2wwY4Cd3xXuGg0NP3RJ-xTRd6jmiqkMJPsHGA-okg</t>
  </si>
  <si>
    <t>대표님 사무실DT</t>
  </si>
  <si>
    <t>2023-09-27T14:42:11.480Z</t>
  </si>
  <si>
    <t>2023-09-27T23:22:20.630Z</t>
  </si>
  <si>
    <t>eyJhbGciOiJIUzI1NiIsInR5cCI6IkpXVCJ9.eyJjb21wYW55IjoiY29udmVuaWVuY2UiLCJpZCI6InljeWFuZ0BjdmtvcmVhLmNvLmtyIiwic291cmNlIjoiZXhjZWwiLCJ0eXBlIjoiTWFjaGluZSIsInZlciI6IjEuMCIsIm5vIjoxLCJpYXQiOjE2OTU3OTMzMTd9.JxSb2OPUBUlI_lR2A85zjwu049g4bJ3yUDzM8ELVhUI</t>
  </si>
  <si>
    <t>양예찬 사무실PC</t>
  </si>
  <si>
    <t>2023-09-27T14:41:57.980Z</t>
  </si>
  <si>
    <t>eyJhbGciOiJIUzI1NiIsInR5cCI6IkpXVCJ9.eyJjb21wYW55IjoiY29udmVuaWVuY2UiLCJpZCI6Imh5a2ltQGN2a29yZWEuY28ua3IiLCJzb3VyY2UiOiJleGNlbCIsInR5cGUiOiJNYWNoaW5lIiwidmVyIjoiMS4wIiwibm8iOjEsImlhdCI6MTY5NTc5MzI5OH0.pMXW4qoeMRurdDzplRXicXzV8_OeRXW0lL-yUAhUZQY</t>
  </si>
  <si>
    <t>김헌영팀장 사무실PC</t>
  </si>
  <si>
    <t>2023-09-27T14:41:38.173Z</t>
  </si>
  <si>
    <t>eyJhbGciOiJIUzI1NiIsInR5cCI6IkpXVCJ9.eyJjb21wYW55IjoiY29udmVuaWVuY2UiLCJpZCI6ImhqamFlQGN2a29yZWEuY28ua3IiLCJzb3VyY2UiOiJleGNlbCIsInR5cGUiOiJNYWNoaW5lIiwidmVyIjoiMS4wIiwibm8iOjEsImlhdCI6MTY5NTc5MzI3OX0.mP0rEpaEKD-W4ZouaBC4uH4xgm0RluHz2bGrqglnxjc</t>
  </si>
  <si>
    <t>제호준대리 사무실PC</t>
  </si>
  <si>
    <t>2023-09-27T14:41:19.583Z</t>
  </si>
  <si>
    <t>eyJhbGciOiJIUzI1NiIsInR5cCI6IkpXVCJ9.eyJjb21wYW55IjoiY29udmVuaWVuY2UiLCJpZCI6ImRldkBjdmtvcmVhLmNvLmtyIiwic291cmNlIjoiZXhjZWwiLCJ0eXBlIjoiTWFjaGluZSIsInZlciI6IjEuMCIsIm5vIjoxLCJpYXQiOjE2OTU3OTMyMzR9.hA_X7DqwQLHejC1W6pfbBuPobvypOoa2EbzUQzcfgsI</t>
  </si>
  <si>
    <t>김현선과장 사무실DT</t>
  </si>
  <si>
    <t>2023-09-27T14:40:34.630Z</t>
  </si>
  <si>
    <t>2023-10-05T14:42:46.410Z</t>
  </si>
  <si>
    <t>eyJhbGciOiJIUzI1NiIsInR5cCI6IkpXVCJ9.eyJjb21wYW55IjoiZGFld29uc3VzYW4iLCJpZCI6InNjaXBpb0BkYWV3b25zdXNhbi5jb20iLCJzb3VyY2UiOiJleGNlbCIsInR5cGUiOiJNYWNoaW5lIiwidmVyIjoiMS4wIiwibm8iOjMsImlhdCI6MTY5NTc5MjU2MH0._0qW8DHmYd9dQb8jejSyoEzjPmh3YWDZ6LbOPMEkzi0</t>
  </si>
  <si>
    <t>2023-09-27T14:29:20.543Z</t>
  </si>
  <si>
    <t>eyJhbGciOiJIUzI1NiIsInR5cCI6IkpXVCJ9.eyJjb21wYW55IjoiZGFld29uc3VzYW4iLCJpZCI6InNjaXBpb0BkYWV3b25zdXNhbi5jb20iLCJzb3VyY2UiOiJleGNlbCIsInR5cGUiOiJNYWNoaW5lIiwidmVyIjoiMS4wIiwibm8iOjIsImlhdCI6MTY5NTc5MjU1NX0.dNxbETRcsMKRRTBRTM2MpApbZqNMBdGDzeFykSCNcFg</t>
  </si>
  <si>
    <t>2023-09-27T14:29:15.680Z</t>
  </si>
  <si>
    <t>eyJhbGciOiJIUzI1NiIsInR5cCI6IkpXVCJ9.eyJjb21wYW55IjoiZGFld29uc3VzYW4iLCJpZCI6InNjaXBpb0BkYWV3b25zdXNhbi5jb20iLCJzb3VyY2UiOiJleGNlbCIsInR5cGUiOiJNYWNoaW5lIiwidmVyIjoiMS4wIiwibm8iOjEsImlhdCI6MTY5NTc5MjU0OH0.zYzIcSBV2BAZd5G8wIfE9obJ3luK6-4YtZU2A9QoYuI</t>
  </si>
  <si>
    <t>2023-09-27T14:29:08.100Z</t>
  </si>
  <si>
    <t>eyJhbGciOiJIUzI1NiIsInR5cCI6IkpXVCJ9.eyJjb21wYW55IjoiZGFld29uc3VzYW4iLCJpZCI6ImNob2loeWVyeXVuQGRhZXdvbnN1c2FuLmNvbSIsInNvdXJjZSI6ImV4Y2VsIiwidHlwZSI6Ik1hY2hpbmUiLCJ2ZXIiOiIxLjAiLCJubyI6MSwiaWF0IjoxNjk1NzkxNjU2fQ.k67S2vW2JhVIimx8d4kI06_MN84xbud6jD7dlBm2G8o</t>
  </si>
  <si>
    <t>2023-09-27T14:14:16.600Z</t>
  </si>
  <si>
    <t>eyJhbGciOiJIUzI1NiIsInR5cCI6IkpXVCJ9.eyJjb21wYW55IjoidW5pb25sb2dpcyIsImlkIjoiZGV2QHVuaW9ubG9naXMuY29tIiwic291cmNlIjoiZXhjZWwiLCJ0eXBlIjoiTWFjaGluZSIsInZlciI6IjEuMCIsIm5vIjoxLCJpYXQiOjE2OTUzNDk1NTN9.Glt1eyl9oFAuiVE65lKEFrc28OqHvMv3cslWJTJHXIY</t>
  </si>
  <si>
    <t>유니온 교육용 PC</t>
  </si>
  <si>
    <t>2023-09-22T11:25:53.753Z</t>
  </si>
  <si>
    <t>2023-09-22T11:30:35.557Z</t>
  </si>
  <si>
    <t>eyJhbGciOiJIUzI1NiIsInR5cCI6IkpXVCJ9.eyJjb21wYW55IjoiZGVtbyIsImlkIjoic2NpcGlvQGRlbW8uY28ua3IiLCJzb3VyY2UiOiJleGNlbCIsInR5cGUiOiJNYWNoaW5lIiwidmVyIjoiMS4wIiwibm8iOjMsImlhdCI6MTY5NDc2MzYwMn0.buleHRQKd49uyLncjFb1oLN_P8vpYoI-X888WseNS7U</t>
  </si>
  <si>
    <t>2023-09-15T16:40:02.193Z</t>
  </si>
  <si>
    <t>2023-09-16T11:47:30.170Z</t>
  </si>
  <si>
    <t>eyJhbGciOiJIUzI1NiIsInR5cCI6IkpXVCJ9.eyJjb21wYW55IjoiZGVtbyIsImlkIjoic2NpcGlvQGRlbW8uY28ua3IiLCJzb3VyY2UiOiJleGNlbCIsInR5cGUiOiJNYWNoaW5lIiwidmVyIjoiMS4wIiwibm8iOjIsImlhdCI6MTY5NDc2MzU4OH0.ggBgG8n6hDpkklKhugmEWEReURyyK23z7RywMhZN18U</t>
  </si>
  <si>
    <t>2023-09-15T16:39:48.530Z</t>
  </si>
  <si>
    <t>2023-09-15T20:45:56.637Z</t>
  </si>
  <si>
    <t>eyJhbGciOiJIUzI1NiIsInR5cCI6IkpXVCJ9.eyJjb21wYW55IjoiZGVtbyIsImlkIjoic2NpcGlvQGRlbW8uY28ua3IiLCJzb3VyY2UiOiJleGNlbCIsInR5cGUiOiJNYWNoaW5lIiwidmVyIjoiMS4wIiwibm8iOjEsImlhdCI6MTY5NDc2MjczNH0.kLLY0cgQ3vV7Qp1E3w8hProaqT55eJ5me5QpFzhoyrk</t>
  </si>
  <si>
    <t>대표님사무실PC</t>
  </si>
  <si>
    <t>2023-09-15T16:25:34.480Z</t>
  </si>
  <si>
    <t>2023-09-15T16:46:57.747Z</t>
  </si>
  <si>
    <t>eyJhbGciOiJIUzI1NiIsInR5cCI6IkpXVCJ9.eyJjb21wYW55IjoiZXpvZmZpY2UiLCJpZCI6ImNob2loeWVyeXVuQGV6LW9mZmljZS5jby5rciIsInNvdXJjZSI6ImV4Y2VsIiwidHlwZSI6Ik1hY2hpbmUiLCJ2ZXIiOiIxLjAiLCJubyI6MSwiaWF0IjoxNjk0NjU1OTEwfQ.YRO1ZPl-T_gBbTo-MVe1pq98M_z42OUZxiS57O3yRjY</t>
  </si>
  <si>
    <t>2023-09-14T10:45:10.850Z</t>
  </si>
  <si>
    <t>eyJhbGciOiJIUzI1NiIsInR5cCI6IkpXVCJ9.eyJjb21wYW55IjoiZXpvZmZpY2UiLCJpZCI6InNjaXBpb0Blei1vZmZpY2UuY28ua3IiLCJzb3VyY2UiOiJleGNlbCIsInR5cGUiOiJNYWNoaW5lIiwidmVyIjoiMS4wIiwibm8iOjMsImlhdCI6MTY5NDU5MjM5N30.Drrt-xkh5VbN-tUUb6bygg9DiFLRcd83SyGo207ZujY</t>
  </si>
  <si>
    <t>2023-09-13T17:06:37.110Z</t>
  </si>
  <si>
    <t>eyJhbGciOiJIUzI1NiIsInR5cCI6IkpXVCJ9.eyJjb21wYW55IjoiZXpvZmZpY2UiLCJpZCI6InNjaXBpb0Blei1vZmZpY2UuY28ua3IiLCJzb3VyY2UiOiJleGNlbCIsInR5cGUiOiJNYWNoaW5lIiwidmVyIjoiMS4wIiwibm8iOjIsImlhdCI6MTY5NDU5MjM5MH0.D5QwHhjUgmUORmqSMZtq-qPBZJQMEk99MAgydMetozE</t>
  </si>
  <si>
    <t>2023-09-13T17:06:30.583Z</t>
  </si>
  <si>
    <t>2023-09-15T20:41:37.767Z</t>
  </si>
  <si>
    <t>eyJhbGciOiJIUzI1NiIsInR5cCI6IkpXVCJ9.eyJjb21wYW55IjoiZXpvZmZpY2UiLCJpZCI6InNjaXBpb0Blei1vZmZpY2UuY28ua3IiLCJzb3VyY2UiOiJleGNlbCIsInR5cGUiOiJNYWNoaW5lIiwidmVyIjoiMS4wIiwibm8iOjEsImlhdCI6MTY5NDU5MjM3NX0.18USDvX81ah9VJuGD5STFXQvceRlJbxvSBWq_WrGaj4</t>
  </si>
  <si>
    <t>2023-09-13T17:06:15.490Z</t>
  </si>
  <si>
    <t>2023-11-01T07:07:38.353Z</t>
  </si>
  <si>
    <t>eyJhbGciOiJIUzI1NiIsInR5cCI6IkpXVCJ9.eyJjb21wYW55IjoiZXpvZmZpY2UiLCJpZCI6ImlzYWJlbGxlQGV6LW9mZmljZS5jby5rciIsInNvdXJjZSI6ImV4Y2VsIiwidHlwZSI6Ik1hY2hpbmUiLCJ2ZXIiOiIxLjAiLCJubyI6MiwiaWF0IjoxNjk0NTczNjM4fQ.p4SLZ66AxmT46WnxaDRIU-WPl3_Ixmq16mfBkOmc40E</t>
  </si>
  <si>
    <t>오피스 업무용</t>
  </si>
  <si>
    <t>2023-09-13T11:53:58.660Z</t>
  </si>
  <si>
    <t>2023-09-13T11:55:57.670Z</t>
  </si>
  <si>
    <t>eyJhbGciOiJIUzI1NiIsInR5cCI6IkpXVCJ9.eyJjb21wYW55IjoiZGVtbyIsImlkIjoiaXNhYmVsbGVAZGVtby5jby5rciIsInNvdXJjZSI6ImV4Y2VsIiwidHlwZSI6Ik1hY2hpbmUiLCJ2ZXIiOiIxLjAiLCJubyI6MSwiaWF0IjoxNjk0NTcyMTkwfQ.r7Gbjh83nGuHpB8RZm9KDXujmFu2yeT0VzLy5x_j5fQ</t>
  </si>
  <si>
    <t>2023-09-13T11:29:50.670Z</t>
  </si>
  <si>
    <t>eyJhbGciOiJIUzI1NiIsInR5cCI6IkpXVCJ9.eyJjb21wYW55IjoianNfY3JtIiwiaWQiOiJzY2lwaW9AanMtY3JtLmNvbSIsInNvdXJjZSI6ImV4Y2VsIiwidHlwZSI6Ik1hY2hpbmUiLCJ2ZXIiOiIxLjAiLCJubyI6MywiaWF0IjoxNjkyOTQ1NDQwfQ.EyLryCqSnsQVLuuLx3Lj63WGsKVU4SULBDB38gC0FCs</t>
  </si>
  <si>
    <t>최대표님 노트북3</t>
  </si>
  <si>
    <t>2023-08-25T15:35:29.897Z</t>
  </si>
  <si>
    <t>eyJhbGciOiJIUzI1NiIsInR5cCI6IkpXVCJ9.eyJjb21wYW55IjoianNfY3JtIiwiaWQiOiJzY2lwaW9AanMtY3JtLmNvbSIsInNvdXJjZSI6ImV4Y2VsIiwidHlwZSI6Ik1hY2hpbmUiLCJ2ZXIiOiIxLjAiLCJubyI6MiwiaWF0IjoxNjkyOTQ1NDM1fQ.H9CLCU9dMuqbgHqgD0WnTg1OSNdluN1NsNlgI2k2O5o</t>
  </si>
  <si>
    <t>최대표님 노트북2</t>
  </si>
  <si>
    <t>2023-08-25T15:35:25.293Z</t>
  </si>
  <si>
    <t>eyJhbGciOiJIUzI1NiIsInR5cCI6IkpXVCJ9.eyJjb21wYW55IjoianNfY3JtIiwiaWQiOiJzY2lwaW9AanMtY3JtLmNvbSIsInNvdXJjZSI6ImV4Y2VsIiwidHlwZSI6Ik1hY2hpbmUiLCJ2ZXIiOiIxLjAiLCJubyI6MSwiaWF0IjoxNjkyOTQ1NDI4fQ.BrhppIRD3XJ6MWK8TIKYBLp9ohntd4EMT1ZniLgIjg8</t>
  </si>
  <si>
    <t>최대표님 노트북1</t>
  </si>
  <si>
    <t>2023-08-25T15:35:17.953Z</t>
  </si>
  <si>
    <t>eyJhbGciOiJIUzI1NiIsInR5cCI6IkpXVCJ9.eyJjb21wYW55IjoianNfY3JtIiwiaWQiOiJxd2VyODYxMkBuYXZlci5jb20iLCJzb3VyY2UiOiJleGNlbCIsInR5cGUiOiJNYWNoaW5lIiwidmVyIjoiMS4wIiwibm8iOjEsImlhdCI6MTY5Mjk0NTEwM30.-MAKrUCwFl8Sc6XKJkM0IhAgTq0Eu5-eDUk_6OZx3KM</t>
  </si>
  <si>
    <t>이재숙님 머신키</t>
  </si>
  <si>
    <t>2023-08-25T15:29:52.497Z</t>
  </si>
  <si>
    <t>eyJhbGciOiJIUzI1NiIsInR5cCI6IkpXVCJ9.eyJjb21wYW55IjoianNfY3JtIiwiaWQiOiJyaWNoYXJkLmNob2lAanMtY3JtLmNvbSIsInNvdXJjZSI6ImV4Y2VsIiwidHlwZSI6Ik1hY2hpbmUiLCJ2ZXIiOiIxLjAiLCJubyI6MiwiaWF0IjoxNjkyOTQ0OTgxfQ.LXnghW0x6klm7VqbM8-muFo9EvaIGCivBwCC_Yoy-U4</t>
  </si>
  <si>
    <t>test-richard-choi</t>
  </si>
  <si>
    <t>2023-08-25T15:27:50.410Z</t>
  </si>
  <si>
    <t>eyJhbGciOiJIUzI1NiIsInR5cCI6IkpXVCJ9.eyJjb21wYW55IjoidW5pb25sb2dpcyIsImlkIjoiZGV2QHVuaW9ubG9naXMuY29tIiwic291cmNlIjoiZXhjZWwiLCJ0eXBlIjoiTWFjaGluZSIsInZlciI6IjEuMCIsIm5vIjoxLCJpYXQiOjE2OTI1OTI2MTJ9.JR5p_CpRuTKr-0Cwk3p2r03-tBDP47C0jDibkYbHM0k</t>
  </si>
  <si>
    <t>유니온로지스 교육용 김현선</t>
  </si>
  <si>
    <t>2023-08-21T13:36:52.130Z</t>
  </si>
  <si>
    <t>2023-08-21T13:48:16.990Z</t>
  </si>
  <si>
    <t>eyJhbGciOiJIUzI1NiIsInR5cCI6IkpXVCJ9.eyJjb21wYW55IjoiZXpjaGVtdGVjaCIsImlkIjoiY29sbGVjdG9yQGV6Y2hlbXRlY2guY29tIiwic291cmNlIjoiZXhjZWwiLCJ0eXBlIjoiTWFjaGluZSIsInZlciI6IjEuMCIsIm5vIjoxLCJpYXQiOjE2OTIzMjQ3ODJ9.RLwKd2Mq1gY2j21v1O2wNfAvIOZQACW1XKwhSgH5ROA</t>
  </si>
  <si>
    <t>mailtodb</t>
  </si>
  <si>
    <t>이지켐텍 메일수집 프로그램에서 사용</t>
  </si>
  <si>
    <t>2023-08-18T11:13:02.323Z</t>
  </si>
  <si>
    <t>eyJhbGciOiJIUzI1NiIsInR5cCI6IkpXVCJ9.eyJjb21wYW55IjoiZGVtbyIsImlkIjoiYW1AZGVtby5jby5rciIsInNvdXJjZSI6ImV4Y2VsIiwidHlwZSI6Ik1hY2hpbmUiLCJ2ZXIiOiIxLjAiLCJubyI6MSwiaWF0IjoxNjkxNDc0NTM3fQ.1GxQJcnQ2nKrCM5nRycXdCkwGwXLIl-Spr7bGNNJjcA</t>
  </si>
  <si>
    <t>김차장님데모</t>
  </si>
  <si>
    <t>2023-08-08T15:02:17.803Z</t>
  </si>
  <si>
    <t>eyJhbGciOiJIUzI1NiIsInR5cCI6IkpXVCJ9.eyJjb21wYW55IjoiZXpjaGVtdGVjaCIsImlkIjoiaW5mbzdAZXpjaGVtdGVjaC5jb20iLCJzb3VyY2UiOiJleGNlbCIsInR5cGUiOiJNYWNoaW5lIiwidmVyIjoiMS4wIiwibm8iOjYsImlhdCI6MTY5MTEzNjc2OX0.6sIdeGlWw6MNWb0h8uqqBV3sbSz3eeOSxkjh8iIu6L4</t>
  </si>
  <si>
    <t>e02449b0-148c-3d59-a5d7-c8d1445c189c</t>
  </si>
  <si>
    <t>이지켐텍 심규정 휴대폰테스트</t>
  </si>
  <si>
    <t>2023-08-04T17:12:49.770Z</t>
  </si>
  <si>
    <t>2023-08-04T17:16:07.100Z</t>
  </si>
  <si>
    <t>eyJhbGciOiJIUzI1NiIsInR5cCI6IkpXVCJ9.eyJjb21wYW55IjoiZGh5b28iLCJpZCI6ImNob2loeWVyeXVuQGRoeW9vLmNvLmtyIiwic291cmNlIjoiZXhjZWwiLCJ0eXBlIjoiTWFjaGluZSIsInZlciI6IjEuMCIsIm5vIjoxLCJpYXQiOjE2OTA5NDM2NDd9.YYCBlFQoJJi9Hw392syK_cnTMYuN9XJsRWkg3BbBOJs</t>
  </si>
  <si>
    <t>사무실데스크탑</t>
  </si>
  <si>
    <t>2023-08-02T11:34:07.337Z</t>
  </si>
  <si>
    <t>eyJhbGciOiJIUzI1NiIsInR5cCI6IkpXVCJ9.eyJjb21wYW55IjoiZGh5b28iLCJpZCI6InNjaXBpb0BkaHlvby5jby5rciIsInNvdXJjZSI6ImV4Y2VsIiwidHlwZSI6Ik1hY2hpbmUiLCJ2ZXIiOiIxLjAiLCJubyI6MSwiaWF0IjoxNjkwOTM1NjAyfQ.WGPtK5xxkmIZDlZDxz3AOxxGWdjYabA60sR44qeHjQ4</t>
  </si>
  <si>
    <t>사무실</t>
  </si>
  <si>
    <t>2023-08-02T09:20:02.650Z</t>
  </si>
  <si>
    <t>2023-08-02T09:28:24.307Z</t>
  </si>
  <si>
    <t>eyJhbGciOiJIUzI1NiIsInR5cCI6IkpXVCJ9.eyJjb21wYW55Ijoia251X29zbCIsImlkIjoiZWRlbi5sZWVAa251LW9zbC5jb20iLCJzb3VyY2UiOiJleGNlbCIsInR5cGUiOiJNYWNoaW5lIiwidmVyIjoiMS4wIiwibm8iOjIsImlhdCI6MTY4ODk2MTQzMn0.wX6QFIbCueXfYq9gf8EgXNG1w8fbe9wmKbQSO1jQg14</t>
  </si>
  <si>
    <t>2023-07-10T12:57:12.773Z</t>
  </si>
  <si>
    <t>2023-07-10T15:34:19.253Z</t>
  </si>
  <si>
    <t>eyJhbGciOiJIUzI1NiIsInR5cCI6IkpXVCJ9.eyJjb21wYW55Ijoia251X29zbCIsImlkIjoiZWRlbi5sZWVAa251LW9zbC5jb20iLCJzb3VyY2UiOiJleGNlbCIsInR5cGUiOiJNYWNoaW5lIiwidmVyIjoiMS4wIiwibm8iOjEsImlhdCI6MTY4ODYyOTczNH0.wrEx-BhZX8NLMjLXDWWHbOjTnVioxkh1cdN8mNPmn3c</t>
  </si>
  <si>
    <t>2023-07-06T16:48:54.220Z</t>
  </si>
  <si>
    <t>eyJhbGciOiJIUzI1NiIsInR5cCI6IkpXVCJ9.eyJjb21wYW55Ijoia251X29zbCIsImlkIjoic2NpcGlvQGtudS1vc2wuY29tIiwic291cmNlIjoiZXhjZWwiLCJ0eXBlIjoiTWFjaGluZSIsInZlciI6IjEuMCIsIm5vIjoxLCJpYXQiOjE2ODg2Mjk3Mjh9.nxK1TLqVgZYjoypxuyTDr9t_svoklyDqa18d0iTZSHA</t>
  </si>
  <si>
    <t>2023-07-06T16:48:48.873Z</t>
  </si>
  <si>
    <t>eyJhbGciOiJIUzI1NiIsInR5cCI6IkpXVCJ9.eyJjb21wYW55IjoiZXpjaGVtdGVjaCIsImlkIjoiaW5mbzdAZXpjaGVtdGVjaC5jb20iLCJzb3VyY2UiOiJleGNlbCIsInR5cGUiOiJNYWNoaW5lIiwidmVyIjoiMS4wIiwibm8iOjYsImlhdCI6MTY4ODYyODc5M30.Cggs-dTlHA5D4uBSuEF39p_WUrgBMUsVMdj1kcwhUA8</t>
  </si>
  <si>
    <t>b6353899a93c64af3b04c1be2cc97b63593d3070d35934a825975c64819d9beeedf639f6af4f392b6aa158426fc23acc2b6b74ceca14669945727414c18502a4</t>
  </si>
  <si>
    <t>이지켐텍 심규정 노트북</t>
  </si>
  <si>
    <t>2023-07-06T16:33:13.690Z</t>
  </si>
  <si>
    <t>2023-07-06T17:08:12.050Z</t>
  </si>
  <si>
    <t>eyJhbGciOiJIUzI1NiIsInR5cCI6IkpXVCJ9.eyJjb21wYW55Ijoia251X29zbCIsImlkIjoic3Rhcl9ob3JzZUBrbnVfb3NsLmRlbW8iLCJzb3VyY2UiOiJleGNlbCIsInR5cGUiOiJNYWNoaW5lIiwidmVyIjoiMS4wIiwibm8iOjEsImlhdCI6MTY4ODYyNjQ1OH0.-roZOUE0V2bSCwUYocQ6ISx1BylN3uH5hPJbpvmj8es</t>
  </si>
  <si>
    <t>2023-07-06T15:54:00.290Z</t>
  </si>
  <si>
    <t>eyJhbGciOiJIUzI1NiIsInR5cCI6IkpXVCJ9.eyJjb21wYW55IjoiZXpjaGVtdGVjaCIsImlkIjoiZGV2QGV6Y2hlbXRlY2guY29tIiwic291cmNlIjoiZXhjZWwiLCJ0eXBlIjoiTWFjaGluZSIsInZlciI6IjEuMCIsIm5vIjoyLCJpYXQiOjE2ODc0MTM4NDR9.kilts23aMqpnyHzU69IQyFS8xBwv10djXHYDrTLFBbU</t>
  </si>
  <si>
    <t>ESR_laptop_EDU</t>
  </si>
  <si>
    <t>2023-06-22T15:04:05.010Z</t>
  </si>
  <si>
    <t>2023-06-22T15:20:42.290Z</t>
  </si>
  <si>
    <t>eyJhbGciOiJIUzI1NiIsInR5cCI6IkpXVCJ9.eyJjb21wYW55IjoiZXpjaGVtdGVjaCIsImlkIjoiZGV2QGV6Y2hlbXRlY2guY29tIiwic291cmNlIjoiZXhjZWwiLCJ0eXBlIjoiTWFjaGluZSIsInZlciI6IjEuMCIsIm5vIjoxLCJpYXQiOjE2ODYyMTAzMzN9.iH1HX4QBJffKoV6YineHKGHPcOpo0NLiVCi5tAYVeQE</t>
  </si>
  <si>
    <t>d7b16c145f414f70449bd393ea3b0f1d9ab2b5a7760b9cd3dae61f2f10a03a766584ae1200667839a340cadd21c3bbf0fe4f87abea09893c6ebc27feb377727c</t>
  </si>
  <si>
    <t>이지켐텍 김현선(대회의실 교육용)</t>
  </si>
  <si>
    <t>2023-06-08T16:45:33.297Z</t>
  </si>
  <si>
    <t>2023-06-13T14:34:31.427Z</t>
  </si>
  <si>
    <t>eyJhbGciOiJIUzI1NiIsInR5cCI6IkpXVCJ9.eyJjb21wYW55IjoiZXpjaGVtdGVjaCIsImlkIjoiYW1AZXpjaGVtdGVjaC5jb20iLCJzb3VyY2UiOiJleGNlbCIsInR5cGUiOiJNYWNoaW5lIiwidmVyIjoiMS4wIiwibm8iOjIsImlhdCI6MTY4NjE5MDQ3MH0.J3ox6MMtSNxR2mgsrKoe6Tk9H407RQUJaJA7gd3tW98</t>
  </si>
  <si>
    <t>테스트용</t>
  </si>
  <si>
    <t>2023-06-08T11:14:31.097Z</t>
  </si>
  <si>
    <t>eyJhbGciOiJIUzI1NiIsInR5cCI6IkpXVCJ9.eyJjb21wYW55IjoiZXpjaGVtdGVjaCIsImlkIjoiYW1AZXpjaGVtdGVjaC5jb20iLCJzb3VyY2UiOiJleGNlbCIsInR5cGUiOiJNYWNoaW5lIiwidmVyIjoiMS4wIiwibm8iOjIsImlhdCI6MTY4NTYwOTQ3NX0.Y4jX7iuVGLQLEJYKoL8dou0uGKUEJhtMu3t0qJnHaP8</t>
  </si>
  <si>
    <t>김연희테스트</t>
  </si>
  <si>
    <t>2023-06-01T17:51:15.820Z</t>
  </si>
  <si>
    <t>eyJhbGciOiJIUzI1NiIsInR5cCI6IkpXVCJ9.eyJjb21wYW55Ijoic2htbHVjeSIsImlkIjoic2htbHVjeTA3QGdtYWlsLmNvbSIsInNvdXJjZSI6ImV4Y2VsIiwidHlwZSI6Ik1hY2hpbmUiLCJ2ZXIiOiIxLjAiLCJubyI6NiwiaWF0IjoxNjg1MDAwNjQ0fQ.C1pcEnTBJ91f0A51btdlXKls_CEyyfCULYbFKrqqfWw</t>
  </si>
  <si>
    <t>8e4a7e5590f24881e500f06739a70615a89f11c843d615800bc343761b86032a5b0930b6c05d30f5e62fd098283aa49bb12f886032ccd9db2970e81fb9a8ba5a</t>
  </si>
  <si>
    <t>shmlucy 이현아님 교육용(am노트북설치)</t>
  </si>
  <si>
    <t>2023-05-25T16:44:00.410Z</t>
  </si>
  <si>
    <t>2023-05-26T17:13:52.710Z</t>
  </si>
  <si>
    <t>eyJhbGciOiJIUzI1NiIsInR5cCI6IkpXVCJ9.eyJjb21wYW55IjoiZXpjaGVtdGVjaCIsImlkIjoic2NpcGlvQGV6Y2hlbXRlY2guY29tIiwic291cmNlIjoiZXhjZWwiLCJ0eXBlIjoiTWFjaGluZSIsInZlciI6IjEuMCIsIm5vIjoxLCJpYXQiOjE2ODQ5OTk1MDF9.aYKHBV_KLcomZKCz2DHCTOxq1N06_GABc1VoUSeFMZk</t>
  </si>
  <si>
    <t>shmlucy 이현아님 교육용 최성철 대표이사</t>
  </si>
  <si>
    <t>2023-05-25T16:24:57.010Z</t>
  </si>
  <si>
    <t>2023-05-26T17:21:55.057Z</t>
  </si>
  <si>
    <t>eyJhbGciOiJIUzI1NiIsInR5cCI6IkpXVCJ9.eyJjb21wYW55Ijoic2htbHVjeSIsImlkIjoic2htbHVjeTA3QGdtYWlsLmNvbSIsInNvdXJjZSI6ImV4Y2VsIiwidHlwZSI6Ik1hY2hpbmUiLCJ2ZXIiOiIxLjAiLCJubyI6NSwiaWF0IjoxNjg0OTk4NTc1fQ.bI0ForjLYR4POSiNTt_LevUTnJrT-xtQrXQHv6axH1o</t>
  </si>
  <si>
    <t>shmlucy 이현아님 교육용 예비</t>
  </si>
  <si>
    <t>2023-05-25T16:09:30.910Z</t>
  </si>
  <si>
    <t>eyJhbGciOiJIUzI1NiIsInR5cCI6IkpXVCJ9.eyJjb21wYW55IjoiZXpjaGVtdGVjaCIsInNvdXJjZSI6ImV4Y2VsIiwiaWQiOiJpbmZvN0BlemNoZW10ZWNoLmNvbSIsInR5cGUiOiJNYWNoaW5lIiwibm8iOjE0LCJpYXQiOjE2ODE0NTQzNzl9.HXVa1195r64BacsXW5k3FPkI7C-n1R9IY4JhKc5LVOw</t>
  </si>
  <si>
    <t>6a59285387a1efb5084d7f92d9798aee8d46fb4d33d1001c533d0256d1577a3d0da188029d7e28c517138f90ba2d4211d2c9ab7181f1ee2e9d89bd7c0f3710f0</t>
  </si>
  <si>
    <t>이지켐텍 RP_04</t>
  </si>
  <si>
    <t>2023-04-14T00:00:00.000Z</t>
  </si>
  <si>
    <t>2023-04-14T16:33:52.680Z</t>
  </si>
  <si>
    <t>eyJhbGciOiJIUzI1NiIsInR5cCI6IkpXVCJ9.eyJjb21wYW55IjoiZXpjaGVtdGVjaCIsInNvdXJjZSI6ImV4Y2VsIiwiaWQiOiJpbmZvN0BlemNoZW10ZWNoLmNvbSIsInR5cGUiOiJNYWNoaW5lIiwibm8iOjEzLCJpYXQiOjE2ODE0NTQzNzl9.ZMtjIec1cU-Jfz2m6nDPQXg72nt9e3yI0Jy18hrcNh4</t>
  </si>
  <si>
    <t>abd0ce141b5a1a9b54ba32088cd95e325379217916460067c02d9519f768381580f23582c4ce2405d0cf11b0116de88b24aee403ec63300e5f141816eb6d0929</t>
  </si>
  <si>
    <t>이지켐텍 RP_03</t>
  </si>
  <si>
    <t>2023-04-14T16:37:41.730Z</t>
  </si>
  <si>
    <t>eyJhbGciOiJIUzI1NiIsInR5cCI6IkpXVCJ9.eyJjb21wYW55IjoiZXpjaGVtdGVjaCIsInNvdXJjZSI6ImV4Y2VsIiwiaWQiOiJpbmZvN0BlemNoZW10ZWNoLmNvbSIsInR5cGUiOiJNYWNoaW5lIiwibm8iOjEyLCJpYXQiOjE2ODE0NTQzNzl9.Y0iwE0I9xOeVkeQSEiKnAd3UNVv4nMgMHmHq-wQ7dM8</t>
  </si>
  <si>
    <t>24cfdc7f22ec0d4858b0073d3cfd284d28164b16a6ba27dab86a9d7dd0496a2f6486ae197c8574adb48a877c9de50f26431cdc92df92644012f35e8d9984d82b</t>
  </si>
  <si>
    <t>이지켐텍 RP_02</t>
  </si>
  <si>
    <t>2023-04-17T17:59:31.143Z</t>
  </si>
  <si>
    <t>eyJhbGciOiJIUzI1NiIsInR5cCI6IkpXVCJ9.eyJjb21wYW55IjoiZXpjaGVtdGVjaCIsInNvdXJjZSI6ImV4Y2VsIiwiaWQiOiJpbmZvN0BlemNoZW10ZWNoLmNvbSIsInR5cGUiOiJNYWNoaW5lIiwibm8iOjExLCJpYXQiOjE2ODE0NTQzNzl9.327d9wBZyGTPwOAg8DUI-uLvXf1wg_VTGi3AWARhkS0</t>
  </si>
  <si>
    <t>bff0f08f052b05be56c3d0f449eaa11256882d2d4730171a0083a52bab464816b9366b019c9667e868ed24341a2223ca4fb042d52a724cc19cecb818bb842680</t>
  </si>
  <si>
    <t>이지켐텍 RP_01</t>
  </si>
  <si>
    <t>2023-04-17T18:03:50.110Z</t>
  </si>
  <si>
    <t>eyJhbGciOiJIUzI1NiIsInR5cCI6IkpXVCJ9.eyJjb21wYW55IjoiZXpjaGVtdGVjaCIsInNvdXJjZSI6ImV4Y2VsIiwiaWQiOiJpbmZvN0BlemNoZW10ZWNoLmNvbSIsInR5cGUiOiJNYWNoaW5lIiwibm8iOjEwLCJpYXQiOjE2ODE0NTQzNzl9.tkQbxPz1uaB3a8fC_fkroBIF9TRWPNdBnNvuiKyXcoc</t>
  </si>
  <si>
    <t>294804e0df4188e7062643a5abc55418129b45d0d9ccbcb033e1c621107be6913b209ac57b4bea95d914cc5ec1fc7d1992325586550b2b8672aa6af969fe5c7f</t>
  </si>
  <si>
    <t>이지켐텍 RP_05</t>
  </si>
  <si>
    <t>2023-04-17T15:01:23.157Z</t>
  </si>
  <si>
    <t>eyJhbGciOiJIUzI1NiIsInR5cCI6IkpXVCJ9.eyJjb21wYW55IjoiZXpjaGVtdGVjaCIsInNvdXJjZSI6ImV4Y2VsIiwiaWQiOiJpbm5vQGV6Y2hlbXRlY2guY29tIiwidHlwZSI6Ik1hY2hpbmUiLCJubyI6MSwiaWF0IjoxNjgxMjc2MzM1fQ.lOIRO98My0FKgpW2Zq4qjzc0aptgtVOHH9LOKHdQHoQ</t>
  </si>
  <si>
    <t>b3b3103dd379590f620c4e10216d6a70969669262fa5eb25f3aece2af09a0d9c20365763ab9e766d5da1f98e2fee33bb4966cc064ef8f13b594189af65f5be0b</t>
  </si>
  <si>
    <t>이지켐텍 이현정 사무실PC</t>
  </si>
  <si>
    <t>2023-04-12T00:00:00.000Z</t>
  </si>
  <si>
    <t>2023-04-13T09:10:40.977Z</t>
  </si>
  <si>
    <t>eyJhbGciOiJIUzI1NiIsInR5cCI6IkpXVCJ9.eyJjb21wYW55IjoiZXpjaGVtdGVjaCIsInNvdXJjZSI6ImV4Y2VsIiwiaWQiOiJjaG9paGVyeXVuQGV6LW9mZmljZS5jby5rciIsInR5cGUiOiJNYWNoaW5lIiwibm8iOjMsImlhdCI6MTY3OTQ3Mjk4MH0.KmgmYrPS7BC0Gj9YyDUhORZ9cGZyasQ9QPkptb1pKhA</t>
  </si>
  <si>
    <t>이지켐텍 최혜련 주임 3</t>
  </si>
  <si>
    <t>2023-03-22T00:00:00.000Z</t>
  </si>
  <si>
    <t>2023-03-24T09:28:52.953Z</t>
  </si>
  <si>
    <t>eyJhbGciOiJIUzI1NiIsInR5cCI6IkpXVCJ9.eyJjb21wYW55IjoiZXpjaGVtdGVjaCIsInNvdXJjZSI6ImV4Y2VsIiwiaWQiOiJjaG9paGVyeXVuQGV6LW9mZmljZS5jby5rciIsInR5cGUiOiJNYWNoaW5lIiwibm8iOjIsImlhdCI6MTY3OTQ3Mjk4MH0.be_-M7bQVLY-DMqIHLZaLRc9GI4Y9pDCKD5lRHLN2WE</t>
  </si>
  <si>
    <t>이지켐텍 최혜련 주임 2</t>
  </si>
  <si>
    <t>eyJhbGciOiJIUzI1NiIsInR5cCI6IkpXVCJ9.eyJjb21wYW55IjoidW5pb25sb2dpcyIsInNvdXJjZSI6ImV4Y2VsIiwiaWQiOiJpbmZvN0BlemNoZW10ZWNoLmNvbSIsInR5cGUiOiJNYWNoaW5lIiwibm8iOjEsImlhdCI6MTY3OTAyODgyM30.injMIHpw4Ff6W7zSSBS98GADUQgHqJOZumIyBcgJAB4</t>
  </si>
  <si>
    <t>유니온로지스 개발용 심규정</t>
  </si>
  <si>
    <t>2023-03-17T00:00:00.000Z</t>
  </si>
  <si>
    <t>eyJhbGciOiJIUzI1NiIsInR5cCI6IkpXVCJ9.eyJjb21wYW55Ijoib3JpZW50cGkiLCJzb3VyY2UiOiJleGNlbCIsImlkIjoiaW5mbzdAZXpjaGVtdGVjaC5jb20iLCJ0eXBlIjoiTWFjaGluZSIsIm5vIjoxLCJpYXQiOjE2NzkwMjg0OTF9.ISITleOSX94boPhlH5i_Ss04uhx9El0uslkwIgFb0Qs</t>
  </si>
  <si>
    <t>오리엔트정공 개발용 심규정(dt-rp-demo)</t>
  </si>
  <si>
    <t>2023-05-19T10:55:06.720Z</t>
  </si>
  <si>
    <t>eyJhbGciOiJIUzI1NiIsInR5cCI6IkpXVCJ9.eyJjb21wYW55IjoidW5pb25sb2dpcyIsInNvdXJjZSI6ImV4Y2VsIiwiaWQiOiJjaG9paGVyeXVuQGV6LW9mZmljZS5jby5rciIsInR5cGUiOiJNYWNoaW5lIiwibm8iOjEsImlhdCI6MTY3OTAyNzE3N30.RyhshmzvJS8QuA4bxCSptXffgJmTOexWoRqm6fsBE7s</t>
  </si>
  <si>
    <t>유니온로지스 개발용 최혜련</t>
  </si>
  <si>
    <t>2023-03-23T19:15:53.780Z</t>
  </si>
  <si>
    <t>eyJhbGciOiJIUzI1NiIsInR5cCI6IkpXVCJ9.eyJjb21wYW55Ijoib3JpZW50cGkiLCJzb3VyY2UiOiJleGNlbCIsImlkIjoiY2hvaWhlcnl1bkBlei1vZmZpY2UuY28ua3IiLCJ0eXBlIjoiTWFjaGluZSIsIm5vIjoxLCJpYXQiOjE2NzkwMjEzNTh9.kz3PyRGnMIp2dn_0TeVh5bGTzwNthUV02mv2hHQIwTs</t>
  </si>
  <si>
    <t>오리엔트정공 개발용 최혜련</t>
  </si>
  <si>
    <t>2023-03-17T15:35:07.063Z</t>
  </si>
  <si>
    <t>eyJhbGciOiJIUzI1NiIsInR5cCI6IkpXVCJ9.eyJjb21wYW55Ijoib3JpZW50cGkiLCJzb3VyY2UiOiJleGNlbCIsImlkIjoiZWRlbkxlZUBlei1vZmZpY2UuY28ua3IiLCJ0eXBlIjoiTWFjaGluZSIsIm5vIjoxLCJpYXQiOjE2NzkwMjEzNTh9.2jpOenQHCi40Ac7dGQoJozzOwmxb9wC8on7JJHiEMUY</t>
  </si>
  <si>
    <t>0bb4888c2b3d2a22f02aefa4e7c43c7345283075f5ad54a69301aacab01d80f68f2eb7146d3aefada07e0639a29bf421000ff79c888dcab0ff5125ca32dab99a</t>
  </si>
  <si>
    <t>오리엔트정공 개발용 이상현</t>
  </si>
  <si>
    <t>2023-03-17T14:29:43.280Z</t>
  </si>
  <si>
    <t>eyJhbGciOiJIUzI1NiIsInR5cCI6IkpXVCJ9.eyJjb21wYW55IjoidW5pb25sb2dpcyIsInNvdXJjZSI6ImV4Y2VsIiwiaWQiOiJlZGVuLmxlZUBlei1vZmZpY2UuY28ua3IiLCJ0eXBlIjoiTWFjaGluZSIsIm5vIjoxLCJpYXQiOjE2NzkwMTk3MDB9.UKoh88v7CkLpq3iepDkD8M2NWhpbcDO8BbgI6aLBXKk</t>
  </si>
  <si>
    <t>유니온로지스 개발용 이상현</t>
  </si>
  <si>
    <t>2023-03-17T11:24:45.910Z</t>
  </si>
  <si>
    <t>eyJhbGciOiJIUzI1NiIsInR5cCI6IkpXVCJ9.eyJjb21wYW55IjoiZXpjaGVtdGVjaCIsInNvdXJjZSI6ImV4Y2VsIiwiaWQiOiJ5a2h3YW5nQGV6Y2hlbXRlY2guY29tIiwidHlwZSI6Ik1hY2hpbmUiLCJubyI6MywiaWF0IjoxNjc5MDE1NzA1fQ.m9p4WP-jwGqMzyb4XO_BbsjJ0qc1YaGEU0a5YS452eA</t>
  </si>
  <si>
    <t>이지켐텍 황대표님3</t>
  </si>
  <si>
    <t>eyJhbGciOiJIUzI1NiIsInR5cCI6IkpXVCJ9.eyJjb21wYW55IjoiZXpjaGVtdGVjaCIsInNvdXJjZSI6ImV4Y2VsIiwiaWQiOiJ5a2h3YW5nQGV6Y2hlbXRlY2guY29tIiwidHlwZSI6Ik1hY2hpbmUiLCJubyI6MiwiaWF0IjoxNjc5MDE1NzA1fQ.Jd6v7slHrAIma_aDdlOHkmPNmeXLMfzDPGsYnIcy7Qw</t>
  </si>
  <si>
    <t>7b9205456cdd2e11dee63b71fe7e81c13a80092b77892453c6bfc9983b7794c45e181e2c01ffdc8288a5c25b7f9824977e11ea8371eb39213842276854fde3be</t>
  </si>
  <si>
    <t>이지켐텍 황대표님 노트북</t>
  </si>
  <si>
    <t>2023-03-17T11:21:27.957Z</t>
  </si>
  <si>
    <t>eyJhbGciOiJIUzI1NiIsInR5cCI6IkpXVCJ9.eyJjb21wYW55IjoiZXpjaGVtdGVjaCIsInNvdXJjZSI6ImV4Y2VsIiwiaWQiOiJ5a2h3YW5nQGV6Y2hlbXRlY2guY29tIiwidHlwZSI6Ik1hY2hpbmUiLCJubyI6MSwiaWF0IjoxNjc5MDE1NzA1fQ.gOzNxpjZoNMgQmd6s5CrxUyeXBeoZsZIAlj_IjGV618</t>
  </si>
  <si>
    <t>224fbc622f60e3e6b35afc20c04ee14c795db190d8f56805ea8520bfe52a22b47f6af06284a3942b3cf7d8e613d158e7eef44fc318580166b38b41295c85d3cf</t>
  </si>
  <si>
    <t>이지켐텍 황대표님 PC</t>
  </si>
  <si>
    <t>2023-03-17T11:34:23.100Z</t>
  </si>
  <si>
    <t>eyJhbGciOiJIUzI1NiIsInR5cCI6IkpXVCJ9.eyJjb21wYW55IjoiZXpjaGVtdGVjaCIsInNvdXJjZSI6ImV4Y2VsIiwiaWQiOiJhbUBlemNoZW10ZWNoLmNvbSIsInR5cGUiOiJNYWNoaW5lIiwibm8iOjIsImlhdCI6MTY3OTAxNDY2N30.xtDMZI98nQqD-z2KSwzgQ2Elcix_wbUAGCghI8d7Xjg</t>
  </si>
  <si>
    <t>e931cdf07d8163f6657be1f000952d4648497d41ea32e830f8f5a8a4645bbbd3d4e303e25661717a3a9096caba2379cc79ed31bed2a7b835e1153550346af5ee</t>
  </si>
  <si>
    <t>이지켐텍 김연희2</t>
  </si>
  <si>
    <t>2023-06-15T16:57:39.750Z</t>
  </si>
  <si>
    <t>eyJhbGciOiJIUzI1NiIsInR5cCI6IkpXVCJ9.eyJjb21wYW55IjoiZXpjaGVtdGVjaCIsInNvdXJjZSI6ImV4Y2VsIiwiaWQiOiJhY2NvdW50QGV6Y2hlbXRlY2guY29tIiwidHlwZSI6Ik1hY2hpbmUiLCJubyI6MiwiaWF0IjoxNjc5MDE0NjY3fQ.KALhlW0g-WGiKyE3p7C-DZ43JMgz_xh63d5Ej2ZIrHo</t>
  </si>
  <si>
    <t>fce2ddb048141bf6320b0a7a4fb269ae4ba59bb5bf4016f9bcdcc3f71b8b0dca699c579dfbda8f7c382f035a953451ec3e26587b7502860eef2aeef312297f4e</t>
  </si>
  <si>
    <t>이지켐텍 유다현2</t>
  </si>
  <si>
    <t>2023-03-24T13:35:31.750Z</t>
  </si>
  <si>
    <t>eyJhbGciOiJIUzI1NiIsInR5cCI6IkpXVCJ9.eyJjb21wYW55IjoiZXpjaGVtdGVjaCIsInNvdXJjZSI6ImV4Y2VsIiwiaWQiOiJzZXJ2aWNlMkBlemNoZW10ZWNoLmNvbSIsInR5cGUiOiJNYWNoaW5lIiwibm8iOjIsImlhdCI6MTY3OTAxNDY2N30.ySvYFZYfim507n7uL_1WUGLMtdsidJRiwjW3oDGyUl0</t>
  </si>
  <si>
    <t>60c749bcc9f8ec06d7662fb0c7b1f4e7cddc405990237f497779fe06c282969541352969a7ac1a213d6c1021d14cc5895166df3c65873e50340431c95828f63e</t>
  </si>
  <si>
    <t>이지켐텍 이정민2</t>
  </si>
  <si>
    <t>2023-03-14T00:00:00.000Z</t>
  </si>
  <si>
    <t>2023-03-23T14:41:58.277Z</t>
  </si>
  <si>
    <t>eyJhbGciOiJIUzI1NiIsInR5cCI6IkpXVCJ9.eyJjb21wYW55IjoiZXpjaGVtdGVjaCIsInNvdXJjZSI6ImV4Y2VsIiwiaWQiOiJpbmZvOUBlemNoZW10ZWNoLmNvbSIsInR5cGUiOiJNYWNoaW5lIiwibm8iOjIsImlhdCI6MTY3OTAxNDY2N30.McUrhQ5OUW8kGBKPWPF1M_R9pDImMeIB2X708bZGfds</t>
  </si>
  <si>
    <t>066f85ab9094cd21022f05bb0430cdf3b086c4e7d5523d6d8e7a10245ee958022aaa4edad2587a8fda81c2ddf20f766ac392013ec2f91c95522de71713c6d6fc</t>
  </si>
  <si>
    <t>이지켐텍 김신영 사무실PC</t>
  </si>
  <si>
    <t>2023-03-23T14:49:27.920Z</t>
  </si>
  <si>
    <t>eyJhbGciOiJIUzI1NiIsInR5cCI6IkpXVCJ9.eyJjb21wYW55IjoidW5pb25sb2dpcyIsInNvdXJjZSI6ImV4Y2VsIiwiaWQiOiJzY2lwaW9AdW5pb25sb2dpcy5jb20iLCJ0eXBlIjoiTWFjaGluZSIsIm5vIjozLCJpYXQiOjE2Nzg3NjgyOTh9.FiIHmhX7MSEDu43qTeTwr0_VhQgzSz0ym2zx_vNmrO8</t>
  </si>
  <si>
    <t>유니온로지스 최대표님3</t>
  </si>
  <si>
    <t>2023-04-21T16:11:43.417Z</t>
  </si>
  <si>
    <t>eyJhbGciOiJIUzI1NiIsInR5cCI6IkpXVCJ9.eyJjb21wYW55IjoidW5pb25sb2dpcyIsInNvdXJjZSI6ImV4Y2VsIiwiaWQiOiJzY2lwaW9AdW5pb25sb2dpcy5jb20iLCJ0eXBlIjoiTWFjaGluZSIsIm5vIjoyLCJpYXQiOjE2Nzg3NjgyOTh9.sDe3jvwulQzOW-swCocYJF7YVA5_9rMxnSwj5ZiRrVY</t>
  </si>
  <si>
    <t>유니온로지스 최대표님2</t>
  </si>
  <si>
    <t>2023-04-21T17:18:31.897Z</t>
  </si>
  <si>
    <t>eyJhbGciOiJIUzI1NiIsInR5cCI6IkpXVCJ9.eyJjb21wYW55IjoidW5pb25sb2dpcyIsInNvdXJjZSI6ImV4Y2VsIiwiaWQiOiJzY2lwaW9AdW5pb25sb2dpcy5jb20iLCJ0eXBlIjoiTWFjaGluZSIsIm5vIjoxLCJpYXQiOjE2Nzg3NjgyOTh9.qLEsLSWncc_VbM9_JAjxOGBZu7xVCbO2cRWxmceKmSo</t>
  </si>
  <si>
    <t>유니온로지스 최대표님1</t>
  </si>
  <si>
    <t>2023-04-30T17:10:38.733Z</t>
  </si>
  <si>
    <t>eyJhbGciOiJIUzI1NiIsInR5cCI6IkpXVCJ9.eyJjb21wYW55IjoiZXpjaGVtdGVjaCIsInNvdXJjZSI6ImV4Y2VsIiwiaWQiOiJzY2lwaW9AZXpjaGVtdGVjaC5jb20iLCJ0eXBlIjoiTWFjaGluZSIsIm5vIjozLCJpYXQiOjE2Nzg2OTUwODd9.pm2zgIUYSNuNN8MJR08t_5WlgWrvpWcnTyDXthQGujc</t>
  </si>
  <si>
    <t>이지켐텍 최성철 예비</t>
  </si>
  <si>
    <t>2023-03-13T00:00:00.000Z</t>
  </si>
  <si>
    <t>2023-06-09T07:05:28.523Z</t>
  </si>
  <si>
    <t>eyJhbGciOiJIUzI1NiIsInR5cCI6IkpXVCJ9.eyJjb21wYW55IjoiZXpjaGVtdGVjaCIsInNvdXJjZSI6ImV4Y2VsIiwiaWQiOiJzY2lwaW9AZXpjaGVtdGVjaC5jb20iLCJ0eXBlIjoiTWFjaGluZSIsIm5vIjoyLCJpYXQiOjE2Nzg2OTUwODd9.G4QJbvHsgiSavFG5aoEYeH7kTSOmW5zga_lh6r1eq90</t>
  </si>
  <si>
    <t>이지켐텍 최성철 노트북</t>
  </si>
  <si>
    <t>2023-03-14T11:40:10.680Z</t>
  </si>
  <si>
    <t>eyJhbGciOiJIUzI1NiIsInR5cCI6IkpXVCJ9.eyJjb21wYW55IjoiZXpjaGVtdGVjaCIsInNvdXJjZSI6ImV4Y2VsIiwiaWQiOiJzY2lwaW9AZXpjaGVtdGVjaC5jb20iLCJ0eXBlIjoiTWFjaGluZSIsIm5vIjoxLCJpYXQiOjE2Nzg2OTUwODd9.eiunKGs7dOYfKpQEz8hlT4CTcoP1sNN7VHAIFOK1Wzg</t>
  </si>
  <si>
    <t>이지켐텍 최성철 사무실PC</t>
  </si>
  <si>
    <t>2023-03-14T09:39:52.843Z</t>
  </si>
  <si>
    <t>eyJhbGciOiJIUzI1NiIsInR5cCI6IkpXVCJ9.eyJjb21wYW55IjoiZXpjaGVtdGVjaCIsInNvdXJjZSI6ImV4Y2VsIiwiaWQiOiJpbmZvNkBlemNoZW10ZWNoLmNvbSIsInR5cGUiOiJNYWNoaW5lIiwibm8iOjEsImlhdCI6MTY3ODY4MjgzMn0.YtCfrCo5mQCcqmi8C0rKrx_Zfm_dVyqiKL0xQ_HyZps</t>
  </si>
  <si>
    <t>이지켐텍 문효정</t>
  </si>
  <si>
    <t>eyJhbGciOiJIUzI1NiIsInR5cCI6IkpXVCJ9.eyJjb21wYW55IjoiZXpjaGVtdGVjaCIsInNvdXJjZSI6ImV4Y2VsIiwiaWQiOiJjaG9paGVyeXVuQGV6LW9mZmljZS5jby5rciIsInR5cGUiOiJNYWNoaW5lIiwibm8iOjEsImlhdCI6MTY3ODY4MjgzMn0.-8mvGaPiMGgy20nk-nx8v6QLDkB_E0A32rfgRqdZwzY</t>
  </si>
  <si>
    <t>97fb65f1c2ca667a9735d4ef6ab9a142910fa319ec55ca08715e0aa34e30f6fb86b771c0cfca1b72d3b2f4be4f798f311d906a1fad24335c534156b6ff6f488e</t>
  </si>
  <si>
    <t>이지켐텍 최혜련</t>
  </si>
  <si>
    <t>2023-03-15T20:38:04.353Z</t>
  </si>
  <si>
    <t>eyJhbGciOiJIUzI1NiIsInR5cCI6IkpXVCJ9.eyJjb21wYW55IjoidW5pb25sb2dpcyIsInNvdXJjZSI6ImV4Y2VsIiwiaWQiOiJyemZyQG5hdmVyLmNvbSIsInR5cGUiOiJNYWNoaW5lIiwibm8iOjMsImlhdCI6MTY3ODE1MTA5N30.yfh9nKRtk2RD9lvnpr16GxixGsXAAbRHC66utIy9mLs</t>
  </si>
  <si>
    <t>c08dd1b6e71e9ed7639b12ad1c9f138702224f1cb42e6c18c331e6902b845c5858e30615cc368c3f5fce0fa4cecd57d84019392be1e7974976d3bf8c3659adea</t>
  </si>
  <si>
    <t>유니온로지스 정원겸대리</t>
  </si>
  <si>
    <t>2023-03-07T10:11:39.340Z</t>
  </si>
  <si>
    <t>2023-08-21T14:28:09.480Z</t>
  </si>
  <si>
    <t>eyJhbGciOiJIUzI1NiIsInR5cCI6IkpXVCJ9.eyJjb21wYW55IjoidW5pb25sb2dpcyIsInNvdXJjZSI6ImV4Y2VsIiwiaWQiOiJyemZyQG5hdmVyLmNvbSIsInR5cGUiOiJNYWNoaW5lIiwibm8iOjIsImlhdCI6MTY3ODE1MTA5N30.rmNEjFYr4ODZePnrpDf6UiVjwrBjjuPeGv108Y8A-1E</t>
  </si>
  <si>
    <t>유니온로지스 정원겸대리(개인노트북)</t>
  </si>
  <si>
    <t>2023-03-07T10:11:13.057Z</t>
  </si>
  <si>
    <t>2023-05-02T16:03:34.557Z</t>
  </si>
  <si>
    <t>eyJhbGciOiJIUzI1NiIsInR5cCI6IkpXVCJ9.eyJjb21wYW55IjoidW5pb25sb2dpcyIsInNvdXJjZSI6ImV4Y2VsIiwiaWQiOiJyemZyQG5hdmVyLmNvbSIsInR5cGUiOiJNYWNoaW5lIiwibm8iOjEsImlhdCI6MTY3ODE1MTA5N30.WBCiXNCZRcj6N6NqiiGg9T4zTrlQeUWR-BauJv6CFBc</t>
  </si>
  <si>
    <t>b311f8bb474c3483c044b4222f51c6aede9ad70facdd66f1e2dc7117f44b06176d6e45851579e37c119cbb9f7b2238aa9cf77ef1b521d4e4d471166968badae4</t>
  </si>
  <si>
    <t>유니온로지스 정원겸대리(RPA)</t>
  </si>
  <si>
    <t>2023-03-07T10:10:43.407Z</t>
  </si>
  <si>
    <t>2023-03-07T16:02:44.217Z</t>
  </si>
  <si>
    <t>eyJhbGciOiJIUzI1NiIsInR5cCI6IkpXVCJ9.eyJjb21wYW55IjoiZXpvZmZpY2UiLCJzb3VyY2UiOiJleGNlbCIsImlkIjoiY2hvaWhlcnl1bkBlei1vZmZpY2UuY28ua3IiLCJ0eXBlIjoiTWFjaGluZSIsIm5vIjozLCJpYXQiOjE2NzgwODk1ODF9.FfKWggF_7HO00bt_VYn_QpTzpqxVYnfZm_N8VPcm3t4</t>
  </si>
  <si>
    <t>이지오피스 최혜련 EZmsgForward전용</t>
  </si>
  <si>
    <t>2023-03-06T17:02:12.957Z</t>
  </si>
  <si>
    <t>eyJhbGciOiJIUzI1NiIsInR5cCI6IkpXVCJ9.eyJjb21wYW55IjoiZXpvZmZpY2UiLCJzb3VyY2UiOiJleGNlbCIsImlkIjoiY2hvaWhlcnl1bkBlei1vZmZpY2UuY28ua3IiLCJ0eXBlIjoiTWFjaGluZSIsIm5vIjoyLCJpYXQiOjE2NzgwODk1ODF9.JHo5msxvm2YgWy7eJhpRvpzpml7u3Pj7jlUQnDGP1cc</t>
  </si>
  <si>
    <t>이지오피스 최혜련 노트북</t>
  </si>
  <si>
    <t>2023-03-06T17:01:43.000Z</t>
  </si>
  <si>
    <t>2023-03-10T16:04:42.757Z</t>
  </si>
  <si>
    <t>eyJhbGciOiJIUzI1NiIsInR5cCI6IkpXVCJ9.eyJjb21wYW55IjoiZXpvZmZpY2UiLCJzb3VyY2UiOiJleGNlbCIsImlkIjoiY2hvaWhlcnl1bkBlei1vZmZpY2UuY28ua3IiLCJ0eXBlIjoiTWFjaGluZSIsIm5vIjoxLCJpYXQiOjE2NzgwODk1ODF9.UwLP0Ufrx2CRzTpph60r8R-_zUclITgM6N9SPICAX0g</t>
  </si>
  <si>
    <t>이지오피스 최혜련 사무실PC</t>
  </si>
  <si>
    <t>2023-03-06T17:00:50.180Z</t>
  </si>
  <si>
    <t>2023-03-10T15:06:07.733Z</t>
  </si>
  <si>
    <t>eyJhbGciOiJIUzI1NiIsInR5cCI6IkpXVCJ9.eyJjb21wYW55IjoiZXpvZmZpY2UiLCJzb3VyY2UiOiJleGNlbCIsImlkIjoia2ouc2ltQGV6LW9mZmljZS5jby5rciIsInR5cGUiOiJNYWNoaW5lIiwibm8iOjMsImlhdCI6MTY3ODA3ODM0NX0.BS3ki1jtGdcDEZNK5bhMETos-8YcucdNsmNLDF3ajDA</t>
  </si>
  <si>
    <t>이지오피스 심규정 EZmsgForward전용</t>
  </si>
  <si>
    <t>2023-03-06T14:01:14.457Z</t>
  </si>
  <si>
    <t>2023-03-06T14:31:33.950Z</t>
  </si>
  <si>
    <t>eyJhbGciOiJIUzI1NiIsInR5cCI6IkpXVCJ9.eyJjb21wYW55IjoiZXpvZmZpY2UiLCJzb3VyY2UiOiJleGNlbCIsImlkIjoia2ouc2ltQGV6LW9mZmljZS5jby5rciIsInR5cGUiOiJNYWNoaW5lIiwibm8iOjIsImlhdCI6MTY3ODA3ODM0NX0.n4xXpyJK3dBS5kcvtTmx33G3laLoSGZbeb4epXNVANw</t>
  </si>
  <si>
    <t>이지오피스 심규정 노트북</t>
  </si>
  <si>
    <t>2023-03-06T14:00:43.137Z</t>
  </si>
  <si>
    <t>2023-04-10T17:53:28.233Z</t>
  </si>
  <si>
    <t>eyJhbGciOiJIUzI1NiIsInR5cCI6IkpXVCJ9.eyJjb21wYW55IjoiZXpvZmZpY2UiLCJzb3VyY2UiOiJleGNlbCIsImlkIjoia2ouc2ltQGV6LW9mZmljZS5jby5rciIsInR5cGUiOiJNYWNoaW5lIiwibm8iOjEsImlhdCI6MTY3ODA3ODM0NX0.xXjkea2DPFXXYGrQQWlq9Uv8ShxQz9poTYVr7o0a_2o</t>
  </si>
  <si>
    <t>이지오피스 심규정 사무실PC</t>
  </si>
  <si>
    <t>2023-03-06T14:00:12.690Z</t>
  </si>
  <si>
    <t>2023-03-06T15:14:08.290Z</t>
  </si>
  <si>
    <t>eyJhbGciOiJIUzI1NiIsInR5cCI6IkpXVCJ9.eyJjb21wYW55IjoiZGh5b28iLCJzb3VyY2UiOiJleGNlbCIsImlkIjoic2NpcGlvQGV6Y2hlbXRlY2guY29tIiwidHlwZSI6Ik1hY2hpbmUiLCJubyI6MiwiaWF0IjoxNjc3MTEzNzc0fQ.7SVkhN2VNp6jxmNIYmgFIlCamDTK-dGu7cT0zIJh7L8</t>
  </si>
  <si>
    <t>dhyoo 최대표님 예비</t>
  </si>
  <si>
    <t>2023-02-23T10:05:05.490Z</t>
  </si>
  <si>
    <t>2023-06-24T19:26:21.760Z</t>
  </si>
  <si>
    <t>eyJhbGciOiJIUzI1NiIsInR5cCI6IkpXVCJ9.eyJjb21wYW55IjoiZGh5b28iLCJzb3VyY2UiOiJleGNlbCIsImlkIjoic2NpcGlvQGV6Y2hlbXRlY2guY29tIiwidHlwZSI6Ik1hY2hpbmUiLCJubyI6MSwiaWF0IjoxNjc3MTEzNzc0fQ.ab3796YMVmRmOikZ2UPpPoHq4Pal96bAAhJCQU3pySQ</t>
  </si>
  <si>
    <t>dhyoo 최대표님 노트북</t>
  </si>
  <si>
    <t>2023-02-23T10:04:04.317Z</t>
  </si>
  <si>
    <t>2023-02-23T16:26:08.320Z</t>
  </si>
  <si>
    <t>eyJhbGciOiJIUzI1NiIsInR5cCI6IkpXVCJ9.eyJjb21wYW55IjoiZGh5b28iLCJzb3VyY2UiOiJleGNlbCIsImlkIjoiYzAyMDk1YWFAZ21haWwuY29tIiwidHlwZSI6Ik1hY2hpbmUiLCJubyI6MiwiaWF0IjoxNjc3MTEzNzc0fQ.Ma0hUyyCwgR1hKlTNT3sMs6TEfC584uz_ELzei0Pegs</t>
  </si>
  <si>
    <t>dhyoo 유동현님 예비(c02095aa@gmail.com)</t>
  </si>
  <si>
    <t>2023-02-23T10:02:29.973Z</t>
  </si>
  <si>
    <t>eyJhbGciOiJIUzI1NiIsInR5cCI6IkpXVCJ9.eyJjb21wYW55IjoiZGh5b28iLCJzb3VyY2UiOiJleGNlbCIsImlkIjoiYzAyMDk1YWFAZ21haWwuY29tIiwidHlwZSI6Ik1hY2hpbmUiLCJubyI6MSwiaWF0IjoxNjc3MTEzNzc0fQ.qtgkohV2zKOJzRWGuyelXp7TBWhkZWRc6gjdm7p8Gp0</t>
  </si>
  <si>
    <t>a47d78d506443e857a4a3ee3e49aeb0595f0751feab105684d3e5416e80c3d23bedbc74b7b8b4b4b4f71e8635bf543a5d28bfa743e2805f2543e73b9d6368032</t>
  </si>
  <si>
    <t>dhyoo 유동현님 노트북(c02095aa@gmail.com)</t>
  </si>
  <si>
    <t>2023-02-23T10:01:10.820Z</t>
  </si>
  <si>
    <t>2023-02-23T17:11:00.210Z</t>
  </si>
  <si>
    <t>eyJhbGciOiJIUzI1NiIsInR5cCI6IkpXVCJ9.eyJjb21wYW55Ijoib3JpZW50cGkiLCJzb3VyY2UiOiJoZXJtZXMiLCJpZCI6ImFkbWluMDFAZXotb2ZmaWNlLmNvLmtyIiwidHlwZSI6Ik1hY2hpbmUiLCJubyI6MSwiaWF0IjoxNjc0MTgyMTIwfQ.5a_or4w096tQOhyHNfnhWISXGeV1diDOMME_nKzWCo8</t>
  </si>
  <si>
    <t>orientpi dbmaster</t>
  </si>
  <si>
    <t>2023-01-20T11:35:26.543Z</t>
  </si>
  <si>
    <t>2023-01-20T16:17:29.793Z</t>
  </si>
  <si>
    <t>eyJhbGciOiJIUzI1NiIsInR5cCI6IkpXVCJ9.eyJjb21wYW55Ijoib3JpZW50cGkiLCJzb3VyY2UiOiJleGNlbCIsImlkIjoiaW5mbzdAZXpjaGVtdGVjaC5jb20iLCJ0eXBlIjoiTWFjaGluZSIsIm5vIjozLCJpYXQiOjE2NzM5NDU4OTZ9.ZHxPmbL1vzLWfFNyQxfE0MXlNLCkbQ09jmsNL7bT-74</t>
  </si>
  <si>
    <t>orientpi user2</t>
  </si>
  <si>
    <t>2023-01-17T17:59:27.007Z</t>
  </si>
  <si>
    <t>eyJhbGciOiJIUzI1NiIsInR5cCI6IkpXVCJ9.eyJjb21wYW55Ijoib3JpZW50cGkiLCJzb3VyY2UiOiJleGNlbCIsImlkIjoiaW5mbzdAZXpjaGVtdGVjaC5jb20iLCJ0eXBlIjoiTWFjaGluZSIsIm5vIjoyLCJpYXQiOjE2NzM5NDU4OTZ9.Kt9yPt32iSTmimYOFXifrUoD1gwNzqqKzGtgIOg1g7k</t>
  </si>
  <si>
    <t>orientpi user1</t>
  </si>
  <si>
    <t>2023-01-17T17:58:27.720Z</t>
  </si>
  <si>
    <t>eyJhbGciOiJIUzI1NiIsInR5cCI6IkpXVCJ9.eyJjb21wYW55Ijoib3JpZW50cGkiLCJzb3VyY2UiOiJleGNlbCIsImlkIjoiaW5mbzdAZXpjaGVtdGVjaC5jb20iLCJ0eXBlIjoiTWFjaGluZSIsIm5vIjoxLCJpYXQiOjE2NzM5NDU4OTZ9.GzQ5OUtdXwwv6izTdy8cgb9xCXWLZBTVU_SP4Ps3XsM</t>
  </si>
  <si>
    <t>fd4eb4e9f5e6d396faa6281fca84ca187bf22aaa8f88f5954d5c4d8b01f5ea56b030349130088f0ccc055018fdb7771305ce72302495216219aa328f620b808d</t>
  </si>
  <si>
    <t>orientpi RP_01</t>
  </si>
  <si>
    <t>2023-01-17T17:57:43.593Z</t>
  </si>
  <si>
    <t>2023-01-24T18:10:32.103Z</t>
  </si>
  <si>
    <t>eyJhbGciOiJIUzI1NiIsInR5cCI6IkpXVCJ9.eyJjb21wYW55IjoiYXNpYWZuaSIsInNvdXJjZSI6ImV4Y2VsIiwiaWQiOiJlZGVuLmxlZUBlei1vZmZpY2UuY28ua3IiLCJ0eXBlIjoiTWFjaGluZSIsImlhdCI6MTY3Mzk0NTAyMX0.TIR0s24Xc3zS9C05kSg28lBsfbdFKdRGmokDY_aRrVQ</t>
  </si>
  <si>
    <t>50118a41ce1cb512c23faf6c8d975302d128da0f7ede2137029121c51bdeb4abb25b12b445cee9d9b11b7dd6da565a5cb61680a6306127f000148036388e6a82</t>
  </si>
  <si>
    <t>asiafni user1(이대현부장):실사용자 손태형</t>
  </si>
  <si>
    <t>2023-01-17T17:48:54.583Z</t>
  </si>
  <si>
    <t>2023-01-20T09:46:56.067Z</t>
  </si>
  <si>
    <t>eyJhbGciOiJIUzI1NiIsInR5cCI6IkpXVCJ9.eyJjb21wYW55Ijoib3JpZW50cGkiLCJzb3VyY2UiOiJleGNlbCIsImlkIjoic2NpcGlvQGV6Y2hlbXRlY2guY29tIiwidHlwZSI6Ik1hY2hpbmUiLCJubyI6MywiaWF0IjoxNjczNTEyODY3fQ._WMsQaCAPYxLCTrijGnImzL9wsnfL3EOKeVp67zR7bg</t>
  </si>
  <si>
    <t>2023-12-28T00:00:00.000Z</t>
  </si>
  <si>
    <t>orientpi 최대표님 자택PC(오정공개발용)</t>
  </si>
  <si>
    <t>2023-01-12T17:44:41.720Z</t>
  </si>
  <si>
    <t>2023-01-18T07:44:21.340Z</t>
  </si>
  <si>
    <t>eyJhbGciOiJIUzI1NiIsInR5cCI6IkpXVCJ9.eyJjb21wYW55Ijoib3JpZW50cGkiLCJzb3VyY2UiOiJleGNlbCIsImlkIjoic2NpcGlvQGV6Y2hlbXRlY2guY29tIiwidHlwZSI6Ik1hY2hpbmUiLCJubyI6MiwiaWF0IjoxNjczNTEyODY3fQ.4Z2WohaChpoZ7bCWostr-GPqgHIffarzCVI82n_JwdU</t>
  </si>
  <si>
    <t>orientpi 최대표님 노트북(오정공개발용)</t>
  </si>
  <si>
    <t>2023-01-12T17:44:02.990Z</t>
  </si>
  <si>
    <t>eyJhbGciOiJIUzI1NiIsInR5cCI6IkpXVCJ9.eyJjb21wYW55Ijoib3JpZW50cGkiLCJzb3VyY2UiOiJleGNlbCIsImlkIjoic2NpcGlvQGV6Y2hlbXRlY2guY29tIiwidHlwZSI6Ik1hY2hpbmUiLCJubyI6MSwiaWF0IjoxNjczNTEyODY3fQ.k9_E36yLZE-5PC8_skp40hvmkAPpOt0psNoHN7t3Y7U</t>
  </si>
  <si>
    <t>orientpi 최대표님 사무실PC(오정공개발용)</t>
  </si>
  <si>
    <t>2023-01-12T17:43:29.023Z</t>
  </si>
  <si>
    <t>2023-01-17T14:50:36.810Z</t>
  </si>
  <si>
    <t>eyJhbGciOiJIUzI1NiIsInR5cCI6IkpXVCJ9.eyJjb21wYW55IjoiZGVtbyIsInNvdXJjZSI6ImV4Y2VsIiwiaWQiOiJlZGVuLmxlZUBlei1vZmZpY2UuY28ua3IiLCJ0eXBlIjoiTWFjaGluZSIsImluc3QiOjEsImlhdCI6MTY3MjkwNzcyM30.WcNfWxCaeZwz-jUVXQhFwrXt_bilhdlybdqo9X1MuoI</t>
  </si>
  <si>
    <t>이지오피스 이상현 VM복제 테스트</t>
  </si>
  <si>
    <t>2023-01-05T17:35:18.517Z</t>
  </si>
  <si>
    <t>eyJhbGciOiJIUzI1NiIsInR5cCI6IkpXVCJ9.eyJjb21wYW55IjoiZXpvZmZpY2UiLCJzb3VyY2UiOiJleGNlbCIsImlkIjoicmljaGFyZC5jaG9pQGV6LW9mZmljZS5jby5rciIsInR5cGUiOiJNYWNoaW5lIiwibm8iOjEsImlhdCI6MTY3MTAwNDE3M30.2gQUCy-w6fsO29zwv3RUJ5I2tCq1gCRo14Ita7aLCzw</t>
  </si>
  <si>
    <t>ezofficeadmin</t>
  </si>
  <si>
    <t>ezoffice admin 계정(업체별 관리자 계정 생성용)</t>
  </si>
  <si>
    <t>2022-12-14T16:50:49.287Z</t>
  </si>
  <si>
    <t>eyJhbGciOiJIUzI1NiIsInR5cCI6IkpXVCJ9.eyJjb21wYW55IjoiZXpvZmZpY2UiLCJzb3VyY2UiOiJleGNlbCIsImlkIjoiZWRlbi5sZWVAZXotb2ZmaWNlLmNvLmtyIiwidHlwZSI6Ik1hY2hpbmUiLCJubyI6MiwiaWF0IjoxNjcxMDA0MTczfQ.vWpdOQ7wQeBcZ_tAc6s57RHQ5qz1nwJPgMNeDnZWjGE</t>
  </si>
  <si>
    <t>2022-12-14T16:49:59.793Z</t>
  </si>
  <si>
    <t>eyJhbGciOiJIUzI1NiIsInR5cCI6IkpXVCJ9.eyJjb21wYW55IjoiZXpjaGVtdGVjaCIsInNvdXJjZSI6ImV4Y2VsIiwiaWQiOiJpbmZvOUBlemNoZW10ZWNoLmNvbSIsInR5cGUiOiJNYWNoaW5lIn0.HTUZbi2OxopjC2_r-auYFiMCBvfgEPUNI6duVx8yQSw</t>
  </si>
  <si>
    <t>2022-12-28T00:00:00.000Z</t>
  </si>
  <si>
    <t>a8ffcd6b997b701b8cb099cc816490ce68bdd6c0b78bf84d5f2c6cea2f76fcc4517b12042ee3a15152dc185b052f4280ff1e57e4513180e3cd5e854ce0e93478</t>
  </si>
  <si>
    <t>이지켐텍 김신영</t>
  </si>
  <si>
    <t>2022-10-26T17:20:34.790Z</t>
  </si>
  <si>
    <t>2023-03-15T13:54:06.213Z</t>
  </si>
  <si>
    <t>eyJhbGciOiJIUzI1NiIsInR5cCI6IkpXVCJ9.eyJjb21wYW55IjoiZXpjaGVtdGVjaCIsInNvdXJjZSI6ImV4Y2VsIiwiaWQiOiJhbUBlemNoZW10ZWNoLmNvbSIsInR5cGUiOiJNYWNoaW5lIn0.blznNVaTbljsS0G2xwepIBA8PXuV2fSIXU_uMK_D204</t>
  </si>
  <si>
    <t>이지켐텍 김연희</t>
  </si>
  <si>
    <t>2022-10-26T17:20:34.777Z</t>
  </si>
  <si>
    <t>2023-03-14T11:43:32.150Z</t>
  </si>
  <si>
    <t>eyJhbGciOiJIUzI1NiIsInR5cCI6IkpXVCJ9.eyJjb21wYW55IjoiZXpjaGVtdGVjaCIsInNvdXJjZSI6ImV4Y2VsIiwiaWQiOiJpbmZvNUBlemNoZW10ZWNoLmNvbSIsInR5cGUiOiJNYWNoaW5lIn0.SRqKY8eytMmTWDo9aUUyDFt65PedBDlOuyAbIa3Lpco</t>
  </si>
  <si>
    <t>6c171f1d0ff894bf7425e6ebdfdbf7f0cf83b5ad3352a8103b4ee40d51d904a448dac2b94190f20b7f50ae819f007dcd491ba422fbe3dde373612dd3e1014296</t>
  </si>
  <si>
    <t>이지켐텍 최아련</t>
  </si>
  <si>
    <t>2022-10-26T17:20:34.763Z</t>
  </si>
  <si>
    <t>2024-01-16T13:12:47.200Z</t>
  </si>
  <si>
    <t>eyJhbGciOiJIUzI1NiIsInR5cCI6IkpXVCJ9.eyJjb21wYW55IjoiZXpjaGVtdGVjaCIsInNvdXJjZSI6ImV4Y2VsIiwiaWQiOiJpbm5vQGV6Y2hlbXRlY2guY29tIiwidHlwZSI6Ik1hY2hpbmUifQ.JwCgY41jO9uWEx-81oEZEQ5gL6eqAZXTQxfB1r5qm3Q</t>
  </si>
  <si>
    <t>이지켐텍 이현정</t>
  </si>
  <si>
    <t>2022-10-26T17:20:34.747Z</t>
  </si>
  <si>
    <t>2022-10-26T17:20:34.750Z</t>
  </si>
  <si>
    <t>eyJhbGciOiJIUzI1NiIsInR5cCI6IkpXVCJ9.eyJjb21wYW55IjoiZXpjaGVtdGVjaCIsInNvdXJjZSI6ImV4Y2VsIiwiaWQiOiJkZXZAZXpjaGVtdGVjaC5jb20iLCJ0eXBlIjoiTWFjaGluZSJ9.A521UrchdkfnIat_uXgPjZmHcs7Ozfn0q3TA29zD9uw</t>
  </si>
  <si>
    <t>이지켐텍 김현선</t>
  </si>
  <si>
    <t>2022-10-26T17:20:34.730Z</t>
  </si>
  <si>
    <t>eyJhbGciOiJIUzI1NiIsInR5cCI6IkpXVCJ9.eyJjb21wYW55IjoiZXpjaGVtdGVjaCIsInNvdXJjZSI6ImV4Y2VsIiwiaWQiOiJlZGVuLmxlZUBlei1vZmZpY2UuY28ua3IiLCJ0eXBlIjoiTWFjaGluZSJ9.ZsoY2RCYvPApSiB3AU2JVRlMn571LkSXheZeyiOZNVs</t>
  </si>
  <si>
    <t>이지켐텍 이상현</t>
  </si>
  <si>
    <t>2022-10-26T17:20:34.717Z</t>
  </si>
  <si>
    <t>eyJhbGciOiJIUzI1NiIsInR5cCI6IkpXVCJ9.eyJjb21wYW55IjoiZXpjaGVtdGVjaCIsInNvdXJjZSI6ImV4Y2VsIiwiaWQiOiJzZXJ2aWNlM0BlemNoZW10ZWNoLmNvbSIsInR5cGUiOiJNYWNoaW5lIn0.19tIH8uNd6P5g3BnGb_myL2iHJ6n5rWBDTKXu9JZbaM</t>
  </si>
  <si>
    <t>b1fd228f401851ee692b1e43fdf5e4ed17c5e4a0224eac53f115ab48e9c6cedb954ad633f6ae73ea45942a52f5273a0ef62bb4eba90032ce2907441a26eba23d</t>
  </si>
  <si>
    <t>이지켐텍 김모아 사무실PC</t>
  </si>
  <si>
    <t>2022-10-26T17:20:34.700Z</t>
  </si>
  <si>
    <t>2023-05-11T16:07:44.180Z</t>
  </si>
  <si>
    <t>eyJhbGciOiJIUzI1NiIsInR5cCI6IkpXVCJ9.eyJjb21wYW55IjoiZXpjaGVtdGVjaCIsInNvdXJjZSI6ImV4Y2VsIiwiaWQiOiJyaWNoYXJkLmNob2lAZXotb2ZmaWNlLmNvLmtyIiwidHlwZSI6Ik1hY2hpbmUifQ.lHwtNyAB0uw3n3NzYI0vgEH36D2NZv0XZxwkEktYBcg</t>
  </si>
  <si>
    <t>이지켐텍 최종규 테스트</t>
  </si>
  <si>
    <t>2022-10-26T17:20:34.667Z</t>
  </si>
  <si>
    <t>eyJhbGciOiJIUzI1NiIsInR5cCI6IkpXVCJ9.eyJjb21wYW55IjoiZXpjaGVtdGVjaCIsInNvdXJjZSI6ImV4Y2VsIiwiaWQiOiJzZXJ2aWNlNkBlemNoZW10ZWNoLmNvbSIsInR5cGUiOiJNYWNoaW5lIn0.19W_CMzVJ6RWunybIO0mYEVMP2qsqfnJCn74uBeMgUw</t>
  </si>
  <si>
    <t>9967258ef5f20b5a84c889774a2f0bb5a9045d048711b4a57e551225bb45a129eaa76ea8f300329fd00a57c716c683b030b714c398ab2adbf978d2136eef894e</t>
  </si>
  <si>
    <t>이지켐텍 정지혜</t>
  </si>
  <si>
    <t>2022-10-26T17:20:34.620Z</t>
  </si>
  <si>
    <t>2023-05-11T16:15:53.663Z</t>
  </si>
  <si>
    <t>eyJhbGciOiJIUzI1NiIsInR5cCI6IkpXVCJ9.eyJjb21wYW55IjoiZXpjaGVtdGVjaCIsInNvdXJjZSI6ImV4Y2VsIiwiaWQiOiJpbmZvM0BlemNoZW10ZWNoLmNvbSIsInR5cGUiOiJNYWNoaW5lIn0.495nMQZ4E6N2dQ1KB43Qc_JvpAzmDbcP6CcZjakuzK4</t>
  </si>
  <si>
    <t>0a7cef73f3df7e79fc2f53d64e61c1242ac66cfc046635ea65d5952d1e77ff548bd9ba162762ca4d45208fda95c601fbe00afbbea634bf41b17c49534f46e888</t>
  </si>
  <si>
    <t>이지켐텍 김지연</t>
  </si>
  <si>
    <t>2022-10-26T17:20:34.603Z</t>
  </si>
  <si>
    <t>2023-06-13T14:14:16.923Z</t>
  </si>
  <si>
    <t>eyJhbGciOiJIUzI1NiIsInR5cCI6IkpXVCJ9.eyJjb21wYW55IjoiZXpjaGVtdGVjaCIsInNvdXJjZSI6ImV4Y2VsIiwiaWQiOiJhY2NvdW50QGV6Y2hlbXRlY2guY29tIiwidHlwZSI6Ik1hY2hpbmUifQ.I8YPCy5ec4-zRtTT1IQeuEgq-3oWlaZksGuz02bkcJw</t>
  </si>
  <si>
    <t>44abf2f098d9a91d66579e3d49e6196e1e26adc14113777439bc73a66e5965ac1bdfbec85bc8c0865729ffc5115b9f4af50461916a07067d5589b3ae0d3ef734</t>
  </si>
  <si>
    <t>이지켐텍 유다현</t>
  </si>
  <si>
    <t>2022-10-26T17:20:34.587Z</t>
  </si>
  <si>
    <t>2023-03-15T13:30:58.297Z</t>
  </si>
  <si>
    <t>eyJhbGciOiJIUzI1NiIsInR5cCI6IkpXVCJ9.eyJjb21wYW55IjoiZXpjaGVtdGVjaCIsInNvdXJjZSI6ImV4Y2VsIiwiaWQiOiJpbmZvQGV6Y2hlbXRlY2guY29tIiwidHlwZSI6Ik1hY2hpbmUifQ.Dod7-BwxAw90tYCsNylD5DQrV3HuDrx--E_5hKs80Oc</t>
  </si>
  <si>
    <t>9744832685826662991a787c5e2446fbd5fda97bff88267ae4a5644b19483d8b6d5ac6b45b0ada7736b0034c7aef4bd4b4e07203c8b1e3e9d7065d572991766f</t>
  </si>
  <si>
    <t>이지켐텍 안소현</t>
  </si>
  <si>
    <t>2022-10-26T17:20:34.553Z</t>
  </si>
  <si>
    <t>2023-06-14T18:23:08.667Z</t>
  </si>
  <si>
    <t>eyJhbGciOiJIUzI1NiIsInR5cCI6IkpXVCJ9.eyJjb21wYW55IjoiZXpjaGVtdGVjaCIsInNvdXJjZSI6ImV4Y2VsIiwiaWQiOiJzZXJ2aWNlQGV6Y2hlbXRlY2guY29tIiwidHlwZSI6Ik1hY2hpbmUifQ.YVfh9kW_xoCrUjImU5PBPjrwOr0ULbt-o3SfTn3x7qA</t>
  </si>
  <si>
    <t>1b18b93aa8f3402ed9dd1f91cd8da3664062184fd17b1e8baf60f669d55e61546cd540eb69c121b7413db07fd1ece994a44e14e690e9e852abc0325bd6537fc5</t>
  </si>
  <si>
    <t>이지켐텍 윤현경</t>
  </si>
  <si>
    <t>2022-10-26T17:20:34.540Z</t>
  </si>
  <si>
    <t>2023-05-12T15:30:41.250Z</t>
  </si>
  <si>
    <t>eyJhbGciOiJIUzI1NiIsInR5cCI6IkpXVCJ9.eyJjb21wYW55IjoiZXpjaGVtdGVjaCIsInNvdXJjZSI6ImV4Y2VsIiwiaWQiOiJhZG1pbkBhZG1pbiIsInR5cGUiOiJNYWNoaW5lIn0.2m_gx-Hctu2jRU09ONazjT3vr15yShBPDcJlR_pve_k</t>
  </si>
  <si>
    <t>이지켐텍 starhorse</t>
  </si>
  <si>
    <t>2022-10-26T17:20:34.527Z</t>
  </si>
  <si>
    <t>eyJhbGciOiJIUzI1NiIsInR5cCI6IkpXVCJ9.eyJjb21wYW55IjoiZXpjaGVtdGVjaCIsInNvdXJjZSI6ImV4Y2VsIiwiaWQiOiJpbmZvN0BlemNoZW10ZWNoLmNvbSIsInR5cGUiOiJNYWNoaW5lIn0.-zaFBsNAOFkLdZ38lkYkz8cqG8A3vp44JnMP0Kn4H-I</t>
  </si>
  <si>
    <t>이지켐텍 심규정</t>
  </si>
  <si>
    <t>2022-10-26T17:20:34.510Z</t>
  </si>
  <si>
    <t>eyJhbGciOiJIUzI1NiIsInR5cCI6IkpXVCJ9.eyJjb21wYW55IjoiZXpjaGVtdGVjaCIsInNvdXJjZSI6ImV4Y2VsIiwiaWQiOiJzdGFyX2hvcnNlQG5hdmVyLmNvbSIsInR5cGUiOiJNYWNoaW5lIn0.-5uNHjKRTOuKAnOAjMJSCgJGyp71C5lb4j0dW50C6P4</t>
  </si>
  <si>
    <t>ca65af6a055415ea132a7bc6023470ede393391a07ae61efa7582f4ff1eedd87d06d201dc65ac5fe0f68d02ed49221584c40fcf6064984bbe768170970c0dc94</t>
  </si>
  <si>
    <t>이지켐텍 최종규</t>
  </si>
  <si>
    <t>2022-10-26T17:20:34.490Z</t>
  </si>
  <si>
    <t>eyJhbGciOiJIUzI1NiIsInR5cCI6IkpXVCJ9.eyJjb21wYW55IjoiZXpjaGVtdGVjaCIsInNvdXJjZSI6ImV4Y2VsIiwiaWQiOiJzZXJ2aWNlMkBlemNoZW10ZWNoLmNvbSIsInR5cGUiOiJNYWNoaW5lIn0.ql8m8fDqLMOviEmr3gVRgyuyiMVUEavilAQAuYNJM1Q</t>
  </si>
  <si>
    <t>f26217406dc3d86493929fec59d5a8835453d563f6e4a8ca699eb67a5d93abc351eb1637c6418be07e118dec05db20641f0225795c727a9d4fd55ab8a6d7936d</t>
  </si>
  <si>
    <t>이지켐텍 이정민</t>
  </si>
  <si>
    <t>2022-10-26T17:20:34.477Z</t>
  </si>
  <si>
    <t>2023-03-14T18:14:11.610Z</t>
  </si>
  <si>
    <t>eyJhbGciOiJIUzI1NiIsInR5cCI6IkpXVCJ9.eyJjb21wYW55IjoiZXpvZmZpY2VfdGVzdCIsInNvdXJjZSI6ImV4Y2VsIiwiaWQiOiJlem9mZmljZV90ZXN0QGV6LW9mZmljZS5jby5rciIsInR5cGUiOiJNYWNoaW5lIiwiaWF0IjoxNjY2MjQ5NDE3fQ.UE6Fu_0meNNZcvBjR0NLnQjOoZaSJQzMfvBxjqaa6Fc</t>
  </si>
  <si>
    <t>2022-10-20T16:07:54.553Z</t>
  </si>
  <si>
    <t>eyJhbGciOiJIUzI1NiIsInR5cCI6IkpXVCJ9.eyJjb21wYW55IjoiZXpvZmZpY2UiLCJzb3VyY2UiOiJqdXBpdGVyIiwibGV2ZWwiOiJtYXN0ZXIiLCJtYWNoaW5lIjoxLCJpYXQiOjE2NjMwNTIwMjV9.VidQPuDMUv4Dy0e4dV7zQPswk9vH4h4HY15qO0BX9LE</t>
  </si>
  <si>
    <t>이지오피스 이상현</t>
  </si>
  <si>
    <t>2022-12-27T11:25:01.007Z</t>
  </si>
  <si>
    <t>2024-02-06T18:17:11.507Z</t>
  </si>
  <si>
    <t>eyJhbGciOiJIUzI1NiIsInR5cCI6IkpXVCJ9.eyJjb21wYW55IjoiZGVtbyIsInNvdXJjZSI6ImV4Y2VsIiwiaWQiOiJkZW1vQGV6LW9mZmljZS5jby5rciIsInR5cGUiOiJNYWNoaW5lIiwiaWF0IjoxNjYxMzkyMzk2fQ.FH1Jy6hbhZCOC3pP8FKkJm0BzHEl5GM7JtoLKt1j7sQ</t>
  </si>
  <si>
    <t>1208154a-9ba4-3914-af89-04abcd214184</t>
  </si>
  <si>
    <t>2022-08-25T00:00:00.000Z</t>
  </si>
  <si>
    <t>2023-01-26T11:02:21.777Z</t>
  </si>
  <si>
    <t>orgSeq</t>
    <phoneticPr fontId="1" type="noConversion"/>
  </si>
  <si>
    <t>authOrgSeq</t>
    <phoneticPr fontId="1" type="noConversion"/>
  </si>
  <si>
    <t>isUnattended</t>
    <phoneticPr fontId="1" type="noConversion"/>
  </si>
  <si>
    <t>machAuthSecret</t>
    <phoneticPr fontId="1" type="noConversion"/>
  </si>
  <si>
    <t>machAuthSecretExpiredDateTime</t>
    <phoneticPr fontId="1" type="noConversion"/>
  </si>
  <si>
    <t>machAuthIdentifier</t>
    <phoneticPr fontId="1" type="noConversion"/>
  </si>
  <si>
    <t>machInfo</t>
    <phoneticPr fontId="1" type="noConversion"/>
  </si>
  <si>
    <t>userMemo</t>
    <phoneticPr fontId="1" type="noConversion"/>
  </si>
  <si>
    <t>defaultDB</t>
    <phoneticPr fontId="1" type="noConversion"/>
  </si>
  <si>
    <t>dbLoginID</t>
    <phoneticPr fontId="1" type="noConversion"/>
  </si>
  <si>
    <t>dbLoginPWD</t>
    <phoneticPr fontId="1" type="noConversion"/>
  </si>
  <si>
    <t>!@34qwer</t>
  </si>
  <si>
    <t>2024-03-25T11:46:17.380Z</t>
  </si>
  <si>
    <t>2024-03-25T11:00:25.640Z</t>
  </si>
  <si>
    <t>2024-03-11T11:19:56.683Z</t>
  </si>
  <si>
    <t>2024-03-11T11:05:32.803Z</t>
  </si>
  <si>
    <t>2024-02-29T09:46:14.023Z</t>
  </si>
  <si>
    <t>2024-02-28T18:27:21.590Z</t>
  </si>
  <si>
    <t>2024-02-07T14:40:04.873Z</t>
  </si>
  <si>
    <t>2024-02-07T13:31:41.967Z</t>
  </si>
  <si>
    <t>2024-01-05T11:26:26.907Z</t>
  </si>
  <si>
    <t>2024-01-05T11:01:23.820Z</t>
  </si>
  <si>
    <t>2024-01-05T10:01:28.080Z</t>
  </si>
  <si>
    <t>2024-01-03T14:21:27.953Z</t>
  </si>
  <si>
    <t>2024-01-03T14:21:15.043Z</t>
  </si>
  <si>
    <t>2024-01-03T14:21:00.310Z</t>
  </si>
  <si>
    <t>2024-01-03T11:04:02.663Z</t>
  </si>
  <si>
    <t>2024-01-03T10:59:35.750Z</t>
  </si>
  <si>
    <t>2023-12-27T19:28:48.097Z</t>
  </si>
  <si>
    <t>2023-12-04T17:29:28.417Z</t>
  </si>
  <si>
    <t>2023-12-04T17:25:34.523Z</t>
  </si>
  <si>
    <t>2023-12-04T15:04:28.240Z</t>
  </si>
  <si>
    <t>2023-11-27T18:31:37.743Z</t>
  </si>
  <si>
    <t>2023-11-27T18:29:44.983Z</t>
  </si>
  <si>
    <t>2023-11-23T16:11:50.293Z</t>
  </si>
  <si>
    <t>2023-11-23T15:39:27.113Z</t>
  </si>
  <si>
    <t>2023-11-23T14:55:22.833Z</t>
  </si>
  <si>
    <t>2023-11-23T09:45:19.363Z</t>
  </si>
  <si>
    <t>2023-11-21T17:14:10.130Z</t>
  </si>
  <si>
    <t>2023-11-15T17:53:23.267Z</t>
  </si>
  <si>
    <t>2023-11-15T17:39:19.870Z</t>
  </si>
  <si>
    <t>2023-11-14T18:49:48.300Z</t>
  </si>
  <si>
    <t>2023-11-14T15:27:23.800Z</t>
  </si>
  <si>
    <t>2023-10-26T17:02:56.637Z</t>
  </si>
  <si>
    <t>2023-10-26T17:02:46.800Z</t>
  </si>
  <si>
    <t>2023-10-26T17:00:24.940Z</t>
  </si>
  <si>
    <t>2023-10-25T15:52:00.910Z</t>
  </si>
  <si>
    <t>2023-10-25T15:46:00.323Z</t>
  </si>
  <si>
    <t>2023-10-25T15:44:30.387Z</t>
  </si>
  <si>
    <t>2023-10-16T17:35:27.223Z</t>
  </si>
  <si>
    <t>2023-09-27T14:37:04.293Z</t>
  </si>
  <si>
    <t>2023-09-27T14:36:06.723Z</t>
  </si>
  <si>
    <t>2023-09-27T14:35:49.220Z</t>
  </si>
  <si>
    <t>2023-09-27T14:35:33.790Z</t>
  </si>
  <si>
    <t>2023-09-27T14:35:13.477Z</t>
  </si>
  <si>
    <t>2023-09-27T14:30:18.563Z</t>
  </si>
  <si>
    <t>2023-09-27T14:26:11.367Z</t>
  </si>
  <si>
    <t>2023-09-27T14:10:09.610Z</t>
  </si>
  <si>
    <t>2023-09-15T16:24:32.507Z</t>
  </si>
  <si>
    <t>2023-09-13T11:52:12.357Z</t>
  </si>
  <si>
    <t>2023-09-13T11:28:27.853Z</t>
  </si>
  <si>
    <t>2023-09-01T15:47:03.553Z</t>
  </si>
  <si>
    <t>2023-08-25T18:17:03.147Z</t>
  </si>
  <si>
    <t>2023-08-25T15:34:18.223Z</t>
  </si>
  <si>
    <t>2023-08-25T15:29:02.810Z</t>
  </si>
  <si>
    <t>2023-08-25T15:27:00.617Z</t>
  </si>
  <si>
    <t>2023-08-21T13:17:38.210Z</t>
  </si>
  <si>
    <t>2023-08-18T10:45:17.740Z</t>
  </si>
  <si>
    <t>2023-08-08T15:01:35.533Z</t>
  </si>
  <si>
    <t>2023-08-02T11:47:26.233Z</t>
  </si>
  <si>
    <t>2023-08-02T11:33:22.210Z</t>
  </si>
  <si>
    <t>2023-07-31T15:54:59.230Z</t>
  </si>
  <si>
    <t>2023-07-31T15:48:44.903Z</t>
  </si>
  <si>
    <t>2023-07-06T16:47:28.827Z</t>
  </si>
  <si>
    <t>2023-07-06T16:47:11.137Z</t>
  </si>
  <si>
    <t>star_horse@knu_osl.demo</t>
  </si>
  <si>
    <t>2023-07-06T15:13:00.340Z</t>
  </si>
  <si>
    <t>2023-06-22T15:20:42.720Z</t>
  </si>
  <si>
    <t>2023-06-19T17:13:44.550Z</t>
  </si>
  <si>
    <t>2023-06-16T11:06:37.623Z</t>
  </si>
  <si>
    <t>2023-06-12T17:51:48.203Z</t>
  </si>
  <si>
    <t>2023-05-26T17:41:27.263Z</t>
  </si>
  <si>
    <t>2023-05-25T11:06:41.970Z</t>
  </si>
  <si>
    <t>2023-03-17T11:16:26.840Z</t>
  </si>
  <si>
    <t>2023-03-17T11:13:44.477Z</t>
  </si>
  <si>
    <t>scipio@unionlogis.com</t>
  </si>
  <si>
    <t>2023-03-14T13:28:24.857Z</t>
  </si>
  <si>
    <t>2023-03-13T15:49:04.853Z</t>
  </si>
  <si>
    <t>2023-03-13T15:42:55.187Z</t>
  </si>
  <si>
    <t>2023-03-13T15:42:55.183Z</t>
  </si>
  <si>
    <t>2023-03-13T15:42:55.180Z</t>
  </si>
  <si>
    <t>2023-03-13T15:42:55.177Z</t>
  </si>
  <si>
    <t>2023-03-13T15:42:55.163Z</t>
  </si>
  <si>
    <t>2023-03-13T15:42:55.160Z</t>
  </si>
  <si>
    <t>2023-03-06T17:11:47.117Z</t>
  </si>
  <si>
    <t>2023-03-06T15:21:41.343Z</t>
  </si>
  <si>
    <t>2023-03-06T11:17:29.087Z</t>
  </si>
  <si>
    <t>2023-02-23T16:35:34.527Z</t>
  </si>
  <si>
    <t>dbmaster@dhyoo.co.kr</t>
  </si>
  <si>
    <t>dbadmin@ezoffice365.com</t>
  </si>
  <si>
    <t>2023-01-20T16:39:32.310Z</t>
  </si>
  <si>
    <t>dbmaster@orientpi.co.kr</t>
  </si>
  <si>
    <t>2023-01-20T13:39:35.370Z</t>
  </si>
  <si>
    <t>orpi.scm@orientpi.com</t>
  </si>
  <si>
    <t>2023-01-19T16:18:49.467Z</t>
  </si>
  <si>
    <t>ldh81@asiafni.com</t>
  </si>
  <si>
    <t>2023-01-17T17:46:03.400Z</t>
  </si>
  <si>
    <t>scipio@orientpi.co.kr</t>
  </si>
  <si>
    <t>2023-01-17T11:40:14.163Z</t>
  </si>
  <si>
    <t>2023-01-17T11:38:45.680Z</t>
  </si>
  <si>
    <t>2023-01-09T11:41:04.130Z</t>
  </si>
  <si>
    <t>2023-01-06T12:39:13.683Z</t>
  </si>
  <si>
    <t>2023-01-05T17:14:09.833Z</t>
  </si>
  <si>
    <t>2023-01-04T15:26:35.113Z</t>
  </si>
  <si>
    <t>이름[TB_Admin]</t>
    <phoneticPr fontId="1" type="noConversion"/>
  </si>
  <si>
    <t>email[TB_Admin]</t>
    <phoneticPr fontId="1" type="noConversion"/>
  </si>
  <si>
    <t>dbLoginID[TB_User]</t>
    <phoneticPr fontId="1" type="noConversion"/>
  </si>
  <si>
    <t>adminSeqBy_TB_User_dbLogin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</si>
</sst>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  <xf numFmtId="0" fontId="7" fillId="7" borderId="1" xfId="2" applyBorder="1">
      <alignment vertical="center"/>
    </xf>
    <xf numFmtId="0" fontId="0" fillId="8" borderId="3" xfId="3" applyFont="1">
      <alignment vertical="center"/>
    </xf>
    <xf numFmtId="0" fontId="8" fillId="9" borderId="0" xfId="4">
      <alignment vertical="center"/>
    </xf>
    <xf numFmtId="0" fontId="0" fillId="8" borderId="0" xfId="3" applyFont="1" applyBorder="1">
      <alignment vertical="center"/>
    </xf>
    <xf numFmtId="0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10" borderId="0" xfId="0" applyNumberFormat="1" applyFill="1">
      <alignment vertical="center"/>
    </xf>
  </cellXfs>
  <cellStyles count="5">
    <cellStyle name="메모" xfId="3" builtinId="10"/>
    <cellStyle name="보통" xfId="4" builtinId="28"/>
    <cellStyle name="좋음" xfId="2" builtinId="26"/>
    <cellStyle name="표준" xfId="0" builtinId="0"/>
    <cellStyle name="하이퍼링크" xfId="1" builtinId="8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133350</xdr:rowOff>
        </xdr:from>
        <xdr:to>
          <xdr:col>4</xdr:col>
          <xdr:colOff>1533525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3009900</xdr:colOff>
          <xdr:row>1</xdr:row>
          <xdr:rowOff>0</xdr:rowOff>
        </xdr:from>
        <xdr:to>
          <xdr:col>4</xdr:col>
          <xdr:colOff>19050</xdr:colOff>
          <xdr:row>2</xdr:row>
          <xdr:rowOff>171450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GET[ 테이블 데이터 ]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2" totalsRowShown="0" headerRowDxfId="11" headerRowBorderDxfId="10" tableBorderDxfId="9">
  <autoFilter ref="B6:U142" xr:uid="{5FE99431-CE87-41F1-850B-DF89D0FDCAEF}"/>
  <tableColumns count="20">
    <tableColumn id="1" xr3:uid="{E10C3D5D-6A5A-4E33-9DB1-6C4060BC4E27}" name="seq" dataDxfId="8"/>
    <tableColumn id="2" xr3:uid="{0371A9C3-21B2-4AA6-A751-B157C96E5211}" name="dbName" dataDxfId="7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6"/>
    <tableColumn id="7" xr3:uid="{862C3064-BC02-49AC-9D7B-73F9A854C278}" name="level" dataDxfId="5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5C280F5-A359-4CB0-B55A-578260390769}" name="Table1" displayName="Table1" ref="A5:Q174" totalsRowShown="0">
  <autoFilter ref="A5:Q174" xr:uid="{A5C280F5-A359-4CB0-B55A-578260390769}"/>
  <tableColumns count="17">
    <tableColumn id="1" xr3:uid="{6C112FF7-338C-40F5-8494-7DA9DEAE16C5}" name="seq"/>
    <tableColumn id="2" xr3:uid="{DA99CE0C-01DD-4FA3-AB00-1599F0D49D22}" name="orgSeq"/>
    <tableColumn id="3" xr3:uid="{280D7D51-46E6-44AD-A25C-9018C69C7778}" name="authOrgSeq"/>
    <tableColumn id="4" xr3:uid="{1481518C-96D8-4DF1-A613-6F1D3C348AAE}" name="userSeq"/>
    <tableColumn id="5" xr3:uid="{79201744-8A0D-4523-80D2-8AB0BDDB87B0}" name="authOrgUserSeq"/>
    <tableColumn id="6" xr3:uid="{74238708-E1C7-4721-B234-BDD9789F7956}" name="isUnattended"/>
    <tableColumn id="7" xr3:uid="{2AFDF73F-DD52-46C6-9BB3-D1F08C8B935B}" name="machAuthSecret"/>
    <tableColumn id="8" xr3:uid="{02064B88-B915-4A74-B332-7566A6BBF23C}" name="machAuthSecretExpiredDateTime"/>
    <tableColumn id="9" xr3:uid="{BF9CA653-33E4-4D32-8C8D-FB4E46885490}" name="machAuthIdentifier"/>
    <tableColumn id="10" xr3:uid="{B5500E44-780D-495E-BF18-CC021A44103B}" name="machInfo"/>
    <tableColumn id="11" xr3:uid="{E7083F11-2A86-42AC-8C2D-639BBCBC6AF8}" name="userMemo"/>
    <tableColumn id="12" xr3:uid="{C0CF60BD-E30B-46E0-AF43-3ED0DC008051}" name="RegDate"/>
    <tableColumn id="13" xr3:uid="{423EBBC2-23A4-4A03-8F0F-4A3B47F88C6B}" name="UpdateDate"/>
    <tableColumn id="14" xr3:uid="{80919F04-9EA3-4907-A132-74690D4D1A55}" name="이름[TB_Admin]" dataDxfId="2">
      <calculatedColumnFormula>INDEX(Table1_1[name],MATCH(E6,Table1_1[seq],0))</calculatedColumnFormula>
    </tableColumn>
    <tableColumn id="15" xr3:uid="{1868EC75-90E5-4E53-870F-18256C2CDA10}" name="email[TB_Admin]" dataDxfId="1">
      <calculatedColumnFormula>INDEX(Table1_1[email],MATCH(E6,Table1_1[seq],0))</calculatedColumnFormula>
    </tableColumn>
    <tableColumn id="16" xr3:uid="{71B616B7-0EBD-4111-8CDF-AF979174E93D}" name="dbLoginID[TB_User]" dataDxfId="3">
      <calculatedColumnFormula>INDEX(Table1_2[dbLoginID],MATCH(Table1[[#This Row],[userSeq]],Table1_2[seq],0))</calculatedColumnFormula>
    </tableColumn>
    <tableColumn id="18" xr3:uid="{4FA09ECE-F2DB-4512-BE7E-B3D9E7635D02}" name="adminSeqBy_TB_User_dbLogin" dataDxfId="0">
      <calculatedColumnFormula>INDEX(Table1_1[seq],MATCH(Table1[[#This Row],[dbLoginID'[TB_User']]],Table1_1[email],0))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D97FE72-B2B9-4147-A111-D907E7AF42E5}" name="Table1" displayName="Table1_1" ref="A5:T142" totalsRowShown="0">
  <autoFilter ref="A5:T142" xr:uid="{3D97FE72-B2B9-4147-A111-D907E7AF42E5}"/>
  <tableColumns count="20">
    <tableColumn id="1" xr3:uid="{AC65347C-94AD-48B4-9C51-C7AF6E7F11D7}" name="seq"/>
    <tableColumn id="2" xr3:uid="{09AAFF8A-E37B-4FCA-9AA8-83FAFD3DC9FC}" name="dbName"/>
    <tableColumn id="3" xr3:uid="{E6D71699-105D-4514-9A96-FE766B5D42D7}" name="authOrgUserSeq"/>
    <tableColumn id="4" xr3:uid="{C97A2572-F8FC-45AD-AE31-FA0E2E20EA99}" name="id_jpt"/>
    <tableColumn id="5" xr3:uid="{7B9806DB-2FF0-49A8-ABC8-6736DA6FA9D2}" name="name"/>
    <tableColumn id="6" xr3:uid="{2CD7F36B-690B-4013-A480-51DE0CA0DF97}" name="position"/>
    <tableColumn id="7" xr3:uid="{5801C5E9-75CF-4C8A-A2FA-B2096B97EC54}" name="level"/>
    <tableColumn id="8" xr3:uid="{BC2A6449-416E-46A0-B26D-58D7027B1FD2}" name="password"/>
    <tableColumn id="9" xr3:uid="{A5688E71-9D7F-49C4-AE23-7E7503C88B96}" name="email"/>
    <tableColumn id="10" xr3:uid="{16D93B3F-FDA9-4452-8479-389DEC51ABFD}" name="important"/>
    <tableColumn id="11" xr3:uid="{D919690A-EB5B-4DAA-B1AB-34FDA4547B5E}" name="약칭"/>
    <tableColumn id="12" xr3:uid="{933099E5-818D-4008-ACA2-92464E15844E}" name="jandi_id_map"/>
    <tableColumn id="13" xr3:uid="{5B40D9CC-E248-4D26-8174-D05D26215F82}" name="depart"/>
    <tableColumn id="14" xr3:uid="{A1D4EA3E-692A-430E-B693-D9968A8D08B8}" name="configuration"/>
    <tableColumn id="15" xr3:uid="{13E83E41-30D9-4DDE-B357-907D1312A021}" name="userSeq"/>
    <tableColumn id="16" xr3:uid="{BC5E8E33-AB3B-4654-818D-1E5285E921F3}" name="RegDate"/>
    <tableColumn id="17" xr3:uid="{8A5FB657-9C73-4C64-9A89-7CFEC8E1348D}" name="UpdateDate"/>
    <tableColumn id="18" xr3:uid="{8D3173F4-1096-40C7-B1A0-BB897E326E0F}" name="passcode"/>
    <tableColumn id="19" xr3:uid="{E685AD7E-7951-485A-910F-61212FBFE684}" name="createdAt"/>
    <tableColumn id="20" xr3:uid="{7C751098-0876-4E33-AF2A-47D55C39F66D}" name="updatedA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DC9FEC-3606-4E11-852F-5936705088FE}" name="Table1" displayName="Table1_2" ref="A5:H112" totalsRowShown="0">
  <autoFilter ref="A5:H112" xr:uid="{70DC9FEC-3606-4E11-852F-5936705088FE}"/>
  <tableColumns count="8">
    <tableColumn id="1" xr3:uid="{820CA144-0428-4A50-9561-8E0EE9523D52}" name="seq"/>
    <tableColumn id="2" xr3:uid="{4D576F31-F4C6-4A79-B417-C149252CB79A}" name="orgSeq"/>
    <tableColumn id="3" xr3:uid="{4F56E9D2-40F4-42C4-9A7C-96DDFB174E0C}" name="authOrgSeq"/>
    <tableColumn id="4" xr3:uid="{739A7F2B-337F-44A1-A1AF-2B72E8E75B84}" name="defaultDB"/>
    <tableColumn id="5" xr3:uid="{7EA3736C-93E9-4FC0-8DDF-AC24E96CC2A8}" name="dbLoginID"/>
    <tableColumn id="6" xr3:uid="{38C14A6F-A11B-4B28-B08E-F4ACBB86D3CB}" name="dbLoginPWD"/>
    <tableColumn id="7" xr3:uid="{7CC014E3-0D70-4DC7-BC36-E2C809552B0F}" name="RegDate"/>
    <tableColumn id="8" xr3:uid="{796A21AC-8EA7-48B7-852A-5E9AC565B733}" name="Update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mailto:star_horse@naver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2"/>
  <sheetViews>
    <sheetView zoomScale="85" zoomScaleNormal="85" workbookViewId="0">
      <selection activeCell="J4" sqref="J4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491</v>
      </c>
      <c r="D6" s="17" t="s">
        <v>492</v>
      </c>
      <c r="E6" s="17" t="s">
        <v>493</v>
      </c>
      <c r="F6" s="17" t="s">
        <v>2</v>
      </c>
      <c r="G6" s="17" t="s">
        <v>494</v>
      </c>
      <c r="H6" s="17" t="s">
        <v>4</v>
      </c>
      <c r="I6" s="17" t="s">
        <v>495</v>
      </c>
      <c r="J6" s="17" t="s">
        <v>3</v>
      </c>
      <c r="K6" s="17" t="s">
        <v>496</v>
      </c>
      <c r="L6" s="17" t="s">
        <v>497</v>
      </c>
      <c r="M6" s="17" t="s">
        <v>498</v>
      </c>
      <c r="N6" s="17" t="s">
        <v>499</v>
      </c>
      <c r="O6" s="17" t="s">
        <v>500</v>
      </c>
      <c r="P6" s="17" t="s">
        <v>501</v>
      </c>
      <c r="Q6" s="17" t="s">
        <v>502</v>
      </c>
      <c r="R6" s="17" t="s">
        <v>503</v>
      </c>
      <c r="S6" s="17" t="s">
        <v>504</v>
      </c>
      <c r="T6" s="17" t="s">
        <v>5</v>
      </c>
      <c r="U6" s="17" t="s">
        <v>6</v>
      </c>
    </row>
    <row r="7" spans="2:21" x14ac:dyDescent="0.3">
      <c r="B7" s="8">
        <v>188</v>
      </c>
      <c r="C7" s="8" t="s">
        <v>205</v>
      </c>
      <c r="D7" s="2"/>
      <c r="E7" s="2"/>
      <c r="F7" s="2"/>
      <c r="G7" s="8"/>
      <c r="H7" s="8"/>
      <c r="I7" s="3">
        <v>1234</v>
      </c>
      <c r="J7" s="4" t="s">
        <v>580</v>
      </c>
      <c r="P7">
        <v>173</v>
      </c>
      <c r="Q7" t="s">
        <v>581</v>
      </c>
      <c r="R7" t="s">
        <v>581</v>
      </c>
      <c r="T7" t="s">
        <v>582</v>
      </c>
      <c r="U7" t="s">
        <v>583</v>
      </c>
    </row>
    <row r="8" spans="2:21" x14ac:dyDescent="0.3">
      <c r="B8" s="8">
        <v>187</v>
      </c>
      <c r="C8" s="8" t="s">
        <v>133</v>
      </c>
      <c r="D8" s="2"/>
      <c r="E8" s="2"/>
      <c r="F8" s="2"/>
      <c r="G8" s="8"/>
      <c r="H8" s="8"/>
      <c r="I8" s="3">
        <v>1234</v>
      </c>
      <c r="J8" s="5" t="s">
        <v>134</v>
      </c>
      <c r="P8">
        <v>172</v>
      </c>
      <c r="Q8" t="s">
        <v>135</v>
      </c>
      <c r="R8" t="s">
        <v>135</v>
      </c>
      <c r="T8" t="s">
        <v>136</v>
      </c>
      <c r="U8" t="s">
        <v>137</v>
      </c>
    </row>
    <row r="9" spans="2:21" x14ac:dyDescent="0.3">
      <c r="B9" s="9">
        <v>186</v>
      </c>
      <c r="C9" s="9" t="s">
        <v>133</v>
      </c>
      <c r="E9" s="7"/>
      <c r="G9" s="9"/>
      <c r="H9" s="9"/>
      <c r="I9" s="6">
        <v>1234</v>
      </c>
      <c r="J9" s="5" t="s">
        <v>138</v>
      </c>
      <c r="P9">
        <v>171</v>
      </c>
      <c r="Q9" t="s">
        <v>139</v>
      </c>
      <c r="R9" t="s">
        <v>139</v>
      </c>
      <c r="T9" t="s">
        <v>140</v>
      </c>
      <c r="U9" t="s">
        <v>141</v>
      </c>
    </row>
    <row r="10" spans="2:21" x14ac:dyDescent="0.3">
      <c r="B10" s="9">
        <v>185</v>
      </c>
      <c r="C10" s="9" t="s">
        <v>142</v>
      </c>
      <c r="E10" s="7"/>
      <c r="G10" s="9"/>
      <c r="H10" s="9"/>
      <c r="I10" s="6">
        <v>1234</v>
      </c>
      <c r="J10" s="5" t="s">
        <v>143</v>
      </c>
      <c r="P10">
        <v>170</v>
      </c>
      <c r="Q10" t="s">
        <v>144</v>
      </c>
      <c r="R10" t="s">
        <v>144</v>
      </c>
      <c r="T10" t="s">
        <v>145</v>
      </c>
      <c r="U10" t="s">
        <v>146</v>
      </c>
    </row>
    <row r="11" spans="2:21" x14ac:dyDescent="0.3">
      <c r="B11" s="9">
        <v>184</v>
      </c>
      <c r="C11" s="9" t="s">
        <v>142</v>
      </c>
      <c r="E11" s="10"/>
      <c r="F11" t="s">
        <v>147</v>
      </c>
      <c r="G11" s="9"/>
      <c r="H11" s="9"/>
      <c r="I11" s="6">
        <v>1234</v>
      </c>
      <c r="J11" s="5" t="s">
        <v>148</v>
      </c>
      <c r="P11">
        <v>169</v>
      </c>
      <c r="Q11" t="s">
        <v>149</v>
      </c>
      <c r="R11" t="s">
        <v>149</v>
      </c>
      <c r="T11" t="s">
        <v>150</v>
      </c>
      <c r="U11" t="s">
        <v>151</v>
      </c>
    </row>
    <row r="12" spans="2:21" x14ac:dyDescent="0.3">
      <c r="B12" s="9">
        <v>183</v>
      </c>
      <c r="C12" s="9" t="s">
        <v>142</v>
      </c>
      <c r="F12" t="s">
        <v>152</v>
      </c>
      <c r="G12" s="9"/>
      <c r="H12" s="9"/>
      <c r="I12" s="6">
        <v>1234</v>
      </c>
      <c r="J12" s="5" t="s">
        <v>153</v>
      </c>
      <c r="P12">
        <v>168</v>
      </c>
      <c r="Q12" t="s">
        <v>154</v>
      </c>
      <c r="R12" t="s">
        <v>154</v>
      </c>
      <c r="T12" t="s">
        <v>155</v>
      </c>
      <c r="U12" t="s">
        <v>156</v>
      </c>
    </row>
    <row r="13" spans="2:21" x14ac:dyDescent="0.3">
      <c r="B13" s="9">
        <v>182</v>
      </c>
      <c r="C13" s="9" t="s">
        <v>157</v>
      </c>
      <c r="D13">
        <v>3</v>
      </c>
      <c r="G13" s="9"/>
      <c r="H13" s="9"/>
      <c r="I13" s="6">
        <v>1234</v>
      </c>
      <c r="J13" s="5" t="s">
        <v>158</v>
      </c>
      <c r="P13">
        <v>157</v>
      </c>
      <c r="Q13" t="s">
        <v>159</v>
      </c>
      <c r="R13" t="s">
        <v>159</v>
      </c>
      <c r="T13" t="s">
        <v>159</v>
      </c>
      <c r="U13" t="s">
        <v>159</v>
      </c>
    </row>
    <row r="14" spans="2:21" x14ac:dyDescent="0.3">
      <c r="B14" s="9">
        <v>181</v>
      </c>
      <c r="C14" s="9" t="s">
        <v>142</v>
      </c>
      <c r="F14" t="s">
        <v>160</v>
      </c>
      <c r="G14" s="9"/>
      <c r="H14" s="9"/>
      <c r="I14" s="6">
        <v>1234</v>
      </c>
      <c r="J14" s="5" t="s">
        <v>161</v>
      </c>
      <c r="P14">
        <v>167</v>
      </c>
      <c r="Q14" t="s">
        <v>162</v>
      </c>
      <c r="R14" t="s">
        <v>162</v>
      </c>
      <c r="T14" t="s">
        <v>163</v>
      </c>
      <c r="U14" t="s">
        <v>164</v>
      </c>
    </row>
    <row r="15" spans="2:21" x14ac:dyDescent="0.3">
      <c r="B15" s="9">
        <v>173</v>
      </c>
      <c r="C15" s="9" t="s">
        <v>165</v>
      </c>
      <c r="D15">
        <v>5</v>
      </c>
      <c r="G15" s="9"/>
      <c r="H15" s="9"/>
      <c r="I15" s="6">
        <v>1234</v>
      </c>
      <c r="J15" s="5" t="s">
        <v>166</v>
      </c>
      <c r="P15">
        <v>149</v>
      </c>
      <c r="Q15" t="s">
        <v>167</v>
      </c>
      <c r="R15" t="s">
        <v>167</v>
      </c>
      <c r="T15" t="s">
        <v>167</v>
      </c>
      <c r="U15" t="s">
        <v>167</v>
      </c>
    </row>
    <row r="16" spans="2:21" x14ac:dyDescent="0.3">
      <c r="B16" s="9">
        <v>172</v>
      </c>
      <c r="C16" s="9" t="s">
        <v>165</v>
      </c>
      <c r="D16">
        <v>4</v>
      </c>
      <c r="F16" t="s">
        <v>147</v>
      </c>
      <c r="G16" s="9"/>
      <c r="H16" s="9"/>
      <c r="I16" s="6">
        <v>1234</v>
      </c>
      <c r="J16" s="5" t="s">
        <v>168</v>
      </c>
      <c r="P16">
        <v>146</v>
      </c>
      <c r="Q16" t="s">
        <v>167</v>
      </c>
      <c r="R16" t="s">
        <v>167</v>
      </c>
      <c r="T16" t="s">
        <v>167</v>
      </c>
      <c r="U16" t="s">
        <v>167</v>
      </c>
    </row>
    <row r="17" spans="2:21" x14ac:dyDescent="0.3">
      <c r="B17" s="9">
        <v>171</v>
      </c>
      <c r="C17" s="9" t="s">
        <v>165</v>
      </c>
      <c r="D17">
        <v>3</v>
      </c>
      <c r="F17" t="s">
        <v>169</v>
      </c>
      <c r="G17" s="9"/>
      <c r="H17" s="9"/>
      <c r="I17" s="6">
        <v>1234</v>
      </c>
      <c r="J17" s="5" t="s">
        <v>170</v>
      </c>
      <c r="P17">
        <v>145</v>
      </c>
      <c r="Q17" t="s">
        <v>167</v>
      </c>
      <c r="R17" t="s">
        <v>167</v>
      </c>
      <c r="T17" t="s">
        <v>167</v>
      </c>
      <c r="U17" t="s">
        <v>167</v>
      </c>
    </row>
    <row r="18" spans="2:21" x14ac:dyDescent="0.3">
      <c r="B18" s="9">
        <v>170</v>
      </c>
      <c r="C18" s="9" t="s">
        <v>165</v>
      </c>
      <c r="D18">
        <v>2</v>
      </c>
      <c r="F18" t="s">
        <v>171</v>
      </c>
      <c r="G18" s="9"/>
      <c r="H18" s="9"/>
      <c r="I18" s="6">
        <v>1234</v>
      </c>
      <c r="J18" s="5" t="s">
        <v>172</v>
      </c>
      <c r="P18">
        <v>144</v>
      </c>
      <c r="Q18" t="s">
        <v>167</v>
      </c>
      <c r="R18" t="s">
        <v>167</v>
      </c>
      <c r="T18" t="s">
        <v>167</v>
      </c>
      <c r="U18" t="s">
        <v>167</v>
      </c>
    </row>
    <row r="19" spans="2:21" x14ac:dyDescent="0.3">
      <c r="B19" s="9">
        <v>169</v>
      </c>
      <c r="C19" s="9" t="s">
        <v>165</v>
      </c>
      <c r="D19">
        <v>1</v>
      </c>
      <c r="F19" t="s">
        <v>173</v>
      </c>
      <c r="G19" s="9"/>
      <c r="H19" s="9"/>
      <c r="I19" s="6">
        <v>1234</v>
      </c>
      <c r="J19" s="5" t="s">
        <v>174</v>
      </c>
      <c r="P19">
        <v>141</v>
      </c>
      <c r="Q19" t="s">
        <v>167</v>
      </c>
      <c r="R19" t="s">
        <v>167</v>
      </c>
      <c r="T19" t="s">
        <v>167</v>
      </c>
      <c r="U19" t="s">
        <v>167</v>
      </c>
    </row>
    <row r="20" spans="2:21" x14ac:dyDescent="0.3">
      <c r="B20" s="9">
        <v>153</v>
      </c>
      <c r="C20" s="9" t="s">
        <v>175</v>
      </c>
      <c r="D20">
        <v>39</v>
      </c>
      <c r="G20" s="9" t="s">
        <v>176</v>
      </c>
      <c r="H20" s="9">
        <v>5</v>
      </c>
      <c r="I20" s="6">
        <v>1234</v>
      </c>
      <c r="J20" s="5" t="s">
        <v>177</v>
      </c>
      <c r="P20">
        <v>148</v>
      </c>
      <c r="Q20" t="s">
        <v>178</v>
      </c>
      <c r="R20" t="s">
        <v>178</v>
      </c>
      <c r="T20" t="s">
        <v>179</v>
      </c>
      <c r="U20" t="s">
        <v>179</v>
      </c>
    </row>
    <row r="21" spans="2:21" x14ac:dyDescent="0.3">
      <c r="B21" s="9">
        <v>147</v>
      </c>
      <c r="C21" s="9" t="s">
        <v>180</v>
      </c>
      <c r="D21">
        <v>21</v>
      </c>
      <c r="F21" t="s">
        <v>181</v>
      </c>
      <c r="G21" s="9" t="s">
        <v>176</v>
      </c>
      <c r="H21" s="9">
        <v>5</v>
      </c>
      <c r="I21" s="6">
        <v>1234</v>
      </c>
      <c r="J21" s="5" t="s">
        <v>182</v>
      </c>
      <c r="P21">
        <v>147</v>
      </c>
      <c r="Q21" t="s">
        <v>183</v>
      </c>
      <c r="R21" t="s">
        <v>183</v>
      </c>
      <c r="T21" t="s">
        <v>184</v>
      </c>
      <c r="U21" t="s">
        <v>184</v>
      </c>
    </row>
    <row r="22" spans="2:21" x14ac:dyDescent="0.3">
      <c r="B22" s="9">
        <v>129</v>
      </c>
      <c r="C22" s="9" t="s">
        <v>185</v>
      </c>
      <c r="D22">
        <v>2</v>
      </c>
      <c r="F22" t="s">
        <v>186</v>
      </c>
      <c r="G22" s="9" t="s">
        <v>187</v>
      </c>
      <c r="H22" s="9">
        <v>-1</v>
      </c>
      <c r="I22" s="6" t="s">
        <v>188</v>
      </c>
      <c r="J22" s="5" t="s">
        <v>189</v>
      </c>
      <c r="L22" t="s">
        <v>190</v>
      </c>
      <c r="M22" t="s">
        <v>190</v>
      </c>
      <c r="Q22" t="s">
        <v>191</v>
      </c>
      <c r="R22" t="s">
        <v>192</v>
      </c>
      <c r="T22" t="s">
        <v>193</v>
      </c>
      <c r="U22" t="s">
        <v>193</v>
      </c>
    </row>
    <row r="23" spans="2:21" x14ac:dyDescent="0.3">
      <c r="B23" s="9">
        <v>128</v>
      </c>
      <c r="C23" s="9" t="s">
        <v>194</v>
      </c>
      <c r="D23">
        <v>2</v>
      </c>
      <c r="G23" s="9"/>
      <c r="H23" s="9"/>
      <c r="I23" s="6">
        <v>1234</v>
      </c>
      <c r="J23" s="5" t="s">
        <v>195</v>
      </c>
      <c r="P23">
        <v>143</v>
      </c>
      <c r="Q23" t="s">
        <v>196</v>
      </c>
      <c r="R23" t="s">
        <v>196</v>
      </c>
      <c r="T23" t="s">
        <v>196</v>
      </c>
      <c r="U23" t="s">
        <v>196</v>
      </c>
    </row>
    <row r="24" spans="2:21" x14ac:dyDescent="0.3">
      <c r="B24" s="9">
        <v>127</v>
      </c>
      <c r="C24" s="9" t="s">
        <v>194</v>
      </c>
      <c r="D24">
        <v>1</v>
      </c>
      <c r="G24" s="9"/>
      <c r="H24" s="9"/>
      <c r="I24" s="6">
        <v>1234</v>
      </c>
      <c r="J24" s="5" t="s">
        <v>197</v>
      </c>
      <c r="P24">
        <v>142</v>
      </c>
      <c r="Q24" t="s">
        <v>198</v>
      </c>
      <c r="R24" t="s">
        <v>198</v>
      </c>
      <c r="T24" t="s">
        <v>198</v>
      </c>
      <c r="U24" t="s">
        <v>198</v>
      </c>
    </row>
    <row r="25" spans="2:21" x14ac:dyDescent="0.3">
      <c r="B25" s="9">
        <v>125</v>
      </c>
      <c r="C25" s="9" t="s">
        <v>199</v>
      </c>
      <c r="D25">
        <v>5</v>
      </c>
      <c r="G25" s="9"/>
      <c r="H25" s="9"/>
      <c r="I25" s="6">
        <v>1234</v>
      </c>
      <c r="J25" s="5" t="s">
        <v>200</v>
      </c>
      <c r="P25">
        <v>140</v>
      </c>
      <c r="Q25" t="s">
        <v>201</v>
      </c>
      <c r="R25" t="s">
        <v>192</v>
      </c>
      <c r="T25" t="s">
        <v>202</v>
      </c>
      <c r="U25" t="s">
        <v>202</v>
      </c>
    </row>
    <row r="26" spans="2:21" x14ac:dyDescent="0.3">
      <c r="B26" s="9">
        <v>124</v>
      </c>
      <c r="C26" s="9" t="s">
        <v>199</v>
      </c>
      <c r="D26">
        <v>4</v>
      </c>
      <c r="G26" s="9"/>
      <c r="H26" s="9"/>
      <c r="I26" s="6">
        <v>1234</v>
      </c>
      <c r="J26" s="5" t="s">
        <v>203</v>
      </c>
      <c r="P26">
        <v>139</v>
      </c>
      <c r="Q26" t="s">
        <v>201</v>
      </c>
      <c r="R26" t="s">
        <v>192</v>
      </c>
      <c r="T26" t="s">
        <v>204</v>
      </c>
      <c r="U26" t="s">
        <v>204</v>
      </c>
    </row>
    <row r="27" spans="2:21" x14ac:dyDescent="0.3">
      <c r="B27" s="9">
        <v>123</v>
      </c>
      <c r="C27" s="9" t="s">
        <v>205</v>
      </c>
      <c r="D27">
        <v>1</v>
      </c>
      <c r="G27" s="9"/>
      <c r="H27" s="9"/>
      <c r="I27" s="6">
        <v>1234</v>
      </c>
      <c r="J27" s="5" t="s">
        <v>206</v>
      </c>
      <c r="P27">
        <v>138</v>
      </c>
      <c r="Q27" t="s">
        <v>207</v>
      </c>
      <c r="R27" t="s">
        <v>207</v>
      </c>
      <c r="T27" t="s">
        <v>207</v>
      </c>
      <c r="U27" t="s">
        <v>208</v>
      </c>
    </row>
    <row r="28" spans="2:21" x14ac:dyDescent="0.3">
      <c r="B28" s="9">
        <v>122</v>
      </c>
      <c r="C28" s="9" t="s">
        <v>209</v>
      </c>
      <c r="D28">
        <v>2</v>
      </c>
      <c r="G28" s="9"/>
      <c r="H28" s="9"/>
      <c r="I28" s="6">
        <v>1234</v>
      </c>
      <c r="J28" s="5" t="s">
        <v>210</v>
      </c>
      <c r="P28">
        <v>134</v>
      </c>
      <c r="Q28" t="s">
        <v>207</v>
      </c>
      <c r="R28" t="s">
        <v>207</v>
      </c>
      <c r="T28" t="s">
        <v>207</v>
      </c>
      <c r="U28" t="s">
        <v>207</v>
      </c>
    </row>
    <row r="29" spans="2:21" x14ac:dyDescent="0.3">
      <c r="B29" s="9">
        <v>121</v>
      </c>
      <c r="C29" s="9" t="s">
        <v>209</v>
      </c>
      <c r="D29">
        <v>1</v>
      </c>
      <c r="G29" s="9"/>
      <c r="H29" s="9"/>
      <c r="I29" s="6">
        <v>1234</v>
      </c>
      <c r="J29" s="5" t="s">
        <v>211</v>
      </c>
      <c r="P29">
        <v>133</v>
      </c>
      <c r="Q29" t="s">
        <v>207</v>
      </c>
      <c r="R29" t="s">
        <v>207</v>
      </c>
      <c r="T29" t="s">
        <v>207</v>
      </c>
      <c r="U29" t="s">
        <v>207</v>
      </c>
    </row>
    <row r="30" spans="2:21" x14ac:dyDescent="0.3">
      <c r="B30" s="9">
        <v>120</v>
      </c>
      <c r="C30" s="9" t="s">
        <v>212</v>
      </c>
      <c r="D30">
        <v>2</v>
      </c>
      <c r="F30" t="s">
        <v>213</v>
      </c>
      <c r="G30" s="9"/>
      <c r="H30" s="9"/>
      <c r="I30" s="6" t="s">
        <v>212</v>
      </c>
      <c r="J30" s="5" t="s">
        <v>214</v>
      </c>
      <c r="P30">
        <v>135</v>
      </c>
      <c r="Q30" t="s">
        <v>207</v>
      </c>
      <c r="R30" t="s">
        <v>207</v>
      </c>
      <c r="T30" t="s">
        <v>207</v>
      </c>
      <c r="U30" t="s">
        <v>207</v>
      </c>
    </row>
    <row r="31" spans="2:21" x14ac:dyDescent="0.3">
      <c r="B31" s="9">
        <v>119</v>
      </c>
      <c r="C31" s="9" t="s">
        <v>212</v>
      </c>
      <c r="D31">
        <v>1</v>
      </c>
      <c r="F31" t="s">
        <v>215</v>
      </c>
      <c r="G31" s="9"/>
      <c r="H31" s="9"/>
      <c r="I31" s="6" t="s">
        <v>212</v>
      </c>
      <c r="J31" s="5" t="s">
        <v>216</v>
      </c>
      <c r="P31">
        <v>122</v>
      </c>
      <c r="Q31" t="s">
        <v>207</v>
      </c>
      <c r="R31" t="s">
        <v>207</v>
      </c>
      <c r="T31" t="s">
        <v>207</v>
      </c>
      <c r="U31" t="s">
        <v>207</v>
      </c>
    </row>
    <row r="32" spans="2:21" x14ac:dyDescent="0.3">
      <c r="B32" s="9">
        <v>118</v>
      </c>
      <c r="C32" s="9" t="s">
        <v>217</v>
      </c>
      <c r="D32">
        <v>4</v>
      </c>
      <c r="G32" s="9"/>
      <c r="H32" s="9"/>
      <c r="I32" s="6">
        <v>1234</v>
      </c>
      <c r="J32" s="5" t="s">
        <v>218</v>
      </c>
      <c r="P32">
        <v>121</v>
      </c>
      <c r="Q32" t="s">
        <v>207</v>
      </c>
      <c r="R32" t="s">
        <v>207</v>
      </c>
      <c r="T32" t="s">
        <v>207</v>
      </c>
      <c r="U32" t="s">
        <v>207</v>
      </c>
    </row>
    <row r="33" spans="2:21" x14ac:dyDescent="0.3">
      <c r="B33" s="9">
        <v>117</v>
      </c>
      <c r="C33" s="9" t="s">
        <v>217</v>
      </c>
      <c r="D33">
        <v>3</v>
      </c>
      <c r="F33" t="s">
        <v>173</v>
      </c>
      <c r="G33" s="9"/>
      <c r="H33" s="9"/>
      <c r="I33" s="6">
        <v>1234</v>
      </c>
      <c r="J33" s="5" t="s">
        <v>219</v>
      </c>
      <c r="P33">
        <v>120</v>
      </c>
      <c r="Q33" t="s">
        <v>207</v>
      </c>
      <c r="R33" t="s">
        <v>207</v>
      </c>
      <c r="T33" t="s">
        <v>207</v>
      </c>
      <c r="U33" t="s">
        <v>207</v>
      </c>
    </row>
    <row r="34" spans="2:21" x14ac:dyDescent="0.3">
      <c r="B34" s="9">
        <v>116</v>
      </c>
      <c r="C34" s="9" t="s">
        <v>217</v>
      </c>
      <c r="D34">
        <v>2</v>
      </c>
      <c r="G34" s="9"/>
      <c r="H34" s="9"/>
      <c r="I34" s="6">
        <v>1234</v>
      </c>
      <c r="J34" s="5" t="s">
        <v>220</v>
      </c>
      <c r="P34">
        <v>119</v>
      </c>
      <c r="Q34" t="s">
        <v>207</v>
      </c>
      <c r="R34" t="s">
        <v>207</v>
      </c>
      <c r="T34" t="s">
        <v>207</v>
      </c>
      <c r="U34" t="s">
        <v>207</v>
      </c>
    </row>
    <row r="35" spans="2:21" x14ac:dyDescent="0.3">
      <c r="B35" s="9">
        <v>115</v>
      </c>
      <c r="C35" s="9" t="s">
        <v>217</v>
      </c>
      <c r="D35">
        <v>1</v>
      </c>
      <c r="F35" t="s">
        <v>147</v>
      </c>
      <c r="G35" s="9"/>
      <c r="H35" s="9"/>
      <c r="I35" s="6">
        <v>1234</v>
      </c>
      <c r="J35" s="5" t="s">
        <v>221</v>
      </c>
      <c r="P35">
        <v>118</v>
      </c>
      <c r="Q35" t="s">
        <v>207</v>
      </c>
      <c r="R35" t="s">
        <v>207</v>
      </c>
      <c r="T35" t="s">
        <v>207</v>
      </c>
      <c r="U35" t="s">
        <v>207</v>
      </c>
    </row>
    <row r="36" spans="2:21" x14ac:dyDescent="0.3">
      <c r="B36" s="9">
        <v>114</v>
      </c>
      <c r="C36" s="9" t="s">
        <v>222</v>
      </c>
      <c r="D36">
        <v>3</v>
      </c>
      <c r="G36" s="9"/>
      <c r="H36" s="9"/>
      <c r="I36" s="6">
        <v>1234</v>
      </c>
      <c r="J36" s="5" t="s">
        <v>223</v>
      </c>
      <c r="P36">
        <v>116</v>
      </c>
      <c r="Q36" t="s">
        <v>207</v>
      </c>
      <c r="R36" t="s">
        <v>207</v>
      </c>
      <c r="T36" t="s">
        <v>207</v>
      </c>
      <c r="U36" t="s">
        <v>207</v>
      </c>
    </row>
    <row r="37" spans="2:21" x14ac:dyDescent="0.3">
      <c r="B37" s="9">
        <v>113</v>
      </c>
      <c r="C37" s="9" t="s">
        <v>222</v>
      </c>
      <c r="D37">
        <v>2</v>
      </c>
      <c r="G37" s="9"/>
      <c r="H37" s="9"/>
      <c r="I37" s="6">
        <v>1234</v>
      </c>
      <c r="J37" s="5" t="s">
        <v>224</v>
      </c>
      <c r="P37">
        <v>115</v>
      </c>
      <c r="Q37" t="s">
        <v>207</v>
      </c>
      <c r="R37" t="s">
        <v>207</v>
      </c>
      <c r="T37" t="s">
        <v>207</v>
      </c>
      <c r="U37" t="s">
        <v>207</v>
      </c>
    </row>
    <row r="38" spans="2:21" x14ac:dyDescent="0.3">
      <c r="B38" s="9">
        <v>112</v>
      </c>
      <c r="C38" s="9" t="s">
        <v>222</v>
      </c>
      <c r="D38">
        <v>1</v>
      </c>
      <c r="G38" s="9"/>
      <c r="H38" s="9"/>
      <c r="I38" s="6">
        <v>1234</v>
      </c>
      <c r="J38" s="5" t="s">
        <v>225</v>
      </c>
      <c r="P38">
        <v>114</v>
      </c>
      <c r="Q38" t="s">
        <v>207</v>
      </c>
      <c r="R38" t="s">
        <v>207</v>
      </c>
      <c r="T38" t="s">
        <v>207</v>
      </c>
      <c r="U38" t="s">
        <v>207</v>
      </c>
    </row>
    <row r="39" spans="2:21" x14ac:dyDescent="0.3">
      <c r="B39" s="9">
        <v>111</v>
      </c>
      <c r="C39" s="9" t="s">
        <v>226</v>
      </c>
      <c r="D39">
        <v>4</v>
      </c>
      <c r="G39" s="9"/>
      <c r="H39" s="9"/>
      <c r="I39" s="6">
        <v>1234</v>
      </c>
      <c r="J39" s="5" t="s">
        <v>227</v>
      </c>
      <c r="P39">
        <v>117</v>
      </c>
      <c r="Q39" t="s">
        <v>207</v>
      </c>
      <c r="R39" t="s">
        <v>207</v>
      </c>
      <c r="T39" t="s">
        <v>207</v>
      </c>
      <c r="U39" t="s">
        <v>207</v>
      </c>
    </row>
    <row r="40" spans="2:21" x14ac:dyDescent="0.3">
      <c r="B40" s="9">
        <v>110</v>
      </c>
      <c r="C40" s="9" t="s">
        <v>226</v>
      </c>
      <c r="D40">
        <v>3</v>
      </c>
      <c r="F40" t="s">
        <v>173</v>
      </c>
      <c r="G40" s="9"/>
      <c r="H40" s="9"/>
      <c r="I40" s="6">
        <v>1234</v>
      </c>
      <c r="J40" s="5" t="s">
        <v>228</v>
      </c>
      <c r="P40">
        <v>113</v>
      </c>
      <c r="Q40" t="s">
        <v>207</v>
      </c>
      <c r="R40" t="s">
        <v>207</v>
      </c>
      <c r="T40" t="s">
        <v>207</v>
      </c>
      <c r="U40" t="s">
        <v>207</v>
      </c>
    </row>
    <row r="41" spans="2:21" x14ac:dyDescent="0.3">
      <c r="B41" s="9">
        <v>109</v>
      </c>
      <c r="C41" s="9" t="s">
        <v>226</v>
      </c>
      <c r="D41">
        <v>2</v>
      </c>
      <c r="F41" t="s">
        <v>171</v>
      </c>
      <c r="G41" s="9"/>
      <c r="H41" s="9"/>
      <c r="I41" s="6">
        <v>1234</v>
      </c>
      <c r="J41" s="5" t="s">
        <v>229</v>
      </c>
      <c r="P41">
        <v>112</v>
      </c>
      <c r="Q41" t="s">
        <v>207</v>
      </c>
      <c r="R41" t="s">
        <v>207</v>
      </c>
      <c r="T41" t="s">
        <v>207</v>
      </c>
      <c r="U41" t="s">
        <v>207</v>
      </c>
    </row>
    <row r="42" spans="2:21" x14ac:dyDescent="0.3">
      <c r="B42" s="9">
        <v>108</v>
      </c>
      <c r="C42" s="9" t="s">
        <v>226</v>
      </c>
      <c r="D42">
        <v>1</v>
      </c>
      <c r="F42" t="s">
        <v>147</v>
      </c>
      <c r="G42" s="9"/>
      <c r="H42" s="9"/>
      <c r="I42" s="6">
        <v>1234</v>
      </c>
      <c r="J42" s="5" t="s">
        <v>230</v>
      </c>
      <c r="P42">
        <v>111</v>
      </c>
      <c r="Q42" t="s">
        <v>207</v>
      </c>
      <c r="R42" t="s">
        <v>207</v>
      </c>
      <c r="T42" t="s">
        <v>207</v>
      </c>
      <c r="U42" t="s">
        <v>207</v>
      </c>
    </row>
    <row r="43" spans="2:21" x14ac:dyDescent="0.3">
      <c r="B43" s="9">
        <v>107</v>
      </c>
      <c r="C43" s="9" t="s">
        <v>231</v>
      </c>
      <c r="D43">
        <v>6</v>
      </c>
      <c r="G43" s="9"/>
      <c r="H43" s="9"/>
      <c r="I43" s="6">
        <v>1234</v>
      </c>
      <c r="J43" s="5" t="s">
        <v>232</v>
      </c>
      <c r="P43">
        <v>107</v>
      </c>
      <c r="Q43" t="s">
        <v>207</v>
      </c>
      <c r="R43" t="s">
        <v>207</v>
      </c>
      <c r="T43" t="s">
        <v>207</v>
      </c>
      <c r="U43" t="s">
        <v>207</v>
      </c>
    </row>
    <row r="44" spans="2:21" x14ac:dyDescent="0.3">
      <c r="B44" s="9">
        <v>106</v>
      </c>
      <c r="C44" s="9" t="s">
        <v>231</v>
      </c>
      <c r="D44">
        <v>5</v>
      </c>
      <c r="G44" s="9"/>
      <c r="H44" s="9"/>
      <c r="I44" s="6">
        <v>1234</v>
      </c>
      <c r="J44" s="5" t="s">
        <v>233</v>
      </c>
      <c r="P44">
        <v>106</v>
      </c>
      <c r="Q44" t="s">
        <v>207</v>
      </c>
      <c r="R44" t="s">
        <v>207</v>
      </c>
      <c r="T44" t="s">
        <v>207</v>
      </c>
      <c r="U44" t="s">
        <v>207</v>
      </c>
    </row>
    <row r="45" spans="2:21" x14ac:dyDescent="0.3">
      <c r="B45" s="9">
        <v>105</v>
      </c>
      <c r="C45" s="9" t="s">
        <v>231</v>
      </c>
      <c r="D45">
        <v>4</v>
      </c>
      <c r="G45" s="9"/>
      <c r="H45" s="9"/>
      <c r="I45" s="6">
        <v>1234</v>
      </c>
      <c r="J45" s="5" t="s">
        <v>234</v>
      </c>
      <c r="P45">
        <v>105</v>
      </c>
      <c r="Q45" t="s">
        <v>207</v>
      </c>
      <c r="R45" t="s">
        <v>207</v>
      </c>
      <c r="T45" t="s">
        <v>207</v>
      </c>
      <c r="U45" t="s">
        <v>207</v>
      </c>
    </row>
    <row r="46" spans="2:21" x14ac:dyDescent="0.3">
      <c r="B46" s="9">
        <v>104</v>
      </c>
      <c r="C46" s="9" t="s">
        <v>231</v>
      </c>
      <c r="D46">
        <v>3</v>
      </c>
      <c r="G46" s="9"/>
      <c r="H46" s="9"/>
      <c r="I46" s="6">
        <v>1234</v>
      </c>
      <c r="J46" s="5" t="s">
        <v>235</v>
      </c>
      <c r="P46">
        <v>104</v>
      </c>
      <c r="Q46" t="s">
        <v>207</v>
      </c>
      <c r="R46" t="s">
        <v>207</v>
      </c>
      <c r="T46" t="s">
        <v>207</v>
      </c>
      <c r="U46" t="s">
        <v>207</v>
      </c>
    </row>
    <row r="47" spans="2:21" x14ac:dyDescent="0.3">
      <c r="B47" s="9">
        <v>103</v>
      </c>
      <c r="C47" s="9" t="s">
        <v>231</v>
      </c>
      <c r="D47">
        <v>2</v>
      </c>
      <c r="G47" s="9"/>
      <c r="H47" s="9"/>
      <c r="I47" s="6">
        <v>1234</v>
      </c>
      <c r="J47" s="5" t="s">
        <v>236</v>
      </c>
      <c r="P47">
        <v>103</v>
      </c>
      <c r="Q47" t="s">
        <v>207</v>
      </c>
      <c r="R47" t="s">
        <v>207</v>
      </c>
      <c r="T47" t="s">
        <v>207</v>
      </c>
      <c r="U47" t="s">
        <v>207</v>
      </c>
    </row>
    <row r="48" spans="2:21" x14ac:dyDescent="0.3">
      <c r="B48" s="9">
        <v>102</v>
      </c>
      <c r="C48" s="9" t="s">
        <v>231</v>
      </c>
      <c r="D48">
        <v>1</v>
      </c>
      <c r="G48" s="9"/>
      <c r="H48" s="9"/>
      <c r="I48" s="6">
        <v>1234</v>
      </c>
      <c r="J48" s="5" t="s">
        <v>237</v>
      </c>
      <c r="P48">
        <v>102</v>
      </c>
      <c r="Q48" t="s">
        <v>207</v>
      </c>
      <c r="R48" t="s">
        <v>207</v>
      </c>
      <c r="T48" t="s">
        <v>207</v>
      </c>
      <c r="U48" t="s">
        <v>207</v>
      </c>
    </row>
    <row r="49" spans="2:21" x14ac:dyDescent="0.3">
      <c r="B49" s="9">
        <v>101</v>
      </c>
      <c r="C49" s="9" t="s">
        <v>238</v>
      </c>
      <c r="D49">
        <v>2</v>
      </c>
      <c r="G49" s="9"/>
      <c r="H49" s="9"/>
      <c r="I49" s="6">
        <v>1234</v>
      </c>
      <c r="J49" s="5" t="s">
        <v>239</v>
      </c>
      <c r="P49">
        <v>101</v>
      </c>
      <c r="Q49" t="s">
        <v>207</v>
      </c>
      <c r="R49" t="s">
        <v>207</v>
      </c>
      <c r="T49" t="s">
        <v>207</v>
      </c>
      <c r="U49" t="s">
        <v>207</v>
      </c>
    </row>
    <row r="50" spans="2:21" x14ac:dyDescent="0.3">
      <c r="B50" s="9">
        <v>100</v>
      </c>
      <c r="C50" s="9" t="s">
        <v>238</v>
      </c>
      <c r="D50">
        <v>1</v>
      </c>
      <c r="G50" s="9"/>
      <c r="H50" s="9"/>
      <c r="I50" s="6">
        <v>1234</v>
      </c>
      <c r="J50" s="5" t="s">
        <v>240</v>
      </c>
      <c r="P50">
        <v>100</v>
      </c>
      <c r="Q50" t="s">
        <v>207</v>
      </c>
      <c r="R50" t="s">
        <v>207</v>
      </c>
      <c r="T50" t="s">
        <v>207</v>
      </c>
      <c r="U50" t="s">
        <v>207</v>
      </c>
    </row>
    <row r="51" spans="2:21" x14ac:dyDescent="0.3">
      <c r="B51" s="9">
        <v>99</v>
      </c>
      <c r="C51" s="9" t="s">
        <v>199</v>
      </c>
      <c r="D51">
        <v>3</v>
      </c>
      <c r="F51" t="s">
        <v>147</v>
      </c>
      <c r="G51" s="9"/>
      <c r="H51" s="9"/>
      <c r="I51" s="6">
        <v>1234</v>
      </c>
      <c r="J51" s="5" t="s">
        <v>241</v>
      </c>
      <c r="P51">
        <v>85</v>
      </c>
      <c r="Q51" t="s">
        <v>207</v>
      </c>
      <c r="R51" t="s">
        <v>192</v>
      </c>
      <c r="T51" t="s">
        <v>242</v>
      </c>
      <c r="U51" t="s">
        <v>242</v>
      </c>
    </row>
    <row r="52" spans="2:21" x14ac:dyDescent="0.3">
      <c r="B52" s="9">
        <v>98</v>
      </c>
      <c r="C52" s="9" t="s">
        <v>243</v>
      </c>
      <c r="D52">
        <v>15</v>
      </c>
      <c r="G52" s="9"/>
      <c r="H52" s="9"/>
      <c r="I52" s="6">
        <v>1234</v>
      </c>
      <c r="J52" s="5" t="s">
        <v>244</v>
      </c>
      <c r="P52">
        <v>137</v>
      </c>
      <c r="Q52" t="s">
        <v>207</v>
      </c>
      <c r="R52" t="s">
        <v>192</v>
      </c>
      <c r="T52" t="s">
        <v>245</v>
      </c>
      <c r="U52" t="s">
        <v>245</v>
      </c>
    </row>
    <row r="53" spans="2:21" x14ac:dyDescent="0.3">
      <c r="B53" s="9">
        <v>97</v>
      </c>
      <c r="C53" s="9" t="s">
        <v>243</v>
      </c>
      <c r="D53">
        <v>14</v>
      </c>
      <c r="G53" s="9"/>
      <c r="H53" s="9"/>
      <c r="I53" s="6">
        <v>1234</v>
      </c>
      <c r="J53" s="5" t="s">
        <v>246</v>
      </c>
      <c r="P53">
        <v>136</v>
      </c>
      <c r="Q53" t="s">
        <v>207</v>
      </c>
      <c r="R53" t="s">
        <v>192</v>
      </c>
      <c r="T53" t="s">
        <v>247</v>
      </c>
      <c r="U53" t="s">
        <v>247</v>
      </c>
    </row>
    <row r="54" spans="2:21" x14ac:dyDescent="0.3">
      <c r="B54" s="9">
        <v>96</v>
      </c>
      <c r="C54" s="9" t="s">
        <v>243</v>
      </c>
      <c r="D54">
        <v>13</v>
      </c>
      <c r="G54" s="9"/>
      <c r="H54" s="9"/>
      <c r="I54" s="6">
        <v>1234</v>
      </c>
      <c r="J54" s="5" t="s">
        <v>248</v>
      </c>
      <c r="P54">
        <v>98</v>
      </c>
      <c r="Q54" t="s">
        <v>207</v>
      </c>
      <c r="R54" t="s">
        <v>192</v>
      </c>
      <c r="T54" t="s">
        <v>249</v>
      </c>
      <c r="U54" t="s">
        <v>249</v>
      </c>
    </row>
    <row r="55" spans="2:21" x14ac:dyDescent="0.3">
      <c r="B55" s="9">
        <v>95</v>
      </c>
      <c r="C55" s="9" t="s">
        <v>243</v>
      </c>
      <c r="D55">
        <v>12</v>
      </c>
      <c r="F55" t="s">
        <v>250</v>
      </c>
      <c r="G55" s="9"/>
      <c r="H55" s="9"/>
      <c r="I55" s="6">
        <v>1234</v>
      </c>
      <c r="J55" s="5" t="s">
        <v>251</v>
      </c>
      <c r="P55">
        <v>93</v>
      </c>
      <c r="Q55" t="s">
        <v>207</v>
      </c>
      <c r="R55" t="s">
        <v>192</v>
      </c>
      <c r="T55" t="s">
        <v>252</v>
      </c>
      <c r="U55" t="s">
        <v>252</v>
      </c>
    </row>
    <row r="56" spans="2:21" x14ac:dyDescent="0.3">
      <c r="B56" s="9">
        <v>94</v>
      </c>
      <c r="C56" s="9" t="s">
        <v>180</v>
      </c>
      <c r="D56">
        <v>20</v>
      </c>
      <c r="E56">
        <v>12</v>
      </c>
      <c r="F56" t="s">
        <v>147</v>
      </c>
      <c r="G56" s="9" t="s">
        <v>253</v>
      </c>
      <c r="H56" s="9">
        <v>0</v>
      </c>
      <c r="I56" s="6">
        <v>1234</v>
      </c>
      <c r="J56" s="5" t="s">
        <v>254</v>
      </c>
      <c r="L56" t="s">
        <v>255</v>
      </c>
      <c r="M56" t="s">
        <v>255</v>
      </c>
      <c r="N56" t="s">
        <v>256</v>
      </c>
      <c r="P56">
        <v>5</v>
      </c>
      <c r="Q56" t="s">
        <v>207</v>
      </c>
      <c r="R56" t="s">
        <v>192</v>
      </c>
      <c r="T56" t="s">
        <v>257</v>
      </c>
      <c r="U56" t="s">
        <v>257</v>
      </c>
    </row>
    <row r="57" spans="2:21" x14ac:dyDescent="0.3">
      <c r="B57" s="9">
        <v>93</v>
      </c>
      <c r="C57" s="9" t="s">
        <v>180</v>
      </c>
      <c r="D57">
        <v>19</v>
      </c>
      <c r="F57" t="s">
        <v>258</v>
      </c>
      <c r="G57" s="9"/>
      <c r="H57" s="9"/>
      <c r="I57" s="6">
        <v>1234</v>
      </c>
      <c r="J57" s="5" t="s">
        <v>259</v>
      </c>
      <c r="P57">
        <v>97</v>
      </c>
      <c r="Q57" t="s">
        <v>207</v>
      </c>
      <c r="R57" t="s">
        <v>192</v>
      </c>
      <c r="T57" t="s">
        <v>260</v>
      </c>
      <c r="U57" t="s">
        <v>260</v>
      </c>
    </row>
    <row r="58" spans="2:21" x14ac:dyDescent="0.3">
      <c r="B58" s="9">
        <v>92</v>
      </c>
      <c r="C58" s="9" t="s">
        <v>180</v>
      </c>
      <c r="D58">
        <v>15</v>
      </c>
      <c r="F58" t="s">
        <v>173</v>
      </c>
      <c r="G58" s="9"/>
      <c r="H58" s="9">
        <v>0</v>
      </c>
      <c r="I58" s="6">
        <v>1234</v>
      </c>
      <c r="J58" s="5" t="s">
        <v>261</v>
      </c>
      <c r="P58">
        <v>87</v>
      </c>
      <c r="Q58" t="s">
        <v>207</v>
      </c>
      <c r="R58" t="s">
        <v>192</v>
      </c>
      <c r="T58" t="s">
        <v>262</v>
      </c>
      <c r="U58" t="s">
        <v>262</v>
      </c>
    </row>
    <row r="59" spans="2:21" x14ac:dyDescent="0.3">
      <c r="B59" s="9">
        <v>88</v>
      </c>
      <c r="C59" s="9" t="s">
        <v>199</v>
      </c>
      <c r="D59">
        <v>2</v>
      </c>
      <c r="F59" t="s">
        <v>263</v>
      </c>
      <c r="G59" s="9"/>
      <c r="H59" s="9"/>
      <c r="I59" s="6">
        <v>1234</v>
      </c>
      <c r="J59" s="5" t="s">
        <v>264</v>
      </c>
      <c r="P59">
        <v>84</v>
      </c>
      <c r="Q59" t="s">
        <v>265</v>
      </c>
      <c r="R59" t="s">
        <v>192</v>
      </c>
      <c r="T59" t="s">
        <v>266</v>
      </c>
      <c r="U59" t="s">
        <v>266</v>
      </c>
    </row>
    <row r="60" spans="2:21" x14ac:dyDescent="0.3">
      <c r="B60" s="9">
        <v>87</v>
      </c>
      <c r="C60" s="9" t="s">
        <v>199</v>
      </c>
      <c r="D60">
        <v>1</v>
      </c>
      <c r="F60" t="s">
        <v>186</v>
      </c>
      <c r="G60" s="9"/>
      <c r="H60" s="9"/>
      <c r="I60" s="6">
        <v>1234</v>
      </c>
      <c r="J60" s="5" t="s">
        <v>267</v>
      </c>
      <c r="P60">
        <v>83</v>
      </c>
      <c r="Q60" t="s">
        <v>265</v>
      </c>
      <c r="R60" t="s">
        <v>192</v>
      </c>
      <c r="T60" t="s">
        <v>268</v>
      </c>
      <c r="U60" t="s">
        <v>268</v>
      </c>
    </row>
    <row r="61" spans="2:21" x14ac:dyDescent="0.3">
      <c r="B61" s="9">
        <v>86</v>
      </c>
      <c r="C61" s="9" t="s">
        <v>269</v>
      </c>
      <c r="D61">
        <v>14</v>
      </c>
      <c r="E61">
        <v>7</v>
      </c>
      <c r="F61" t="s">
        <v>173</v>
      </c>
      <c r="G61" s="9" t="s">
        <v>270</v>
      </c>
      <c r="H61" s="9">
        <v>5</v>
      </c>
      <c r="I61" s="6" t="s">
        <v>271</v>
      </c>
      <c r="J61" s="5" t="s">
        <v>272</v>
      </c>
      <c r="K61">
        <v>5</v>
      </c>
      <c r="L61" t="s">
        <v>273</v>
      </c>
      <c r="M61" t="s">
        <v>273</v>
      </c>
      <c r="N61" t="s">
        <v>274</v>
      </c>
      <c r="P61">
        <v>79</v>
      </c>
      <c r="Q61" t="s">
        <v>275</v>
      </c>
      <c r="R61" t="s">
        <v>192</v>
      </c>
      <c r="T61" t="s">
        <v>276</v>
      </c>
      <c r="U61" t="s">
        <v>276</v>
      </c>
    </row>
    <row r="62" spans="2:21" x14ac:dyDescent="0.3">
      <c r="B62" s="9">
        <v>85</v>
      </c>
      <c r="C62" s="9" t="s">
        <v>243</v>
      </c>
      <c r="D62">
        <v>10</v>
      </c>
      <c r="G62" s="9"/>
      <c r="H62" s="9"/>
      <c r="I62" s="6">
        <v>1234</v>
      </c>
      <c r="J62" s="5" t="s">
        <v>277</v>
      </c>
      <c r="P62">
        <v>77</v>
      </c>
      <c r="Q62" t="s">
        <v>278</v>
      </c>
      <c r="R62" t="s">
        <v>192</v>
      </c>
      <c r="T62" t="s">
        <v>279</v>
      </c>
      <c r="U62" t="s">
        <v>279</v>
      </c>
    </row>
    <row r="63" spans="2:21" x14ac:dyDescent="0.3">
      <c r="B63" s="9">
        <v>84</v>
      </c>
      <c r="C63" s="9" t="s">
        <v>280</v>
      </c>
      <c r="D63">
        <v>12</v>
      </c>
      <c r="G63" s="9"/>
      <c r="H63" s="9"/>
      <c r="I63" s="6">
        <v>1234</v>
      </c>
      <c r="J63" s="5" t="s">
        <v>281</v>
      </c>
      <c r="P63">
        <v>74</v>
      </c>
      <c r="Q63" t="s">
        <v>278</v>
      </c>
      <c r="R63" t="s">
        <v>192</v>
      </c>
      <c r="T63" t="s">
        <v>282</v>
      </c>
      <c r="U63" t="s">
        <v>282</v>
      </c>
    </row>
    <row r="64" spans="2:21" x14ac:dyDescent="0.3">
      <c r="B64" s="9">
        <v>83</v>
      </c>
      <c r="C64" s="9" t="s">
        <v>280</v>
      </c>
      <c r="D64">
        <v>11</v>
      </c>
      <c r="G64" s="9"/>
      <c r="H64" s="9"/>
      <c r="I64" s="6">
        <v>1234</v>
      </c>
      <c r="J64" s="5" t="s">
        <v>283</v>
      </c>
      <c r="P64">
        <v>73</v>
      </c>
      <c r="Q64" t="s">
        <v>278</v>
      </c>
      <c r="R64" t="s">
        <v>192</v>
      </c>
      <c r="T64" t="s">
        <v>284</v>
      </c>
      <c r="U64" t="s">
        <v>284</v>
      </c>
    </row>
    <row r="65" spans="2:21" x14ac:dyDescent="0.3">
      <c r="B65" s="9">
        <v>82</v>
      </c>
      <c r="C65" s="9" t="s">
        <v>175</v>
      </c>
      <c r="D65">
        <v>38</v>
      </c>
      <c r="F65" t="s">
        <v>285</v>
      </c>
      <c r="G65" s="9"/>
      <c r="H65" s="9"/>
      <c r="I65" s="6">
        <v>1234</v>
      </c>
      <c r="J65" s="5" t="s">
        <v>286</v>
      </c>
      <c r="P65">
        <v>78</v>
      </c>
      <c r="Q65" t="s">
        <v>278</v>
      </c>
      <c r="R65" t="s">
        <v>192</v>
      </c>
      <c r="T65" t="s">
        <v>287</v>
      </c>
      <c r="U65" t="s">
        <v>287</v>
      </c>
    </row>
    <row r="66" spans="2:21" x14ac:dyDescent="0.3">
      <c r="B66" s="9">
        <v>81</v>
      </c>
      <c r="C66" s="9" t="s">
        <v>288</v>
      </c>
      <c r="D66">
        <v>5</v>
      </c>
      <c r="G66" s="9"/>
      <c r="H66" s="9"/>
      <c r="I66" s="6">
        <v>1234</v>
      </c>
      <c r="J66" s="5" t="s">
        <v>289</v>
      </c>
      <c r="P66">
        <v>75</v>
      </c>
      <c r="Q66" t="s">
        <v>278</v>
      </c>
      <c r="R66" t="s">
        <v>192</v>
      </c>
      <c r="T66" t="s">
        <v>290</v>
      </c>
      <c r="U66" t="s">
        <v>290</v>
      </c>
    </row>
    <row r="67" spans="2:21" x14ac:dyDescent="0.3">
      <c r="B67" s="9">
        <v>80</v>
      </c>
      <c r="C67" s="9" t="s">
        <v>288</v>
      </c>
      <c r="D67">
        <v>4</v>
      </c>
      <c r="E67">
        <v>4</v>
      </c>
      <c r="F67" t="s">
        <v>147</v>
      </c>
      <c r="G67" s="9" t="s">
        <v>253</v>
      </c>
      <c r="H67" s="9">
        <v>5</v>
      </c>
      <c r="I67" s="6">
        <v>1234</v>
      </c>
      <c r="J67" s="5" t="s">
        <v>291</v>
      </c>
      <c r="K67">
        <v>1</v>
      </c>
      <c r="L67" t="s">
        <v>255</v>
      </c>
      <c r="M67" t="s">
        <v>255</v>
      </c>
      <c r="N67" t="s">
        <v>256</v>
      </c>
      <c r="P67">
        <v>13</v>
      </c>
      <c r="Q67" t="s">
        <v>278</v>
      </c>
      <c r="R67" t="s">
        <v>192</v>
      </c>
      <c r="T67" t="s">
        <v>292</v>
      </c>
      <c r="U67" t="s">
        <v>292</v>
      </c>
    </row>
    <row r="68" spans="2:21" x14ac:dyDescent="0.3">
      <c r="B68" s="9">
        <v>75</v>
      </c>
      <c r="C68" s="9" t="s">
        <v>280</v>
      </c>
      <c r="D68">
        <v>6</v>
      </c>
      <c r="F68" t="s">
        <v>169</v>
      </c>
      <c r="G68" s="9"/>
      <c r="H68" s="9"/>
      <c r="I68" s="6">
        <v>1234</v>
      </c>
      <c r="J68" s="5" t="s">
        <v>293</v>
      </c>
      <c r="P68">
        <v>65</v>
      </c>
      <c r="Q68" t="s">
        <v>294</v>
      </c>
      <c r="R68" t="s">
        <v>192</v>
      </c>
      <c r="T68" t="s">
        <v>295</v>
      </c>
      <c r="U68" t="s">
        <v>295</v>
      </c>
    </row>
    <row r="69" spans="2:21" x14ac:dyDescent="0.3">
      <c r="B69" s="9">
        <v>74</v>
      </c>
      <c r="C69" s="9" t="s">
        <v>280</v>
      </c>
      <c r="D69">
        <v>5</v>
      </c>
      <c r="F69" t="s">
        <v>147</v>
      </c>
      <c r="G69" s="9"/>
      <c r="H69" s="9"/>
      <c r="I69" s="6">
        <v>1234</v>
      </c>
      <c r="J69" s="5" t="s">
        <v>296</v>
      </c>
      <c r="P69">
        <v>64</v>
      </c>
      <c r="Q69" t="s">
        <v>294</v>
      </c>
      <c r="R69" t="s">
        <v>192</v>
      </c>
      <c r="T69" t="s">
        <v>297</v>
      </c>
      <c r="U69" t="s">
        <v>297</v>
      </c>
    </row>
    <row r="70" spans="2:21" x14ac:dyDescent="0.3">
      <c r="B70" s="9">
        <v>73</v>
      </c>
      <c r="C70" s="9" t="s">
        <v>280</v>
      </c>
      <c r="D70">
        <v>4</v>
      </c>
      <c r="F70" t="s">
        <v>186</v>
      </c>
      <c r="G70" s="9"/>
      <c r="H70" s="9">
        <v>-1</v>
      </c>
      <c r="I70" s="6" t="s">
        <v>298</v>
      </c>
      <c r="J70" s="5" t="s">
        <v>299</v>
      </c>
      <c r="P70">
        <v>63</v>
      </c>
      <c r="Q70" t="s">
        <v>294</v>
      </c>
      <c r="R70" t="s">
        <v>192</v>
      </c>
      <c r="T70" t="s">
        <v>300</v>
      </c>
      <c r="U70" t="s">
        <v>300</v>
      </c>
    </row>
    <row r="71" spans="2:21" x14ac:dyDescent="0.3">
      <c r="B71" s="9">
        <v>72</v>
      </c>
      <c r="C71" s="9" t="s">
        <v>280</v>
      </c>
      <c r="D71">
        <v>3</v>
      </c>
      <c r="F71" t="s">
        <v>147</v>
      </c>
      <c r="G71" s="9" t="s">
        <v>253</v>
      </c>
      <c r="H71" s="9">
        <v>5</v>
      </c>
      <c r="I71" s="6" t="s">
        <v>301</v>
      </c>
      <c r="J71" s="5" t="s">
        <v>302</v>
      </c>
      <c r="L71" t="s">
        <v>255</v>
      </c>
      <c r="P71">
        <v>13</v>
      </c>
      <c r="Q71" t="s">
        <v>294</v>
      </c>
      <c r="R71" t="s">
        <v>192</v>
      </c>
      <c r="T71" t="s">
        <v>303</v>
      </c>
      <c r="U71" t="s">
        <v>303</v>
      </c>
    </row>
    <row r="72" spans="2:21" x14ac:dyDescent="0.3">
      <c r="B72" s="9">
        <v>71</v>
      </c>
      <c r="C72" s="9" t="s">
        <v>280</v>
      </c>
      <c r="D72">
        <v>2</v>
      </c>
      <c r="F72" t="s">
        <v>169</v>
      </c>
      <c r="G72" s="9" t="s">
        <v>304</v>
      </c>
      <c r="H72" s="9">
        <v>0</v>
      </c>
      <c r="I72" s="6" t="s">
        <v>301</v>
      </c>
      <c r="J72" s="5" t="s">
        <v>305</v>
      </c>
      <c r="L72" t="s">
        <v>306</v>
      </c>
      <c r="N72" t="s">
        <v>256</v>
      </c>
      <c r="Q72" t="s">
        <v>294</v>
      </c>
      <c r="R72" t="s">
        <v>192</v>
      </c>
      <c r="T72" t="s">
        <v>303</v>
      </c>
      <c r="U72" t="s">
        <v>303</v>
      </c>
    </row>
    <row r="73" spans="2:21" x14ac:dyDescent="0.3">
      <c r="B73" s="9">
        <v>70</v>
      </c>
      <c r="C73" s="9" t="s">
        <v>175</v>
      </c>
      <c r="D73">
        <v>37</v>
      </c>
      <c r="G73" s="9"/>
      <c r="H73" s="9"/>
      <c r="I73" s="6">
        <v>1234</v>
      </c>
      <c r="J73" s="5" t="s">
        <v>307</v>
      </c>
      <c r="P73">
        <v>60</v>
      </c>
      <c r="Q73" t="s">
        <v>308</v>
      </c>
      <c r="R73" t="s">
        <v>192</v>
      </c>
      <c r="T73" t="s">
        <v>309</v>
      </c>
      <c r="U73" t="s">
        <v>309</v>
      </c>
    </row>
    <row r="74" spans="2:21" x14ac:dyDescent="0.3">
      <c r="B74" s="9">
        <v>69</v>
      </c>
      <c r="C74" s="9" t="s">
        <v>175</v>
      </c>
      <c r="D74">
        <v>36</v>
      </c>
      <c r="G74" s="9"/>
      <c r="H74" s="9"/>
      <c r="I74" s="6">
        <v>1234</v>
      </c>
      <c r="J74" s="5" t="s">
        <v>310</v>
      </c>
      <c r="P74">
        <v>59</v>
      </c>
      <c r="Q74" t="s">
        <v>308</v>
      </c>
      <c r="R74" t="s">
        <v>192</v>
      </c>
      <c r="T74" t="s">
        <v>311</v>
      </c>
      <c r="U74" t="s">
        <v>311</v>
      </c>
    </row>
    <row r="75" spans="2:21" x14ac:dyDescent="0.3">
      <c r="B75" s="9">
        <v>68</v>
      </c>
      <c r="C75" s="9" t="s">
        <v>175</v>
      </c>
      <c r="D75">
        <v>35</v>
      </c>
      <c r="F75" t="s">
        <v>312</v>
      </c>
      <c r="G75" s="9"/>
      <c r="H75" s="9"/>
      <c r="I75" s="6">
        <v>1234</v>
      </c>
      <c r="J75" s="5" t="s">
        <v>313</v>
      </c>
      <c r="P75">
        <v>58</v>
      </c>
      <c r="Q75" t="s">
        <v>308</v>
      </c>
      <c r="R75" t="s">
        <v>192</v>
      </c>
      <c r="T75" t="s">
        <v>314</v>
      </c>
      <c r="U75" t="s">
        <v>314</v>
      </c>
    </row>
    <row r="76" spans="2:21" x14ac:dyDescent="0.3">
      <c r="B76" s="9">
        <v>67</v>
      </c>
      <c r="C76" s="9" t="s">
        <v>133</v>
      </c>
      <c r="D76">
        <v>9</v>
      </c>
      <c r="E76">
        <v>1</v>
      </c>
      <c r="F76" t="s">
        <v>186</v>
      </c>
      <c r="G76" s="9" t="s">
        <v>187</v>
      </c>
      <c r="H76" s="9">
        <v>-1</v>
      </c>
      <c r="I76" s="6" t="s">
        <v>188</v>
      </c>
      <c r="J76" s="5" t="s">
        <v>189</v>
      </c>
      <c r="L76" t="s">
        <v>190</v>
      </c>
      <c r="M76" t="s">
        <v>190</v>
      </c>
      <c r="N76" t="s">
        <v>256</v>
      </c>
      <c r="O76" t="s">
        <v>315</v>
      </c>
      <c r="Q76" t="s">
        <v>308</v>
      </c>
      <c r="R76" t="s">
        <v>192</v>
      </c>
      <c r="T76" t="s">
        <v>316</v>
      </c>
      <c r="U76" t="s">
        <v>316</v>
      </c>
    </row>
    <row r="77" spans="2:21" x14ac:dyDescent="0.3">
      <c r="B77" s="9">
        <v>66</v>
      </c>
      <c r="C77" s="9" t="s">
        <v>133</v>
      </c>
      <c r="D77">
        <v>8</v>
      </c>
      <c r="E77">
        <v>3</v>
      </c>
      <c r="F77" t="s">
        <v>317</v>
      </c>
      <c r="G77" s="9" t="s">
        <v>318</v>
      </c>
      <c r="H77" s="9">
        <v>3</v>
      </c>
      <c r="I77" s="6">
        <v>1234</v>
      </c>
      <c r="J77" s="5" t="s">
        <v>319</v>
      </c>
      <c r="N77" t="s">
        <v>256</v>
      </c>
      <c r="O77" t="s">
        <v>320</v>
      </c>
      <c r="Q77" t="s">
        <v>308</v>
      </c>
      <c r="R77" t="s">
        <v>192</v>
      </c>
      <c r="T77" t="s">
        <v>321</v>
      </c>
      <c r="U77" t="s">
        <v>321</v>
      </c>
    </row>
    <row r="78" spans="2:21" x14ac:dyDescent="0.3">
      <c r="B78" s="9">
        <v>65</v>
      </c>
      <c r="C78" s="9" t="s">
        <v>133</v>
      </c>
      <c r="D78">
        <v>7</v>
      </c>
      <c r="E78">
        <v>20</v>
      </c>
      <c r="F78" t="s">
        <v>322</v>
      </c>
      <c r="G78" s="9" t="s">
        <v>323</v>
      </c>
      <c r="H78" s="9">
        <v>5</v>
      </c>
      <c r="I78" s="6"/>
      <c r="J78" s="5" t="s">
        <v>324</v>
      </c>
      <c r="L78" t="s">
        <v>322</v>
      </c>
      <c r="M78" t="s">
        <v>325</v>
      </c>
      <c r="O78" t="s">
        <v>320</v>
      </c>
      <c r="Q78" t="s">
        <v>308</v>
      </c>
      <c r="R78" t="s">
        <v>192</v>
      </c>
      <c r="T78" t="s">
        <v>326</v>
      </c>
      <c r="U78" t="s">
        <v>326</v>
      </c>
    </row>
    <row r="79" spans="2:21" x14ac:dyDescent="0.3">
      <c r="B79" s="9">
        <v>64</v>
      </c>
      <c r="C79" s="9" t="s">
        <v>133</v>
      </c>
      <c r="D79">
        <v>6</v>
      </c>
      <c r="E79">
        <v>15</v>
      </c>
      <c r="F79" t="s">
        <v>327</v>
      </c>
      <c r="G79" s="9" t="s">
        <v>187</v>
      </c>
      <c r="H79" s="9">
        <v>5</v>
      </c>
      <c r="I79" s="6" t="s">
        <v>328</v>
      </c>
      <c r="J79" s="5" t="s">
        <v>329</v>
      </c>
      <c r="L79" t="s">
        <v>330</v>
      </c>
      <c r="M79" t="s">
        <v>190</v>
      </c>
      <c r="N79" t="s">
        <v>331</v>
      </c>
      <c r="O79" t="s">
        <v>320</v>
      </c>
      <c r="Q79" t="s">
        <v>308</v>
      </c>
      <c r="R79" t="s">
        <v>192</v>
      </c>
      <c r="T79" t="s">
        <v>332</v>
      </c>
      <c r="U79" t="s">
        <v>332</v>
      </c>
    </row>
    <row r="80" spans="2:21" x14ac:dyDescent="0.3">
      <c r="B80" s="9">
        <v>63</v>
      </c>
      <c r="C80" s="9" t="s">
        <v>133</v>
      </c>
      <c r="D80">
        <v>5</v>
      </c>
      <c r="E80">
        <v>14</v>
      </c>
      <c r="F80" t="s">
        <v>333</v>
      </c>
      <c r="G80" s="9" t="s">
        <v>334</v>
      </c>
      <c r="H80" s="9">
        <v>3</v>
      </c>
      <c r="I80" s="6" t="s">
        <v>301</v>
      </c>
      <c r="J80" s="5" t="s">
        <v>335</v>
      </c>
      <c r="L80" t="s">
        <v>336</v>
      </c>
      <c r="M80" t="s">
        <v>336</v>
      </c>
      <c r="N80" t="s">
        <v>337</v>
      </c>
      <c r="O80" t="s">
        <v>338</v>
      </c>
      <c r="P80">
        <v>18</v>
      </c>
      <c r="Q80" t="s">
        <v>308</v>
      </c>
      <c r="R80" t="s">
        <v>192</v>
      </c>
      <c r="S80" t="s">
        <v>339</v>
      </c>
      <c r="T80" t="s">
        <v>340</v>
      </c>
      <c r="U80" t="s">
        <v>341</v>
      </c>
    </row>
    <row r="81" spans="2:21" x14ac:dyDescent="0.3">
      <c r="B81" s="9">
        <v>62</v>
      </c>
      <c r="C81" s="9" t="s">
        <v>133</v>
      </c>
      <c r="D81">
        <v>4</v>
      </c>
      <c r="E81">
        <v>5</v>
      </c>
      <c r="F81" t="s">
        <v>147</v>
      </c>
      <c r="G81" s="9" t="s">
        <v>187</v>
      </c>
      <c r="H81" s="9">
        <v>5</v>
      </c>
      <c r="I81" s="6">
        <v>1234</v>
      </c>
      <c r="J81" s="5" t="s">
        <v>302</v>
      </c>
      <c r="L81" t="s">
        <v>255</v>
      </c>
      <c r="M81" t="s">
        <v>273</v>
      </c>
      <c r="N81" t="s">
        <v>256</v>
      </c>
      <c r="O81" t="s">
        <v>320</v>
      </c>
      <c r="P81">
        <v>13</v>
      </c>
      <c r="Q81" t="s">
        <v>308</v>
      </c>
      <c r="R81" t="s">
        <v>192</v>
      </c>
      <c r="T81" t="s">
        <v>342</v>
      </c>
      <c r="U81" t="s">
        <v>342</v>
      </c>
    </row>
    <row r="82" spans="2:21" x14ac:dyDescent="0.3">
      <c r="B82" s="9">
        <v>61</v>
      </c>
      <c r="C82" s="9" t="s">
        <v>133</v>
      </c>
      <c r="D82">
        <v>3</v>
      </c>
      <c r="E82">
        <v>9</v>
      </c>
      <c r="F82" t="s">
        <v>343</v>
      </c>
      <c r="G82" s="9" t="s">
        <v>344</v>
      </c>
      <c r="H82" s="9">
        <v>3</v>
      </c>
      <c r="I82" s="6" t="s">
        <v>301</v>
      </c>
      <c r="J82" s="5" t="s">
        <v>345</v>
      </c>
      <c r="L82" t="s">
        <v>346</v>
      </c>
      <c r="M82" t="s">
        <v>346</v>
      </c>
      <c r="N82" t="s">
        <v>256</v>
      </c>
      <c r="O82" t="s">
        <v>320</v>
      </c>
      <c r="P82">
        <v>2</v>
      </c>
      <c r="Q82" t="s">
        <v>308</v>
      </c>
      <c r="R82" t="s">
        <v>192</v>
      </c>
      <c r="T82" t="s">
        <v>347</v>
      </c>
      <c r="U82" t="s">
        <v>347</v>
      </c>
    </row>
    <row r="83" spans="2:21" x14ac:dyDescent="0.3">
      <c r="B83" s="9">
        <v>60</v>
      </c>
      <c r="C83" s="9" t="s">
        <v>133</v>
      </c>
      <c r="D83">
        <v>2</v>
      </c>
      <c r="E83">
        <v>19</v>
      </c>
      <c r="F83" t="s">
        <v>169</v>
      </c>
      <c r="G83" s="9" t="s">
        <v>304</v>
      </c>
      <c r="H83" s="9">
        <v>0</v>
      </c>
      <c r="I83" s="6">
        <v>1234</v>
      </c>
      <c r="J83" s="5" t="s">
        <v>305</v>
      </c>
      <c r="L83" t="s">
        <v>306</v>
      </c>
      <c r="M83" t="s">
        <v>190</v>
      </c>
      <c r="N83" t="s">
        <v>256</v>
      </c>
      <c r="O83" t="s">
        <v>320</v>
      </c>
      <c r="Q83" t="s">
        <v>308</v>
      </c>
      <c r="R83" t="s">
        <v>192</v>
      </c>
      <c r="T83" t="s">
        <v>348</v>
      </c>
      <c r="U83" t="s">
        <v>348</v>
      </c>
    </row>
    <row r="84" spans="2:21" x14ac:dyDescent="0.3">
      <c r="B84" s="9">
        <v>59</v>
      </c>
      <c r="C84" s="9" t="s">
        <v>133</v>
      </c>
      <c r="D84">
        <v>1</v>
      </c>
      <c r="E84">
        <v>2</v>
      </c>
      <c r="F84" t="s">
        <v>185</v>
      </c>
      <c r="G84" s="9" t="s">
        <v>318</v>
      </c>
      <c r="H84" s="9">
        <v>5</v>
      </c>
      <c r="I84" s="6">
        <v>1234</v>
      </c>
      <c r="J84" s="5" t="s">
        <v>349</v>
      </c>
      <c r="N84" t="s">
        <v>331</v>
      </c>
      <c r="O84" t="s">
        <v>350</v>
      </c>
      <c r="P84">
        <v>1</v>
      </c>
      <c r="Q84" t="s">
        <v>308</v>
      </c>
      <c r="R84" t="s">
        <v>192</v>
      </c>
      <c r="T84" t="s">
        <v>351</v>
      </c>
      <c r="U84" t="s">
        <v>351</v>
      </c>
    </row>
    <row r="85" spans="2:21" x14ac:dyDescent="0.3">
      <c r="B85" s="9">
        <v>58</v>
      </c>
      <c r="C85" s="9" t="s">
        <v>175</v>
      </c>
      <c r="D85">
        <v>32</v>
      </c>
      <c r="E85">
        <v>28</v>
      </c>
      <c r="F85" t="s">
        <v>352</v>
      </c>
      <c r="G85" s="9" t="s">
        <v>353</v>
      </c>
      <c r="H85" s="9">
        <v>5</v>
      </c>
      <c r="I85" s="6" t="s">
        <v>301</v>
      </c>
      <c r="J85" s="5" t="s">
        <v>354</v>
      </c>
      <c r="L85" t="s">
        <v>355</v>
      </c>
      <c r="M85" t="s">
        <v>355</v>
      </c>
      <c r="P85">
        <v>30</v>
      </c>
      <c r="Q85" t="s">
        <v>356</v>
      </c>
      <c r="R85" t="s">
        <v>192</v>
      </c>
      <c r="T85" t="s">
        <v>357</v>
      </c>
      <c r="U85" t="s">
        <v>358</v>
      </c>
    </row>
    <row r="86" spans="2:21" x14ac:dyDescent="0.3">
      <c r="B86" s="9">
        <v>57</v>
      </c>
      <c r="C86" s="9" t="s">
        <v>175</v>
      </c>
      <c r="D86">
        <v>31</v>
      </c>
      <c r="E86">
        <v>27</v>
      </c>
      <c r="F86" t="s">
        <v>171</v>
      </c>
      <c r="G86" s="9" t="s">
        <v>344</v>
      </c>
      <c r="H86" s="9">
        <v>1</v>
      </c>
      <c r="I86" s="6" t="s">
        <v>301</v>
      </c>
      <c r="J86" s="5" t="s">
        <v>359</v>
      </c>
      <c r="L86" t="s">
        <v>360</v>
      </c>
      <c r="M86" t="s">
        <v>360</v>
      </c>
      <c r="N86" t="s">
        <v>274</v>
      </c>
      <c r="P86">
        <v>31</v>
      </c>
      <c r="Q86" t="s">
        <v>356</v>
      </c>
      <c r="R86" t="s">
        <v>192</v>
      </c>
      <c r="T86" t="s">
        <v>357</v>
      </c>
      <c r="U86" t="s">
        <v>361</v>
      </c>
    </row>
    <row r="87" spans="2:21" x14ac:dyDescent="0.3">
      <c r="B87" s="9">
        <v>56</v>
      </c>
      <c r="C87" s="9" t="s">
        <v>175</v>
      </c>
      <c r="D87">
        <v>27</v>
      </c>
      <c r="E87">
        <v>24</v>
      </c>
      <c r="F87" t="s">
        <v>147</v>
      </c>
      <c r="G87" s="9" t="s">
        <v>253</v>
      </c>
      <c r="H87" s="9">
        <v>5</v>
      </c>
      <c r="I87" s="6" t="s">
        <v>301</v>
      </c>
      <c r="J87" s="5" t="s">
        <v>302</v>
      </c>
      <c r="L87" t="s">
        <v>255</v>
      </c>
      <c r="M87" t="s">
        <v>273</v>
      </c>
      <c r="P87">
        <v>13</v>
      </c>
      <c r="Q87" t="s">
        <v>356</v>
      </c>
      <c r="R87" t="s">
        <v>192</v>
      </c>
      <c r="T87" t="s">
        <v>362</v>
      </c>
      <c r="U87" t="s">
        <v>362</v>
      </c>
    </row>
    <row r="88" spans="2:21" x14ac:dyDescent="0.3">
      <c r="B88" s="9">
        <v>55</v>
      </c>
      <c r="C88" s="9" t="s">
        <v>175</v>
      </c>
      <c r="D88">
        <v>26</v>
      </c>
      <c r="E88">
        <v>23</v>
      </c>
      <c r="F88" t="s">
        <v>363</v>
      </c>
      <c r="G88" s="9" t="s">
        <v>344</v>
      </c>
      <c r="H88" s="9">
        <v>5</v>
      </c>
      <c r="I88" s="6" t="s">
        <v>301</v>
      </c>
      <c r="J88" s="5" t="s">
        <v>364</v>
      </c>
      <c r="L88" t="s">
        <v>365</v>
      </c>
      <c r="M88" t="s">
        <v>190</v>
      </c>
      <c r="N88" t="s">
        <v>366</v>
      </c>
      <c r="O88" t="s">
        <v>320</v>
      </c>
      <c r="P88">
        <v>26</v>
      </c>
      <c r="Q88" t="s">
        <v>356</v>
      </c>
      <c r="R88" t="s">
        <v>192</v>
      </c>
      <c r="T88" t="s">
        <v>367</v>
      </c>
      <c r="U88" t="s">
        <v>367</v>
      </c>
    </row>
    <row r="89" spans="2:21" x14ac:dyDescent="0.3">
      <c r="B89" s="9">
        <v>54</v>
      </c>
      <c r="C89" s="9" t="s">
        <v>175</v>
      </c>
      <c r="D89">
        <v>21</v>
      </c>
      <c r="E89">
        <v>14</v>
      </c>
      <c r="F89" t="s">
        <v>333</v>
      </c>
      <c r="G89" s="9" t="s">
        <v>334</v>
      </c>
      <c r="H89" s="9">
        <v>-1</v>
      </c>
      <c r="I89" s="6" t="s">
        <v>301</v>
      </c>
      <c r="J89" s="5" t="s">
        <v>335</v>
      </c>
      <c r="L89" t="s">
        <v>336</v>
      </c>
      <c r="M89" t="s">
        <v>336</v>
      </c>
      <c r="N89" t="s">
        <v>337</v>
      </c>
      <c r="O89" t="s">
        <v>338</v>
      </c>
      <c r="P89">
        <v>18</v>
      </c>
      <c r="Q89" t="s">
        <v>356</v>
      </c>
      <c r="R89" t="s">
        <v>368</v>
      </c>
      <c r="S89" t="s">
        <v>339</v>
      </c>
      <c r="T89" t="s">
        <v>369</v>
      </c>
      <c r="U89" t="s">
        <v>370</v>
      </c>
    </row>
    <row r="90" spans="2:21" x14ac:dyDescent="0.3">
      <c r="B90" s="9">
        <v>53</v>
      </c>
      <c r="C90" s="9" t="s">
        <v>175</v>
      </c>
      <c r="D90">
        <v>20</v>
      </c>
      <c r="E90">
        <v>16</v>
      </c>
      <c r="F90" t="s">
        <v>371</v>
      </c>
      <c r="G90" s="9" t="s">
        <v>176</v>
      </c>
      <c r="H90" s="9">
        <v>5</v>
      </c>
      <c r="I90" s="6" t="s">
        <v>301</v>
      </c>
      <c r="J90" s="5" t="s">
        <v>372</v>
      </c>
      <c r="L90" t="s">
        <v>330</v>
      </c>
      <c r="M90" t="s">
        <v>190</v>
      </c>
      <c r="N90" t="s">
        <v>366</v>
      </c>
      <c r="O90" t="s">
        <v>320</v>
      </c>
      <c r="P90">
        <v>21</v>
      </c>
      <c r="Q90" t="s">
        <v>356</v>
      </c>
      <c r="R90" t="s">
        <v>192</v>
      </c>
      <c r="T90" t="s">
        <v>373</v>
      </c>
      <c r="U90" t="s">
        <v>373</v>
      </c>
    </row>
    <row r="91" spans="2:21" x14ac:dyDescent="0.3">
      <c r="B91" s="9">
        <v>52</v>
      </c>
      <c r="C91" s="9" t="s">
        <v>175</v>
      </c>
      <c r="D91">
        <v>19</v>
      </c>
      <c r="E91">
        <v>15</v>
      </c>
      <c r="F91" t="s">
        <v>374</v>
      </c>
      <c r="G91" s="9" t="s">
        <v>344</v>
      </c>
      <c r="H91" s="9">
        <v>5</v>
      </c>
      <c r="I91" s="6" t="s">
        <v>301</v>
      </c>
      <c r="J91" s="5" t="s">
        <v>375</v>
      </c>
      <c r="L91" t="s">
        <v>376</v>
      </c>
      <c r="M91" t="s">
        <v>190</v>
      </c>
      <c r="N91" t="s">
        <v>331</v>
      </c>
      <c r="O91" t="s">
        <v>320</v>
      </c>
      <c r="P91">
        <v>25</v>
      </c>
      <c r="Q91" t="s">
        <v>356</v>
      </c>
      <c r="R91" t="s">
        <v>192</v>
      </c>
      <c r="T91" t="s">
        <v>377</v>
      </c>
      <c r="U91" t="s">
        <v>377</v>
      </c>
    </row>
    <row r="92" spans="2:21" x14ac:dyDescent="0.3">
      <c r="B92" s="9">
        <v>51</v>
      </c>
      <c r="C92" s="9" t="s">
        <v>175</v>
      </c>
      <c r="D92">
        <v>18</v>
      </c>
      <c r="E92">
        <v>18</v>
      </c>
      <c r="F92" t="s">
        <v>173</v>
      </c>
      <c r="G92" s="9" t="s">
        <v>270</v>
      </c>
      <c r="H92" s="9">
        <v>0</v>
      </c>
      <c r="I92" s="6" t="s">
        <v>301</v>
      </c>
      <c r="J92" s="5" t="s">
        <v>378</v>
      </c>
      <c r="L92" t="s">
        <v>273</v>
      </c>
      <c r="M92" t="s">
        <v>190</v>
      </c>
      <c r="N92" t="s">
        <v>337</v>
      </c>
      <c r="O92" t="s">
        <v>338</v>
      </c>
      <c r="P92">
        <v>20</v>
      </c>
      <c r="Q92" t="s">
        <v>356</v>
      </c>
      <c r="R92" t="s">
        <v>192</v>
      </c>
      <c r="T92" t="s">
        <v>379</v>
      </c>
      <c r="U92" t="s">
        <v>379</v>
      </c>
    </row>
    <row r="93" spans="2:21" x14ac:dyDescent="0.3">
      <c r="B93" s="9">
        <v>50</v>
      </c>
      <c r="C93" s="9" t="s">
        <v>175</v>
      </c>
      <c r="D93">
        <v>17</v>
      </c>
      <c r="E93">
        <v>19</v>
      </c>
      <c r="F93" t="s">
        <v>169</v>
      </c>
      <c r="G93" s="9" t="s">
        <v>304</v>
      </c>
      <c r="H93" s="9">
        <v>0</v>
      </c>
      <c r="I93" s="6" t="s">
        <v>301</v>
      </c>
      <c r="J93" s="5" t="s">
        <v>305</v>
      </c>
      <c r="L93" t="s">
        <v>306</v>
      </c>
      <c r="M93" t="s">
        <v>190</v>
      </c>
      <c r="N93" t="s">
        <v>256</v>
      </c>
      <c r="O93" t="s">
        <v>320</v>
      </c>
      <c r="Q93" t="s">
        <v>356</v>
      </c>
      <c r="R93" t="s">
        <v>192</v>
      </c>
      <c r="T93" t="s">
        <v>380</v>
      </c>
      <c r="U93" t="s">
        <v>380</v>
      </c>
    </row>
    <row r="94" spans="2:21" x14ac:dyDescent="0.3">
      <c r="B94" s="9">
        <v>49</v>
      </c>
      <c r="C94" s="9" t="s">
        <v>175</v>
      </c>
      <c r="D94">
        <v>16</v>
      </c>
      <c r="E94">
        <v>10</v>
      </c>
      <c r="F94" t="s">
        <v>381</v>
      </c>
      <c r="G94" s="9" t="s">
        <v>382</v>
      </c>
      <c r="H94" s="9">
        <v>5</v>
      </c>
      <c r="I94" s="6" t="s">
        <v>301</v>
      </c>
      <c r="J94" s="5" t="s">
        <v>383</v>
      </c>
      <c r="L94" t="s">
        <v>384</v>
      </c>
      <c r="M94" t="s">
        <v>346</v>
      </c>
      <c r="N94" t="s">
        <v>331</v>
      </c>
      <c r="O94" t="s">
        <v>320</v>
      </c>
      <c r="P94">
        <v>28</v>
      </c>
      <c r="Q94" t="s">
        <v>356</v>
      </c>
      <c r="R94" t="s">
        <v>192</v>
      </c>
      <c r="T94" t="s">
        <v>385</v>
      </c>
      <c r="U94" t="s">
        <v>385</v>
      </c>
    </row>
    <row r="95" spans="2:21" x14ac:dyDescent="0.3">
      <c r="B95" s="9">
        <v>48</v>
      </c>
      <c r="C95" s="9" t="s">
        <v>175</v>
      </c>
      <c r="D95">
        <v>14</v>
      </c>
      <c r="E95">
        <v>3</v>
      </c>
      <c r="F95" t="s">
        <v>317</v>
      </c>
      <c r="G95" s="9" t="s">
        <v>318</v>
      </c>
      <c r="H95" s="9">
        <v>3</v>
      </c>
      <c r="I95" s="6">
        <v>1234</v>
      </c>
      <c r="J95" s="5" t="s">
        <v>319</v>
      </c>
      <c r="N95" t="s">
        <v>256</v>
      </c>
      <c r="O95" t="s">
        <v>320</v>
      </c>
      <c r="Q95" t="s">
        <v>356</v>
      </c>
      <c r="R95" t="s">
        <v>192</v>
      </c>
      <c r="T95" t="s">
        <v>386</v>
      </c>
      <c r="U95" t="s">
        <v>386</v>
      </c>
    </row>
    <row r="96" spans="2:21" x14ac:dyDescent="0.3">
      <c r="B96" s="9">
        <v>47</v>
      </c>
      <c r="C96" s="9" t="s">
        <v>180</v>
      </c>
      <c r="D96">
        <v>13</v>
      </c>
      <c r="E96">
        <v>11</v>
      </c>
      <c r="F96" t="s">
        <v>171</v>
      </c>
      <c r="G96" s="9" t="s">
        <v>344</v>
      </c>
      <c r="H96" s="9">
        <v>0</v>
      </c>
      <c r="I96" s="6" t="s">
        <v>271</v>
      </c>
      <c r="J96" s="5" t="s">
        <v>387</v>
      </c>
      <c r="L96" t="s">
        <v>388</v>
      </c>
      <c r="M96" t="s">
        <v>388</v>
      </c>
      <c r="N96" t="s">
        <v>389</v>
      </c>
      <c r="P96">
        <v>15</v>
      </c>
      <c r="Q96" t="s">
        <v>356</v>
      </c>
      <c r="R96" t="s">
        <v>192</v>
      </c>
      <c r="T96" t="s">
        <v>390</v>
      </c>
      <c r="U96" t="s">
        <v>390</v>
      </c>
    </row>
    <row r="97" spans="2:21" x14ac:dyDescent="0.3">
      <c r="B97" s="9">
        <v>46</v>
      </c>
      <c r="C97" s="9" t="s">
        <v>175</v>
      </c>
      <c r="D97">
        <v>12</v>
      </c>
      <c r="E97">
        <v>4</v>
      </c>
      <c r="F97" t="s">
        <v>391</v>
      </c>
      <c r="G97" s="9" t="s">
        <v>253</v>
      </c>
      <c r="H97" s="9">
        <v>5</v>
      </c>
      <c r="I97" s="6" t="s">
        <v>301</v>
      </c>
      <c r="J97" s="5" t="s">
        <v>392</v>
      </c>
      <c r="L97" t="s">
        <v>393</v>
      </c>
      <c r="M97" t="s">
        <v>273</v>
      </c>
      <c r="N97" t="s">
        <v>256</v>
      </c>
      <c r="O97" t="s">
        <v>320</v>
      </c>
      <c r="P97">
        <v>17</v>
      </c>
      <c r="Q97" t="s">
        <v>356</v>
      </c>
      <c r="R97" t="s">
        <v>192</v>
      </c>
      <c r="T97" t="s">
        <v>394</v>
      </c>
      <c r="U97" t="s">
        <v>394</v>
      </c>
    </row>
    <row r="98" spans="2:21" x14ac:dyDescent="0.3">
      <c r="B98" s="9">
        <v>45</v>
      </c>
      <c r="C98" s="9" t="s">
        <v>180</v>
      </c>
      <c r="D98">
        <v>11</v>
      </c>
      <c r="E98">
        <v>5</v>
      </c>
      <c r="F98" t="s">
        <v>343</v>
      </c>
      <c r="G98" s="9" t="s">
        <v>176</v>
      </c>
      <c r="H98" s="9">
        <v>0</v>
      </c>
      <c r="I98" s="6" t="s">
        <v>271</v>
      </c>
      <c r="J98" s="5" t="s">
        <v>395</v>
      </c>
      <c r="L98" t="s">
        <v>346</v>
      </c>
      <c r="M98" t="s">
        <v>346</v>
      </c>
      <c r="N98" t="s">
        <v>256</v>
      </c>
      <c r="O98" t="s">
        <v>320</v>
      </c>
      <c r="Q98" t="s">
        <v>356</v>
      </c>
      <c r="R98" t="s">
        <v>192</v>
      </c>
      <c r="T98" t="s">
        <v>390</v>
      </c>
      <c r="U98" t="s">
        <v>390</v>
      </c>
    </row>
    <row r="99" spans="2:21" x14ac:dyDescent="0.3">
      <c r="B99" s="9">
        <v>44</v>
      </c>
      <c r="C99" s="9" t="s">
        <v>175</v>
      </c>
      <c r="D99">
        <v>11</v>
      </c>
      <c r="E99">
        <v>17</v>
      </c>
      <c r="F99" t="s">
        <v>396</v>
      </c>
      <c r="G99" s="9" t="s">
        <v>382</v>
      </c>
      <c r="H99" s="9">
        <v>5</v>
      </c>
      <c r="I99" s="6" t="s">
        <v>301</v>
      </c>
      <c r="J99" s="5" t="s">
        <v>397</v>
      </c>
      <c r="L99" t="s">
        <v>398</v>
      </c>
      <c r="M99" t="s">
        <v>190</v>
      </c>
      <c r="N99" t="s">
        <v>331</v>
      </c>
      <c r="O99" t="s">
        <v>320</v>
      </c>
      <c r="P99">
        <v>29</v>
      </c>
      <c r="Q99" t="s">
        <v>356</v>
      </c>
      <c r="R99" t="s">
        <v>192</v>
      </c>
      <c r="T99" t="s">
        <v>399</v>
      </c>
      <c r="U99" t="s">
        <v>399</v>
      </c>
    </row>
    <row r="100" spans="2:21" x14ac:dyDescent="0.3">
      <c r="B100" s="9">
        <v>43</v>
      </c>
      <c r="C100" s="9" t="s">
        <v>175</v>
      </c>
      <c r="D100">
        <v>10</v>
      </c>
      <c r="E100">
        <v>7</v>
      </c>
      <c r="F100" t="s">
        <v>400</v>
      </c>
      <c r="G100" s="9" t="s">
        <v>344</v>
      </c>
      <c r="H100" s="9">
        <v>-1</v>
      </c>
      <c r="I100" s="6" t="s">
        <v>301</v>
      </c>
      <c r="J100" s="5" t="s">
        <v>401</v>
      </c>
      <c r="L100" t="s">
        <v>402</v>
      </c>
      <c r="M100" t="s">
        <v>273</v>
      </c>
      <c r="N100" t="s">
        <v>366</v>
      </c>
      <c r="O100" t="s">
        <v>320</v>
      </c>
      <c r="P100">
        <v>23</v>
      </c>
      <c r="Q100" t="s">
        <v>356</v>
      </c>
      <c r="R100" t="s">
        <v>403</v>
      </c>
      <c r="T100" t="s">
        <v>404</v>
      </c>
      <c r="U100" t="s">
        <v>405</v>
      </c>
    </row>
    <row r="101" spans="2:21" x14ac:dyDescent="0.3">
      <c r="B101" s="9">
        <v>42</v>
      </c>
      <c r="C101" s="9" t="s">
        <v>269</v>
      </c>
      <c r="D101">
        <v>9</v>
      </c>
      <c r="E101">
        <v>6</v>
      </c>
      <c r="F101" t="s">
        <v>343</v>
      </c>
      <c r="G101" s="9" t="s">
        <v>176</v>
      </c>
      <c r="H101" s="9">
        <v>5</v>
      </c>
      <c r="I101" s="6" t="s">
        <v>271</v>
      </c>
      <c r="J101" s="5" t="s">
        <v>406</v>
      </c>
      <c r="K101">
        <v>5</v>
      </c>
      <c r="L101" t="s">
        <v>407</v>
      </c>
      <c r="M101" t="s">
        <v>407</v>
      </c>
      <c r="N101" t="s">
        <v>274</v>
      </c>
      <c r="Q101" t="s">
        <v>356</v>
      </c>
      <c r="R101" t="s">
        <v>192</v>
      </c>
      <c r="T101" t="s">
        <v>408</v>
      </c>
      <c r="U101" t="s">
        <v>408</v>
      </c>
    </row>
    <row r="102" spans="2:21" x14ac:dyDescent="0.3">
      <c r="B102" s="9">
        <v>41</v>
      </c>
      <c r="C102" s="9" t="s">
        <v>175</v>
      </c>
      <c r="D102">
        <v>9</v>
      </c>
      <c r="E102">
        <v>21</v>
      </c>
      <c r="F102" t="s">
        <v>409</v>
      </c>
      <c r="G102" s="9" t="s">
        <v>344</v>
      </c>
      <c r="H102" s="9">
        <v>5</v>
      </c>
      <c r="I102" s="6" t="s">
        <v>301</v>
      </c>
      <c r="J102" s="5" t="s">
        <v>410</v>
      </c>
      <c r="L102" t="s">
        <v>411</v>
      </c>
      <c r="M102" t="s">
        <v>273</v>
      </c>
      <c r="N102" t="s">
        <v>337</v>
      </c>
      <c r="O102" t="s">
        <v>320</v>
      </c>
      <c r="P102">
        <v>24</v>
      </c>
      <c r="Q102" t="s">
        <v>356</v>
      </c>
      <c r="R102" t="s">
        <v>192</v>
      </c>
      <c r="T102" t="s">
        <v>412</v>
      </c>
      <c r="U102" t="s">
        <v>413</v>
      </c>
    </row>
    <row r="103" spans="2:21" x14ac:dyDescent="0.3">
      <c r="B103" s="9">
        <v>40</v>
      </c>
      <c r="C103" s="9" t="s">
        <v>243</v>
      </c>
      <c r="D103">
        <v>9</v>
      </c>
      <c r="F103" t="s">
        <v>171</v>
      </c>
      <c r="G103" s="9" t="s">
        <v>344</v>
      </c>
      <c r="H103" s="9">
        <v>5</v>
      </c>
      <c r="I103" s="6" t="s">
        <v>271</v>
      </c>
      <c r="J103" s="5" t="s">
        <v>387</v>
      </c>
      <c r="L103" t="s">
        <v>360</v>
      </c>
      <c r="M103" t="s">
        <v>360</v>
      </c>
      <c r="N103" t="s">
        <v>274</v>
      </c>
      <c r="P103">
        <v>15</v>
      </c>
      <c r="Q103" t="s">
        <v>356</v>
      </c>
      <c r="R103" t="s">
        <v>192</v>
      </c>
      <c r="T103" t="s">
        <v>414</v>
      </c>
      <c r="U103" t="s">
        <v>414</v>
      </c>
    </row>
    <row r="104" spans="2:21" x14ac:dyDescent="0.3">
      <c r="B104" s="9">
        <v>39</v>
      </c>
      <c r="C104" s="9" t="s">
        <v>269</v>
      </c>
      <c r="D104">
        <v>8</v>
      </c>
      <c r="E104">
        <v>5</v>
      </c>
      <c r="F104" t="s">
        <v>171</v>
      </c>
      <c r="G104" s="9" t="s">
        <v>344</v>
      </c>
      <c r="H104" s="9">
        <v>5</v>
      </c>
      <c r="I104" s="6" t="s">
        <v>271</v>
      </c>
      <c r="J104" s="5" t="s">
        <v>415</v>
      </c>
      <c r="K104">
        <v>5</v>
      </c>
      <c r="L104" t="s">
        <v>360</v>
      </c>
      <c r="M104" t="s">
        <v>360</v>
      </c>
      <c r="N104" t="s">
        <v>274</v>
      </c>
      <c r="P104">
        <v>38</v>
      </c>
      <c r="Q104" t="s">
        <v>356</v>
      </c>
      <c r="R104" t="s">
        <v>192</v>
      </c>
      <c r="T104" t="s">
        <v>408</v>
      </c>
      <c r="U104" t="s">
        <v>408</v>
      </c>
    </row>
    <row r="105" spans="2:21" x14ac:dyDescent="0.3">
      <c r="B105" s="9">
        <v>38</v>
      </c>
      <c r="C105" s="9" t="s">
        <v>175</v>
      </c>
      <c r="D105">
        <v>8</v>
      </c>
      <c r="E105">
        <v>20</v>
      </c>
      <c r="F105" t="s">
        <v>322</v>
      </c>
      <c r="G105" s="9" t="s">
        <v>323</v>
      </c>
      <c r="H105" s="9">
        <v>5</v>
      </c>
      <c r="I105" s="6" t="s">
        <v>301</v>
      </c>
      <c r="J105" s="5" t="s">
        <v>416</v>
      </c>
      <c r="L105" t="s">
        <v>322</v>
      </c>
      <c r="M105" t="s">
        <v>190</v>
      </c>
      <c r="O105" t="s">
        <v>320</v>
      </c>
      <c r="P105">
        <v>57</v>
      </c>
      <c r="Q105" t="s">
        <v>356</v>
      </c>
      <c r="R105" t="s">
        <v>192</v>
      </c>
      <c r="T105" t="s">
        <v>417</v>
      </c>
      <c r="U105" t="s">
        <v>417</v>
      </c>
    </row>
    <row r="106" spans="2:21" x14ac:dyDescent="0.3">
      <c r="B106" s="9">
        <v>37</v>
      </c>
      <c r="C106" s="9" t="s">
        <v>243</v>
      </c>
      <c r="D106">
        <v>8</v>
      </c>
      <c r="F106" t="s">
        <v>333</v>
      </c>
      <c r="G106" s="9" t="s">
        <v>334</v>
      </c>
      <c r="H106" s="9">
        <v>3</v>
      </c>
      <c r="I106" s="6" t="s">
        <v>301</v>
      </c>
      <c r="J106" s="5" t="s">
        <v>335</v>
      </c>
      <c r="L106" t="s">
        <v>336</v>
      </c>
      <c r="M106" t="s">
        <v>336</v>
      </c>
      <c r="N106" t="s">
        <v>337</v>
      </c>
      <c r="P106">
        <v>18</v>
      </c>
      <c r="Q106" t="s">
        <v>356</v>
      </c>
      <c r="R106" t="s">
        <v>192</v>
      </c>
      <c r="S106" t="s">
        <v>339</v>
      </c>
      <c r="T106" t="s">
        <v>418</v>
      </c>
      <c r="U106" t="s">
        <v>419</v>
      </c>
    </row>
    <row r="107" spans="2:21" x14ac:dyDescent="0.3">
      <c r="B107" s="9">
        <v>36</v>
      </c>
      <c r="C107" s="9" t="s">
        <v>269</v>
      </c>
      <c r="D107">
        <v>7</v>
      </c>
      <c r="E107">
        <v>4</v>
      </c>
      <c r="F107" t="s">
        <v>169</v>
      </c>
      <c r="G107" s="9" t="s">
        <v>304</v>
      </c>
      <c r="H107" s="9">
        <v>5</v>
      </c>
      <c r="I107" s="6" t="s">
        <v>271</v>
      </c>
      <c r="J107" s="5" t="s">
        <v>420</v>
      </c>
      <c r="K107">
        <v>5</v>
      </c>
      <c r="L107" t="s">
        <v>306</v>
      </c>
      <c r="M107" t="s">
        <v>306</v>
      </c>
      <c r="N107" t="s">
        <v>274</v>
      </c>
      <c r="Q107" t="s">
        <v>356</v>
      </c>
      <c r="R107" t="s">
        <v>192</v>
      </c>
      <c r="T107" t="s">
        <v>408</v>
      </c>
      <c r="U107" t="s">
        <v>408</v>
      </c>
    </row>
    <row r="108" spans="2:21" x14ac:dyDescent="0.3">
      <c r="B108" s="9">
        <v>35</v>
      </c>
      <c r="C108" s="9" t="s">
        <v>421</v>
      </c>
      <c r="D108">
        <v>7</v>
      </c>
      <c r="E108">
        <v>7</v>
      </c>
      <c r="F108" t="s">
        <v>422</v>
      </c>
      <c r="G108" s="9" t="s">
        <v>176</v>
      </c>
      <c r="H108" s="9">
        <v>5</v>
      </c>
      <c r="I108" s="6" t="s">
        <v>271</v>
      </c>
      <c r="J108" s="5" t="s">
        <v>423</v>
      </c>
      <c r="L108" t="s">
        <v>407</v>
      </c>
      <c r="M108" t="s">
        <v>407</v>
      </c>
      <c r="N108" t="s">
        <v>274</v>
      </c>
      <c r="Q108" t="s">
        <v>356</v>
      </c>
      <c r="R108" t="s">
        <v>192</v>
      </c>
      <c r="T108" t="s">
        <v>408</v>
      </c>
      <c r="U108" t="s">
        <v>408</v>
      </c>
    </row>
    <row r="109" spans="2:21" x14ac:dyDescent="0.3">
      <c r="B109" s="9">
        <v>34</v>
      </c>
      <c r="C109" s="9" t="s">
        <v>180</v>
      </c>
      <c r="D109">
        <v>7</v>
      </c>
      <c r="E109">
        <v>2</v>
      </c>
      <c r="F109" t="s">
        <v>185</v>
      </c>
      <c r="G109" s="9" t="s">
        <v>318</v>
      </c>
      <c r="H109" s="9">
        <v>5</v>
      </c>
      <c r="I109" s="6">
        <v>1234</v>
      </c>
      <c r="J109" s="5" t="s">
        <v>349</v>
      </c>
      <c r="N109" t="s">
        <v>331</v>
      </c>
      <c r="O109" t="s">
        <v>350</v>
      </c>
      <c r="P109">
        <v>1</v>
      </c>
      <c r="Q109" t="s">
        <v>356</v>
      </c>
      <c r="R109" t="s">
        <v>192</v>
      </c>
      <c r="T109" t="s">
        <v>424</v>
      </c>
      <c r="U109" t="s">
        <v>424</v>
      </c>
    </row>
    <row r="110" spans="2:21" x14ac:dyDescent="0.3">
      <c r="B110" s="9">
        <v>33</v>
      </c>
      <c r="C110" s="9" t="s">
        <v>175</v>
      </c>
      <c r="D110">
        <v>7</v>
      </c>
      <c r="E110">
        <v>8</v>
      </c>
      <c r="F110" t="s">
        <v>425</v>
      </c>
      <c r="G110" s="9" t="s">
        <v>344</v>
      </c>
      <c r="H110" s="9">
        <v>5</v>
      </c>
      <c r="I110" s="6" t="s">
        <v>301</v>
      </c>
      <c r="J110" s="5" t="s">
        <v>426</v>
      </c>
      <c r="L110" t="s">
        <v>427</v>
      </c>
      <c r="M110" t="s">
        <v>273</v>
      </c>
      <c r="N110" t="s">
        <v>366</v>
      </c>
      <c r="O110" t="s">
        <v>320</v>
      </c>
      <c r="P110">
        <v>27</v>
      </c>
      <c r="Q110" t="s">
        <v>356</v>
      </c>
      <c r="R110" t="s">
        <v>192</v>
      </c>
      <c r="T110" t="s">
        <v>428</v>
      </c>
      <c r="U110" t="s">
        <v>429</v>
      </c>
    </row>
    <row r="111" spans="2:21" x14ac:dyDescent="0.3">
      <c r="B111" s="9">
        <v>32</v>
      </c>
      <c r="C111" s="9" t="s">
        <v>243</v>
      </c>
      <c r="D111">
        <v>7</v>
      </c>
      <c r="F111" t="s">
        <v>169</v>
      </c>
      <c r="G111" s="9" t="s">
        <v>304</v>
      </c>
      <c r="H111" s="9"/>
      <c r="I111" s="6" t="s">
        <v>301</v>
      </c>
      <c r="J111" s="5" t="s">
        <v>305</v>
      </c>
      <c r="L111" t="s">
        <v>306</v>
      </c>
      <c r="M111" t="s">
        <v>190</v>
      </c>
      <c r="Q111" t="s">
        <v>356</v>
      </c>
      <c r="R111" t="s">
        <v>192</v>
      </c>
      <c r="T111" t="s">
        <v>430</v>
      </c>
      <c r="U111" t="s">
        <v>430</v>
      </c>
    </row>
    <row r="112" spans="2:21" x14ac:dyDescent="0.3">
      <c r="B112" s="9">
        <v>31</v>
      </c>
      <c r="C112" s="9" t="s">
        <v>269</v>
      </c>
      <c r="D112">
        <v>6</v>
      </c>
      <c r="E112">
        <v>3</v>
      </c>
      <c r="F112" t="s">
        <v>147</v>
      </c>
      <c r="G112" s="9" t="s">
        <v>253</v>
      </c>
      <c r="H112" s="9">
        <v>5</v>
      </c>
      <c r="I112" s="6" t="s">
        <v>301</v>
      </c>
      <c r="J112" s="5" t="s">
        <v>302</v>
      </c>
      <c r="K112">
        <v>5</v>
      </c>
      <c r="L112" t="s">
        <v>255</v>
      </c>
      <c r="M112" t="s">
        <v>255</v>
      </c>
      <c r="N112" t="s">
        <v>256</v>
      </c>
      <c r="P112">
        <v>13</v>
      </c>
      <c r="Q112" t="s">
        <v>356</v>
      </c>
      <c r="R112" t="s">
        <v>192</v>
      </c>
      <c r="T112" t="s">
        <v>431</v>
      </c>
      <c r="U112" t="s">
        <v>431</v>
      </c>
    </row>
    <row r="113" spans="2:21" x14ac:dyDescent="0.3">
      <c r="B113" s="9">
        <v>30</v>
      </c>
      <c r="C113" s="9" t="s">
        <v>432</v>
      </c>
      <c r="D113">
        <v>6</v>
      </c>
      <c r="F113" t="s">
        <v>147</v>
      </c>
      <c r="G113" s="9" t="s">
        <v>253</v>
      </c>
      <c r="H113" s="9">
        <v>1</v>
      </c>
      <c r="I113" s="6">
        <v>1234</v>
      </c>
      <c r="J113" s="5" t="s">
        <v>433</v>
      </c>
      <c r="L113" t="s">
        <v>255</v>
      </c>
      <c r="Q113" t="s">
        <v>356</v>
      </c>
      <c r="R113" t="s">
        <v>192</v>
      </c>
      <c r="T113" t="s">
        <v>434</v>
      </c>
      <c r="U113" t="s">
        <v>434</v>
      </c>
    </row>
    <row r="114" spans="2:21" x14ac:dyDescent="0.3">
      <c r="B114" s="9">
        <v>29</v>
      </c>
      <c r="C114" s="9" t="s">
        <v>421</v>
      </c>
      <c r="D114">
        <v>6</v>
      </c>
      <c r="E114">
        <v>6</v>
      </c>
      <c r="F114" t="s">
        <v>171</v>
      </c>
      <c r="G114" s="9" t="s">
        <v>344</v>
      </c>
      <c r="H114" s="9">
        <v>5</v>
      </c>
      <c r="I114" s="6" t="s">
        <v>271</v>
      </c>
      <c r="J114" s="5" t="s">
        <v>435</v>
      </c>
      <c r="L114" t="s">
        <v>360</v>
      </c>
      <c r="M114" t="s">
        <v>360</v>
      </c>
      <c r="N114" t="s">
        <v>274</v>
      </c>
      <c r="Q114" t="s">
        <v>356</v>
      </c>
      <c r="R114" t="s">
        <v>192</v>
      </c>
      <c r="T114" t="s">
        <v>408</v>
      </c>
      <c r="U114" t="s">
        <v>408</v>
      </c>
    </row>
    <row r="115" spans="2:21" x14ac:dyDescent="0.3">
      <c r="B115" s="9">
        <v>28</v>
      </c>
      <c r="C115" s="9" t="s">
        <v>180</v>
      </c>
      <c r="D115">
        <v>6</v>
      </c>
      <c r="E115">
        <v>9</v>
      </c>
      <c r="F115" t="s">
        <v>322</v>
      </c>
      <c r="G115" s="9" t="s">
        <v>323</v>
      </c>
      <c r="H115" s="9">
        <v>5</v>
      </c>
      <c r="I115" s="6"/>
      <c r="J115" s="5" t="s">
        <v>324</v>
      </c>
      <c r="L115" t="s">
        <v>322</v>
      </c>
      <c r="M115" t="s">
        <v>325</v>
      </c>
      <c r="O115" t="s">
        <v>320</v>
      </c>
      <c r="Q115" t="s">
        <v>356</v>
      </c>
      <c r="R115" t="s">
        <v>192</v>
      </c>
      <c r="T115" t="s">
        <v>436</v>
      </c>
      <c r="U115" t="s">
        <v>436</v>
      </c>
    </row>
    <row r="116" spans="2:21" x14ac:dyDescent="0.3">
      <c r="B116" s="9">
        <v>27</v>
      </c>
      <c r="C116" s="9" t="s">
        <v>175</v>
      </c>
      <c r="D116">
        <v>6</v>
      </c>
      <c r="E116">
        <v>6</v>
      </c>
      <c r="F116" t="s">
        <v>437</v>
      </c>
      <c r="G116" s="9" t="s">
        <v>270</v>
      </c>
      <c r="H116" s="9">
        <v>5</v>
      </c>
      <c r="I116" s="6" t="s">
        <v>301</v>
      </c>
      <c r="J116" s="5" t="s">
        <v>438</v>
      </c>
      <c r="L116" t="s">
        <v>439</v>
      </c>
      <c r="M116" t="s">
        <v>273</v>
      </c>
      <c r="N116" t="s">
        <v>331</v>
      </c>
      <c r="O116" t="s">
        <v>320</v>
      </c>
      <c r="P116">
        <v>19</v>
      </c>
      <c r="Q116" t="s">
        <v>356</v>
      </c>
      <c r="R116" t="s">
        <v>192</v>
      </c>
      <c r="T116" t="s">
        <v>440</v>
      </c>
      <c r="U116" t="s">
        <v>440</v>
      </c>
    </row>
    <row r="117" spans="2:21" x14ac:dyDescent="0.3">
      <c r="B117" s="9">
        <v>26</v>
      </c>
      <c r="C117" s="9" t="s">
        <v>243</v>
      </c>
      <c r="D117">
        <v>6</v>
      </c>
      <c r="F117" t="s">
        <v>173</v>
      </c>
      <c r="G117" s="9" t="s">
        <v>270</v>
      </c>
      <c r="H117" s="9"/>
      <c r="I117" s="6" t="s">
        <v>301</v>
      </c>
      <c r="J117" s="5" t="s">
        <v>378</v>
      </c>
      <c r="L117" t="s">
        <v>273</v>
      </c>
      <c r="M117" t="s">
        <v>190</v>
      </c>
      <c r="P117">
        <v>20</v>
      </c>
      <c r="Q117" t="s">
        <v>356</v>
      </c>
      <c r="R117" t="s">
        <v>192</v>
      </c>
      <c r="T117" t="s">
        <v>441</v>
      </c>
      <c r="U117" t="s">
        <v>441</v>
      </c>
    </row>
    <row r="118" spans="2:21" x14ac:dyDescent="0.3">
      <c r="B118" s="9">
        <v>25</v>
      </c>
      <c r="C118" s="9" t="s">
        <v>421</v>
      </c>
      <c r="D118">
        <v>5</v>
      </c>
      <c r="E118">
        <v>5</v>
      </c>
      <c r="F118" t="s">
        <v>169</v>
      </c>
      <c r="G118" s="9" t="s">
        <v>304</v>
      </c>
      <c r="H118" s="9">
        <v>5</v>
      </c>
      <c r="I118" s="6" t="s">
        <v>271</v>
      </c>
      <c r="J118" s="5" t="s">
        <v>442</v>
      </c>
      <c r="L118" t="s">
        <v>306</v>
      </c>
      <c r="M118" t="s">
        <v>306</v>
      </c>
      <c r="N118" t="s">
        <v>274</v>
      </c>
      <c r="Q118" t="s">
        <v>356</v>
      </c>
      <c r="R118" t="s">
        <v>192</v>
      </c>
      <c r="T118" t="s">
        <v>408</v>
      </c>
      <c r="U118" t="s">
        <v>408</v>
      </c>
    </row>
    <row r="119" spans="2:21" x14ac:dyDescent="0.3">
      <c r="B119" s="9">
        <v>24</v>
      </c>
      <c r="C119" s="9" t="s">
        <v>180</v>
      </c>
      <c r="D119">
        <v>5</v>
      </c>
      <c r="E119">
        <v>3</v>
      </c>
      <c r="F119" t="s">
        <v>317</v>
      </c>
      <c r="G119" s="9" t="s">
        <v>318</v>
      </c>
      <c r="H119" s="9">
        <v>-1</v>
      </c>
      <c r="I119" s="6">
        <v>1234</v>
      </c>
      <c r="J119" s="5" t="s">
        <v>319</v>
      </c>
      <c r="N119" t="s">
        <v>256</v>
      </c>
      <c r="O119" t="s">
        <v>320</v>
      </c>
      <c r="P119">
        <v>90</v>
      </c>
      <c r="Q119" t="s">
        <v>356</v>
      </c>
      <c r="R119" t="s">
        <v>192</v>
      </c>
      <c r="T119" t="s">
        <v>443</v>
      </c>
      <c r="U119" t="s">
        <v>443</v>
      </c>
    </row>
    <row r="120" spans="2:21" x14ac:dyDescent="0.3">
      <c r="B120" s="9">
        <v>23</v>
      </c>
      <c r="C120" s="9" t="s">
        <v>175</v>
      </c>
      <c r="D120">
        <v>5</v>
      </c>
      <c r="E120">
        <v>2</v>
      </c>
      <c r="F120" t="s">
        <v>185</v>
      </c>
      <c r="G120" s="9" t="s">
        <v>318</v>
      </c>
      <c r="H120" s="9">
        <v>5</v>
      </c>
      <c r="I120" s="6">
        <v>1234</v>
      </c>
      <c r="J120" s="5" t="s">
        <v>349</v>
      </c>
      <c r="N120" t="s">
        <v>331</v>
      </c>
      <c r="O120" t="s">
        <v>350</v>
      </c>
      <c r="P120">
        <v>1</v>
      </c>
      <c r="Q120" t="s">
        <v>356</v>
      </c>
      <c r="R120" t="s">
        <v>192</v>
      </c>
      <c r="T120" t="s">
        <v>444</v>
      </c>
      <c r="U120" t="s">
        <v>444</v>
      </c>
    </row>
    <row r="121" spans="2:21" x14ac:dyDescent="0.3">
      <c r="B121" s="9">
        <v>22</v>
      </c>
      <c r="C121" s="9" t="s">
        <v>243</v>
      </c>
      <c r="D121">
        <v>5</v>
      </c>
      <c r="F121" t="s">
        <v>147</v>
      </c>
      <c r="G121" s="9" t="s">
        <v>187</v>
      </c>
      <c r="H121" s="9">
        <v>5</v>
      </c>
      <c r="I121" s="6" t="s">
        <v>301</v>
      </c>
      <c r="J121" s="5" t="s">
        <v>302</v>
      </c>
      <c r="L121" t="s">
        <v>255</v>
      </c>
      <c r="M121" t="s">
        <v>273</v>
      </c>
      <c r="N121" t="s">
        <v>256</v>
      </c>
      <c r="P121">
        <v>13</v>
      </c>
      <c r="Q121" t="s">
        <v>356</v>
      </c>
      <c r="R121" t="s">
        <v>192</v>
      </c>
      <c r="T121" t="s">
        <v>445</v>
      </c>
      <c r="U121" t="s">
        <v>445</v>
      </c>
    </row>
    <row r="122" spans="2:21" x14ac:dyDescent="0.3">
      <c r="B122" s="9">
        <v>21</v>
      </c>
      <c r="C122" s="9" t="s">
        <v>432</v>
      </c>
      <c r="D122">
        <v>4</v>
      </c>
      <c r="F122" t="s">
        <v>181</v>
      </c>
      <c r="G122" s="9" t="s">
        <v>446</v>
      </c>
      <c r="H122" s="9">
        <v>5</v>
      </c>
      <c r="I122" s="6">
        <v>1234</v>
      </c>
      <c r="J122" s="5" t="s">
        <v>447</v>
      </c>
      <c r="L122" t="s">
        <v>448</v>
      </c>
      <c r="P122">
        <v>39</v>
      </c>
      <c r="Q122" t="s">
        <v>356</v>
      </c>
      <c r="R122" t="s">
        <v>192</v>
      </c>
      <c r="T122" t="s">
        <v>434</v>
      </c>
      <c r="U122" t="s">
        <v>434</v>
      </c>
    </row>
    <row r="123" spans="2:21" x14ac:dyDescent="0.3">
      <c r="B123" s="9">
        <v>20</v>
      </c>
      <c r="C123" s="9" t="s">
        <v>421</v>
      </c>
      <c r="D123">
        <v>4</v>
      </c>
      <c r="E123">
        <v>4</v>
      </c>
      <c r="F123" t="s">
        <v>333</v>
      </c>
      <c r="G123" s="9" t="s">
        <v>334</v>
      </c>
      <c r="H123" s="9">
        <v>3</v>
      </c>
      <c r="I123" s="6" t="s">
        <v>301</v>
      </c>
      <c r="J123" s="5" t="s">
        <v>335</v>
      </c>
      <c r="L123" t="s">
        <v>336</v>
      </c>
      <c r="M123" t="s">
        <v>336</v>
      </c>
      <c r="N123" t="s">
        <v>256</v>
      </c>
      <c r="P123">
        <v>18</v>
      </c>
      <c r="Q123" t="s">
        <v>356</v>
      </c>
      <c r="R123" t="s">
        <v>192</v>
      </c>
      <c r="S123" t="s">
        <v>339</v>
      </c>
      <c r="T123" t="s">
        <v>449</v>
      </c>
      <c r="U123" t="s">
        <v>450</v>
      </c>
    </row>
    <row r="124" spans="2:21" x14ac:dyDescent="0.3">
      <c r="B124" s="9">
        <v>19</v>
      </c>
      <c r="C124" s="9" t="s">
        <v>175</v>
      </c>
      <c r="D124">
        <v>4</v>
      </c>
      <c r="E124">
        <v>9</v>
      </c>
      <c r="F124" t="s">
        <v>343</v>
      </c>
      <c r="G124" s="9" t="s">
        <v>344</v>
      </c>
      <c r="H124" s="9">
        <v>0</v>
      </c>
      <c r="I124" s="6" t="s">
        <v>301</v>
      </c>
      <c r="J124" s="5" t="s">
        <v>345</v>
      </c>
      <c r="L124" t="s">
        <v>346</v>
      </c>
      <c r="M124" t="s">
        <v>346</v>
      </c>
      <c r="N124" t="s">
        <v>256</v>
      </c>
      <c r="O124" t="s">
        <v>320</v>
      </c>
      <c r="P124">
        <v>2</v>
      </c>
      <c r="Q124" t="s">
        <v>356</v>
      </c>
      <c r="R124" t="s">
        <v>192</v>
      </c>
      <c r="T124" t="s">
        <v>451</v>
      </c>
      <c r="U124" t="s">
        <v>451</v>
      </c>
    </row>
    <row r="125" spans="2:21" x14ac:dyDescent="0.3">
      <c r="B125" s="9">
        <v>18</v>
      </c>
      <c r="C125" s="9" t="s">
        <v>243</v>
      </c>
      <c r="D125">
        <v>4</v>
      </c>
      <c r="F125" t="s">
        <v>391</v>
      </c>
      <c r="G125" s="9" t="s">
        <v>452</v>
      </c>
      <c r="H125" s="9">
        <v>5</v>
      </c>
      <c r="I125" s="6" t="s">
        <v>301</v>
      </c>
      <c r="J125" s="5" t="s">
        <v>453</v>
      </c>
      <c r="L125" t="s">
        <v>393</v>
      </c>
      <c r="M125" t="s">
        <v>273</v>
      </c>
      <c r="N125" t="s">
        <v>256</v>
      </c>
      <c r="Q125" t="s">
        <v>356</v>
      </c>
      <c r="R125" t="s">
        <v>192</v>
      </c>
      <c r="T125" t="s">
        <v>454</v>
      </c>
      <c r="U125" t="s">
        <v>454</v>
      </c>
    </row>
    <row r="126" spans="2:21" x14ac:dyDescent="0.3">
      <c r="B126" s="9">
        <v>17</v>
      </c>
      <c r="C126" s="9" t="s">
        <v>432</v>
      </c>
      <c r="D126">
        <v>3</v>
      </c>
      <c r="F126" t="s">
        <v>186</v>
      </c>
      <c r="G126" s="9" t="s">
        <v>187</v>
      </c>
      <c r="H126" s="9">
        <v>-1</v>
      </c>
      <c r="I126" s="6" t="s">
        <v>188</v>
      </c>
      <c r="J126" s="5" t="s">
        <v>189</v>
      </c>
      <c r="L126" t="s">
        <v>190</v>
      </c>
      <c r="Q126" t="s">
        <v>356</v>
      </c>
      <c r="R126" t="s">
        <v>192</v>
      </c>
      <c r="T126" t="s">
        <v>434</v>
      </c>
      <c r="U126" t="s">
        <v>434</v>
      </c>
    </row>
    <row r="127" spans="2:21" x14ac:dyDescent="0.3">
      <c r="B127" s="9">
        <v>16</v>
      </c>
      <c r="C127" s="9" t="s">
        <v>421</v>
      </c>
      <c r="D127">
        <v>3</v>
      </c>
      <c r="E127">
        <v>3</v>
      </c>
      <c r="F127" t="s">
        <v>455</v>
      </c>
      <c r="G127" s="9" t="s">
        <v>187</v>
      </c>
      <c r="H127" s="9">
        <v>5</v>
      </c>
      <c r="I127" s="6" t="s">
        <v>456</v>
      </c>
      <c r="J127" s="5" t="s">
        <v>457</v>
      </c>
      <c r="L127" t="s">
        <v>455</v>
      </c>
      <c r="N127" t="s">
        <v>458</v>
      </c>
      <c r="Q127" t="s">
        <v>356</v>
      </c>
      <c r="R127" t="s">
        <v>192</v>
      </c>
      <c r="T127" t="s">
        <v>459</v>
      </c>
      <c r="U127" t="s">
        <v>459</v>
      </c>
    </row>
    <row r="128" spans="2:21" x14ac:dyDescent="0.3">
      <c r="B128" s="9">
        <v>15</v>
      </c>
      <c r="C128" s="9" t="s">
        <v>180</v>
      </c>
      <c r="D128">
        <v>3</v>
      </c>
      <c r="E128">
        <v>8</v>
      </c>
      <c r="F128" t="s">
        <v>169</v>
      </c>
      <c r="G128" s="9" t="s">
        <v>304</v>
      </c>
      <c r="H128" s="9">
        <v>0</v>
      </c>
      <c r="I128" s="6" t="s">
        <v>271</v>
      </c>
      <c r="J128" s="5" t="s">
        <v>305</v>
      </c>
      <c r="L128" t="s">
        <v>306</v>
      </c>
      <c r="M128" t="s">
        <v>190</v>
      </c>
      <c r="N128" t="s">
        <v>256</v>
      </c>
      <c r="O128" t="s">
        <v>320</v>
      </c>
      <c r="Q128" t="s">
        <v>356</v>
      </c>
      <c r="R128" t="s">
        <v>192</v>
      </c>
      <c r="T128" t="s">
        <v>460</v>
      </c>
      <c r="U128" t="s">
        <v>460</v>
      </c>
    </row>
    <row r="129" spans="2:21" x14ac:dyDescent="0.3">
      <c r="B129" s="9">
        <v>14</v>
      </c>
      <c r="C129" s="9" t="s">
        <v>175</v>
      </c>
      <c r="D129">
        <v>3</v>
      </c>
      <c r="E129">
        <v>1</v>
      </c>
      <c r="F129" t="s">
        <v>186</v>
      </c>
      <c r="G129" s="9" t="s">
        <v>187</v>
      </c>
      <c r="H129" s="9">
        <v>-1</v>
      </c>
      <c r="I129" s="6" t="s">
        <v>188</v>
      </c>
      <c r="J129" s="5" t="s">
        <v>189</v>
      </c>
      <c r="L129" t="s">
        <v>190</v>
      </c>
      <c r="M129" t="s">
        <v>190</v>
      </c>
      <c r="N129" t="s">
        <v>256</v>
      </c>
      <c r="O129" t="s">
        <v>315</v>
      </c>
      <c r="Q129" t="s">
        <v>356</v>
      </c>
      <c r="R129" t="s">
        <v>192</v>
      </c>
      <c r="T129" t="s">
        <v>461</v>
      </c>
      <c r="U129" t="s">
        <v>461</v>
      </c>
    </row>
    <row r="130" spans="2:21" x14ac:dyDescent="0.3">
      <c r="B130" s="9">
        <v>13</v>
      </c>
      <c r="C130" s="9" t="s">
        <v>288</v>
      </c>
      <c r="D130">
        <v>3</v>
      </c>
      <c r="E130">
        <v>3</v>
      </c>
      <c r="F130" t="s">
        <v>147</v>
      </c>
      <c r="G130" s="9" t="s">
        <v>253</v>
      </c>
      <c r="H130" s="9">
        <v>5</v>
      </c>
      <c r="I130" s="6" t="s">
        <v>301</v>
      </c>
      <c r="J130" s="5" t="s">
        <v>302</v>
      </c>
      <c r="K130">
        <v>1</v>
      </c>
      <c r="L130" t="s">
        <v>255</v>
      </c>
      <c r="M130" t="s">
        <v>255</v>
      </c>
      <c r="N130" t="s">
        <v>256</v>
      </c>
      <c r="P130">
        <v>13</v>
      </c>
      <c r="Q130" t="s">
        <v>356</v>
      </c>
      <c r="R130" t="s">
        <v>192</v>
      </c>
      <c r="T130" t="s">
        <v>462</v>
      </c>
      <c r="U130" t="s">
        <v>462</v>
      </c>
    </row>
    <row r="131" spans="2:21" x14ac:dyDescent="0.3">
      <c r="B131" s="9">
        <v>12</v>
      </c>
      <c r="C131" s="9" t="s">
        <v>243</v>
      </c>
      <c r="D131">
        <v>3</v>
      </c>
      <c r="F131" t="s">
        <v>343</v>
      </c>
      <c r="G131" s="9" t="s">
        <v>176</v>
      </c>
      <c r="H131" s="9"/>
      <c r="I131" s="6" t="s">
        <v>301</v>
      </c>
      <c r="J131" s="5" t="s">
        <v>345</v>
      </c>
      <c r="L131" t="s">
        <v>346</v>
      </c>
      <c r="M131" t="s">
        <v>346</v>
      </c>
      <c r="P131">
        <v>2</v>
      </c>
      <c r="Q131" t="s">
        <v>356</v>
      </c>
      <c r="R131" t="s">
        <v>192</v>
      </c>
      <c r="T131" t="s">
        <v>463</v>
      </c>
      <c r="U131" t="s">
        <v>464</v>
      </c>
    </row>
    <row r="132" spans="2:21" x14ac:dyDescent="0.3">
      <c r="B132" s="9">
        <v>11</v>
      </c>
      <c r="C132" s="9" t="s">
        <v>269</v>
      </c>
      <c r="D132">
        <v>2</v>
      </c>
      <c r="E132">
        <v>2</v>
      </c>
      <c r="F132" t="s">
        <v>186</v>
      </c>
      <c r="G132" s="9" t="s">
        <v>187</v>
      </c>
      <c r="H132" s="9">
        <v>-1</v>
      </c>
      <c r="I132" s="6" t="s">
        <v>188</v>
      </c>
      <c r="J132" s="5" t="s">
        <v>189</v>
      </c>
      <c r="K132">
        <v>1</v>
      </c>
      <c r="L132" t="s">
        <v>190</v>
      </c>
      <c r="M132" t="s">
        <v>190</v>
      </c>
      <c r="N132" t="s">
        <v>256</v>
      </c>
      <c r="Q132" t="s">
        <v>356</v>
      </c>
      <c r="R132" t="s">
        <v>192</v>
      </c>
      <c r="T132" t="s">
        <v>465</v>
      </c>
      <c r="U132" t="s">
        <v>465</v>
      </c>
    </row>
    <row r="133" spans="2:21" x14ac:dyDescent="0.3">
      <c r="B133" s="9">
        <v>10</v>
      </c>
      <c r="C133" s="9" t="s">
        <v>421</v>
      </c>
      <c r="D133">
        <v>2</v>
      </c>
      <c r="E133">
        <v>2</v>
      </c>
      <c r="F133" t="s">
        <v>147</v>
      </c>
      <c r="G133" s="9" t="s">
        <v>253</v>
      </c>
      <c r="H133" s="9">
        <v>3</v>
      </c>
      <c r="I133" s="6" t="s">
        <v>301</v>
      </c>
      <c r="J133" s="5" t="s">
        <v>302</v>
      </c>
      <c r="L133" t="s">
        <v>255</v>
      </c>
      <c r="M133" t="s">
        <v>255</v>
      </c>
      <c r="N133" t="s">
        <v>256</v>
      </c>
      <c r="P133">
        <v>13</v>
      </c>
      <c r="Q133" t="s">
        <v>356</v>
      </c>
      <c r="R133" t="s">
        <v>192</v>
      </c>
      <c r="T133" t="s">
        <v>466</v>
      </c>
      <c r="U133" t="s">
        <v>466</v>
      </c>
    </row>
    <row r="134" spans="2:21" x14ac:dyDescent="0.3">
      <c r="B134" s="9">
        <v>9</v>
      </c>
      <c r="C134" s="9" t="s">
        <v>180</v>
      </c>
      <c r="D134">
        <v>2</v>
      </c>
      <c r="E134">
        <v>6</v>
      </c>
      <c r="F134" t="s">
        <v>333</v>
      </c>
      <c r="G134" s="9" t="s">
        <v>334</v>
      </c>
      <c r="H134" s="9">
        <v>0</v>
      </c>
      <c r="I134" s="6" t="s">
        <v>301</v>
      </c>
      <c r="J134" s="5" t="s">
        <v>335</v>
      </c>
      <c r="L134" t="s">
        <v>336</v>
      </c>
      <c r="M134" t="s">
        <v>336</v>
      </c>
      <c r="N134" t="s">
        <v>337</v>
      </c>
      <c r="O134" t="s">
        <v>338</v>
      </c>
      <c r="P134">
        <v>18</v>
      </c>
      <c r="Q134" t="s">
        <v>356</v>
      </c>
      <c r="R134" t="s">
        <v>192</v>
      </c>
      <c r="S134" t="s">
        <v>339</v>
      </c>
      <c r="T134" t="s">
        <v>467</v>
      </c>
      <c r="U134" t="s">
        <v>468</v>
      </c>
    </row>
    <row r="135" spans="2:21" x14ac:dyDescent="0.3">
      <c r="B135" s="9">
        <v>8</v>
      </c>
      <c r="C135" s="9" t="s">
        <v>288</v>
      </c>
      <c r="D135">
        <v>2</v>
      </c>
      <c r="E135">
        <v>2</v>
      </c>
      <c r="F135" t="s">
        <v>186</v>
      </c>
      <c r="G135" s="9" t="s">
        <v>187</v>
      </c>
      <c r="H135" s="9">
        <v>-1</v>
      </c>
      <c r="I135" s="6" t="s">
        <v>188</v>
      </c>
      <c r="J135" s="5" t="s">
        <v>189</v>
      </c>
      <c r="K135">
        <v>1</v>
      </c>
      <c r="L135" t="s">
        <v>190</v>
      </c>
      <c r="M135" t="s">
        <v>190</v>
      </c>
      <c r="N135" t="s">
        <v>469</v>
      </c>
      <c r="Q135" t="s">
        <v>356</v>
      </c>
      <c r="R135" t="s">
        <v>192</v>
      </c>
      <c r="T135" t="s">
        <v>470</v>
      </c>
      <c r="U135" t="s">
        <v>470</v>
      </c>
    </row>
    <row r="136" spans="2:21" x14ac:dyDescent="0.3">
      <c r="B136" s="9">
        <v>7</v>
      </c>
      <c r="C136" s="9" t="s">
        <v>243</v>
      </c>
      <c r="D136">
        <v>2</v>
      </c>
      <c r="F136" t="s">
        <v>186</v>
      </c>
      <c r="G136" s="9" t="s">
        <v>187</v>
      </c>
      <c r="H136" s="9">
        <v>-1</v>
      </c>
      <c r="I136" s="6" t="s">
        <v>188</v>
      </c>
      <c r="J136" s="5" t="s">
        <v>189</v>
      </c>
      <c r="L136" t="s">
        <v>190</v>
      </c>
      <c r="M136" t="s">
        <v>190</v>
      </c>
      <c r="Q136" t="s">
        <v>356</v>
      </c>
      <c r="R136" t="s">
        <v>192</v>
      </c>
      <c r="T136" t="s">
        <v>193</v>
      </c>
      <c r="U136" t="s">
        <v>193</v>
      </c>
    </row>
    <row r="137" spans="2:21" x14ac:dyDescent="0.3">
      <c r="B137" s="9">
        <v>6</v>
      </c>
      <c r="C137" s="9" t="s">
        <v>269</v>
      </c>
      <c r="D137">
        <v>1</v>
      </c>
      <c r="E137">
        <v>1</v>
      </c>
      <c r="F137" t="s">
        <v>471</v>
      </c>
      <c r="G137" s="9" t="s">
        <v>176</v>
      </c>
      <c r="H137" s="9">
        <v>5</v>
      </c>
      <c r="I137" s="6" t="s">
        <v>472</v>
      </c>
      <c r="J137" s="5" t="s">
        <v>473</v>
      </c>
      <c r="L137" t="s">
        <v>474</v>
      </c>
      <c r="M137" t="s">
        <v>474</v>
      </c>
      <c r="N137" t="s">
        <v>475</v>
      </c>
      <c r="P137">
        <v>16</v>
      </c>
      <c r="Q137" t="s">
        <v>356</v>
      </c>
      <c r="R137" t="s">
        <v>192</v>
      </c>
      <c r="T137" t="s">
        <v>465</v>
      </c>
      <c r="U137" t="s">
        <v>465</v>
      </c>
    </row>
    <row r="138" spans="2:21" x14ac:dyDescent="0.3">
      <c r="B138" s="9">
        <v>5</v>
      </c>
      <c r="C138" s="9" t="s">
        <v>421</v>
      </c>
      <c r="D138">
        <v>1</v>
      </c>
      <c r="E138">
        <v>1</v>
      </c>
      <c r="F138" t="s">
        <v>186</v>
      </c>
      <c r="G138" s="9" t="s">
        <v>187</v>
      </c>
      <c r="H138" s="9">
        <v>-1</v>
      </c>
      <c r="I138" s="6" t="s">
        <v>188</v>
      </c>
      <c r="J138" t="s">
        <v>189</v>
      </c>
      <c r="L138" t="s">
        <v>190</v>
      </c>
      <c r="M138" t="s">
        <v>190</v>
      </c>
      <c r="N138" t="s">
        <v>274</v>
      </c>
      <c r="Q138" t="s">
        <v>356</v>
      </c>
      <c r="R138" t="s">
        <v>192</v>
      </c>
      <c r="T138" t="s">
        <v>476</v>
      </c>
      <c r="U138" t="s">
        <v>476</v>
      </c>
    </row>
    <row r="139" spans="2:21" x14ac:dyDescent="0.3">
      <c r="B139" s="9">
        <v>4</v>
      </c>
      <c r="C139" s="9" t="s">
        <v>180</v>
      </c>
      <c r="D139">
        <v>1</v>
      </c>
      <c r="E139">
        <v>1</v>
      </c>
      <c r="F139" t="s">
        <v>186</v>
      </c>
      <c r="G139" s="9" t="s">
        <v>187</v>
      </c>
      <c r="H139" s="9">
        <v>-1</v>
      </c>
      <c r="I139" t="s">
        <v>188</v>
      </c>
      <c r="J139" t="s">
        <v>189</v>
      </c>
      <c r="L139" t="s">
        <v>190</v>
      </c>
      <c r="M139" t="s">
        <v>190</v>
      </c>
      <c r="N139" t="s">
        <v>256</v>
      </c>
      <c r="O139" t="s">
        <v>315</v>
      </c>
      <c r="Q139" t="s">
        <v>356</v>
      </c>
      <c r="R139" t="s">
        <v>192</v>
      </c>
      <c r="T139" t="s">
        <v>477</v>
      </c>
      <c r="U139" t="s">
        <v>477</v>
      </c>
    </row>
    <row r="140" spans="2:21" x14ac:dyDescent="0.3">
      <c r="B140" s="9">
        <v>3</v>
      </c>
      <c r="C140" s="9" t="s">
        <v>175</v>
      </c>
      <c r="D140">
        <v>1</v>
      </c>
      <c r="E140">
        <v>12</v>
      </c>
      <c r="F140" t="s">
        <v>478</v>
      </c>
      <c r="G140" s="9" t="s">
        <v>344</v>
      </c>
      <c r="H140" s="9">
        <v>5</v>
      </c>
      <c r="I140" t="s">
        <v>301</v>
      </c>
      <c r="J140" t="s">
        <v>479</v>
      </c>
      <c r="L140" t="s">
        <v>480</v>
      </c>
      <c r="M140" t="s">
        <v>346</v>
      </c>
      <c r="O140" t="s">
        <v>320</v>
      </c>
      <c r="P140">
        <v>22</v>
      </c>
      <c r="Q140" t="s">
        <v>356</v>
      </c>
      <c r="R140" t="s">
        <v>192</v>
      </c>
      <c r="T140" t="s">
        <v>481</v>
      </c>
      <c r="U140" t="s">
        <v>481</v>
      </c>
    </row>
    <row r="141" spans="2:21" x14ac:dyDescent="0.3">
      <c r="B141" s="9">
        <v>2</v>
      </c>
      <c r="C141" s="9" t="s">
        <v>288</v>
      </c>
      <c r="D141">
        <v>1</v>
      </c>
      <c r="E141">
        <v>1</v>
      </c>
      <c r="F141" t="s">
        <v>482</v>
      </c>
      <c r="G141" s="9" t="s">
        <v>483</v>
      </c>
      <c r="H141" s="9">
        <v>5</v>
      </c>
      <c r="I141" t="s">
        <v>484</v>
      </c>
      <c r="J141" t="s">
        <v>485</v>
      </c>
      <c r="K141">
        <v>5</v>
      </c>
      <c r="L141" t="s">
        <v>336</v>
      </c>
      <c r="M141" t="s">
        <v>336</v>
      </c>
      <c r="N141" t="s">
        <v>483</v>
      </c>
      <c r="Q141" t="s">
        <v>356</v>
      </c>
      <c r="R141" t="s">
        <v>192</v>
      </c>
      <c r="T141" t="s">
        <v>486</v>
      </c>
      <c r="U141" t="s">
        <v>486</v>
      </c>
    </row>
    <row r="142" spans="2:21" x14ac:dyDescent="0.3">
      <c r="B142" s="9">
        <v>1</v>
      </c>
      <c r="C142" s="9" t="s">
        <v>243</v>
      </c>
      <c r="D142">
        <v>1</v>
      </c>
      <c r="F142" t="s">
        <v>455</v>
      </c>
      <c r="G142" s="9"/>
      <c r="H142" s="9">
        <v>5</v>
      </c>
      <c r="I142" t="s">
        <v>487</v>
      </c>
      <c r="J142" t="s">
        <v>488</v>
      </c>
      <c r="Q142" t="s">
        <v>356</v>
      </c>
      <c r="R142" t="s">
        <v>192</v>
      </c>
      <c r="S142" t="s">
        <v>489</v>
      </c>
      <c r="T142" t="s">
        <v>490</v>
      </c>
      <c r="U142" t="s">
        <v>490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P105"/>
  <sheetViews>
    <sheetView workbookViewId="0">
      <selection activeCell="F3" sqref="F3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  <col min="5" max="5" width="16.5" customWidth="1"/>
    <col min="6" max="15" width="15.25" customWidth="1"/>
    <col min="16" max="16" width="18.125" customWidth="1"/>
  </cols>
  <sheetData>
    <row r="1" spans="1:16" x14ac:dyDescent="0.3">
      <c r="C1" s="1" t="s">
        <v>130</v>
      </c>
    </row>
    <row r="2" spans="1:16" x14ac:dyDescent="0.3">
      <c r="C2" s="1"/>
      <c r="E2" s="19" t="s">
        <v>571</v>
      </c>
      <c r="F2" s="19" t="s">
        <v>572</v>
      </c>
      <c r="G2" s="19" t="s">
        <v>573</v>
      </c>
      <c r="H2" s="19" t="s">
        <v>574</v>
      </c>
      <c r="I2" s="19" t="s">
        <v>576</v>
      </c>
      <c r="J2" s="20" t="s">
        <v>577</v>
      </c>
      <c r="L2" s="21" t="s">
        <v>575</v>
      </c>
    </row>
    <row r="3" spans="1:16" x14ac:dyDescent="0.3">
      <c r="C3" s="1"/>
      <c r="E3" t="s">
        <v>584</v>
      </c>
      <c r="F3" t="s">
        <v>590</v>
      </c>
      <c r="G3" t="str">
        <f ca="1">CELL("address",INDEX(E5:P5, MATCH(E3,E5:P5,0)))</f>
        <v>$F$5</v>
      </c>
      <c r="H3">
        <f>MATCH(E3,E5:P5,0)</f>
        <v>2</v>
      </c>
      <c r="I3">
        <f>4+H3</f>
        <v>6</v>
      </c>
      <c r="J3">
        <v>100</v>
      </c>
      <c r="K3" t="str">
        <f>ADDRESS(J3,I3)</f>
        <v>$F$100</v>
      </c>
      <c r="L3">
        <f ca="1">COUNTA(OFFSET(D5,0,H3,100,1))-1</f>
        <v>6</v>
      </c>
    </row>
    <row r="5" spans="1:16" x14ac:dyDescent="0.3">
      <c r="A5" s="7"/>
      <c r="B5" s="14" t="s">
        <v>131</v>
      </c>
      <c r="C5" s="14" t="s">
        <v>129</v>
      </c>
      <c r="D5" s="15" t="s">
        <v>132</v>
      </c>
      <c r="E5" s="18" t="str">
        <f t="array" ref="E5:P5">TRANSPOSE(B6:B28)</f>
        <v>bkcrowd</v>
      </c>
      <c r="F5" s="18" t="str">
        <v>config</v>
      </c>
      <c r="G5" s="18" t="str">
        <v>gselec</v>
      </c>
      <c r="H5" s="18" t="str">
        <v>ezchemtech</v>
      </c>
      <c r="I5" s="18" t="str">
        <v>ezoffice</v>
      </c>
      <c r="J5" s="18" t="str">
        <v>starshorse</v>
      </c>
      <c r="K5" s="18" t="str">
        <v>kumsung</v>
      </c>
      <c r="L5" s="18" t="str">
        <v>js_crm</v>
      </c>
      <c r="M5" s="18" t="str">
        <v>daeryuk</v>
      </c>
      <c r="N5" s="18" t="str">
        <v>ngc1994</v>
      </c>
      <c r="O5" s="18" t="str">
        <v>gwanakanalog</v>
      </c>
      <c r="P5" s="18" t="str">
        <v>worldshoppe</v>
      </c>
    </row>
    <row r="6" spans="1:16" x14ac:dyDescent="0.3">
      <c r="A6" s="7"/>
      <c r="B6" s="8" t="s">
        <v>108</v>
      </c>
      <c r="C6" s="2" t="s">
        <v>10</v>
      </c>
      <c r="D6" s="15">
        <f>COUNTIF(Sheet1!$E$7:$E$142,$C6)</f>
        <v>0</v>
      </c>
      <c r="E6" t="s">
        <v>505</v>
      </c>
      <c r="F6" t="s">
        <v>586</v>
      </c>
      <c r="G6" t="s">
        <v>506</v>
      </c>
      <c r="H6" t="s">
        <v>507</v>
      </c>
      <c r="I6" t="s">
        <v>508</v>
      </c>
      <c r="J6" t="s">
        <v>509</v>
      </c>
      <c r="K6" t="s">
        <v>510</v>
      </c>
      <c r="L6" t="s">
        <v>511</v>
      </c>
      <c r="M6" t="s">
        <v>512</v>
      </c>
      <c r="N6" t="s">
        <v>513</v>
      </c>
      <c r="O6" t="s">
        <v>514</v>
      </c>
      <c r="P6" t="s">
        <v>515</v>
      </c>
    </row>
    <row r="7" spans="1:16" x14ac:dyDescent="0.3">
      <c r="A7" s="10"/>
      <c r="B7" s="8" t="s">
        <v>585</v>
      </c>
      <c r="C7" s="2" t="s">
        <v>11</v>
      </c>
      <c r="D7" s="15">
        <f>COUNTIF(Sheet1!$E$7:$E$142,$C7)</f>
        <v>0</v>
      </c>
      <c r="E7" t="s">
        <v>516</v>
      </c>
      <c r="F7" t="s">
        <v>587</v>
      </c>
      <c r="G7" t="s">
        <v>521</v>
      </c>
      <c r="H7" t="s">
        <v>522</v>
      </c>
      <c r="I7" t="s">
        <v>523</v>
      </c>
      <c r="J7" t="s">
        <v>524</v>
      </c>
      <c r="K7" t="s">
        <v>525</v>
      </c>
      <c r="L7" t="s">
        <v>526</v>
      </c>
      <c r="M7" t="s">
        <v>527</v>
      </c>
      <c r="N7" t="s">
        <v>528</v>
      </c>
      <c r="O7" t="s">
        <v>529</v>
      </c>
      <c r="P7" t="s">
        <v>530</v>
      </c>
    </row>
    <row r="8" spans="1:16" x14ac:dyDescent="0.3">
      <c r="B8" s="8" t="s">
        <v>109</v>
      </c>
      <c r="C8" s="12" t="s">
        <v>12</v>
      </c>
      <c r="D8" s="15">
        <f>COUNTIF(Sheet1!$E$7:$E$142,$C8)</f>
        <v>0</v>
      </c>
      <c r="E8" t="s">
        <v>517</v>
      </c>
      <c r="F8" t="s">
        <v>588</v>
      </c>
      <c r="G8" t="s">
        <v>531</v>
      </c>
      <c r="H8" t="s">
        <v>532</v>
      </c>
      <c r="I8" t="s">
        <v>533</v>
      </c>
      <c r="J8" t="s">
        <v>534</v>
      </c>
      <c r="K8" t="s">
        <v>535</v>
      </c>
      <c r="L8" t="s">
        <v>536</v>
      </c>
      <c r="M8" t="s">
        <v>537</v>
      </c>
      <c r="N8" t="s">
        <v>538</v>
      </c>
      <c r="O8" t="s">
        <v>539</v>
      </c>
      <c r="P8" t="s">
        <v>540</v>
      </c>
    </row>
    <row r="9" spans="1:16" x14ac:dyDescent="0.3">
      <c r="B9" s="8" t="s">
        <v>110</v>
      </c>
      <c r="C9" s="12" t="s">
        <v>13</v>
      </c>
      <c r="D9" s="15">
        <f>COUNTIF(Sheet1!$E$7:$E$142,$C9)</f>
        <v>0</v>
      </c>
      <c r="E9" t="s">
        <v>518</v>
      </c>
      <c r="F9" t="s">
        <v>589</v>
      </c>
      <c r="G9" t="s">
        <v>541</v>
      </c>
      <c r="H9" t="s">
        <v>542</v>
      </c>
      <c r="I9" t="s">
        <v>543</v>
      </c>
      <c r="J9" t="s">
        <v>544</v>
      </c>
      <c r="K9" t="s">
        <v>545</v>
      </c>
      <c r="L9" t="s">
        <v>546</v>
      </c>
      <c r="M9" t="s">
        <v>547</v>
      </c>
      <c r="N9" t="s">
        <v>548</v>
      </c>
      <c r="O9" t="s">
        <v>549</v>
      </c>
      <c r="P9" t="s">
        <v>550</v>
      </c>
    </row>
    <row r="10" spans="1:16" x14ac:dyDescent="0.3">
      <c r="B10" s="8" t="s">
        <v>111</v>
      </c>
      <c r="C10" s="13" t="s">
        <v>14</v>
      </c>
      <c r="D10" s="15">
        <f>COUNTIF(Sheet1!$E$7:$E$142,$C10)</f>
        <v>0</v>
      </c>
      <c r="E10" t="s">
        <v>519</v>
      </c>
      <c r="F10" t="s">
        <v>591</v>
      </c>
      <c r="G10" t="s">
        <v>551</v>
      </c>
      <c r="H10" t="s">
        <v>552</v>
      </c>
      <c r="I10" t="s">
        <v>553</v>
      </c>
      <c r="J10" t="s">
        <v>554</v>
      </c>
      <c r="K10" t="s">
        <v>555</v>
      </c>
      <c r="L10" t="s">
        <v>556</v>
      </c>
      <c r="M10" t="s">
        <v>557</v>
      </c>
      <c r="N10" t="s">
        <v>558</v>
      </c>
      <c r="O10" t="s">
        <v>559</v>
      </c>
      <c r="P10" t="s">
        <v>560</v>
      </c>
    </row>
    <row r="11" spans="1:16" x14ac:dyDescent="0.3">
      <c r="B11" s="8" t="s">
        <v>77</v>
      </c>
      <c r="C11" s="2" t="s">
        <v>15</v>
      </c>
      <c r="D11" s="15">
        <f>COUNTIF(Sheet1!$E$7:$E$142,$C11)</f>
        <v>0</v>
      </c>
      <c r="E11" t="s">
        <v>520</v>
      </c>
      <c r="F11" t="s">
        <v>592</v>
      </c>
      <c r="G11" t="s">
        <v>561</v>
      </c>
      <c r="H11" t="s">
        <v>562</v>
      </c>
      <c r="I11" t="s">
        <v>563</v>
      </c>
      <c r="J11" t="s">
        <v>564</v>
      </c>
      <c r="K11" t="s">
        <v>565</v>
      </c>
      <c r="L11" t="s">
        <v>566</v>
      </c>
      <c r="M11" t="s">
        <v>567</v>
      </c>
      <c r="N11" t="s">
        <v>568</v>
      </c>
      <c r="O11" t="s">
        <v>569</v>
      </c>
      <c r="P11" t="s">
        <v>570</v>
      </c>
    </row>
    <row r="12" spans="1:16" x14ac:dyDescent="0.3">
      <c r="B12" s="8" t="s">
        <v>112</v>
      </c>
      <c r="C12" s="2" t="s">
        <v>16</v>
      </c>
      <c r="D12" s="15">
        <f>COUNTIF(Sheet1!$E$7:$E$142,$C12)</f>
        <v>0</v>
      </c>
      <c r="O12" t="s">
        <v>578</v>
      </c>
    </row>
    <row r="13" spans="1:16" x14ac:dyDescent="0.3">
      <c r="B13" s="8" t="s">
        <v>113</v>
      </c>
      <c r="C13" s="2" t="s">
        <v>17</v>
      </c>
      <c r="D13" s="15">
        <f>COUNTIF(Sheet1!$E$7:$E$142,$C13)</f>
        <v>0</v>
      </c>
      <c r="O13" t="s">
        <v>579</v>
      </c>
    </row>
    <row r="14" spans="1:16" x14ac:dyDescent="0.3">
      <c r="B14" s="8" t="s">
        <v>114</v>
      </c>
      <c r="C14" s="2" t="s">
        <v>18</v>
      </c>
      <c r="D14" s="15">
        <f>COUNTIF(Sheet1!$E$7:$E$142,$C14)</f>
        <v>0</v>
      </c>
    </row>
    <row r="15" spans="1:16" x14ac:dyDescent="0.3">
      <c r="B15" s="8" t="s">
        <v>115</v>
      </c>
      <c r="C15" s="2" t="s">
        <v>19</v>
      </c>
      <c r="D15" s="15">
        <f>COUNTIF(Sheet1!$E$7:$E$142,$C15)</f>
        <v>0</v>
      </c>
    </row>
    <row r="16" spans="1:16" x14ac:dyDescent="0.3">
      <c r="B16" s="8" t="s">
        <v>116</v>
      </c>
      <c r="C16" s="16" t="s">
        <v>20</v>
      </c>
      <c r="D16" s="15">
        <f>COUNTIF(Sheet1!$E$7:$E$142,$C16)</f>
        <v>0</v>
      </c>
    </row>
    <row r="17" spans="2:4" x14ac:dyDescent="0.3">
      <c r="B17" s="8" t="s">
        <v>117</v>
      </c>
      <c r="C17" s="2" t="s">
        <v>21</v>
      </c>
      <c r="D17" s="15">
        <f>COUNTIF(Sheet1!$E$7:$E$142,$C17)</f>
        <v>0</v>
      </c>
    </row>
    <row r="18" spans="2:4" x14ac:dyDescent="0.3">
      <c r="B18" s="8" t="s">
        <v>118</v>
      </c>
      <c r="C18" s="2" t="s">
        <v>22</v>
      </c>
      <c r="D18" s="15">
        <f>COUNTIF(Sheet1!$E$7:$E$142,$C18)</f>
        <v>0</v>
      </c>
    </row>
    <row r="19" spans="2:4" x14ac:dyDescent="0.3">
      <c r="B19" s="8" t="s">
        <v>119</v>
      </c>
      <c r="C19" s="2" t="s">
        <v>23</v>
      </c>
      <c r="D19" s="15">
        <f>COUNTIF(Sheet1!$E$7:$E$142,$C19)</f>
        <v>0</v>
      </c>
    </row>
    <row r="20" spans="2:4" x14ac:dyDescent="0.3">
      <c r="B20" s="8" t="s">
        <v>120</v>
      </c>
      <c r="C20" s="2" t="s">
        <v>24</v>
      </c>
      <c r="D20" s="15">
        <f>COUNTIF(Sheet1!$E$7:$E$142,$C20)</f>
        <v>0</v>
      </c>
    </row>
    <row r="21" spans="2:4" x14ac:dyDescent="0.3">
      <c r="B21" s="8" t="s">
        <v>121</v>
      </c>
      <c r="C21" s="2" t="s">
        <v>25</v>
      </c>
      <c r="D21" s="15">
        <f>COUNTIF(Sheet1!$E$7:$E$142,$C21)</f>
        <v>0</v>
      </c>
    </row>
    <row r="22" spans="2:4" x14ac:dyDescent="0.3">
      <c r="B22" s="8" t="s">
        <v>122</v>
      </c>
      <c r="C22" s="2" t="s">
        <v>26</v>
      </c>
      <c r="D22" s="15">
        <f>COUNTIF(Sheet1!$E$7:$E$142,$C22)</f>
        <v>0</v>
      </c>
    </row>
    <row r="23" spans="2:4" x14ac:dyDescent="0.3">
      <c r="B23" s="8" t="s">
        <v>123</v>
      </c>
      <c r="C23" s="2" t="s">
        <v>27</v>
      </c>
      <c r="D23" s="15">
        <f>COUNTIF(Sheet1!$E$7:$E$142,$C23)</f>
        <v>0</v>
      </c>
    </row>
    <row r="24" spans="2:4" x14ac:dyDescent="0.3">
      <c r="B24" s="8" t="s">
        <v>124</v>
      </c>
      <c r="C24" s="2" t="s">
        <v>28</v>
      </c>
      <c r="D24" s="15">
        <f>COUNTIF(Sheet1!$E$7:$E$142,$C24)</f>
        <v>0</v>
      </c>
    </row>
    <row r="25" spans="2:4" x14ac:dyDescent="0.3">
      <c r="B25" s="8" t="s">
        <v>125</v>
      </c>
      <c r="C25" s="2" t="s">
        <v>29</v>
      </c>
      <c r="D25" s="15">
        <f>COUNTIF(Sheet1!$E$7:$E$142,$C25)</f>
        <v>0</v>
      </c>
    </row>
    <row r="26" spans="2:4" x14ac:dyDescent="0.3">
      <c r="B26" s="8" t="s">
        <v>126</v>
      </c>
      <c r="C26" s="2" t="s">
        <v>30</v>
      </c>
      <c r="D26" s="15">
        <f>COUNTIF(Sheet1!$E$7:$E$142,$C26)</f>
        <v>0</v>
      </c>
    </row>
    <row r="27" spans="2:4" x14ac:dyDescent="0.3">
      <c r="B27" s="8" t="s">
        <v>127</v>
      </c>
      <c r="C27" s="2" t="s">
        <v>31</v>
      </c>
      <c r="D27" s="15">
        <f>COUNTIF(Sheet1!$E$7:$E$142,$C27)</f>
        <v>0</v>
      </c>
    </row>
    <row r="28" spans="2:4" x14ac:dyDescent="0.3">
      <c r="B28" s="8" t="s">
        <v>128</v>
      </c>
      <c r="C28" s="2" t="s">
        <v>32</v>
      </c>
      <c r="D28" s="15">
        <f>COUNTIF(Sheet1!$E$7:$E$142,$C28)</f>
        <v>0</v>
      </c>
    </row>
    <row r="29" spans="2:4" x14ac:dyDescent="0.3">
      <c r="C29" s="2" t="s">
        <v>33</v>
      </c>
      <c r="D29" s="15">
        <f>COUNTIF(Sheet1!$E$7:$E$142,$C29)</f>
        <v>0</v>
      </c>
    </row>
    <row r="30" spans="2:4" x14ac:dyDescent="0.3">
      <c r="C30" s="2" t="s">
        <v>34</v>
      </c>
      <c r="D30" s="15">
        <f>COUNTIF(Sheet1!$E$7:$E$142,$C30)</f>
        <v>0</v>
      </c>
    </row>
    <row r="31" spans="2:4" x14ac:dyDescent="0.3">
      <c r="C31" s="2" t="s">
        <v>35</v>
      </c>
      <c r="D31" s="15">
        <f>COUNTIF(Sheet1!$E$7:$E$142,$C31)</f>
        <v>0</v>
      </c>
    </row>
    <row r="32" spans="2:4" x14ac:dyDescent="0.3">
      <c r="C32" s="2" t="s">
        <v>36</v>
      </c>
      <c r="D32" s="15">
        <f>COUNTIF(Sheet1!$E$7:$E$142,$C32)</f>
        <v>0</v>
      </c>
    </row>
    <row r="33" spans="3:4" x14ac:dyDescent="0.3">
      <c r="C33" s="2" t="s">
        <v>37</v>
      </c>
      <c r="D33" s="15">
        <f>COUNTIF(Sheet1!$E$7:$E$142,$C33)</f>
        <v>0</v>
      </c>
    </row>
    <row r="34" spans="3:4" x14ac:dyDescent="0.3">
      <c r="C34" s="2" t="s">
        <v>38</v>
      </c>
      <c r="D34" s="15">
        <f>COUNTIF(Sheet1!$E$7:$E$142,$C34)</f>
        <v>0</v>
      </c>
    </row>
    <row r="35" spans="3:4" x14ac:dyDescent="0.3">
      <c r="C35" s="2" t="s">
        <v>39</v>
      </c>
      <c r="D35" s="15">
        <f>COUNTIF(Sheet1!$E$7:$E$142,$C35)</f>
        <v>0</v>
      </c>
    </row>
    <row r="36" spans="3:4" x14ac:dyDescent="0.3">
      <c r="C36" s="2" t="s">
        <v>40</v>
      </c>
      <c r="D36" s="15">
        <f>COUNTIF(Sheet1!$E$7:$E$142,$C36)</f>
        <v>0</v>
      </c>
    </row>
    <row r="37" spans="3:4" x14ac:dyDescent="0.3">
      <c r="C37" s="2" t="s">
        <v>41</v>
      </c>
      <c r="D37" s="15">
        <f>COUNTIF(Sheet1!$E$7:$E$142,$C37)</f>
        <v>0</v>
      </c>
    </row>
    <row r="38" spans="3:4" x14ac:dyDescent="0.3">
      <c r="C38" s="2" t="s">
        <v>42</v>
      </c>
      <c r="D38" s="15">
        <f>COUNTIF(Sheet1!$E$7:$E$142,$C38)</f>
        <v>0</v>
      </c>
    </row>
    <row r="39" spans="3:4" x14ac:dyDescent="0.3">
      <c r="C39" s="2" t="s">
        <v>43</v>
      </c>
      <c r="D39" s="15">
        <f>COUNTIF(Sheet1!$E$7:$E$142,$C39)</f>
        <v>0</v>
      </c>
    </row>
    <row r="40" spans="3:4" x14ac:dyDescent="0.3">
      <c r="C40" s="2" t="s">
        <v>44</v>
      </c>
      <c r="D40" s="15">
        <f>COUNTIF(Sheet1!$E$7:$E$142,$C40)</f>
        <v>0</v>
      </c>
    </row>
    <row r="41" spans="3:4" x14ac:dyDescent="0.3">
      <c r="C41" s="2" t="s">
        <v>45</v>
      </c>
      <c r="D41" s="15">
        <f>COUNTIF(Sheet1!$E$7:$E$142,$C41)</f>
        <v>0</v>
      </c>
    </row>
    <row r="42" spans="3:4" x14ac:dyDescent="0.3">
      <c r="C42" s="2" t="s">
        <v>46</v>
      </c>
      <c r="D42" s="15">
        <f>COUNTIF(Sheet1!$E$7:$E$142,$C42)</f>
        <v>0</v>
      </c>
    </row>
    <row r="43" spans="3:4" x14ac:dyDescent="0.3">
      <c r="C43" s="2" t="s">
        <v>47</v>
      </c>
      <c r="D43" s="15">
        <f>COUNTIF(Sheet1!$E$7:$E$142,$C43)</f>
        <v>0</v>
      </c>
    </row>
    <row r="44" spans="3:4" x14ac:dyDescent="0.3">
      <c r="C44" s="2" t="s">
        <v>48</v>
      </c>
      <c r="D44" s="15">
        <f>COUNTIF(Sheet1!$E$7:$E$142,$C44)</f>
        <v>0</v>
      </c>
    </row>
    <row r="45" spans="3:4" x14ac:dyDescent="0.3">
      <c r="C45" s="2" t="s">
        <v>49</v>
      </c>
      <c r="D45" s="15">
        <f>COUNTIF(Sheet1!$E$7:$E$142,$C45)</f>
        <v>0</v>
      </c>
    </row>
    <row r="46" spans="3:4" x14ac:dyDescent="0.3">
      <c r="C46" s="2" t="s">
        <v>50</v>
      </c>
      <c r="D46" s="15">
        <f>COUNTIF(Sheet1!$E$7:$E$142,$C46)</f>
        <v>0</v>
      </c>
    </row>
    <row r="47" spans="3:4" x14ac:dyDescent="0.3">
      <c r="C47" s="2" t="s">
        <v>51</v>
      </c>
      <c r="D47" s="15">
        <f>COUNTIF(Sheet1!$E$7:$E$142,$C47)</f>
        <v>0</v>
      </c>
    </row>
    <row r="48" spans="3:4" x14ac:dyDescent="0.3">
      <c r="C48" s="2" t="s">
        <v>52</v>
      </c>
      <c r="D48" s="15">
        <f>COUNTIF(Sheet1!$E$7:$E$142,$C48)</f>
        <v>0</v>
      </c>
    </row>
    <row r="49" spans="3:4" x14ac:dyDescent="0.3">
      <c r="C49" s="2" t="s">
        <v>53</v>
      </c>
      <c r="D49" s="15">
        <f>COUNTIF(Sheet1!$E$7:$E$142,$C49)</f>
        <v>0</v>
      </c>
    </row>
    <row r="50" spans="3:4" x14ac:dyDescent="0.3">
      <c r="C50" s="2" t="s">
        <v>54</v>
      </c>
      <c r="D50" s="15">
        <f>COUNTIF(Sheet1!$E$7:$E$142,$C50)</f>
        <v>0</v>
      </c>
    </row>
    <row r="51" spans="3:4" x14ac:dyDescent="0.3">
      <c r="C51" s="2" t="s">
        <v>55</v>
      </c>
      <c r="D51" s="15">
        <f>COUNTIF(Sheet1!$E$7:$E$142,$C51)</f>
        <v>0</v>
      </c>
    </row>
    <row r="52" spans="3:4" x14ac:dyDescent="0.3">
      <c r="C52" s="2" t="s">
        <v>56</v>
      </c>
      <c r="D52" s="15">
        <f>COUNTIF(Sheet1!$E$7:$E$142,$C52)</f>
        <v>0</v>
      </c>
    </row>
    <row r="53" spans="3:4" x14ac:dyDescent="0.3">
      <c r="C53" s="2" t="s">
        <v>57</v>
      </c>
      <c r="D53" s="15">
        <f>COUNTIF(Sheet1!$E$7:$E$142,$C53)</f>
        <v>0</v>
      </c>
    </row>
    <row r="54" spans="3:4" x14ac:dyDescent="0.3">
      <c r="C54" s="2" t="s">
        <v>58</v>
      </c>
      <c r="D54" s="15">
        <f>COUNTIF(Sheet1!$E$7:$E$142,$C54)</f>
        <v>0</v>
      </c>
    </row>
    <row r="55" spans="3:4" x14ac:dyDescent="0.3">
      <c r="C55" s="2" t="s">
        <v>59</v>
      </c>
      <c r="D55" s="15">
        <f>COUNTIF(Sheet1!$E$7:$E$142,$C55)</f>
        <v>0</v>
      </c>
    </row>
    <row r="56" spans="3:4" x14ac:dyDescent="0.3">
      <c r="C56" s="2" t="s">
        <v>60</v>
      </c>
      <c r="D56" s="15">
        <f>COUNTIF(Sheet1!$E$7:$E$142,$C56)</f>
        <v>0</v>
      </c>
    </row>
    <row r="57" spans="3:4" x14ac:dyDescent="0.3">
      <c r="C57" s="2" t="s">
        <v>61</v>
      </c>
      <c r="D57" s="15">
        <f>COUNTIF(Sheet1!$E$7:$E$142,$C57)</f>
        <v>0</v>
      </c>
    </row>
    <row r="58" spans="3:4" x14ac:dyDescent="0.3">
      <c r="C58" s="2" t="s">
        <v>62</v>
      </c>
      <c r="D58" s="15">
        <f>COUNTIF(Sheet1!$E$7:$E$142,$C58)</f>
        <v>0</v>
      </c>
    </row>
    <row r="59" spans="3:4" x14ac:dyDescent="0.3">
      <c r="C59" s="2" t="s">
        <v>63</v>
      </c>
      <c r="D59" s="15">
        <f>COUNTIF(Sheet1!$E$7:$E$142,$C59)</f>
        <v>0</v>
      </c>
    </row>
    <row r="60" spans="3:4" x14ac:dyDescent="0.3">
      <c r="C60" s="2" t="s">
        <v>64</v>
      </c>
      <c r="D60" s="15">
        <f>COUNTIF(Sheet1!$E$7:$E$142,$C60)</f>
        <v>0</v>
      </c>
    </row>
    <row r="61" spans="3:4" x14ac:dyDescent="0.3">
      <c r="C61" s="2" t="s">
        <v>65</v>
      </c>
      <c r="D61" s="15">
        <f>COUNTIF(Sheet1!$E$7:$E$142,$C61)</f>
        <v>0</v>
      </c>
    </row>
    <row r="62" spans="3:4" x14ac:dyDescent="0.3">
      <c r="C62" s="2" t="s">
        <v>66</v>
      </c>
      <c r="D62" s="15">
        <f>COUNTIF(Sheet1!$E$7:$E$142,$C62)</f>
        <v>0</v>
      </c>
    </row>
    <row r="63" spans="3:4" x14ac:dyDescent="0.3">
      <c r="C63" s="2" t="s">
        <v>67</v>
      </c>
      <c r="D63" s="15">
        <f>COUNTIF(Sheet1!$E$7:$E$142,$C63)</f>
        <v>0</v>
      </c>
    </row>
    <row r="64" spans="3:4" x14ac:dyDescent="0.3">
      <c r="C64" s="2" t="s">
        <v>68</v>
      </c>
      <c r="D64" s="15">
        <f>COUNTIF(Sheet1!$E$7:$E$142,$C64)</f>
        <v>0</v>
      </c>
    </row>
    <row r="65" spans="3:4" x14ac:dyDescent="0.3">
      <c r="C65" s="11" t="s">
        <v>69</v>
      </c>
      <c r="D65" s="15">
        <f>COUNTIF(Sheet1!$E$7:$E$142,$C65)</f>
        <v>0</v>
      </c>
    </row>
    <row r="66" spans="3:4" x14ac:dyDescent="0.3">
      <c r="C66" s="11" t="s">
        <v>70</v>
      </c>
      <c r="D66" s="15">
        <f>COUNTIF(Sheet1!$E$7:$E$142,$C66)</f>
        <v>0</v>
      </c>
    </row>
    <row r="67" spans="3:4" x14ac:dyDescent="0.3">
      <c r="C67" s="2" t="s">
        <v>71</v>
      </c>
      <c r="D67" s="15">
        <f>COUNTIF(Sheet1!$E$7:$E$142,$C67)</f>
        <v>0</v>
      </c>
    </row>
    <row r="68" spans="3:4" x14ac:dyDescent="0.3">
      <c r="C68" s="2" t="s">
        <v>72</v>
      </c>
      <c r="D68" s="15">
        <f>COUNTIF(Sheet1!$E$7:$E$142,$C68)</f>
        <v>0</v>
      </c>
    </row>
    <row r="69" spans="3:4" x14ac:dyDescent="0.3">
      <c r="C69" s="2" t="s">
        <v>73</v>
      </c>
      <c r="D69" s="15">
        <f>COUNTIF(Sheet1!$E$7:$E$142,$C69)</f>
        <v>0</v>
      </c>
    </row>
    <row r="70" spans="3:4" x14ac:dyDescent="0.3">
      <c r="C70" s="11" t="s">
        <v>7</v>
      </c>
      <c r="D70" s="15">
        <f>COUNTIF(Sheet1!$E$7:$E$142,$C70)</f>
        <v>0</v>
      </c>
    </row>
    <row r="71" spans="3:4" x14ac:dyDescent="0.3">
      <c r="C71" s="11" t="s">
        <v>74</v>
      </c>
      <c r="D71" s="15">
        <f>COUNTIF(Sheet1!$E$7:$E$142,$C71)</f>
        <v>0</v>
      </c>
    </row>
    <row r="72" spans="3:4" x14ac:dyDescent="0.3">
      <c r="C72" s="2" t="s">
        <v>75</v>
      </c>
      <c r="D72" s="15">
        <f>COUNTIF(Sheet1!$E$7:$E$142,$C72)</f>
        <v>0</v>
      </c>
    </row>
    <row r="73" spans="3:4" x14ac:dyDescent="0.3">
      <c r="C73" s="11" t="s">
        <v>76</v>
      </c>
      <c r="D73" s="15">
        <f>COUNTIF(Sheet1!$E$7:$E$142,$C73)</f>
        <v>0</v>
      </c>
    </row>
    <row r="74" spans="3:4" x14ac:dyDescent="0.3">
      <c r="C74" s="11" t="s">
        <v>9</v>
      </c>
      <c r="D74" s="15">
        <f>COUNTIF(Sheet1!$E$7:$E$142,$C74)</f>
        <v>0</v>
      </c>
    </row>
    <row r="75" spans="3:4" x14ac:dyDescent="0.3">
      <c r="C75" s="11" t="s">
        <v>78</v>
      </c>
      <c r="D75" s="15">
        <f>COUNTIF(Sheet1!$E$7:$E$142,$C75)</f>
        <v>0</v>
      </c>
    </row>
    <row r="76" spans="3:4" x14ac:dyDescent="0.3">
      <c r="C76" s="2" t="s">
        <v>79</v>
      </c>
      <c r="D76" s="15">
        <f>COUNTIF(Sheet1!$E$7:$E$142,$C76)</f>
        <v>0</v>
      </c>
    </row>
    <row r="77" spans="3:4" x14ac:dyDescent="0.3">
      <c r="C77" s="2" t="s">
        <v>80</v>
      </c>
      <c r="D77" s="15">
        <f>COUNTIF(Sheet1!$E$7:$E$142,$C77)</f>
        <v>0</v>
      </c>
    </row>
    <row r="78" spans="3:4" x14ac:dyDescent="0.3">
      <c r="C78" s="2" t="s">
        <v>81</v>
      </c>
      <c r="D78" s="15">
        <f>COUNTIF(Sheet1!$E$7:$E$142,$C78)</f>
        <v>0</v>
      </c>
    </row>
    <row r="79" spans="3:4" x14ac:dyDescent="0.3">
      <c r="C79" s="2" t="s">
        <v>82</v>
      </c>
      <c r="D79" s="15">
        <f>COUNTIF(Sheet1!$E$7:$E$142,$C79)</f>
        <v>0</v>
      </c>
    </row>
    <row r="80" spans="3:4" x14ac:dyDescent="0.3">
      <c r="C80" s="2" t="s">
        <v>83</v>
      </c>
      <c r="D80" s="15">
        <f>COUNTIF(Sheet1!$E$7:$E$142,$C80)</f>
        <v>0</v>
      </c>
    </row>
    <row r="81" spans="3:4" x14ac:dyDescent="0.3">
      <c r="C81" s="11" t="s">
        <v>8</v>
      </c>
      <c r="D81" s="15">
        <f>COUNTIF(Sheet1!$E$7:$E$142,$C81)</f>
        <v>0</v>
      </c>
    </row>
    <row r="82" spans="3:4" x14ac:dyDescent="0.3">
      <c r="C82" s="2" t="s">
        <v>84</v>
      </c>
      <c r="D82" s="15">
        <f>COUNTIF(Sheet1!$E$7:$E$142,$C82)</f>
        <v>0</v>
      </c>
    </row>
    <row r="83" spans="3:4" x14ac:dyDescent="0.3">
      <c r="C83" s="11" t="s">
        <v>85</v>
      </c>
      <c r="D83" s="15">
        <f>COUNTIF(Sheet1!$E$7:$E$142,$C83)</f>
        <v>0</v>
      </c>
    </row>
    <row r="84" spans="3:4" x14ac:dyDescent="0.3">
      <c r="C84" s="2" t="s">
        <v>86</v>
      </c>
      <c r="D84" s="15">
        <f>COUNTIF(Sheet1!$E$7:$E$142,$C84)</f>
        <v>0</v>
      </c>
    </row>
    <row r="85" spans="3:4" x14ac:dyDescent="0.3">
      <c r="C85" s="2" t="s">
        <v>87</v>
      </c>
      <c r="D85" s="15">
        <f>COUNTIF(Sheet1!$E$7:$E$142,$C85)</f>
        <v>0</v>
      </c>
    </row>
    <row r="86" spans="3:4" x14ac:dyDescent="0.3">
      <c r="C86" s="2" t="s">
        <v>88</v>
      </c>
      <c r="D86" s="15">
        <f>COUNTIF(Sheet1!$E$7:$E$142,$C86)</f>
        <v>0</v>
      </c>
    </row>
    <row r="87" spans="3:4" x14ac:dyDescent="0.3">
      <c r="C87" s="2" t="s">
        <v>89</v>
      </c>
      <c r="D87" s="15">
        <f>COUNTIF(Sheet1!$E$7:$E$142,$C87)</f>
        <v>0</v>
      </c>
    </row>
    <row r="88" spans="3:4" x14ac:dyDescent="0.3">
      <c r="C88" s="2" t="s">
        <v>90</v>
      </c>
      <c r="D88" s="15">
        <f>COUNTIF(Sheet1!$E$7:$E$142,$C88)</f>
        <v>0</v>
      </c>
    </row>
    <row r="89" spans="3:4" x14ac:dyDescent="0.3">
      <c r="C89" s="2" t="s">
        <v>91</v>
      </c>
      <c r="D89" s="15">
        <f>COUNTIF(Sheet1!$E$7:$E$142,$C89)</f>
        <v>0</v>
      </c>
    </row>
    <row r="90" spans="3:4" x14ac:dyDescent="0.3">
      <c r="C90" s="2" t="s">
        <v>92</v>
      </c>
      <c r="D90" s="15">
        <f>COUNTIF(Sheet1!$E$7:$E$142,$C90)</f>
        <v>0</v>
      </c>
    </row>
    <row r="91" spans="3:4" x14ac:dyDescent="0.3">
      <c r="C91" s="2" t="s">
        <v>93</v>
      </c>
      <c r="D91" s="15">
        <f>COUNTIF(Sheet1!$E$7:$E$142,$C91)</f>
        <v>0</v>
      </c>
    </row>
    <row r="92" spans="3:4" x14ac:dyDescent="0.3">
      <c r="C92" s="2" t="s">
        <v>94</v>
      </c>
      <c r="D92" s="15">
        <f>COUNTIF(Sheet1!$E$7:$E$142,$C92)</f>
        <v>0</v>
      </c>
    </row>
    <row r="93" spans="3:4" x14ac:dyDescent="0.3">
      <c r="C93" s="2" t="s">
        <v>95</v>
      </c>
      <c r="D93" s="15">
        <f>COUNTIF(Sheet1!$E$7:$E$142,$C93)</f>
        <v>0</v>
      </c>
    </row>
    <row r="94" spans="3:4" x14ac:dyDescent="0.3">
      <c r="C94" s="2" t="s">
        <v>96</v>
      </c>
      <c r="D94" s="15">
        <f>COUNTIF(Sheet1!$E$7:$E$142,$C94)</f>
        <v>0</v>
      </c>
    </row>
    <row r="95" spans="3:4" x14ac:dyDescent="0.3">
      <c r="C95" s="2" t="s">
        <v>97</v>
      </c>
      <c r="D95" s="15">
        <f>COUNTIF(Sheet1!$E$7:$E$142,$C95)</f>
        <v>0</v>
      </c>
    </row>
    <row r="96" spans="3:4" x14ac:dyDescent="0.3">
      <c r="C96" s="2" t="s">
        <v>98</v>
      </c>
      <c r="D96" s="15">
        <f>COUNTIF(Sheet1!$E$7:$E$142,$C96)</f>
        <v>0</v>
      </c>
    </row>
    <row r="97" spans="3:4" x14ac:dyDescent="0.3">
      <c r="C97" s="2" t="s">
        <v>99</v>
      </c>
      <c r="D97" s="15">
        <f>COUNTIF(Sheet1!$E$7:$E$142,$C97)</f>
        <v>0</v>
      </c>
    </row>
    <row r="98" spans="3:4" x14ac:dyDescent="0.3">
      <c r="C98" s="2" t="s">
        <v>100</v>
      </c>
      <c r="D98" s="15">
        <f>COUNTIF(Sheet1!$E$7:$E$142,$C98)</f>
        <v>0</v>
      </c>
    </row>
    <row r="99" spans="3:4" x14ac:dyDescent="0.3">
      <c r="C99" s="2" t="s">
        <v>101</v>
      </c>
      <c r="D99" s="15">
        <f>COUNTIF(Sheet1!$E$7:$E$142,$C99)</f>
        <v>0</v>
      </c>
    </row>
    <row r="100" spans="3:4" x14ac:dyDescent="0.3">
      <c r="C100" s="2" t="s">
        <v>102</v>
      </c>
      <c r="D100" s="15">
        <f>COUNTIF(Sheet1!$E$7:$E$142,$C100)</f>
        <v>0</v>
      </c>
    </row>
    <row r="101" spans="3:4" x14ac:dyDescent="0.3">
      <c r="C101" s="2" t="s">
        <v>103</v>
      </c>
      <c r="D101" s="15">
        <f>COUNTIF(Sheet1!$E$7:$E$142,$C101)</f>
        <v>0</v>
      </c>
    </row>
    <row r="102" spans="3:4" x14ac:dyDescent="0.3">
      <c r="C102" s="2" t="s">
        <v>104</v>
      </c>
      <c r="D102" s="15">
        <f>COUNTIF(Sheet1!$E$7:$E$142,$C102)</f>
        <v>0</v>
      </c>
    </row>
    <row r="103" spans="3:4" x14ac:dyDescent="0.3">
      <c r="C103" s="2" t="s">
        <v>105</v>
      </c>
      <c r="D103" s="15">
        <f>COUNTIF(Sheet1!$E$7:$E$142,$C103)</f>
        <v>0</v>
      </c>
    </row>
    <row r="104" spans="3:4" x14ac:dyDescent="0.3">
      <c r="C104" s="2" t="s">
        <v>106</v>
      </c>
      <c r="D104" s="15">
        <f>COUNTIF(Sheet1!$E$7:$E$142,$C104)</f>
        <v>0</v>
      </c>
    </row>
    <row r="105" spans="3:4" x14ac:dyDescent="0.3">
      <c r="C105" s="2" t="s">
        <v>107</v>
      </c>
      <c r="D105" s="15">
        <f>COUNTIF(Sheet1!$E$7:$E$142,$C105)</f>
        <v>0</v>
      </c>
    </row>
  </sheetData>
  <phoneticPr fontId="1" type="noConversion"/>
  <conditionalFormatting sqref="D6:D105">
    <cfRule type="cellIs" dxfId="4" priority="1" operator="greaterThan">
      <formula>1</formula>
    </cfRule>
  </conditionalFormatting>
  <dataValidations count="2">
    <dataValidation type="list" allowBlank="1" showInputMessage="1" showErrorMessage="1" sqref="E3" xr:uid="{23046B52-8B10-4A9F-9B9F-91ADBF96005D}">
      <formula1>DB_List</formula1>
    </dataValidation>
    <dataValidation type="list" allowBlank="1" showInputMessage="1" showErrorMessage="1" sqref="F3" xr:uid="{FA24D0A6-39D0-4F4E-8C74-63421EB7C343}">
      <formula1>TBL_List</formula1>
    </dataValidation>
  </dataValidations>
  <hyperlinks>
    <hyperlink ref="C8" r:id="rId1" display="dev@ezchemtech.com" xr:uid="{F33CA782-7501-435F-A32A-9B851B6E4D2D}"/>
    <hyperlink ref="C9" r:id="rId2" display="info7@ezchemtech.com" xr:uid="{967F513B-37D8-4574-820A-1276B128B1EC}"/>
    <hyperlink ref="C10" r:id="rId3" display="hong5@ezoffice.co.kr" xr:uid="{EAF631B3-AECC-4FD1-9011-D4B4A67D780E}"/>
    <hyperlink ref="C16" r:id="rId4" xr:uid="{56D95E97-1BB4-4825-8454-FD62C981C334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extractData_Dynamic" altText="GET[ Table 데이트 ]">
                <anchor moveWithCells="1">
                  <from>
                    <xdr:col>2</xdr:col>
                    <xdr:colOff>3009900</xdr:colOff>
                    <xdr:row>1</xdr:row>
                    <xdr:rowOff>0</xdr:rowOff>
                  </from>
                  <to>
                    <xdr:col>4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5D8-B47A-4C1F-BC16-8627FC1B0CE2}">
  <sheetPr codeName="Sheet15"/>
  <dimension ref="A5:Q174"/>
  <sheetViews>
    <sheetView tabSelected="1" workbookViewId="0">
      <selection activeCell="T20" sqref="T20"/>
    </sheetView>
  </sheetViews>
  <sheetFormatPr defaultRowHeight="16.5" x14ac:dyDescent="0.3"/>
  <cols>
    <col min="2" max="2" width="5.125" customWidth="1"/>
    <col min="3" max="3" width="5.875" customWidth="1"/>
    <col min="4" max="4" width="9.75" customWidth="1"/>
    <col min="5" max="5" width="9.875" customWidth="1"/>
    <col min="8" max="8" width="2.25" customWidth="1"/>
    <col min="9" max="9" width="3.375" customWidth="1"/>
    <col min="10" max="10" width="17.5" customWidth="1"/>
    <col min="11" max="11" width="15.75" customWidth="1"/>
    <col min="12" max="12" width="24.625" customWidth="1"/>
    <col min="13" max="13" width="23.5" customWidth="1"/>
    <col min="14" max="14" width="18.5" customWidth="1"/>
    <col min="15" max="15" width="24.75" customWidth="1"/>
    <col min="16" max="16" width="33" customWidth="1"/>
    <col min="17" max="17" width="10.375" customWidth="1"/>
    <col min="18" max="18" width="25" customWidth="1"/>
  </cols>
  <sheetData>
    <row r="5" spans="1:17" x14ac:dyDescent="0.3">
      <c r="A5" t="s">
        <v>1</v>
      </c>
      <c r="B5" t="s">
        <v>1195</v>
      </c>
      <c r="C5" t="s">
        <v>1196</v>
      </c>
      <c r="D5" t="s">
        <v>501</v>
      </c>
      <c r="E5" t="s">
        <v>492</v>
      </c>
      <c r="F5" t="s">
        <v>1197</v>
      </c>
      <c r="G5" t="s">
        <v>1198</v>
      </c>
      <c r="H5" t="s">
        <v>1199</v>
      </c>
      <c r="I5" t="s">
        <v>1200</v>
      </c>
      <c r="J5" t="s">
        <v>1201</v>
      </c>
      <c r="K5" t="s">
        <v>1202</v>
      </c>
      <c r="L5" t="s">
        <v>502</v>
      </c>
      <c r="M5" t="s">
        <v>503</v>
      </c>
      <c r="N5" t="s">
        <v>1309</v>
      </c>
      <c r="O5" t="s">
        <v>1310</v>
      </c>
      <c r="P5" t="s">
        <v>1311</v>
      </c>
      <c r="Q5" t="s">
        <v>1312</v>
      </c>
    </row>
    <row r="6" spans="1:17" x14ac:dyDescent="0.3">
      <c r="A6">
        <v>259</v>
      </c>
      <c r="B6">
        <v>55</v>
      </c>
      <c r="C6">
        <v>55</v>
      </c>
      <c r="D6">
        <v>174</v>
      </c>
      <c r="E6">
        <v>189</v>
      </c>
      <c r="F6">
        <v>0</v>
      </c>
      <c r="G6" t="s">
        <v>598</v>
      </c>
      <c r="H6" t="s">
        <v>599</v>
      </c>
      <c r="I6" t="s">
        <v>600</v>
      </c>
      <c r="J6" t="s">
        <v>601</v>
      </c>
      <c r="K6" t="s">
        <v>602</v>
      </c>
      <c r="L6" t="s">
        <v>603</v>
      </c>
      <c r="M6" t="s">
        <v>604</v>
      </c>
      <c r="N6">
        <f>INDEX(Table1_1[name],MATCH(E6,Table1_1[seq],0))</f>
        <v>0</v>
      </c>
      <c r="O6" t="str">
        <f>INDEX(Table1_1[email],MATCH(E6,Table1_1[seq],0))</f>
        <v>rpa@bkcrowd.co.kr</v>
      </c>
      <c r="P6" t="str">
        <f>INDEX(Table1_2[dbLoginID],MATCH(Table1[[#This Row],[userSeq]],Table1_2[seq],0))</f>
        <v>rpa@bkcrowd.co.kr</v>
      </c>
      <c r="Q6" s="22">
        <f>INDEX(Table1_1[seq],MATCH(Table1[[#This Row],[dbLoginID'[TB_User']]],Table1_1[email],0))</f>
        <v>189</v>
      </c>
    </row>
    <row r="7" spans="1:17" x14ac:dyDescent="0.3">
      <c r="A7">
        <v>258</v>
      </c>
      <c r="B7">
        <v>22</v>
      </c>
      <c r="C7">
        <v>43</v>
      </c>
      <c r="D7">
        <v>173</v>
      </c>
      <c r="E7">
        <v>188</v>
      </c>
      <c r="F7">
        <v>0</v>
      </c>
      <c r="G7" t="s">
        <v>605</v>
      </c>
      <c r="H7" t="s">
        <v>599</v>
      </c>
      <c r="I7" t="s">
        <v>606</v>
      </c>
      <c r="J7" t="s">
        <v>607</v>
      </c>
      <c r="K7" t="s">
        <v>602</v>
      </c>
      <c r="L7" t="s">
        <v>608</v>
      </c>
      <c r="M7" t="s">
        <v>609</v>
      </c>
      <c r="N7">
        <f>INDEX(Table1_1[name],MATCH(E7,Table1_1[seq],0))</f>
        <v>0</v>
      </c>
      <c r="O7" t="str">
        <f>INDEX(Table1_1[email],MATCH(E7,Table1_1[seq],0))</f>
        <v>choihyeryun@daeryuk.co.kr</v>
      </c>
      <c r="P7" t="str">
        <f>INDEX(Table1_2[dbLoginID],MATCH(Table1[[#This Row],[userSeq]],Table1_2[seq],0))</f>
        <v>choihyeryun@daeryuk.co.kr</v>
      </c>
      <c r="Q7" s="22">
        <f>INDEX(Table1_1[seq],MATCH(Table1[[#This Row],[dbLoginID'[TB_User']]],Table1_1[email],0))</f>
        <v>188</v>
      </c>
    </row>
    <row r="8" spans="1:17" x14ac:dyDescent="0.3">
      <c r="A8">
        <v>257</v>
      </c>
      <c r="B8">
        <v>7</v>
      </c>
      <c r="C8">
        <v>21</v>
      </c>
      <c r="D8">
        <v>171</v>
      </c>
      <c r="E8">
        <v>186</v>
      </c>
      <c r="F8">
        <v>0</v>
      </c>
      <c r="G8" t="s">
        <v>610</v>
      </c>
      <c r="H8" t="s">
        <v>599</v>
      </c>
      <c r="I8" t="s">
        <v>606</v>
      </c>
      <c r="J8" t="s">
        <v>607</v>
      </c>
      <c r="K8" t="s">
        <v>602</v>
      </c>
      <c r="L8" t="s">
        <v>611</v>
      </c>
      <c r="M8" t="s">
        <v>612</v>
      </c>
      <c r="N8">
        <f>INDEX(Table1_1[name],MATCH(E8,Table1_1[seq],0))</f>
        <v>0</v>
      </c>
      <c r="O8" t="str">
        <f>INDEX(Table1_1[email],MATCH(E8,Table1_1[seq],0))</f>
        <v>choihyeryun@asiafni.com</v>
      </c>
      <c r="P8" t="str">
        <f>INDEX(Table1_2[dbLoginID],MATCH(Table1[[#This Row],[userSeq]],Table1_2[seq],0))</f>
        <v>choihyeryun@asiafni.com</v>
      </c>
      <c r="Q8" s="22">
        <f>INDEX(Table1_1[seq],MATCH(Table1[[#This Row],[dbLoginID'[TB_User']]],Table1_1[email],0))</f>
        <v>186</v>
      </c>
    </row>
    <row r="9" spans="1:17" x14ac:dyDescent="0.3">
      <c r="A9">
        <v>256</v>
      </c>
      <c r="B9">
        <v>55</v>
      </c>
      <c r="C9">
        <v>55</v>
      </c>
      <c r="D9">
        <v>170</v>
      </c>
      <c r="E9">
        <v>185</v>
      </c>
      <c r="F9">
        <v>0</v>
      </c>
      <c r="G9" t="s">
        <v>613</v>
      </c>
      <c r="H9" t="s">
        <v>599</v>
      </c>
      <c r="I9" t="s">
        <v>606</v>
      </c>
      <c r="J9" t="s">
        <v>607</v>
      </c>
      <c r="K9" t="s">
        <v>602</v>
      </c>
      <c r="L9" t="s">
        <v>614</v>
      </c>
      <c r="M9" t="s">
        <v>615</v>
      </c>
      <c r="N9">
        <f>INDEX(Table1_1[name],MATCH(E9,Table1_1[seq],0))</f>
        <v>0</v>
      </c>
      <c r="O9" t="str">
        <f>INDEX(Table1_1[email],MATCH(E9,Table1_1[seq],0))</f>
        <v>choihyeryun@bkcrowd.com</v>
      </c>
      <c r="P9" t="str">
        <f>INDEX(Table1_2[dbLoginID],MATCH(Table1[[#This Row],[userSeq]],Table1_2[seq],0))</f>
        <v>choihyeryun@bkcrowd.com</v>
      </c>
      <c r="Q9" s="22">
        <f>INDEX(Table1_1[seq],MATCH(Table1[[#This Row],[dbLoginID'[TB_User']]],Table1_1[email],0))</f>
        <v>185</v>
      </c>
    </row>
    <row r="10" spans="1:17" x14ac:dyDescent="0.3">
      <c r="A10">
        <v>255</v>
      </c>
      <c r="B10">
        <v>55</v>
      </c>
      <c r="C10">
        <v>55</v>
      </c>
      <c r="D10">
        <v>169</v>
      </c>
      <c r="E10">
        <v>184</v>
      </c>
      <c r="F10">
        <v>0</v>
      </c>
      <c r="G10" t="s">
        <v>616</v>
      </c>
      <c r="H10" t="s">
        <v>599</v>
      </c>
      <c r="I10" t="s">
        <v>617</v>
      </c>
      <c r="J10" t="s">
        <v>618</v>
      </c>
      <c r="K10" t="s">
        <v>602</v>
      </c>
      <c r="L10" t="s">
        <v>619</v>
      </c>
      <c r="M10" t="s">
        <v>620</v>
      </c>
      <c r="N10" t="str">
        <f>INDEX(Table1_1[name],MATCH(E10,Table1_1[seq],0))</f>
        <v>최성철</v>
      </c>
      <c r="O10" t="str">
        <f>INDEX(Table1_1[email],MATCH(E10,Table1_1[seq],0))</f>
        <v>scipio@bkcrowd.com</v>
      </c>
      <c r="P10" t="str">
        <f>INDEX(Table1_2[dbLoginID],MATCH(Table1[[#This Row],[userSeq]],Table1_2[seq],0))</f>
        <v>scipio@bkcrowd.com</v>
      </c>
      <c r="Q10" s="22">
        <f>INDEX(Table1_1[seq],MATCH(Table1[[#This Row],[dbLoginID'[TB_User']]],Table1_1[email],0))</f>
        <v>184</v>
      </c>
    </row>
    <row r="11" spans="1:17" x14ac:dyDescent="0.3">
      <c r="A11">
        <v>254</v>
      </c>
      <c r="B11">
        <v>55</v>
      </c>
      <c r="C11">
        <v>55</v>
      </c>
      <c r="D11">
        <v>169</v>
      </c>
      <c r="E11">
        <v>184</v>
      </c>
      <c r="F11">
        <v>0</v>
      </c>
      <c r="G11" t="s">
        <v>621</v>
      </c>
      <c r="H11" t="s">
        <v>599</v>
      </c>
      <c r="J11" t="s">
        <v>622</v>
      </c>
      <c r="K11" t="s">
        <v>602</v>
      </c>
      <c r="L11" t="s">
        <v>623</v>
      </c>
      <c r="M11" t="s">
        <v>623</v>
      </c>
      <c r="N11" t="str">
        <f>INDEX(Table1_1[name],MATCH(E11,Table1_1[seq],0))</f>
        <v>최성철</v>
      </c>
      <c r="O11" t="str">
        <f>INDEX(Table1_1[email],MATCH(E11,Table1_1[seq],0))</f>
        <v>scipio@bkcrowd.com</v>
      </c>
      <c r="P11" t="str">
        <f>INDEX(Table1_2[dbLoginID],MATCH(Table1[[#This Row],[userSeq]],Table1_2[seq],0))</f>
        <v>scipio@bkcrowd.com</v>
      </c>
      <c r="Q11" s="22">
        <f>INDEX(Table1_1[seq],MATCH(Table1[[#This Row],[dbLoginID'[TB_User']]],Table1_1[email],0))</f>
        <v>184</v>
      </c>
    </row>
    <row r="12" spans="1:17" x14ac:dyDescent="0.3">
      <c r="A12">
        <v>253</v>
      </c>
      <c r="B12">
        <v>55</v>
      </c>
      <c r="C12">
        <v>55</v>
      </c>
      <c r="D12">
        <v>169</v>
      </c>
      <c r="E12">
        <v>184</v>
      </c>
      <c r="F12">
        <v>0</v>
      </c>
      <c r="G12" t="s">
        <v>624</v>
      </c>
      <c r="H12" t="s">
        <v>599</v>
      </c>
      <c r="I12" t="s">
        <v>625</v>
      </c>
      <c r="J12" t="s">
        <v>607</v>
      </c>
      <c r="K12" t="s">
        <v>602</v>
      </c>
      <c r="L12" t="s">
        <v>626</v>
      </c>
      <c r="M12" t="s">
        <v>627</v>
      </c>
      <c r="N12" t="str">
        <f>INDEX(Table1_1[name],MATCH(E12,Table1_1[seq],0))</f>
        <v>최성철</v>
      </c>
      <c r="O12" t="str">
        <f>INDEX(Table1_1[email],MATCH(E12,Table1_1[seq],0))</f>
        <v>scipio@bkcrowd.com</v>
      </c>
      <c r="P12" t="str">
        <f>INDEX(Table1_2[dbLoginID],MATCH(Table1[[#This Row],[userSeq]],Table1_2[seq],0))</f>
        <v>scipio@bkcrowd.com</v>
      </c>
      <c r="Q12" s="22">
        <f>INDEX(Table1_1[seq],MATCH(Table1[[#This Row],[dbLoginID'[TB_User']]],Table1_1[email],0))</f>
        <v>184</v>
      </c>
    </row>
    <row r="13" spans="1:17" x14ac:dyDescent="0.3">
      <c r="A13">
        <v>252</v>
      </c>
      <c r="B13">
        <v>22</v>
      </c>
      <c r="C13">
        <v>43</v>
      </c>
      <c r="D13">
        <v>138</v>
      </c>
      <c r="E13">
        <v>123</v>
      </c>
      <c r="F13">
        <v>0</v>
      </c>
      <c r="G13" t="s">
        <v>628</v>
      </c>
      <c r="H13" t="s">
        <v>599</v>
      </c>
      <c r="J13" t="s">
        <v>618</v>
      </c>
      <c r="K13" t="s">
        <v>602</v>
      </c>
      <c r="L13" t="s">
        <v>629</v>
      </c>
      <c r="M13" t="s">
        <v>629</v>
      </c>
      <c r="N13">
        <f>INDEX(Table1_1[name],MATCH(E13,Table1_1[seq],0))</f>
        <v>0</v>
      </c>
      <c r="O13" t="str">
        <f>INDEX(Table1_1[email],MATCH(E13,Table1_1[seq],0))</f>
        <v>scipio@daeryuk.co.kr</v>
      </c>
      <c r="P13" t="str">
        <f>INDEX(Table1_2[dbLoginID],MATCH(Table1[[#This Row],[userSeq]],Table1_2[seq],0))</f>
        <v>scipio@daeryuk.co.kr</v>
      </c>
      <c r="Q13" s="22">
        <f>INDEX(Table1_1[seq],MATCH(Table1[[#This Row],[dbLoginID'[TB_User']]],Table1_1[email],0))</f>
        <v>123</v>
      </c>
    </row>
    <row r="14" spans="1:17" x14ac:dyDescent="0.3">
      <c r="A14">
        <v>251</v>
      </c>
      <c r="B14">
        <v>22</v>
      </c>
      <c r="C14">
        <v>43</v>
      </c>
      <c r="D14">
        <v>138</v>
      </c>
      <c r="E14">
        <v>123</v>
      </c>
      <c r="F14">
        <v>0</v>
      </c>
      <c r="G14" t="s">
        <v>630</v>
      </c>
      <c r="H14" t="s">
        <v>599</v>
      </c>
      <c r="J14" t="s">
        <v>622</v>
      </c>
      <c r="K14" t="s">
        <v>602</v>
      </c>
      <c r="L14" t="s">
        <v>631</v>
      </c>
      <c r="M14" t="s">
        <v>631</v>
      </c>
      <c r="N14">
        <f>INDEX(Table1_1[name],MATCH(E14,Table1_1[seq],0))</f>
        <v>0</v>
      </c>
      <c r="O14" t="str">
        <f>INDEX(Table1_1[email],MATCH(E14,Table1_1[seq],0))</f>
        <v>scipio@daeryuk.co.kr</v>
      </c>
      <c r="P14" t="str">
        <f>INDEX(Table1_2[dbLoginID],MATCH(Table1[[#This Row],[userSeq]],Table1_2[seq],0))</f>
        <v>scipio@daeryuk.co.kr</v>
      </c>
      <c r="Q14" s="22">
        <f>INDEX(Table1_1[seq],MATCH(Table1[[#This Row],[dbLoginID'[TB_User']]],Table1_1[email],0))</f>
        <v>123</v>
      </c>
    </row>
    <row r="15" spans="1:17" x14ac:dyDescent="0.3">
      <c r="A15">
        <v>250</v>
      </c>
      <c r="B15">
        <v>22</v>
      </c>
      <c r="C15">
        <v>43</v>
      </c>
      <c r="D15">
        <v>138</v>
      </c>
      <c r="E15">
        <v>123</v>
      </c>
      <c r="F15">
        <v>0</v>
      </c>
      <c r="G15" t="s">
        <v>632</v>
      </c>
      <c r="H15" t="s">
        <v>599</v>
      </c>
      <c r="J15" t="s">
        <v>607</v>
      </c>
      <c r="K15" t="s">
        <v>602</v>
      </c>
      <c r="L15" t="s">
        <v>633</v>
      </c>
      <c r="M15" t="s">
        <v>633</v>
      </c>
      <c r="N15">
        <f>INDEX(Table1_1[name],MATCH(E15,Table1_1[seq],0))</f>
        <v>0</v>
      </c>
      <c r="O15" t="str">
        <f>INDEX(Table1_1[email],MATCH(E15,Table1_1[seq],0))</f>
        <v>scipio@daeryuk.co.kr</v>
      </c>
      <c r="P15" t="str">
        <f>INDEX(Table1_2[dbLoginID],MATCH(Table1[[#This Row],[userSeq]],Table1_2[seq],0))</f>
        <v>scipio@daeryuk.co.kr</v>
      </c>
      <c r="Q15" s="22">
        <f>INDEX(Table1_1[seq],MATCH(Table1[[#This Row],[dbLoginID'[TB_User']]],Table1_1[email],0))</f>
        <v>123</v>
      </c>
    </row>
    <row r="16" spans="1:17" x14ac:dyDescent="0.3">
      <c r="A16">
        <v>249</v>
      </c>
      <c r="B16">
        <v>55</v>
      </c>
      <c r="C16">
        <v>55</v>
      </c>
      <c r="D16">
        <v>168</v>
      </c>
      <c r="E16">
        <v>183</v>
      </c>
      <c r="F16">
        <v>0</v>
      </c>
      <c r="G16" t="s">
        <v>634</v>
      </c>
      <c r="H16" t="s">
        <v>599</v>
      </c>
      <c r="J16" t="s">
        <v>635</v>
      </c>
      <c r="K16" t="s">
        <v>602</v>
      </c>
      <c r="L16" t="s">
        <v>636</v>
      </c>
      <c r="M16" t="s">
        <v>636</v>
      </c>
      <c r="N16" t="str">
        <f>INDEX(Table1_1[name],MATCH(E16,Table1_1[seq],0))</f>
        <v>이용복</v>
      </c>
      <c r="O16" t="str">
        <f>INDEX(Table1_1[email],MATCH(E16,Table1_1[seq],0))</f>
        <v>lee0bok0@naver.com</v>
      </c>
      <c r="P16" t="str">
        <f>INDEX(Table1_2[dbLoginID],MATCH(Table1[[#This Row],[userSeq]],Table1_2[seq],0))</f>
        <v>lee0bok0@naver.com</v>
      </c>
      <c r="Q16" s="22">
        <f>INDEX(Table1_1[seq],MATCH(Table1[[#This Row],[dbLoginID'[TB_User']]],Table1_1[email],0))</f>
        <v>183</v>
      </c>
    </row>
    <row r="17" spans="1:17" x14ac:dyDescent="0.3">
      <c r="A17">
        <v>248</v>
      </c>
      <c r="B17">
        <v>55</v>
      </c>
      <c r="C17">
        <v>55</v>
      </c>
      <c r="D17">
        <v>167</v>
      </c>
      <c r="E17">
        <v>181</v>
      </c>
      <c r="F17">
        <v>0</v>
      </c>
      <c r="G17" t="s">
        <v>637</v>
      </c>
      <c r="H17" t="s">
        <v>599</v>
      </c>
      <c r="J17" t="s">
        <v>635</v>
      </c>
      <c r="K17" t="s">
        <v>602</v>
      </c>
      <c r="L17" t="s">
        <v>638</v>
      </c>
      <c r="M17" t="s">
        <v>638</v>
      </c>
      <c r="N17" t="str">
        <f>INDEX(Table1_1[name],MATCH(E17,Table1_1[seq],0))</f>
        <v>정태희</v>
      </c>
      <c r="O17" t="str">
        <f>INDEX(Table1_1[email],MATCH(E17,Table1_1[seq],0))</f>
        <v>qoaansml@naver.com</v>
      </c>
      <c r="P17" t="str">
        <f>INDEX(Table1_2[dbLoginID],MATCH(Table1[[#This Row],[userSeq]],Table1_2[seq],0))</f>
        <v>qoaansml@naver.com</v>
      </c>
      <c r="Q17" s="22">
        <f>INDEX(Table1_1[seq],MATCH(Table1[[#This Row],[dbLoginID'[TB_User']]],Table1_1[email],0))</f>
        <v>181</v>
      </c>
    </row>
    <row r="18" spans="1:17" s="23" customFormat="1" x14ac:dyDescent="0.3">
      <c r="A18" s="23">
        <v>247</v>
      </c>
      <c r="B18" s="23">
        <v>2</v>
      </c>
      <c r="C18" s="23">
        <v>14</v>
      </c>
      <c r="D18" s="23">
        <v>148</v>
      </c>
      <c r="E18" s="23">
        <v>39</v>
      </c>
      <c r="F18" s="23">
        <v>0</v>
      </c>
      <c r="G18" s="23" t="s">
        <v>639</v>
      </c>
      <c r="H18" s="23" t="s">
        <v>599</v>
      </c>
      <c r="I18" s="23" t="s">
        <v>640</v>
      </c>
      <c r="J18" s="23" t="s">
        <v>641</v>
      </c>
      <c r="K18" s="23" t="s">
        <v>602</v>
      </c>
      <c r="L18" s="23" t="s">
        <v>642</v>
      </c>
      <c r="M18" s="23" t="s">
        <v>643</v>
      </c>
      <c r="N18" s="23" t="str">
        <f>INDEX(Table1_1[name],MATCH(E18,Table1_1[seq],0))</f>
        <v>최혜련</v>
      </c>
      <c r="O18" s="23" t="str">
        <f>INDEX(Table1_1[email],MATCH(E18,Table1_1[seq],0))</f>
        <v>choihyeryun@unionlogis.com</v>
      </c>
      <c r="P18" s="23" t="str">
        <f>INDEX(Table1_2[dbLoginID],MATCH(Table1[[#This Row],[userSeq]],Table1_2[seq],0))</f>
        <v>lucy@ezchemtech.com</v>
      </c>
      <c r="Q18" s="24">
        <f>INDEX(Table1_1[seq],MATCH(Table1[[#This Row],[dbLoginID'[TB_User']]],Table1_1[email],0))</f>
        <v>153</v>
      </c>
    </row>
    <row r="19" spans="1:17" x14ac:dyDescent="0.3">
      <c r="A19">
        <v>246</v>
      </c>
      <c r="B19">
        <v>1</v>
      </c>
      <c r="C19">
        <v>13</v>
      </c>
      <c r="D19">
        <v>147</v>
      </c>
      <c r="E19">
        <v>21</v>
      </c>
      <c r="F19">
        <v>0</v>
      </c>
      <c r="G19" t="s">
        <v>644</v>
      </c>
      <c r="H19" t="s">
        <v>599</v>
      </c>
      <c r="I19" t="s">
        <v>640</v>
      </c>
      <c r="J19" t="s">
        <v>645</v>
      </c>
      <c r="K19" t="s">
        <v>602</v>
      </c>
      <c r="L19" t="s">
        <v>646</v>
      </c>
      <c r="M19" t="s">
        <v>647</v>
      </c>
      <c r="N19" t="str">
        <f>INDEX(Table1_1[name],MATCH(E19,Table1_1[seq],0))</f>
        <v>이현아</v>
      </c>
      <c r="O19" t="str">
        <f>INDEX(Table1_1[email],MATCH(E19,Table1_1[seq],0))</f>
        <v>shmlucy07@gmail.com</v>
      </c>
      <c r="P19" t="str">
        <f>INDEX(Table1_2[dbLoginID],MATCH(Table1[[#This Row],[userSeq]],Table1_2[seq],0))</f>
        <v>lucy@ez-office.co.kr</v>
      </c>
      <c r="Q19" s="22">
        <f>INDEX(Table1_1[seq],MATCH(Table1[[#This Row],[dbLoginID'[TB_User']]],Table1_1[email],0))</f>
        <v>147</v>
      </c>
    </row>
    <row r="20" spans="1:17" x14ac:dyDescent="0.3">
      <c r="A20">
        <v>245</v>
      </c>
      <c r="B20">
        <v>23</v>
      </c>
      <c r="C20">
        <v>44</v>
      </c>
      <c r="D20">
        <v>145</v>
      </c>
      <c r="E20">
        <v>3</v>
      </c>
      <c r="F20">
        <v>0</v>
      </c>
      <c r="G20" t="s">
        <v>648</v>
      </c>
      <c r="H20" t="s">
        <v>599</v>
      </c>
      <c r="I20" t="s">
        <v>649</v>
      </c>
      <c r="J20" t="s">
        <v>645</v>
      </c>
      <c r="K20" t="s">
        <v>602</v>
      </c>
      <c r="L20" t="s">
        <v>650</v>
      </c>
      <c r="M20" t="s">
        <v>651</v>
      </c>
      <c r="N20" t="str">
        <f>INDEX(Table1_1[name],MATCH(E20,Table1_1[seq],0))</f>
        <v>김신영</v>
      </c>
      <c r="O20" t="str">
        <f>INDEX(Table1_1[email],MATCH(E20,Table1_1[seq],0))</f>
        <v>service2@ezchemtech.com</v>
      </c>
      <c r="P20" t="str">
        <f>INDEX(Table1_2[dbLoginID],MATCH(Table1[[#This Row],[userSeq]],Table1_2[seq],0))</f>
        <v>eden.lee@gselec.com</v>
      </c>
      <c r="Q20" s="22">
        <f>INDEX(Table1_1[seq],MATCH(Table1[[#This Row],[dbLoginID'[TB_User']]],Table1_1[email],0))</f>
        <v>171</v>
      </c>
    </row>
    <row r="21" spans="1:17" x14ac:dyDescent="0.3">
      <c r="A21">
        <v>244</v>
      </c>
      <c r="B21">
        <v>23</v>
      </c>
      <c r="C21">
        <v>44</v>
      </c>
      <c r="D21">
        <v>144</v>
      </c>
      <c r="E21">
        <v>2</v>
      </c>
      <c r="F21">
        <v>0</v>
      </c>
      <c r="G21" t="s">
        <v>652</v>
      </c>
      <c r="H21" t="s">
        <v>599</v>
      </c>
      <c r="I21" t="s">
        <v>606</v>
      </c>
      <c r="J21" t="s">
        <v>645</v>
      </c>
      <c r="K21" t="s">
        <v>602</v>
      </c>
      <c r="L21" t="s">
        <v>653</v>
      </c>
      <c r="M21" t="s">
        <v>654</v>
      </c>
      <c r="N21" t="str">
        <f>INDEX(Table1_1[name],MATCH(E21,Table1_1[seq],0))</f>
        <v>유동현</v>
      </c>
      <c r="O21" t="str">
        <f>INDEX(Table1_1[email],MATCH(E21,Table1_1[seq],0))</f>
        <v>c02095aa@gmail.com</v>
      </c>
      <c r="P21" t="str">
        <f>INDEX(Table1_2[dbLoginID],MATCH(Table1[[#This Row],[userSeq]],Table1_2[seq],0))</f>
        <v>choihyeryun@gselec.com</v>
      </c>
      <c r="Q21" s="22">
        <f>INDEX(Table1_1[seq],MATCH(Table1[[#This Row],[dbLoginID'[TB_User']]],Table1_1[email],0))</f>
        <v>170</v>
      </c>
    </row>
    <row r="22" spans="1:17" x14ac:dyDescent="0.3">
      <c r="A22">
        <v>243</v>
      </c>
      <c r="B22">
        <v>24</v>
      </c>
      <c r="C22">
        <v>45</v>
      </c>
      <c r="D22">
        <v>143</v>
      </c>
      <c r="E22">
        <v>2</v>
      </c>
      <c r="F22">
        <v>0</v>
      </c>
      <c r="G22" t="s">
        <v>655</v>
      </c>
      <c r="H22" t="s">
        <v>599</v>
      </c>
      <c r="J22" t="s">
        <v>656</v>
      </c>
      <c r="K22" t="s">
        <v>602</v>
      </c>
      <c r="L22" t="s">
        <v>657</v>
      </c>
      <c r="M22" t="s">
        <v>657</v>
      </c>
      <c r="N22" t="str">
        <f>INDEX(Table1_1[name],MATCH(E22,Table1_1[seq],0))</f>
        <v>유동현</v>
      </c>
      <c r="O22" t="str">
        <f>INDEX(Table1_1[email],MATCH(E22,Table1_1[seq],0))</f>
        <v>c02095aa@gmail.com</v>
      </c>
      <c r="P22" t="str">
        <f>INDEX(Table1_2[dbLoginID],MATCH(Table1[[#This Row],[userSeq]],Table1_2[seq],0))</f>
        <v>eden.lee@kumsung.com</v>
      </c>
      <c r="Q22" s="22">
        <f>INDEX(Table1_1[seq],MATCH(Table1[[#This Row],[dbLoginID'[TB_User']]],Table1_1[email],0))</f>
        <v>128</v>
      </c>
    </row>
    <row r="23" spans="1:17" x14ac:dyDescent="0.3">
      <c r="A23">
        <v>242</v>
      </c>
      <c r="B23">
        <v>24</v>
      </c>
      <c r="C23">
        <v>45</v>
      </c>
      <c r="D23">
        <v>142</v>
      </c>
      <c r="E23">
        <v>1</v>
      </c>
      <c r="F23">
        <v>0</v>
      </c>
      <c r="G23" t="s">
        <v>658</v>
      </c>
      <c r="H23" t="s">
        <v>599</v>
      </c>
      <c r="I23" t="s">
        <v>606</v>
      </c>
      <c r="J23" t="s">
        <v>656</v>
      </c>
      <c r="K23" t="s">
        <v>602</v>
      </c>
      <c r="L23" t="s">
        <v>659</v>
      </c>
      <c r="M23" t="s">
        <v>660</v>
      </c>
      <c r="N23" t="str">
        <f>INDEX(Table1_1[name],MATCH(E23,Table1_1[seq],0))</f>
        <v>customer_01</v>
      </c>
      <c r="O23" t="str">
        <f>INDEX(Table1_1[email],MATCH(E23,Table1_1[seq],0))</f>
        <v>customer_01@demo.co.kr</v>
      </c>
      <c r="P23" t="str">
        <f>INDEX(Table1_2[dbLoginID],MATCH(Table1[[#This Row],[userSeq]],Table1_2[seq],0))</f>
        <v>choihyeryun@kumsung.com</v>
      </c>
      <c r="Q23" s="22">
        <f>INDEX(Table1_1[seq],MATCH(Table1[[#This Row],[dbLoginID'[TB_User']]],Table1_1[email],0))</f>
        <v>127</v>
      </c>
    </row>
    <row r="24" spans="1:17" x14ac:dyDescent="0.3">
      <c r="A24">
        <v>241</v>
      </c>
      <c r="B24">
        <v>23</v>
      </c>
      <c r="C24">
        <v>44</v>
      </c>
      <c r="D24">
        <v>141</v>
      </c>
      <c r="E24">
        <v>1</v>
      </c>
      <c r="F24">
        <v>0</v>
      </c>
      <c r="G24" t="s">
        <v>661</v>
      </c>
      <c r="H24" t="s">
        <v>599</v>
      </c>
      <c r="I24" t="s">
        <v>662</v>
      </c>
      <c r="J24" t="s">
        <v>663</v>
      </c>
      <c r="K24" t="s">
        <v>602</v>
      </c>
      <c r="L24" t="s">
        <v>664</v>
      </c>
      <c r="M24" t="s">
        <v>665</v>
      </c>
      <c r="N24" t="str">
        <f>INDEX(Table1_1[name],MATCH(E24,Table1_1[seq],0))</f>
        <v>customer_01</v>
      </c>
      <c r="O24" t="str">
        <f>INDEX(Table1_1[email],MATCH(E24,Table1_1[seq],0))</f>
        <v>customer_01@demo.co.kr</v>
      </c>
      <c r="P24" t="str">
        <f>INDEX(Table1_2[dbLoginID],MATCH(Table1[[#This Row],[userSeq]],Table1_2[seq],0))</f>
        <v>isabelle@gselec.com</v>
      </c>
      <c r="Q24" s="22">
        <f>INDEX(Table1_1[seq],MATCH(Table1[[#This Row],[dbLoginID'[TB_User']]],Table1_1[email],0))</f>
        <v>169</v>
      </c>
    </row>
    <row r="25" spans="1:17" x14ac:dyDescent="0.3">
      <c r="A25">
        <v>240</v>
      </c>
      <c r="B25">
        <v>23</v>
      </c>
      <c r="C25">
        <v>44</v>
      </c>
      <c r="D25">
        <v>141</v>
      </c>
      <c r="E25">
        <v>1</v>
      </c>
      <c r="F25">
        <v>0</v>
      </c>
      <c r="G25" t="s">
        <v>666</v>
      </c>
      <c r="H25" t="s">
        <v>599</v>
      </c>
      <c r="J25" t="s">
        <v>667</v>
      </c>
      <c r="K25" t="s">
        <v>602</v>
      </c>
      <c r="L25" t="s">
        <v>668</v>
      </c>
      <c r="M25" t="s">
        <v>668</v>
      </c>
      <c r="N25" t="str">
        <f>INDEX(Table1_1[name],MATCH(E25,Table1_1[seq],0))</f>
        <v>customer_01</v>
      </c>
      <c r="O25" t="str">
        <f>INDEX(Table1_1[email],MATCH(E25,Table1_1[seq],0))</f>
        <v>customer_01@demo.co.kr</v>
      </c>
      <c r="P25" t="str">
        <f>INDEX(Table1_2[dbLoginID],MATCH(Table1[[#This Row],[userSeq]],Table1_2[seq],0))</f>
        <v>isabelle@gselec.com</v>
      </c>
      <c r="Q25" s="22">
        <f>INDEX(Table1_1[seq],MATCH(Table1[[#This Row],[dbLoginID'[TB_User']]],Table1_1[email],0))</f>
        <v>169</v>
      </c>
    </row>
    <row r="26" spans="1:17" x14ac:dyDescent="0.3">
      <c r="A26">
        <v>239</v>
      </c>
      <c r="B26">
        <v>2</v>
      </c>
      <c r="C26">
        <v>14</v>
      </c>
      <c r="D26">
        <v>58</v>
      </c>
      <c r="E26">
        <v>35</v>
      </c>
      <c r="F26">
        <v>0</v>
      </c>
      <c r="G26" t="s">
        <v>669</v>
      </c>
      <c r="H26" t="s">
        <v>599</v>
      </c>
      <c r="I26" t="s">
        <v>670</v>
      </c>
      <c r="J26" t="s">
        <v>671</v>
      </c>
      <c r="K26" t="s">
        <v>602</v>
      </c>
      <c r="L26" t="s">
        <v>672</v>
      </c>
      <c r="M26" t="s">
        <v>673</v>
      </c>
      <c r="N26" t="str">
        <f>INDEX(Table1_1[name],MATCH(E26,Table1_1[seq],0))</f>
        <v xml:space="preserve">심규정 </v>
      </c>
      <c r="O26" t="str">
        <f>INDEX(Table1_1[email],MATCH(E26,Table1_1[seq],0))</f>
        <v>kj.sim@orientpi.co.kr</v>
      </c>
      <c r="P26" t="str">
        <f>INDEX(Table1_2[dbLoginID],MATCH(Table1[[#This Row],[userSeq]],Table1_2[seq],0))</f>
        <v>test01@ezchemtech.com</v>
      </c>
      <c r="Q26" s="22">
        <f>INDEX(Table1_1[seq],MATCH(Table1[[#This Row],[dbLoginID'[TB_User']]],Table1_1[email],0))</f>
        <v>68</v>
      </c>
    </row>
    <row r="27" spans="1:17" x14ac:dyDescent="0.3">
      <c r="A27">
        <v>238</v>
      </c>
      <c r="B27">
        <v>5</v>
      </c>
      <c r="C27">
        <v>17</v>
      </c>
      <c r="D27">
        <v>137</v>
      </c>
      <c r="E27">
        <v>15</v>
      </c>
      <c r="F27">
        <v>0</v>
      </c>
      <c r="G27" t="s">
        <v>674</v>
      </c>
      <c r="H27" t="s">
        <v>599</v>
      </c>
      <c r="J27" t="s">
        <v>656</v>
      </c>
      <c r="K27" t="s">
        <v>602</v>
      </c>
      <c r="L27" t="s">
        <v>675</v>
      </c>
      <c r="M27" t="s">
        <v>675</v>
      </c>
      <c r="N27" t="str">
        <f>INDEX(Table1_1[name],MATCH(E27,Table1_1[seq],0))</f>
        <v>이상현</v>
      </c>
      <c r="O27" t="str">
        <f>INDEX(Table1_1[email],MATCH(E27,Table1_1[seq],0))</f>
        <v>eden.lee@ez-office.co.kr</v>
      </c>
      <c r="P27" t="str">
        <f>INDEX(Table1_2[dbLoginID],MATCH(Table1[[#This Row],[userSeq]],Table1_2[seq],0))</f>
        <v>jwhong@demo.co.kr</v>
      </c>
      <c r="Q27" s="22">
        <f>INDEX(Table1_1[seq],MATCH(Table1[[#This Row],[dbLoginID'[TB_User']]],Table1_1[email],0))</f>
        <v>98</v>
      </c>
    </row>
    <row r="28" spans="1:17" x14ac:dyDescent="0.3">
      <c r="A28">
        <v>237</v>
      </c>
      <c r="B28">
        <v>5</v>
      </c>
      <c r="C28">
        <v>17</v>
      </c>
      <c r="D28">
        <v>136</v>
      </c>
      <c r="E28">
        <v>14</v>
      </c>
      <c r="F28">
        <v>0</v>
      </c>
      <c r="G28" t="s">
        <v>676</v>
      </c>
      <c r="H28" t="s">
        <v>599</v>
      </c>
      <c r="J28" t="s">
        <v>656</v>
      </c>
      <c r="K28" t="s">
        <v>602</v>
      </c>
      <c r="L28" t="s">
        <v>677</v>
      </c>
      <c r="M28" t="s">
        <v>677</v>
      </c>
      <c r="N28" t="str">
        <f>INDEX(Table1_1[name],MATCH(E28,Table1_1[seq],0))</f>
        <v>최종규</v>
      </c>
      <c r="O28" t="str">
        <f>INDEX(Table1_1[email],MATCH(E28,Table1_1[seq],0))</f>
        <v>star_horse@naver.com</v>
      </c>
      <c r="P28" t="str">
        <f>INDEX(Table1_2[dbLoginID],MATCH(Table1[[#This Row],[userSeq]],Table1_2[seq],0))</f>
        <v>hjwoo@demo.co.kr</v>
      </c>
      <c r="Q28" s="22">
        <f>INDEX(Table1_1[seq],MATCH(Table1[[#This Row],[dbLoginID'[TB_User']]],Table1_1[email],0))</f>
        <v>97</v>
      </c>
    </row>
    <row r="29" spans="1:17" x14ac:dyDescent="0.3">
      <c r="A29">
        <v>236</v>
      </c>
      <c r="B29">
        <v>21</v>
      </c>
      <c r="C29">
        <v>42</v>
      </c>
      <c r="D29">
        <v>134</v>
      </c>
      <c r="E29">
        <v>2</v>
      </c>
      <c r="F29">
        <v>0</v>
      </c>
      <c r="G29" t="s">
        <v>678</v>
      </c>
      <c r="H29" t="s">
        <v>599</v>
      </c>
      <c r="I29" t="s">
        <v>679</v>
      </c>
      <c r="J29" t="s">
        <v>656</v>
      </c>
      <c r="K29" t="s">
        <v>602</v>
      </c>
      <c r="L29" t="s">
        <v>680</v>
      </c>
      <c r="M29" t="s">
        <v>681</v>
      </c>
      <c r="N29" t="str">
        <f>INDEX(Table1_1[name],MATCH(E29,Table1_1[seq],0))</f>
        <v>유동현</v>
      </c>
      <c r="O29" t="str">
        <f>INDEX(Table1_1[email],MATCH(E29,Table1_1[seq],0))</f>
        <v>c02095aa@gmail.com</v>
      </c>
      <c r="P29" t="str">
        <f>INDEX(Table1_2[dbLoginID],MATCH(Table1[[#This Row],[userSeq]],Table1_2[seq],0))</f>
        <v>kj.sim@ngc1994.co.kr</v>
      </c>
      <c r="Q29" s="22">
        <f>INDEX(Table1_1[seq],MATCH(Table1[[#This Row],[dbLoginID'[TB_User']]],Table1_1[email],0))</f>
        <v>122</v>
      </c>
    </row>
    <row r="30" spans="1:17" x14ac:dyDescent="0.3">
      <c r="A30">
        <v>235</v>
      </c>
      <c r="B30">
        <v>21</v>
      </c>
      <c r="C30">
        <v>42</v>
      </c>
      <c r="D30">
        <v>133</v>
      </c>
      <c r="E30">
        <v>1</v>
      </c>
      <c r="F30">
        <v>0</v>
      </c>
      <c r="G30" t="s">
        <v>682</v>
      </c>
      <c r="H30" t="s">
        <v>599</v>
      </c>
      <c r="I30" t="s">
        <v>625</v>
      </c>
      <c r="J30" t="s">
        <v>656</v>
      </c>
      <c r="K30" t="s">
        <v>602</v>
      </c>
      <c r="L30" t="s">
        <v>683</v>
      </c>
      <c r="M30" t="s">
        <v>684</v>
      </c>
      <c r="N30" t="str">
        <f>INDEX(Table1_1[name],MATCH(E30,Table1_1[seq],0))</f>
        <v>customer_01</v>
      </c>
      <c r="O30" t="str">
        <f>INDEX(Table1_1[email],MATCH(E30,Table1_1[seq],0))</f>
        <v>customer_01@demo.co.kr</v>
      </c>
      <c r="P30" t="str">
        <f>INDEX(Table1_2[dbLoginID],MATCH(Table1[[#This Row],[userSeq]],Table1_2[seq],0))</f>
        <v>scipio@ngc1994.co.kr</v>
      </c>
      <c r="Q30" s="22">
        <f>INDEX(Table1_1[seq],MATCH(Table1[[#This Row],[dbLoginID'[TB_User']]],Table1_1[email],0))</f>
        <v>121</v>
      </c>
    </row>
    <row r="31" spans="1:17" x14ac:dyDescent="0.3">
      <c r="A31">
        <v>234</v>
      </c>
      <c r="B31">
        <v>21</v>
      </c>
      <c r="C31">
        <v>42</v>
      </c>
      <c r="D31">
        <v>133</v>
      </c>
      <c r="E31">
        <v>1</v>
      </c>
      <c r="F31">
        <v>0</v>
      </c>
      <c r="G31" t="s">
        <v>685</v>
      </c>
      <c r="H31" t="s">
        <v>599</v>
      </c>
      <c r="I31" t="s">
        <v>617</v>
      </c>
      <c r="J31" t="s">
        <v>656</v>
      </c>
      <c r="K31" t="s">
        <v>602</v>
      </c>
      <c r="L31" t="s">
        <v>686</v>
      </c>
      <c r="M31" t="s">
        <v>687</v>
      </c>
      <c r="N31" t="str">
        <f>INDEX(Table1_1[name],MATCH(E31,Table1_1[seq],0))</f>
        <v>customer_01</v>
      </c>
      <c r="O31" t="str">
        <f>INDEX(Table1_1[email],MATCH(E31,Table1_1[seq],0))</f>
        <v>customer_01@demo.co.kr</v>
      </c>
      <c r="P31" t="str">
        <f>INDEX(Table1_2[dbLoginID],MATCH(Table1[[#This Row],[userSeq]],Table1_2[seq],0))</f>
        <v>scipio@ngc1994.co.kr</v>
      </c>
      <c r="Q31" s="22">
        <f>INDEX(Table1_1[seq],MATCH(Table1[[#This Row],[dbLoginID'[TB_User']]],Table1_1[email],0))</f>
        <v>121</v>
      </c>
    </row>
    <row r="32" spans="1:17" x14ac:dyDescent="0.3">
      <c r="A32">
        <v>233</v>
      </c>
      <c r="B32">
        <v>21</v>
      </c>
      <c r="C32">
        <v>42</v>
      </c>
      <c r="D32">
        <v>133</v>
      </c>
      <c r="E32">
        <v>1</v>
      </c>
      <c r="F32">
        <v>0</v>
      </c>
      <c r="G32" t="s">
        <v>688</v>
      </c>
      <c r="H32" t="s">
        <v>599</v>
      </c>
      <c r="J32" t="s">
        <v>656</v>
      </c>
      <c r="K32" t="s">
        <v>602</v>
      </c>
      <c r="L32" t="s">
        <v>689</v>
      </c>
      <c r="M32" t="s">
        <v>689</v>
      </c>
      <c r="N32" t="str">
        <f>INDEX(Table1_1[name],MATCH(E32,Table1_1[seq],0))</f>
        <v>customer_01</v>
      </c>
      <c r="O32" t="str">
        <f>INDEX(Table1_1[email],MATCH(E32,Table1_1[seq],0))</f>
        <v>customer_01@demo.co.kr</v>
      </c>
      <c r="P32" t="str">
        <f>INDEX(Table1_2[dbLoginID],MATCH(Table1[[#This Row],[userSeq]],Table1_2[seq],0))</f>
        <v>scipio@ngc1994.co.kr</v>
      </c>
      <c r="Q32" s="22">
        <f>INDEX(Table1_1[seq],MATCH(Table1[[#This Row],[dbLoginID'[TB_User']]],Table1_1[email],0))</f>
        <v>121</v>
      </c>
    </row>
    <row r="33" spans="1:17" x14ac:dyDescent="0.3">
      <c r="A33">
        <v>232</v>
      </c>
      <c r="B33">
        <v>19</v>
      </c>
      <c r="C33">
        <v>40</v>
      </c>
      <c r="D33">
        <v>121</v>
      </c>
      <c r="E33">
        <v>4</v>
      </c>
      <c r="F33">
        <v>0</v>
      </c>
      <c r="G33" t="s">
        <v>690</v>
      </c>
      <c r="H33" t="s">
        <v>599</v>
      </c>
      <c r="I33" t="s">
        <v>679</v>
      </c>
      <c r="J33" t="s">
        <v>691</v>
      </c>
      <c r="K33" t="s">
        <v>602</v>
      </c>
      <c r="L33" t="s">
        <v>692</v>
      </c>
      <c r="M33" t="s">
        <v>693</v>
      </c>
      <c r="N33" t="str">
        <f>INDEX(Table1_1[name],MATCH(E33,Table1_1[seq],0))</f>
        <v>최종규</v>
      </c>
      <c r="O33" t="str">
        <f>INDEX(Table1_1[email],MATCH(E33,Table1_1[seq],0))</f>
        <v>star_horse@naver.com</v>
      </c>
      <c r="P33" t="str">
        <f>INDEX(Table1_2[dbLoginID],MATCH(Table1[[#This Row],[userSeq]],Table1_2[seq],0))</f>
        <v>kj.sim@worldshoppe.com</v>
      </c>
      <c r="Q33" s="22">
        <f>INDEX(Table1_1[seq],MATCH(Table1[[#This Row],[dbLoginID'[TB_User']]],Table1_1[email],0))</f>
        <v>118</v>
      </c>
    </row>
    <row r="34" spans="1:17" x14ac:dyDescent="0.3">
      <c r="A34">
        <v>231</v>
      </c>
      <c r="B34">
        <v>19</v>
      </c>
      <c r="C34">
        <v>40</v>
      </c>
      <c r="D34">
        <v>120</v>
      </c>
      <c r="E34">
        <v>3</v>
      </c>
      <c r="F34">
        <v>0</v>
      </c>
      <c r="G34" t="s">
        <v>694</v>
      </c>
      <c r="H34" t="s">
        <v>599</v>
      </c>
      <c r="I34" t="s">
        <v>662</v>
      </c>
      <c r="J34" t="s">
        <v>667</v>
      </c>
      <c r="K34" t="s">
        <v>602</v>
      </c>
      <c r="L34" t="s">
        <v>695</v>
      </c>
      <c r="M34" t="s">
        <v>696</v>
      </c>
      <c r="N34" t="str">
        <f>INDEX(Table1_1[name],MATCH(E34,Table1_1[seq],0))</f>
        <v>김신영</v>
      </c>
      <c r="O34" t="str">
        <f>INDEX(Table1_1[email],MATCH(E34,Table1_1[seq],0))</f>
        <v>service2@ezchemtech.com</v>
      </c>
      <c r="P34" t="str">
        <f>INDEX(Table1_2[dbLoginID],MATCH(Table1[[#This Row],[userSeq]],Table1_2[seq],0))</f>
        <v>isabelle@worldshoppe.com</v>
      </c>
      <c r="Q34" s="22">
        <f>INDEX(Table1_1[seq],MATCH(Table1[[#This Row],[dbLoginID'[TB_User']]],Table1_1[email],0))</f>
        <v>117</v>
      </c>
    </row>
    <row r="35" spans="1:17" x14ac:dyDescent="0.3">
      <c r="A35">
        <v>230</v>
      </c>
      <c r="B35">
        <v>19</v>
      </c>
      <c r="C35">
        <v>40</v>
      </c>
      <c r="D35">
        <v>119</v>
      </c>
      <c r="E35">
        <v>2</v>
      </c>
      <c r="F35">
        <v>0</v>
      </c>
      <c r="G35" t="s">
        <v>697</v>
      </c>
      <c r="H35" t="s">
        <v>599</v>
      </c>
      <c r="J35" t="s">
        <v>667</v>
      </c>
      <c r="K35" t="s">
        <v>602</v>
      </c>
      <c r="L35" t="s">
        <v>698</v>
      </c>
      <c r="M35" t="s">
        <v>698</v>
      </c>
      <c r="N35" t="str">
        <f>INDEX(Table1_1[name],MATCH(E35,Table1_1[seq],0))</f>
        <v>유동현</v>
      </c>
      <c r="O35" t="str">
        <f>INDEX(Table1_1[email],MATCH(E35,Table1_1[seq],0))</f>
        <v>c02095aa@gmail.com</v>
      </c>
      <c r="P35" t="str">
        <f>INDEX(Table1_2[dbLoginID],MATCH(Table1[[#This Row],[userSeq]],Table1_2[seq],0))</f>
        <v>isabelle@workdshoppe.com</v>
      </c>
      <c r="Q35" s="22">
        <f>INDEX(Table1_1[seq],MATCH(Table1[[#This Row],[dbLoginID'[TB_User']]],Table1_1[email],0))</f>
        <v>116</v>
      </c>
    </row>
    <row r="36" spans="1:17" x14ac:dyDescent="0.3">
      <c r="A36">
        <v>229</v>
      </c>
      <c r="B36">
        <v>19</v>
      </c>
      <c r="C36">
        <v>40</v>
      </c>
      <c r="D36">
        <v>118</v>
      </c>
      <c r="E36">
        <v>1</v>
      </c>
      <c r="F36">
        <v>0</v>
      </c>
      <c r="G36" t="s">
        <v>699</v>
      </c>
      <c r="H36" t="s">
        <v>599</v>
      </c>
      <c r="I36" t="s">
        <v>625</v>
      </c>
      <c r="J36" t="s">
        <v>700</v>
      </c>
      <c r="K36" t="s">
        <v>602</v>
      </c>
      <c r="L36" t="s">
        <v>701</v>
      </c>
      <c r="M36" t="s">
        <v>702</v>
      </c>
      <c r="N36" t="str">
        <f>INDEX(Table1_1[name],MATCH(E36,Table1_1[seq],0))</f>
        <v>customer_01</v>
      </c>
      <c r="O36" t="str">
        <f>INDEX(Table1_1[email],MATCH(E36,Table1_1[seq],0))</f>
        <v>customer_01@demo.co.kr</v>
      </c>
      <c r="P36" t="str">
        <f>INDEX(Table1_2[dbLoginID],MATCH(Table1[[#This Row],[userSeq]],Table1_2[seq],0))</f>
        <v>scipio@worldshoppe.com</v>
      </c>
      <c r="Q36" s="22">
        <f>INDEX(Table1_1[seq],MATCH(Table1[[#This Row],[dbLoginID'[TB_User']]],Table1_1[email],0))</f>
        <v>115</v>
      </c>
    </row>
    <row r="37" spans="1:17" x14ac:dyDescent="0.3">
      <c r="A37">
        <v>228</v>
      </c>
      <c r="B37">
        <v>19</v>
      </c>
      <c r="C37">
        <v>40</v>
      </c>
      <c r="D37">
        <v>118</v>
      </c>
      <c r="E37">
        <v>1</v>
      </c>
      <c r="F37">
        <v>0</v>
      </c>
      <c r="G37" t="s">
        <v>703</v>
      </c>
      <c r="H37" t="s">
        <v>599</v>
      </c>
      <c r="J37" t="s">
        <v>704</v>
      </c>
      <c r="K37" t="s">
        <v>602</v>
      </c>
      <c r="L37" t="s">
        <v>705</v>
      </c>
      <c r="M37" t="s">
        <v>705</v>
      </c>
      <c r="N37" t="str">
        <f>INDEX(Table1_1[name],MATCH(E37,Table1_1[seq],0))</f>
        <v>customer_01</v>
      </c>
      <c r="O37" t="str">
        <f>INDEX(Table1_1[email],MATCH(E37,Table1_1[seq],0))</f>
        <v>customer_01@demo.co.kr</v>
      </c>
      <c r="P37" t="str">
        <f>INDEX(Table1_2[dbLoginID],MATCH(Table1[[#This Row],[userSeq]],Table1_2[seq],0))</f>
        <v>scipio@worldshoppe.com</v>
      </c>
      <c r="Q37" s="22">
        <f>INDEX(Table1_1[seq],MATCH(Table1[[#This Row],[dbLoginID'[TB_User']]],Table1_1[email],0))</f>
        <v>115</v>
      </c>
    </row>
    <row r="38" spans="1:17" x14ac:dyDescent="0.3">
      <c r="A38">
        <v>227</v>
      </c>
      <c r="B38">
        <v>19</v>
      </c>
      <c r="C38">
        <v>40</v>
      </c>
      <c r="D38">
        <v>118</v>
      </c>
      <c r="E38">
        <v>1</v>
      </c>
      <c r="F38">
        <v>0</v>
      </c>
      <c r="G38" t="s">
        <v>706</v>
      </c>
      <c r="H38" t="s">
        <v>599</v>
      </c>
      <c r="I38" t="s">
        <v>617</v>
      </c>
      <c r="J38" t="s">
        <v>707</v>
      </c>
      <c r="K38" t="s">
        <v>602</v>
      </c>
      <c r="L38" t="s">
        <v>708</v>
      </c>
      <c r="M38" t="s">
        <v>709</v>
      </c>
      <c r="N38" t="str">
        <f>INDEX(Table1_1[name],MATCH(E38,Table1_1[seq],0))</f>
        <v>customer_01</v>
      </c>
      <c r="O38" t="str">
        <f>INDEX(Table1_1[email],MATCH(E38,Table1_1[seq],0))</f>
        <v>customer_01@demo.co.kr</v>
      </c>
      <c r="P38" t="str">
        <f>INDEX(Table1_2[dbLoginID],MATCH(Table1[[#This Row],[userSeq]],Table1_2[seq],0))</f>
        <v>scipio@worldshoppe.com</v>
      </c>
      <c r="Q38" s="22">
        <f>INDEX(Table1_1[seq],MATCH(Table1[[#This Row],[dbLoginID'[TB_User']]],Table1_1[email],0))</f>
        <v>115</v>
      </c>
    </row>
    <row r="39" spans="1:17" x14ac:dyDescent="0.3">
      <c r="A39">
        <v>226</v>
      </c>
      <c r="B39">
        <v>2</v>
      </c>
      <c r="C39">
        <v>14</v>
      </c>
      <c r="D39">
        <v>20</v>
      </c>
      <c r="E39">
        <v>18</v>
      </c>
      <c r="F39">
        <v>0</v>
      </c>
      <c r="G39" t="s">
        <v>710</v>
      </c>
      <c r="H39" t="s">
        <v>599</v>
      </c>
      <c r="I39" t="s">
        <v>711</v>
      </c>
      <c r="J39" t="s">
        <v>712</v>
      </c>
      <c r="K39" t="s">
        <v>602</v>
      </c>
      <c r="L39" t="s">
        <v>713</v>
      </c>
      <c r="M39" t="s">
        <v>714</v>
      </c>
      <c r="N39" t="str">
        <f>INDEX(Table1_1[name],MATCH(E39,Table1_1[seq],0))</f>
        <v>황인국</v>
      </c>
      <c r="O39" t="str">
        <f>INDEX(Table1_1[email],MATCH(E39,Table1_1[seq],0))</f>
        <v>gshwang@ezchemtech.com</v>
      </c>
      <c r="P39" t="str">
        <f>INDEX(Table1_2[dbLoginID],MATCH(Table1[[#This Row],[userSeq]],Table1_2[seq],0))</f>
        <v>dev@ezchemtech.com</v>
      </c>
      <c r="Q39" s="22">
        <f>INDEX(Table1_1[seq],MATCH(Table1[[#This Row],[dbLoginID'[TB_User']]],Table1_1[email],0))</f>
        <v>51</v>
      </c>
    </row>
    <row r="40" spans="1:17" x14ac:dyDescent="0.3">
      <c r="A40">
        <v>225</v>
      </c>
      <c r="B40">
        <v>16</v>
      </c>
      <c r="C40">
        <v>38</v>
      </c>
      <c r="D40">
        <v>113</v>
      </c>
      <c r="E40">
        <v>3</v>
      </c>
      <c r="F40">
        <v>0</v>
      </c>
      <c r="G40" t="s">
        <v>715</v>
      </c>
      <c r="H40" t="s">
        <v>599</v>
      </c>
      <c r="I40" t="s">
        <v>711</v>
      </c>
      <c r="J40" t="s">
        <v>712</v>
      </c>
      <c r="K40" t="s">
        <v>602</v>
      </c>
      <c r="L40" t="s">
        <v>716</v>
      </c>
      <c r="M40" t="s">
        <v>717</v>
      </c>
      <c r="N40" t="str">
        <f>INDEX(Table1_1[name],MATCH(E40,Table1_1[seq],0))</f>
        <v>김신영</v>
      </c>
      <c r="O40" t="str">
        <f>INDEX(Table1_1[email],MATCH(E40,Table1_1[seq],0))</f>
        <v>service2@ezchemtech.com</v>
      </c>
      <c r="P40" t="str">
        <f>INDEX(Table1_2[dbLoginID],MATCH(Table1[[#This Row],[userSeq]],Table1_2[seq],0))</f>
        <v>isabelle@agoptics.co.kr</v>
      </c>
      <c r="Q40" s="22">
        <f>INDEX(Table1_1[seq],MATCH(Table1[[#This Row],[dbLoginID'[TB_User']]],Table1_1[email],0))</f>
        <v>110</v>
      </c>
    </row>
    <row r="41" spans="1:17" x14ac:dyDescent="0.3">
      <c r="A41">
        <v>224</v>
      </c>
      <c r="B41">
        <v>17</v>
      </c>
      <c r="C41">
        <v>39</v>
      </c>
      <c r="D41">
        <v>116</v>
      </c>
      <c r="E41">
        <v>3</v>
      </c>
      <c r="F41">
        <v>0</v>
      </c>
      <c r="G41" t="s">
        <v>718</v>
      </c>
      <c r="H41" t="s">
        <v>599</v>
      </c>
      <c r="I41" t="s">
        <v>606</v>
      </c>
      <c r="J41" t="s">
        <v>719</v>
      </c>
      <c r="K41" t="s">
        <v>602</v>
      </c>
      <c r="L41" t="s">
        <v>720</v>
      </c>
      <c r="M41" t="s">
        <v>721</v>
      </c>
      <c r="N41" t="str">
        <f>INDEX(Table1_1[name],MATCH(E41,Table1_1[seq],0))</f>
        <v>김신영</v>
      </c>
      <c r="O41" t="str">
        <f>INDEX(Table1_1[email],MATCH(E41,Table1_1[seq],0))</f>
        <v>service2@ezchemtech.com</v>
      </c>
      <c r="P41" t="str">
        <f>INDEX(Table1_2[dbLoginID],MATCH(Table1[[#This Row],[userSeq]],Table1_2[seq],0))</f>
        <v>choihyeryun@helikorea.com</v>
      </c>
      <c r="Q41" s="22">
        <f>INDEX(Table1_1[seq],MATCH(Table1[[#This Row],[dbLoginID'[TB_User']]],Table1_1[email],0))</f>
        <v>114</v>
      </c>
    </row>
    <row r="42" spans="1:17" x14ac:dyDescent="0.3">
      <c r="A42">
        <v>223</v>
      </c>
      <c r="B42">
        <v>17</v>
      </c>
      <c r="C42">
        <v>39</v>
      </c>
      <c r="D42">
        <v>115</v>
      </c>
      <c r="E42">
        <v>2</v>
      </c>
      <c r="F42">
        <v>0</v>
      </c>
      <c r="G42" t="s">
        <v>722</v>
      </c>
      <c r="H42" t="s">
        <v>599</v>
      </c>
      <c r="J42" t="s">
        <v>719</v>
      </c>
      <c r="K42" t="s">
        <v>602</v>
      </c>
      <c r="L42" t="s">
        <v>723</v>
      </c>
      <c r="M42" t="s">
        <v>723</v>
      </c>
      <c r="N42" t="str">
        <f>INDEX(Table1_1[name],MATCH(E42,Table1_1[seq],0))</f>
        <v>유동현</v>
      </c>
      <c r="O42" t="str">
        <f>INDEX(Table1_1[email],MATCH(E42,Table1_1[seq],0))</f>
        <v>c02095aa@gmail.com</v>
      </c>
      <c r="P42" t="str">
        <f>INDEX(Table1_2[dbLoginID],MATCH(Table1[[#This Row],[userSeq]],Table1_2[seq],0))</f>
        <v>scipio@helikorea.com</v>
      </c>
      <c r="Q42" s="22">
        <f>INDEX(Table1_1[seq],MATCH(Table1[[#This Row],[dbLoginID'[TB_User']]],Table1_1[email],0))</f>
        <v>113</v>
      </c>
    </row>
    <row r="43" spans="1:17" x14ac:dyDescent="0.3">
      <c r="A43">
        <v>222</v>
      </c>
      <c r="B43">
        <v>17</v>
      </c>
      <c r="C43">
        <v>39</v>
      </c>
      <c r="D43">
        <v>115</v>
      </c>
      <c r="E43">
        <v>2</v>
      </c>
      <c r="F43">
        <v>0</v>
      </c>
      <c r="G43" t="s">
        <v>724</v>
      </c>
      <c r="H43" t="s">
        <v>599</v>
      </c>
      <c r="J43" t="s">
        <v>725</v>
      </c>
      <c r="K43" t="s">
        <v>602</v>
      </c>
      <c r="L43" t="s">
        <v>726</v>
      </c>
      <c r="M43" t="s">
        <v>726</v>
      </c>
      <c r="N43" t="str">
        <f>INDEX(Table1_1[name],MATCH(E43,Table1_1[seq],0))</f>
        <v>유동현</v>
      </c>
      <c r="O43" t="str">
        <f>INDEX(Table1_1[email],MATCH(E43,Table1_1[seq],0))</f>
        <v>c02095aa@gmail.com</v>
      </c>
      <c r="P43" t="str">
        <f>INDEX(Table1_2[dbLoginID],MATCH(Table1[[#This Row],[userSeq]],Table1_2[seq],0))</f>
        <v>scipio@helikorea.com</v>
      </c>
      <c r="Q43" s="22">
        <f>INDEX(Table1_1[seq],MATCH(Table1[[#This Row],[dbLoginID'[TB_User']]],Table1_1[email],0))</f>
        <v>113</v>
      </c>
    </row>
    <row r="44" spans="1:17" x14ac:dyDescent="0.3">
      <c r="A44">
        <v>221</v>
      </c>
      <c r="B44">
        <v>17</v>
      </c>
      <c r="C44">
        <v>39</v>
      </c>
      <c r="D44">
        <v>115</v>
      </c>
      <c r="E44">
        <v>2</v>
      </c>
      <c r="F44">
        <v>0</v>
      </c>
      <c r="G44" t="s">
        <v>727</v>
      </c>
      <c r="H44" t="s">
        <v>599</v>
      </c>
      <c r="J44" t="s">
        <v>667</v>
      </c>
      <c r="K44" t="s">
        <v>602</v>
      </c>
      <c r="L44" t="s">
        <v>728</v>
      </c>
      <c r="M44" t="s">
        <v>728</v>
      </c>
      <c r="N44" t="str">
        <f>INDEX(Table1_1[name],MATCH(E44,Table1_1[seq],0))</f>
        <v>유동현</v>
      </c>
      <c r="O44" t="str">
        <f>INDEX(Table1_1[email],MATCH(E44,Table1_1[seq],0))</f>
        <v>c02095aa@gmail.com</v>
      </c>
      <c r="P44" t="str">
        <f>INDEX(Table1_2[dbLoginID],MATCH(Table1[[#This Row],[userSeq]],Table1_2[seq],0))</f>
        <v>scipio@helikorea.com</v>
      </c>
      <c r="Q44" s="22">
        <f>INDEX(Table1_1[seq],MATCH(Table1[[#This Row],[dbLoginID'[TB_User']]],Table1_1[email],0))</f>
        <v>113</v>
      </c>
    </row>
    <row r="45" spans="1:17" x14ac:dyDescent="0.3">
      <c r="A45">
        <v>220</v>
      </c>
      <c r="B45">
        <v>17</v>
      </c>
      <c r="C45">
        <v>39</v>
      </c>
      <c r="D45">
        <v>115</v>
      </c>
      <c r="E45">
        <v>2</v>
      </c>
      <c r="F45">
        <v>0</v>
      </c>
      <c r="G45" t="s">
        <v>729</v>
      </c>
      <c r="H45" t="s">
        <v>599</v>
      </c>
      <c r="J45" t="s">
        <v>719</v>
      </c>
      <c r="K45" t="s">
        <v>602</v>
      </c>
      <c r="L45" t="s">
        <v>730</v>
      </c>
      <c r="M45" t="s">
        <v>730</v>
      </c>
      <c r="N45" t="str">
        <f>INDEX(Table1_1[name],MATCH(E45,Table1_1[seq],0))</f>
        <v>유동현</v>
      </c>
      <c r="O45" t="str">
        <f>INDEX(Table1_1[email],MATCH(E45,Table1_1[seq],0))</f>
        <v>c02095aa@gmail.com</v>
      </c>
      <c r="P45" t="str">
        <f>INDEX(Table1_2[dbLoginID],MATCH(Table1[[#This Row],[userSeq]],Table1_2[seq],0))</f>
        <v>scipio@helikorea.com</v>
      </c>
      <c r="Q45" s="22">
        <f>INDEX(Table1_1[seq],MATCH(Table1[[#This Row],[dbLoginID'[TB_User']]],Table1_1[email],0))</f>
        <v>113</v>
      </c>
    </row>
    <row r="46" spans="1:17" x14ac:dyDescent="0.3">
      <c r="A46">
        <v>219</v>
      </c>
      <c r="B46">
        <v>17</v>
      </c>
      <c r="C46">
        <v>39</v>
      </c>
      <c r="D46">
        <v>114</v>
      </c>
      <c r="E46">
        <v>1</v>
      </c>
      <c r="F46">
        <v>0</v>
      </c>
      <c r="G46" t="s">
        <v>731</v>
      </c>
      <c r="H46" t="s">
        <v>599</v>
      </c>
      <c r="J46" t="s">
        <v>725</v>
      </c>
      <c r="K46" t="s">
        <v>602</v>
      </c>
      <c r="L46" t="s">
        <v>732</v>
      </c>
      <c r="M46" t="s">
        <v>732</v>
      </c>
      <c r="N46" t="str">
        <f>INDEX(Table1_1[name],MATCH(E46,Table1_1[seq],0))</f>
        <v>customer_01</v>
      </c>
      <c r="O46" t="str">
        <f>INDEX(Table1_1[email],MATCH(E46,Table1_1[seq],0))</f>
        <v>customer_01@demo.co.kr</v>
      </c>
      <c r="P46" t="str">
        <f>INDEX(Table1_2[dbLoginID],MATCH(Table1[[#This Row],[userSeq]],Table1_2[seq],0))</f>
        <v>isabelle@helikorea.com</v>
      </c>
      <c r="Q46" s="22">
        <f>INDEX(Table1_1[seq],MATCH(Table1[[#This Row],[dbLoginID'[TB_User']]],Table1_1[email],0))</f>
        <v>112</v>
      </c>
    </row>
    <row r="47" spans="1:17" x14ac:dyDescent="0.3">
      <c r="A47">
        <v>218</v>
      </c>
      <c r="B47">
        <v>17</v>
      </c>
      <c r="C47">
        <v>39</v>
      </c>
      <c r="D47">
        <v>114</v>
      </c>
      <c r="E47">
        <v>1</v>
      </c>
      <c r="F47">
        <v>0</v>
      </c>
      <c r="G47" t="s">
        <v>733</v>
      </c>
      <c r="H47" t="s">
        <v>599</v>
      </c>
      <c r="I47" t="s">
        <v>662</v>
      </c>
      <c r="J47" t="s">
        <v>719</v>
      </c>
      <c r="K47" t="s">
        <v>602</v>
      </c>
      <c r="L47" t="s">
        <v>734</v>
      </c>
      <c r="M47" t="s">
        <v>735</v>
      </c>
      <c r="N47" t="str">
        <f>INDEX(Table1_1[name],MATCH(E47,Table1_1[seq],0))</f>
        <v>customer_01</v>
      </c>
      <c r="O47" t="str">
        <f>INDEX(Table1_1[email],MATCH(E47,Table1_1[seq],0))</f>
        <v>customer_01@demo.co.kr</v>
      </c>
      <c r="P47" t="str">
        <f>INDEX(Table1_2[dbLoginID],MATCH(Table1[[#This Row],[userSeq]],Table1_2[seq],0))</f>
        <v>isabelle@helikorea.com</v>
      </c>
      <c r="Q47" s="22">
        <f>INDEX(Table1_1[seq],MATCH(Table1[[#This Row],[dbLoginID'[TB_User']]],Table1_1[email],0))</f>
        <v>112</v>
      </c>
    </row>
    <row r="48" spans="1:17" x14ac:dyDescent="0.3">
      <c r="A48">
        <v>217</v>
      </c>
      <c r="B48">
        <v>16</v>
      </c>
      <c r="C48">
        <v>38</v>
      </c>
      <c r="D48">
        <v>113</v>
      </c>
      <c r="E48">
        <v>3</v>
      </c>
      <c r="F48">
        <v>0</v>
      </c>
      <c r="G48" t="s">
        <v>736</v>
      </c>
      <c r="H48" t="s">
        <v>599</v>
      </c>
      <c r="I48" t="s">
        <v>662</v>
      </c>
      <c r="J48" t="s">
        <v>622</v>
      </c>
      <c r="K48" t="s">
        <v>602</v>
      </c>
      <c r="L48" t="s">
        <v>737</v>
      </c>
      <c r="M48" t="s">
        <v>738</v>
      </c>
      <c r="N48" t="str">
        <f>INDEX(Table1_1[name],MATCH(E48,Table1_1[seq],0))</f>
        <v>김신영</v>
      </c>
      <c r="O48" t="str">
        <f>INDEX(Table1_1[email],MATCH(E48,Table1_1[seq],0))</f>
        <v>service2@ezchemtech.com</v>
      </c>
      <c r="P48" t="str">
        <f>INDEX(Table1_2[dbLoginID],MATCH(Table1[[#This Row],[userSeq]],Table1_2[seq],0))</f>
        <v>isabelle@agoptics.co.kr</v>
      </c>
      <c r="Q48" s="22">
        <f>INDEX(Table1_1[seq],MATCH(Table1[[#This Row],[dbLoginID'[TB_User']]],Table1_1[email],0))</f>
        <v>110</v>
      </c>
    </row>
    <row r="49" spans="1:17" x14ac:dyDescent="0.3">
      <c r="A49">
        <v>216</v>
      </c>
      <c r="B49">
        <v>16</v>
      </c>
      <c r="C49">
        <v>38</v>
      </c>
      <c r="D49">
        <v>113</v>
      </c>
      <c r="E49">
        <v>3</v>
      </c>
      <c r="F49">
        <v>0</v>
      </c>
      <c r="G49" t="s">
        <v>739</v>
      </c>
      <c r="H49" t="s">
        <v>599</v>
      </c>
      <c r="J49" t="s">
        <v>607</v>
      </c>
      <c r="K49" t="s">
        <v>602</v>
      </c>
      <c r="L49" t="s">
        <v>740</v>
      </c>
      <c r="M49" t="s">
        <v>740</v>
      </c>
      <c r="N49" t="str">
        <f>INDEX(Table1_1[name],MATCH(E49,Table1_1[seq],0))</f>
        <v>김신영</v>
      </c>
      <c r="O49" t="str">
        <f>INDEX(Table1_1[email],MATCH(E49,Table1_1[seq],0))</f>
        <v>service2@ezchemtech.com</v>
      </c>
      <c r="P49" t="str">
        <f>INDEX(Table1_2[dbLoginID],MATCH(Table1[[#This Row],[userSeq]],Table1_2[seq],0))</f>
        <v>isabelle@agoptics.co.kr</v>
      </c>
      <c r="Q49" s="22">
        <f>INDEX(Table1_1[seq],MATCH(Table1[[#This Row],[dbLoginID'[TB_User']]],Table1_1[email],0))</f>
        <v>110</v>
      </c>
    </row>
    <row r="50" spans="1:17" x14ac:dyDescent="0.3">
      <c r="A50">
        <v>215</v>
      </c>
      <c r="B50">
        <v>16</v>
      </c>
      <c r="C50">
        <v>38</v>
      </c>
      <c r="D50">
        <v>111</v>
      </c>
      <c r="E50">
        <v>1</v>
      </c>
      <c r="F50">
        <v>0</v>
      </c>
      <c r="G50" t="s">
        <v>741</v>
      </c>
      <c r="H50" t="s">
        <v>599</v>
      </c>
      <c r="I50" t="s">
        <v>625</v>
      </c>
      <c r="J50" t="s">
        <v>742</v>
      </c>
      <c r="K50" t="s">
        <v>602</v>
      </c>
      <c r="L50" t="s">
        <v>743</v>
      </c>
      <c r="M50" t="s">
        <v>744</v>
      </c>
      <c r="N50" t="str">
        <f>INDEX(Table1_1[name],MATCH(E50,Table1_1[seq],0))</f>
        <v>customer_01</v>
      </c>
      <c r="O50" t="str">
        <f>INDEX(Table1_1[email],MATCH(E50,Table1_1[seq],0))</f>
        <v>customer_01@demo.co.kr</v>
      </c>
      <c r="P50" t="str">
        <f>INDEX(Table1_2[dbLoginID],MATCH(Table1[[#This Row],[userSeq]],Table1_2[seq],0))</f>
        <v>scipio@agoptics.co.kr</v>
      </c>
      <c r="Q50" s="22">
        <f>INDEX(Table1_1[seq],MATCH(Table1[[#This Row],[dbLoginID'[TB_User']]],Table1_1[email],0))</f>
        <v>108</v>
      </c>
    </row>
    <row r="51" spans="1:17" x14ac:dyDescent="0.3">
      <c r="A51">
        <v>214</v>
      </c>
      <c r="B51">
        <v>16</v>
      </c>
      <c r="C51">
        <v>38</v>
      </c>
      <c r="D51">
        <v>111</v>
      </c>
      <c r="E51">
        <v>1</v>
      </c>
      <c r="F51">
        <v>0</v>
      </c>
      <c r="G51" t="s">
        <v>745</v>
      </c>
      <c r="H51" t="s">
        <v>599</v>
      </c>
      <c r="I51" t="s">
        <v>746</v>
      </c>
      <c r="J51" t="s">
        <v>622</v>
      </c>
      <c r="K51" t="s">
        <v>602</v>
      </c>
      <c r="L51" t="s">
        <v>747</v>
      </c>
      <c r="M51" t="s">
        <v>748</v>
      </c>
      <c r="N51" t="str">
        <f>INDEX(Table1_1[name],MATCH(E51,Table1_1[seq],0))</f>
        <v>customer_01</v>
      </c>
      <c r="O51" t="str">
        <f>INDEX(Table1_1[email],MATCH(E51,Table1_1[seq],0))</f>
        <v>customer_01@demo.co.kr</v>
      </c>
      <c r="P51" t="str">
        <f>INDEX(Table1_2[dbLoginID],MATCH(Table1[[#This Row],[userSeq]],Table1_2[seq],0))</f>
        <v>scipio@agoptics.co.kr</v>
      </c>
      <c r="Q51" s="22">
        <f>INDEX(Table1_1[seq],MATCH(Table1[[#This Row],[dbLoginID'[TB_User']]],Table1_1[email],0))</f>
        <v>108</v>
      </c>
    </row>
    <row r="52" spans="1:17" x14ac:dyDescent="0.3">
      <c r="A52">
        <v>213</v>
      </c>
      <c r="B52">
        <v>16</v>
      </c>
      <c r="C52">
        <v>38</v>
      </c>
      <c r="D52">
        <v>111</v>
      </c>
      <c r="E52">
        <v>1</v>
      </c>
      <c r="F52">
        <v>0</v>
      </c>
      <c r="G52" t="s">
        <v>749</v>
      </c>
      <c r="H52" t="s">
        <v>599</v>
      </c>
      <c r="I52" t="s">
        <v>617</v>
      </c>
      <c r="J52" t="s">
        <v>607</v>
      </c>
      <c r="K52" t="s">
        <v>602</v>
      </c>
      <c r="L52" t="s">
        <v>750</v>
      </c>
      <c r="M52" t="s">
        <v>751</v>
      </c>
      <c r="N52" t="str">
        <f>INDEX(Table1_1[name],MATCH(E52,Table1_1[seq],0))</f>
        <v>customer_01</v>
      </c>
      <c r="O52" t="str">
        <f>INDEX(Table1_1[email],MATCH(E52,Table1_1[seq],0))</f>
        <v>customer_01@demo.co.kr</v>
      </c>
      <c r="P52" t="str">
        <f>INDEX(Table1_2[dbLoginID],MATCH(Table1[[#This Row],[userSeq]],Table1_2[seq],0))</f>
        <v>scipio@agoptics.co.kr</v>
      </c>
      <c r="Q52" s="22">
        <f>INDEX(Table1_1[seq],MATCH(Table1[[#This Row],[dbLoginID'[TB_User']]],Table1_1[email],0))</f>
        <v>108</v>
      </c>
    </row>
    <row r="53" spans="1:17" x14ac:dyDescent="0.3">
      <c r="A53">
        <v>212</v>
      </c>
      <c r="B53">
        <v>16</v>
      </c>
      <c r="C53">
        <v>38</v>
      </c>
      <c r="D53">
        <v>112</v>
      </c>
      <c r="E53">
        <v>2</v>
      </c>
      <c r="F53">
        <v>0</v>
      </c>
      <c r="G53" t="s">
        <v>752</v>
      </c>
      <c r="H53" t="s">
        <v>599</v>
      </c>
      <c r="I53" t="s">
        <v>606</v>
      </c>
      <c r="J53" t="s">
        <v>607</v>
      </c>
      <c r="K53" t="s">
        <v>602</v>
      </c>
      <c r="L53" t="s">
        <v>753</v>
      </c>
      <c r="M53" t="s">
        <v>754</v>
      </c>
      <c r="N53" t="str">
        <f>INDEX(Table1_1[name],MATCH(E53,Table1_1[seq],0))</f>
        <v>유동현</v>
      </c>
      <c r="O53" t="str">
        <f>INDEX(Table1_1[email],MATCH(E53,Table1_1[seq],0))</f>
        <v>c02095aa@gmail.com</v>
      </c>
      <c r="P53" t="str">
        <f>INDEX(Table1_2[dbLoginID],MATCH(Table1[[#This Row],[userSeq]],Table1_2[seq],0))</f>
        <v>choihyeryun@agoptics.co.kr</v>
      </c>
      <c r="Q53" s="22">
        <f>INDEX(Table1_1[seq],MATCH(Table1[[#This Row],[dbLoginID'[TB_User']]],Table1_1[email],0))</f>
        <v>109</v>
      </c>
    </row>
    <row r="54" spans="1:17" x14ac:dyDescent="0.3">
      <c r="A54">
        <v>210</v>
      </c>
      <c r="B54">
        <v>1</v>
      </c>
      <c r="C54">
        <v>13</v>
      </c>
      <c r="D54">
        <v>97</v>
      </c>
      <c r="E54">
        <v>19</v>
      </c>
      <c r="F54">
        <v>0</v>
      </c>
      <c r="G54" t="s">
        <v>755</v>
      </c>
      <c r="H54" t="s">
        <v>599</v>
      </c>
      <c r="I54" t="s">
        <v>711</v>
      </c>
      <c r="J54" t="s">
        <v>756</v>
      </c>
      <c r="K54" t="s">
        <v>602</v>
      </c>
      <c r="L54" t="s">
        <v>757</v>
      </c>
      <c r="M54" t="s">
        <v>758</v>
      </c>
      <c r="N54" t="str">
        <f>INDEX(Table1_1[name],MATCH(E54,Table1_1[seq],0))</f>
        <v>심규정</v>
      </c>
      <c r="O54" t="str">
        <f>INDEX(Table1_1[email],MATCH(E54,Table1_1[seq],0))</f>
        <v>info7@ezchemtech.com</v>
      </c>
      <c r="P54" t="str">
        <f>INDEX(Table1_2[dbLoginID],MATCH(Table1[[#This Row],[userSeq]],Table1_2[seq],0))</f>
        <v>isabelle@ez-office.co.kr</v>
      </c>
      <c r="Q54" s="22">
        <f>INDEX(Table1_1[seq],MATCH(Table1[[#This Row],[dbLoginID'[TB_User']]],Table1_1[email],0))</f>
        <v>93</v>
      </c>
    </row>
    <row r="55" spans="1:17" x14ac:dyDescent="0.3">
      <c r="A55">
        <v>209</v>
      </c>
      <c r="B55">
        <v>1</v>
      </c>
      <c r="C55">
        <v>13</v>
      </c>
      <c r="D55">
        <v>14</v>
      </c>
      <c r="E55">
        <v>11</v>
      </c>
      <c r="F55">
        <v>0</v>
      </c>
      <c r="G55" t="s">
        <v>759</v>
      </c>
      <c r="H55" t="s">
        <v>599</v>
      </c>
      <c r="I55" t="s">
        <v>760</v>
      </c>
      <c r="J55" t="s">
        <v>761</v>
      </c>
      <c r="K55" t="s">
        <v>602</v>
      </c>
      <c r="L55" t="s">
        <v>762</v>
      </c>
      <c r="M55" t="s">
        <v>763</v>
      </c>
      <c r="N55" t="str">
        <f>INDEX(Table1_1[name],MATCH(E55,Table1_1[seq],0))</f>
        <v>최종규</v>
      </c>
      <c r="O55" t="str">
        <f>INDEX(Table1_1[email],MATCH(E55,Table1_1[seq],0))</f>
        <v>star_horse@naver.com</v>
      </c>
      <c r="P55" t="str">
        <f>INDEX(Table1_2[dbLoginID],MATCH(Table1[[#This Row],[userSeq]],Table1_2[seq],0))</f>
        <v>kj.sim@ez-office.co.kr</v>
      </c>
      <c r="Q55" s="22">
        <f>INDEX(Table1_1[seq],MATCH(Table1[[#This Row],[dbLoginID'[TB_User']]],Table1_1[email],0))</f>
        <v>45</v>
      </c>
    </row>
    <row r="56" spans="1:17" x14ac:dyDescent="0.3">
      <c r="A56">
        <v>208</v>
      </c>
      <c r="B56">
        <v>1</v>
      </c>
      <c r="C56">
        <v>13</v>
      </c>
      <c r="D56">
        <v>97</v>
      </c>
      <c r="E56">
        <v>19</v>
      </c>
      <c r="F56">
        <v>0</v>
      </c>
      <c r="G56" t="s">
        <v>764</v>
      </c>
      <c r="H56" t="s">
        <v>599</v>
      </c>
      <c r="I56" t="s">
        <v>765</v>
      </c>
      <c r="J56" t="s">
        <v>766</v>
      </c>
      <c r="K56" t="s">
        <v>602</v>
      </c>
      <c r="L56" t="s">
        <v>767</v>
      </c>
      <c r="M56" t="s">
        <v>768</v>
      </c>
      <c r="N56" t="str">
        <f>INDEX(Table1_1[name],MATCH(E56,Table1_1[seq],0))</f>
        <v>심규정</v>
      </c>
      <c r="O56" t="str">
        <f>INDEX(Table1_1[email],MATCH(E56,Table1_1[seq],0))</f>
        <v>info7@ezchemtech.com</v>
      </c>
      <c r="P56" t="str">
        <f>INDEX(Table1_2[dbLoginID],MATCH(Table1[[#This Row],[userSeq]],Table1_2[seq],0))</f>
        <v>isabelle@ez-office.co.kr</v>
      </c>
      <c r="Q56" s="22">
        <f>INDEX(Table1_1[seq],MATCH(Table1[[#This Row],[dbLoginID'[TB_User']]],Table1_1[email],0))</f>
        <v>93</v>
      </c>
    </row>
    <row r="57" spans="1:17" x14ac:dyDescent="0.3">
      <c r="A57">
        <v>207</v>
      </c>
      <c r="B57">
        <v>14</v>
      </c>
      <c r="C57">
        <v>36</v>
      </c>
      <c r="D57">
        <v>102</v>
      </c>
      <c r="E57">
        <v>1</v>
      </c>
      <c r="F57">
        <v>0</v>
      </c>
      <c r="G57" t="s">
        <v>769</v>
      </c>
      <c r="H57" t="s">
        <v>599</v>
      </c>
      <c r="I57" t="s">
        <v>606</v>
      </c>
      <c r="J57" t="s">
        <v>770</v>
      </c>
      <c r="K57" t="s">
        <v>602</v>
      </c>
      <c r="L57" t="s">
        <v>771</v>
      </c>
      <c r="M57" t="s">
        <v>772</v>
      </c>
      <c r="N57" t="str">
        <f>INDEX(Table1_1[name],MATCH(E57,Table1_1[seq],0))</f>
        <v>customer_01</v>
      </c>
      <c r="O57" t="str">
        <f>INDEX(Table1_1[email],MATCH(E57,Table1_1[seq],0))</f>
        <v>customer_01@demo.co.kr</v>
      </c>
      <c r="P57" t="str">
        <f>INDEX(Table1_2[dbLoginID],MATCH(Table1[[#This Row],[userSeq]],Table1_2[seq],0))</f>
        <v>choihyeryun@convenience.com</v>
      </c>
      <c r="Q57" s="22">
        <f>INDEX(Table1_1[seq],MATCH(Table1[[#This Row],[dbLoginID'[TB_User']]],Table1_1[email],0))</f>
        <v>102</v>
      </c>
    </row>
    <row r="58" spans="1:17" x14ac:dyDescent="0.3">
      <c r="A58">
        <v>206</v>
      </c>
      <c r="B58">
        <v>14</v>
      </c>
      <c r="C58">
        <v>36</v>
      </c>
      <c r="D58">
        <v>103</v>
      </c>
      <c r="E58">
        <v>2</v>
      </c>
      <c r="F58">
        <v>0</v>
      </c>
      <c r="G58" t="s">
        <v>773</v>
      </c>
      <c r="H58" t="s">
        <v>599</v>
      </c>
      <c r="I58" t="s">
        <v>625</v>
      </c>
      <c r="J58" t="s">
        <v>774</v>
      </c>
      <c r="K58" t="s">
        <v>602</v>
      </c>
      <c r="L58" t="s">
        <v>775</v>
      </c>
      <c r="M58" t="s">
        <v>776</v>
      </c>
      <c r="N58" t="str">
        <f>INDEX(Table1_1[name],MATCH(E58,Table1_1[seq],0))</f>
        <v>유동현</v>
      </c>
      <c r="O58" t="str">
        <f>INDEX(Table1_1[email],MATCH(E58,Table1_1[seq],0))</f>
        <v>c02095aa@gmail.com</v>
      </c>
      <c r="P58" t="str">
        <f>INDEX(Table1_2[dbLoginID],MATCH(Table1[[#This Row],[userSeq]],Table1_2[seq],0))</f>
        <v>scipio@cvkorea.co.kr</v>
      </c>
      <c r="Q58" s="22">
        <f>INDEX(Table1_1[seq],MATCH(Table1[[#This Row],[dbLoginID'[TB_User']]],Table1_1[email],0))</f>
        <v>103</v>
      </c>
    </row>
    <row r="59" spans="1:17" x14ac:dyDescent="0.3">
      <c r="A59">
        <v>205</v>
      </c>
      <c r="B59">
        <v>14</v>
      </c>
      <c r="C59">
        <v>36</v>
      </c>
      <c r="D59">
        <v>103</v>
      </c>
      <c r="E59">
        <v>2</v>
      </c>
      <c r="F59">
        <v>0</v>
      </c>
      <c r="G59" t="s">
        <v>777</v>
      </c>
      <c r="H59" t="s">
        <v>599</v>
      </c>
      <c r="I59" t="s">
        <v>746</v>
      </c>
      <c r="J59" t="s">
        <v>778</v>
      </c>
      <c r="K59" t="s">
        <v>602</v>
      </c>
      <c r="L59" t="s">
        <v>779</v>
      </c>
      <c r="M59" t="s">
        <v>780</v>
      </c>
      <c r="N59" t="str">
        <f>INDEX(Table1_1[name],MATCH(E59,Table1_1[seq],0))</f>
        <v>유동현</v>
      </c>
      <c r="O59" t="str">
        <f>INDEX(Table1_1[email],MATCH(E59,Table1_1[seq],0))</f>
        <v>c02095aa@gmail.com</v>
      </c>
      <c r="P59" t="str">
        <f>INDEX(Table1_2[dbLoginID],MATCH(Table1[[#This Row],[userSeq]],Table1_2[seq],0))</f>
        <v>scipio@cvkorea.co.kr</v>
      </c>
      <c r="Q59" s="22">
        <f>INDEX(Table1_1[seq],MATCH(Table1[[#This Row],[dbLoginID'[TB_User']]],Table1_1[email],0))</f>
        <v>103</v>
      </c>
    </row>
    <row r="60" spans="1:17" x14ac:dyDescent="0.3">
      <c r="A60">
        <v>204</v>
      </c>
      <c r="B60">
        <v>14</v>
      </c>
      <c r="C60">
        <v>36</v>
      </c>
      <c r="D60">
        <v>103</v>
      </c>
      <c r="E60">
        <v>2</v>
      </c>
      <c r="F60">
        <v>0</v>
      </c>
      <c r="G60" t="s">
        <v>781</v>
      </c>
      <c r="H60" t="s">
        <v>599</v>
      </c>
      <c r="I60" t="s">
        <v>617</v>
      </c>
      <c r="J60" t="s">
        <v>782</v>
      </c>
      <c r="K60" t="s">
        <v>602</v>
      </c>
      <c r="L60" t="s">
        <v>783</v>
      </c>
      <c r="M60" t="s">
        <v>784</v>
      </c>
      <c r="N60" t="str">
        <f>INDEX(Table1_1[name],MATCH(E60,Table1_1[seq],0))</f>
        <v>유동현</v>
      </c>
      <c r="O60" t="str">
        <f>INDEX(Table1_1[email],MATCH(E60,Table1_1[seq],0))</f>
        <v>c02095aa@gmail.com</v>
      </c>
      <c r="P60" t="str">
        <f>INDEX(Table1_2[dbLoginID],MATCH(Table1[[#This Row],[userSeq]],Table1_2[seq],0))</f>
        <v>scipio@cvkorea.co.kr</v>
      </c>
      <c r="Q60" s="22">
        <f>INDEX(Table1_1[seq],MATCH(Table1[[#This Row],[dbLoginID'[TB_User']]],Table1_1[email],0))</f>
        <v>103</v>
      </c>
    </row>
    <row r="61" spans="1:17" x14ac:dyDescent="0.3">
      <c r="A61">
        <v>203</v>
      </c>
      <c r="B61">
        <v>14</v>
      </c>
      <c r="C61">
        <v>36</v>
      </c>
      <c r="D61">
        <v>105</v>
      </c>
      <c r="E61">
        <v>4</v>
      </c>
      <c r="F61">
        <v>0</v>
      </c>
      <c r="G61" t="s">
        <v>785</v>
      </c>
      <c r="H61" t="s">
        <v>599</v>
      </c>
      <c r="J61" t="s">
        <v>786</v>
      </c>
      <c r="K61" t="s">
        <v>602</v>
      </c>
      <c r="L61" t="s">
        <v>787</v>
      </c>
      <c r="M61" t="s">
        <v>787</v>
      </c>
      <c r="N61" t="str">
        <f>INDEX(Table1_1[name],MATCH(E61,Table1_1[seq],0))</f>
        <v>최종규</v>
      </c>
      <c r="O61" t="str">
        <f>INDEX(Table1_1[email],MATCH(E61,Table1_1[seq],0))</f>
        <v>star_horse@naver.com</v>
      </c>
      <c r="P61" t="str">
        <f>INDEX(Table1_2[dbLoginID],MATCH(Table1[[#This Row],[userSeq]],Table1_2[seq],0))</f>
        <v>ycyang@cvkorea.co.kr</v>
      </c>
      <c r="Q61" s="22">
        <f>INDEX(Table1_1[seq],MATCH(Table1[[#This Row],[dbLoginID'[TB_User']]],Table1_1[email],0))</f>
        <v>105</v>
      </c>
    </row>
    <row r="62" spans="1:17" x14ac:dyDescent="0.3">
      <c r="A62">
        <v>202</v>
      </c>
      <c r="B62">
        <v>14</v>
      </c>
      <c r="C62">
        <v>36</v>
      </c>
      <c r="D62">
        <v>104</v>
      </c>
      <c r="E62">
        <v>3</v>
      </c>
      <c r="F62">
        <v>0</v>
      </c>
      <c r="G62" t="s">
        <v>788</v>
      </c>
      <c r="H62" t="s">
        <v>599</v>
      </c>
      <c r="J62" t="s">
        <v>789</v>
      </c>
      <c r="K62" t="s">
        <v>602</v>
      </c>
      <c r="L62" t="s">
        <v>790</v>
      </c>
      <c r="M62" t="s">
        <v>790</v>
      </c>
      <c r="N62" t="str">
        <f>INDEX(Table1_1[name],MATCH(E62,Table1_1[seq],0))</f>
        <v>김신영</v>
      </c>
      <c r="O62" t="str">
        <f>INDEX(Table1_1[email],MATCH(E62,Table1_1[seq],0))</f>
        <v>service2@ezchemtech.com</v>
      </c>
      <c r="P62" t="str">
        <f>INDEX(Table1_2[dbLoginID],MATCH(Table1[[#This Row],[userSeq]],Table1_2[seq],0))</f>
        <v>hykim@cvkorea.co.kr</v>
      </c>
      <c r="Q62" s="22">
        <f>INDEX(Table1_1[seq],MATCH(Table1[[#This Row],[dbLoginID'[TB_User']]],Table1_1[email],0))</f>
        <v>104</v>
      </c>
    </row>
    <row r="63" spans="1:17" x14ac:dyDescent="0.3">
      <c r="A63">
        <v>201</v>
      </c>
      <c r="B63">
        <v>14</v>
      </c>
      <c r="C63">
        <v>36</v>
      </c>
      <c r="D63">
        <v>106</v>
      </c>
      <c r="E63">
        <v>5</v>
      </c>
      <c r="F63">
        <v>0</v>
      </c>
      <c r="G63" t="s">
        <v>791</v>
      </c>
      <c r="H63" t="s">
        <v>599</v>
      </c>
      <c r="J63" t="s">
        <v>792</v>
      </c>
      <c r="K63" t="s">
        <v>602</v>
      </c>
      <c r="L63" t="s">
        <v>793</v>
      </c>
      <c r="M63" t="s">
        <v>793</v>
      </c>
      <c r="N63" t="str">
        <f>INDEX(Table1_1[name],MATCH(E63,Table1_1[seq],0))</f>
        <v>최종규</v>
      </c>
      <c r="O63" t="str">
        <f>INDEX(Table1_1[email],MATCH(E63,Table1_1[seq],0))</f>
        <v>star_horse@naver.com</v>
      </c>
      <c r="P63" t="str">
        <f>INDEX(Table1_2[dbLoginID],MATCH(Table1[[#This Row],[userSeq]],Table1_2[seq],0))</f>
        <v>hjjae@cvkorea.co.kr</v>
      </c>
      <c r="Q63" s="22">
        <f>INDEX(Table1_1[seq],MATCH(Table1[[#This Row],[dbLoginID'[TB_User']]],Table1_1[email],0))</f>
        <v>106</v>
      </c>
    </row>
    <row r="64" spans="1:17" x14ac:dyDescent="0.3">
      <c r="A64">
        <v>200</v>
      </c>
      <c r="B64">
        <v>14</v>
      </c>
      <c r="C64">
        <v>36</v>
      </c>
      <c r="D64">
        <v>107</v>
      </c>
      <c r="E64">
        <v>6</v>
      </c>
      <c r="F64">
        <v>0</v>
      </c>
      <c r="G64" t="s">
        <v>794</v>
      </c>
      <c r="H64" t="s">
        <v>599</v>
      </c>
      <c r="I64" t="s">
        <v>662</v>
      </c>
      <c r="J64" t="s">
        <v>795</v>
      </c>
      <c r="K64" t="s">
        <v>602</v>
      </c>
      <c r="L64" t="s">
        <v>796</v>
      </c>
      <c r="M64" t="s">
        <v>797</v>
      </c>
      <c r="N64" t="str">
        <f>INDEX(Table1_1[name],MATCH(E64,Table1_1[seq],0))</f>
        <v>김원겸</v>
      </c>
      <c r="O64" t="str">
        <f>INDEX(Table1_1[email],MATCH(E64,Table1_1[seq],0))</f>
        <v>rzfr@naver.com</v>
      </c>
      <c r="P64" t="str">
        <f>INDEX(Table1_2[dbLoginID],MATCH(Table1[[#This Row],[userSeq]],Table1_2[seq],0))</f>
        <v>dev@cvkorea.co.kr</v>
      </c>
      <c r="Q64" s="22">
        <f>INDEX(Table1_1[seq],MATCH(Table1[[#This Row],[dbLoginID'[TB_User']]],Table1_1[email],0))</f>
        <v>107</v>
      </c>
    </row>
    <row r="65" spans="1:17" x14ac:dyDescent="0.3">
      <c r="A65">
        <v>199</v>
      </c>
      <c r="B65">
        <v>13</v>
      </c>
      <c r="C65">
        <v>35</v>
      </c>
      <c r="D65">
        <v>101</v>
      </c>
      <c r="E65">
        <v>2</v>
      </c>
      <c r="F65">
        <v>0</v>
      </c>
      <c r="G65" t="s">
        <v>798</v>
      </c>
      <c r="H65" t="s">
        <v>599</v>
      </c>
      <c r="J65" t="s">
        <v>618</v>
      </c>
      <c r="K65" t="s">
        <v>602</v>
      </c>
      <c r="L65" t="s">
        <v>799</v>
      </c>
      <c r="M65" t="s">
        <v>799</v>
      </c>
      <c r="N65" t="str">
        <f>INDEX(Table1_1[name],MATCH(E65,Table1_1[seq],0))</f>
        <v>유동현</v>
      </c>
      <c r="O65" t="str">
        <f>INDEX(Table1_1[email],MATCH(E65,Table1_1[seq],0))</f>
        <v>c02095aa@gmail.com</v>
      </c>
      <c r="P65" t="str">
        <f>INDEX(Table1_2[dbLoginID],MATCH(Table1[[#This Row],[userSeq]],Table1_2[seq],0))</f>
        <v>scipio@daewonsusan.com</v>
      </c>
      <c r="Q65" s="22">
        <f>INDEX(Table1_1[seq],MATCH(Table1[[#This Row],[dbLoginID'[TB_User']]],Table1_1[email],0))</f>
        <v>101</v>
      </c>
    </row>
    <row r="66" spans="1:17" x14ac:dyDescent="0.3">
      <c r="A66">
        <v>198</v>
      </c>
      <c r="B66">
        <v>13</v>
      </c>
      <c r="C66">
        <v>35</v>
      </c>
      <c r="D66">
        <v>101</v>
      </c>
      <c r="E66">
        <v>2</v>
      </c>
      <c r="F66">
        <v>0</v>
      </c>
      <c r="G66" t="s">
        <v>800</v>
      </c>
      <c r="H66" t="s">
        <v>599</v>
      </c>
      <c r="J66" t="s">
        <v>622</v>
      </c>
      <c r="K66" t="s">
        <v>602</v>
      </c>
      <c r="L66" t="s">
        <v>801</v>
      </c>
      <c r="M66" t="s">
        <v>801</v>
      </c>
      <c r="N66" t="str">
        <f>INDEX(Table1_1[name],MATCH(E66,Table1_1[seq],0))</f>
        <v>유동현</v>
      </c>
      <c r="O66" t="str">
        <f>INDEX(Table1_1[email],MATCH(E66,Table1_1[seq],0))</f>
        <v>c02095aa@gmail.com</v>
      </c>
      <c r="P66" t="str">
        <f>INDEX(Table1_2[dbLoginID],MATCH(Table1[[#This Row],[userSeq]],Table1_2[seq],0))</f>
        <v>scipio@daewonsusan.com</v>
      </c>
      <c r="Q66" s="22">
        <f>INDEX(Table1_1[seq],MATCH(Table1[[#This Row],[dbLoginID'[TB_User']]],Table1_1[email],0))</f>
        <v>101</v>
      </c>
    </row>
    <row r="67" spans="1:17" x14ac:dyDescent="0.3">
      <c r="A67">
        <v>197</v>
      </c>
      <c r="B67">
        <v>13</v>
      </c>
      <c r="C67">
        <v>35</v>
      </c>
      <c r="D67">
        <v>101</v>
      </c>
      <c r="E67">
        <v>2</v>
      </c>
      <c r="F67">
        <v>0</v>
      </c>
      <c r="G67" t="s">
        <v>802</v>
      </c>
      <c r="H67" t="s">
        <v>599</v>
      </c>
      <c r="J67" t="s">
        <v>607</v>
      </c>
      <c r="K67" t="s">
        <v>602</v>
      </c>
      <c r="L67" t="s">
        <v>803</v>
      </c>
      <c r="M67" t="s">
        <v>803</v>
      </c>
      <c r="N67" t="str">
        <f>INDEX(Table1_1[name],MATCH(E67,Table1_1[seq],0))</f>
        <v>유동현</v>
      </c>
      <c r="O67" t="str">
        <f>INDEX(Table1_1[email],MATCH(E67,Table1_1[seq],0))</f>
        <v>c02095aa@gmail.com</v>
      </c>
      <c r="P67" t="str">
        <f>INDEX(Table1_2[dbLoginID],MATCH(Table1[[#This Row],[userSeq]],Table1_2[seq],0))</f>
        <v>scipio@daewonsusan.com</v>
      </c>
      <c r="Q67" s="22">
        <f>INDEX(Table1_1[seq],MATCH(Table1[[#This Row],[dbLoginID'[TB_User']]],Table1_1[email],0))</f>
        <v>101</v>
      </c>
    </row>
    <row r="68" spans="1:17" x14ac:dyDescent="0.3">
      <c r="A68">
        <v>196</v>
      </c>
      <c r="B68">
        <v>13</v>
      </c>
      <c r="C68">
        <v>35</v>
      </c>
      <c r="D68">
        <v>100</v>
      </c>
      <c r="E68">
        <v>1</v>
      </c>
      <c r="F68">
        <v>0</v>
      </c>
      <c r="G68" t="s">
        <v>804</v>
      </c>
      <c r="H68" t="s">
        <v>599</v>
      </c>
      <c r="J68" t="s">
        <v>656</v>
      </c>
      <c r="K68" t="s">
        <v>602</v>
      </c>
      <c r="L68" t="s">
        <v>805</v>
      </c>
      <c r="M68" t="s">
        <v>805</v>
      </c>
      <c r="N68" t="str">
        <f>INDEX(Table1_1[name],MATCH(E68,Table1_1[seq],0))</f>
        <v>customer_01</v>
      </c>
      <c r="O68" t="str">
        <f>INDEX(Table1_1[email],MATCH(E68,Table1_1[seq],0))</f>
        <v>customer_01@demo.co.kr</v>
      </c>
      <c r="P68" t="str">
        <f>INDEX(Table1_2[dbLoginID],MATCH(Table1[[#This Row],[userSeq]],Table1_2[seq],0))</f>
        <v>choihyeryun@daewonsusan.com</v>
      </c>
      <c r="Q68" s="22">
        <f>INDEX(Table1_1[seq],MATCH(Table1[[#This Row],[dbLoginID'[TB_User']]],Table1_1[email],0))</f>
        <v>100</v>
      </c>
    </row>
    <row r="69" spans="1:17" x14ac:dyDescent="0.3">
      <c r="A69">
        <v>195</v>
      </c>
      <c r="B69">
        <v>9</v>
      </c>
      <c r="C69">
        <v>23</v>
      </c>
      <c r="D69">
        <v>79</v>
      </c>
      <c r="E69">
        <v>14</v>
      </c>
      <c r="F69">
        <v>0</v>
      </c>
      <c r="G69" t="s">
        <v>806</v>
      </c>
      <c r="H69" t="s">
        <v>599</v>
      </c>
      <c r="I69" t="s">
        <v>662</v>
      </c>
      <c r="J69" t="s">
        <v>807</v>
      </c>
      <c r="K69" t="s">
        <v>602</v>
      </c>
      <c r="L69" t="s">
        <v>808</v>
      </c>
      <c r="M69" t="s">
        <v>809</v>
      </c>
      <c r="N69" t="str">
        <f>INDEX(Table1_1[name],MATCH(E69,Table1_1[seq],0))</f>
        <v>최종규</v>
      </c>
      <c r="O69" t="str">
        <f>INDEX(Table1_1[email],MATCH(E69,Table1_1[seq],0))</f>
        <v>star_horse@naver.com</v>
      </c>
      <c r="P69" t="str">
        <f>INDEX(Table1_2[dbLoginID],MATCH(Table1[[#This Row],[userSeq]],Table1_2[seq],0))</f>
        <v>dev@unionlogis.com</v>
      </c>
      <c r="Q69" s="22">
        <f>INDEX(Table1_1[seq],MATCH(Table1[[#This Row],[dbLoginID'[TB_User']]],Table1_1[email],0))</f>
        <v>86</v>
      </c>
    </row>
    <row r="70" spans="1:17" x14ac:dyDescent="0.3">
      <c r="A70">
        <v>194</v>
      </c>
      <c r="B70">
        <v>5</v>
      </c>
      <c r="C70">
        <v>17</v>
      </c>
      <c r="D70">
        <v>98</v>
      </c>
      <c r="E70">
        <v>13</v>
      </c>
      <c r="F70">
        <v>0</v>
      </c>
      <c r="G70" t="s">
        <v>810</v>
      </c>
      <c r="H70" t="s">
        <v>599</v>
      </c>
      <c r="I70" t="s">
        <v>617</v>
      </c>
      <c r="J70" t="s">
        <v>700</v>
      </c>
      <c r="K70" t="s">
        <v>602</v>
      </c>
      <c r="L70" t="s">
        <v>811</v>
      </c>
      <c r="M70" t="s">
        <v>812</v>
      </c>
      <c r="N70" t="str">
        <f>INDEX(Table1_1[name],MATCH(E70,Table1_1[seq],0))</f>
        <v>최성철</v>
      </c>
      <c r="O70" t="str">
        <f>INDEX(Table1_1[email],MATCH(E70,Table1_1[seq],0))</f>
        <v>scipio@ezchemtech.com</v>
      </c>
      <c r="P70" t="str">
        <f>INDEX(Table1_2[dbLoginID],MATCH(Table1[[#This Row],[userSeq]],Table1_2[seq],0))</f>
        <v>scipio@demo.co.kr</v>
      </c>
      <c r="Q70" s="22">
        <f>INDEX(Table1_1[seq],MATCH(Table1[[#This Row],[dbLoginID'[TB_User']]],Table1_1[email],0))</f>
        <v>96</v>
      </c>
    </row>
    <row r="71" spans="1:17" x14ac:dyDescent="0.3">
      <c r="A71">
        <v>193</v>
      </c>
      <c r="B71">
        <v>5</v>
      </c>
      <c r="C71">
        <v>17</v>
      </c>
      <c r="D71">
        <v>98</v>
      </c>
      <c r="E71">
        <v>13</v>
      </c>
      <c r="F71">
        <v>0</v>
      </c>
      <c r="G71" t="s">
        <v>813</v>
      </c>
      <c r="H71" t="s">
        <v>599</v>
      </c>
      <c r="I71" t="s">
        <v>746</v>
      </c>
      <c r="J71" t="s">
        <v>704</v>
      </c>
      <c r="K71" t="s">
        <v>602</v>
      </c>
      <c r="L71" t="s">
        <v>814</v>
      </c>
      <c r="M71" t="s">
        <v>815</v>
      </c>
      <c r="N71" t="str">
        <f>INDEX(Table1_1[name],MATCH(E71,Table1_1[seq],0))</f>
        <v>최성철</v>
      </c>
      <c r="O71" t="str">
        <f>INDEX(Table1_1[email],MATCH(E71,Table1_1[seq],0))</f>
        <v>scipio@ezchemtech.com</v>
      </c>
      <c r="P71" t="str">
        <f>INDEX(Table1_2[dbLoginID],MATCH(Table1[[#This Row],[userSeq]],Table1_2[seq],0))</f>
        <v>scipio@demo.co.kr</v>
      </c>
      <c r="Q71" s="22">
        <f>INDEX(Table1_1[seq],MATCH(Table1[[#This Row],[dbLoginID'[TB_User']]],Table1_1[email],0))</f>
        <v>96</v>
      </c>
    </row>
    <row r="72" spans="1:17" x14ac:dyDescent="0.3">
      <c r="A72">
        <v>192</v>
      </c>
      <c r="B72">
        <v>5</v>
      </c>
      <c r="C72">
        <v>17</v>
      </c>
      <c r="D72">
        <v>98</v>
      </c>
      <c r="E72">
        <v>13</v>
      </c>
      <c r="F72">
        <v>0</v>
      </c>
      <c r="G72" t="s">
        <v>816</v>
      </c>
      <c r="H72" t="s">
        <v>599</v>
      </c>
      <c r="I72" t="s">
        <v>625</v>
      </c>
      <c r="J72" t="s">
        <v>817</v>
      </c>
      <c r="K72" t="s">
        <v>602</v>
      </c>
      <c r="L72" t="s">
        <v>818</v>
      </c>
      <c r="M72" t="s">
        <v>819</v>
      </c>
      <c r="N72" t="str">
        <f>INDEX(Table1_1[name],MATCH(E72,Table1_1[seq],0))</f>
        <v>최성철</v>
      </c>
      <c r="O72" t="str">
        <f>INDEX(Table1_1[email],MATCH(E72,Table1_1[seq],0))</f>
        <v>scipio@ezchemtech.com</v>
      </c>
      <c r="P72" t="str">
        <f>INDEX(Table1_2[dbLoginID],MATCH(Table1[[#This Row],[userSeq]],Table1_2[seq],0))</f>
        <v>scipio@demo.co.kr</v>
      </c>
      <c r="Q72" s="22">
        <f>INDEX(Table1_1[seq],MATCH(Table1[[#This Row],[dbLoginID'[TB_User']]],Table1_1[email],0))</f>
        <v>96</v>
      </c>
    </row>
    <row r="73" spans="1:17" x14ac:dyDescent="0.3">
      <c r="A73">
        <v>191</v>
      </c>
      <c r="B73">
        <v>1</v>
      </c>
      <c r="C73">
        <v>13</v>
      </c>
      <c r="D73">
        <v>15</v>
      </c>
      <c r="E73">
        <v>13</v>
      </c>
      <c r="F73">
        <v>0</v>
      </c>
      <c r="G73" t="s">
        <v>820</v>
      </c>
      <c r="H73" t="s">
        <v>599</v>
      </c>
      <c r="J73" t="s">
        <v>622</v>
      </c>
      <c r="K73" t="s">
        <v>602</v>
      </c>
      <c r="L73" t="s">
        <v>821</v>
      </c>
      <c r="M73" t="s">
        <v>821</v>
      </c>
      <c r="N73" t="str">
        <f>INDEX(Table1_1[name],MATCH(E73,Table1_1[seq],0))</f>
        <v>최성철</v>
      </c>
      <c r="O73" t="str">
        <f>INDEX(Table1_1[email],MATCH(E73,Table1_1[seq],0))</f>
        <v>scipio@ezchemtech.com</v>
      </c>
      <c r="P73" t="str">
        <f>INDEX(Table1_2[dbLoginID],MATCH(Table1[[#This Row],[userSeq]],Table1_2[seq],0))</f>
        <v>choihyeryun@ez-office.co.kr</v>
      </c>
      <c r="Q73" s="22">
        <f>INDEX(Table1_1[seq],MATCH(Table1[[#This Row],[dbLoginID'[TB_User']]],Table1_1[email],0))</f>
        <v>47</v>
      </c>
    </row>
    <row r="74" spans="1:17" x14ac:dyDescent="0.3">
      <c r="A74">
        <v>190</v>
      </c>
      <c r="B74">
        <v>1</v>
      </c>
      <c r="C74">
        <v>13</v>
      </c>
      <c r="D74">
        <v>5</v>
      </c>
      <c r="E74">
        <v>20</v>
      </c>
      <c r="F74">
        <v>0</v>
      </c>
      <c r="G74" t="s">
        <v>822</v>
      </c>
      <c r="H74" t="s">
        <v>599</v>
      </c>
      <c r="J74" t="s">
        <v>618</v>
      </c>
      <c r="K74" t="s">
        <v>602</v>
      </c>
      <c r="L74" t="s">
        <v>823</v>
      </c>
      <c r="M74" t="s">
        <v>823</v>
      </c>
      <c r="N74" t="str">
        <f>INDEX(Table1_1[name],MATCH(E74,Table1_1[seq],0))</f>
        <v>김연희</v>
      </c>
      <c r="O74" t="str">
        <f>INDEX(Table1_1[email],MATCH(E74,Table1_1[seq],0))</f>
        <v>am@ezchemtech.com</v>
      </c>
      <c r="P74" t="str">
        <f>INDEX(Table1_2[dbLoginID],MATCH(Table1[[#This Row],[userSeq]],Table1_2[seq],0))</f>
        <v>scipio@ez-office.co.kr</v>
      </c>
      <c r="Q74" s="22">
        <f>INDEX(Table1_1[seq],MATCH(Table1[[#This Row],[dbLoginID'[TB_User']]],Table1_1[email],0))</f>
        <v>94</v>
      </c>
    </row>
    <row r="75" spans="1:17" x14ac:dyDescent="0.3">
      <c r="A75">
        <v>189</v>
      </c>
      <c r="B75">
        <v>1</v>
      </c>
      <c r="C75">
        <v>13</v>
      </c>
      <c r="D75">
        <v>5</v>
      </c>
      <c r="E75">
        <v>20</v>
      </c>
      <c r="F75">
        <v>0</v>
      </c>
      <c r="G75" t="s">
        <v>824</v>
      </c>
      <c r="H75" t="s">
        <v>599</v>
      </c>
      <c r="I75" t="s">
        <v>746</v>
      </c>
      <c r="J75" t="s">
        <v>622</v>
      </c>
      <c r="K75" t="s">
        <v>602</v>
      </c>
      <c r="L75" t="s">
        <v>825</v>
      </c>
      <c r="M75" t="s">
        <v>826</v>
      </c>
      <c r="N75" t="str">
        <f>INDEX(Table1_1[name],MATCH(E75,Table1_1[seq],0))</f>
        <v>김연희</v>
      </c>
      <c r="O75" t="str">
        <f>INDEX(Table1_1[email],MATCH(E75,Table1_1[seq],0))</f>
        <v>am@ezchemtech.com</v>
      </c>
      <c r="P75" t="str">
        <f>INDEX(Table1_2[dbLoginID],MATCH(Table1[[#This Row],[userSeq]],Table1_2[seq],0))</f>
        <v>scipio@ez-office.co.kr</v>
      </c>
      <c r="Q75" s="22">
        <f>INDEX(Table1_1[seq],MATCH(Table1[[#This Row],[dbLoginID'[TB_User']]],Table1_1[email],0))</f>
        <v>94</v>
      </c>
    </row>
    <row r="76" spans="1:17" x14ac:dyDescent="0.3">
      <c r="A76">
        <v>188</v>
      </c>
      <c r="B76">
        <v>1</v>
      </c>
      <c r="C76">
        <v>13</v>
      </c>
      <c r="D76">
        <v>5</v>
      </c>
      <c r="E76">
        <v>20</v>
      </c>
      <c r="F76">
        <v>0</v>
      </c>
      <c r="G76" t="s">
        <v>827</v>
      </c>
      <c r="H76" t="s">
        <v>599</v>
      </c>
      <c r="I76" t="s">
        <v>617</v>
      </c>
      <c r="J76" t="s">
        <v>607</v>
      </c>
      <c r="K76" t="s">
        <v>602</v>
      </c>
      <c r="L76" t="s">
        <v>828</v>
      </c>
      <c r="M76" t="s">
        <v>829</v>
      </c>
      <c r="N76" t="str">
        <f>INDEX(Table1_1[name],MATCH(E76,Table1_1[seq],0))</f>
        <v>김연희</v>
      </c>
      <c r="O76" t="str">
        <f>INDEX(Table1_1[email],MATCH(E76,Table1_1[seq],0))</f>
        <v>am@ezchemtech.com</v>
      </c>
      <c r="P76" t="str">
        <f>INDEX(Table1_2[dbLoginID],MATCH(Table1[[#This Row],[userSeq]],Table1_2[seq],0))</f>
        <v>scipio@ez-office.co.kr</v>
      </c>
      <c r="Q76" s="22">
        <f>INDEX(Table1_1[seq],MATCH(Table1[[#This Row],[dbLoginID'[TB_User']]],Table1_1[email],0))</f>
        <v>94</v>
      </c>
    </row>
    <row r="77" spans="1:17" x14ac:dyDescent="0.3">
      <c r="A77">
        <v>187</v>
      </c>
      <c r="B77">
        <v>1</v>
      </c>
      <c r="C77">
        <v>13</v>
      </c>
      <c r="D77">
        <v>97</v>
      </c>
      <c r="E77">
        <v>19</v>
      </c>
      <c r="F77">
        <v>0</v>
      </c>
      <c r="G77" t="s">
        <v>830</v>
      </c>
      <c r="H77" t="s">
        <v>599</v>
      </c>
      <c r="I77" t="s">
        <v>662</v>
      </c>
      <c r="J77" t="s">
        <v>831</v>
      </c>
      <c r="K77" t="s">
        <v>602</v>
      </c>
      <c r="L77" t="s">
        <v>832</v>
      </c>
      <c r="M77" t="s">
        <v>833</v>
      </c>
      <c r="N77" t="str">
        <f>INDEX(Table1_1[name],MATCH(E77,Table1_1[seq],0))</f>
        <v>심규정</v>
      </c>
      <c r="O77" t="str">
        <f>INDEX(Table1_1[email],MATCH(E77,Table1_1[seq],0))</f>
        <v>info7@ezchemtech.com</v>
      </c>
      <c r="P77" t="str">
        <f>INDEX(Table1_2[dbLoginID],MATCH(Table1[[#This Row],[userSeq]],Table1_2[seq],0))</f>
        <v>isabelle@ez-office.co.kr</v>
      </c>
      <c r="Q77" s="22">
        <f>INDEX(Table1_1[seq],MATCH(Table1[[#This Row],[dbLoginID'[TB_User']]],Table1_1[email],0))</f>
        <v>93</v>
      </c>
    </row>
    <row r="78" spans="1:17" x14ac:dyDescent="0.3">
      <c r="A78">
        <v>185</v>
      </c>
      <c r="B78">
        <v>5</v>
      </c>
      <c r="C78">
        <v>17</v>
      </c>
      <c r="D78">
        <v>93</v>
      </c>
      <c r="E78">
        <v>12</v>
      </c>
      <c r="F78">
        <v>0</v>
      </c>
      <c r="G78" t="s">
        <v>834</v>
      </c>
      <c r="H78" t="s">
        <v>599</v>
      </c>
      <c r="J78" t="s">
        <v>250</v>
      </c>
      <c r="K78" t="s">
        <v>602</v>
      </c>
      <c r="L78" t="s">
        <v>835</v>
      </c>
      <c r="M78" t="s">
        <v>835</v>
      </c>
      <c r="N78" t="str">
        <f>INDEX(Table1_1[name],MATCH(E78,Table1_1[seq],0))</f>
        <v>심규정</v>
      </c>
      <c r="O78" t="str">
        <f>INDEX(Table1_1[email],MATCH(E78,Table1_1[seq],0))</f>
        <v>info7@ezchemtech.com</v>
      </c>
      <c r="P78" t="str">
        <f>INDEX(Table1_2[dbLoginID],MATCH(Table1[[#This Row],[userSeq]],Table1_2[seq],0))</f>
        <v>isabelle@demo.co.kr</v>
      </c>
      <c r="Q78" s="22">
        <f>INDEX(Table1_1[seq],MATCH(Table1[[#This Row],[dbLoginID'[TB_User']]],Table1_1[email],0))</f>
        <v>95</v>
      </c>
    </row>
    <row r="79" spans="1:17" x14ac:dyDescent="0.3">
      <c r="A79">
        <v>180</v>
      </c>
      <c r="B79">
        <v>12</v>
      </c>
      <c r="C79">
        <v>34</v>
      </c>
      <c r="D79">
        <v>85</v>
      </c>
      <c r="E79">
        <v>3</v>
      </c>
      <c r="F79">
        <v>0</v>
      </c>
      <c r="G79" t="s">
        <v>836</v>
      </c>
      <c r="H79" t="s">
        <v>599</v>
      </c>
      <c r="J79" t="s">
        <v>837</v>
      </c>
      <c r="K79" t="s">
        <v>602</v>
      </c>
      <c r="L79" t="s">
        <v>838</v>
      </c>
      <c r="M79" t="s">
        <v>838</v>
      </c>
      <c r="N79" t="str">
        <f>INDEX(Table1_1[name],MATCH(E79,Table1_1[seq],0))</f>
        <v>김신영</v>
      </c>
      <c r="O79" t="str">
        <f>INDEX(Table1_1[email],MATCH(E79,Table1_1[seq],0))</f>
        <v>service2@ezchemtech.com</v>
      </c>
      <c r="P79" t="str">
        <f>INDEX(Table1_2[dbLoginID],MATCH(Table1[[#This Row],[userSeq]],Table1_2[seq],0))</f>
        <v>scipio@js-crm.com</v>
      </c>
      <c r="Q79" s="22">
        <f>INDEX(Table1_1[seq],MATCH(Table1[[#This Row],[dbLoginID'[TB_User']]],Table1_1[email],0))</f>
        <v>99</v>
      </c>
    </row>
    <row r="80" spans="1:17" x14ac:dyDescent="0.3">
      <c r="A80">
        <v>179</v>
      </c>
      <c r="B80">
        <v>12</v>
      </c>
      <c r="C80">
        <v>34</v>
      </c>
      <c r="D80">
        <v>85</v>
      </c>
      <c r="E80">
        <v>3</v>
      </c>
      <c r="F80">
        <v>0</v>
      </c>
      <c r="G80" t="s">
        <v>839</v>
      </c>
      <c r="H80" t="s">
        <v>599</v>
      </c>
      <c r="J80" t="s">
        <v>840</v>
      </c>
      <c r="K80" t="s">
        <v>602</v>
      </c>
      <c r="L80" t="s">
        <v>841</v>
      </c>
      <c r="M80" t="s">
        <v>841</v>
      </c>
      <c r="N80" t="str">
        <f>INDEX(Table1_1[name],MATCH(E80,Table1_1[seq],0))</f>
        <v>김신영</v>
      </c>
      <c r="O80" t="str">
        <f>INDEX(Table1_1[email],MATCH(E80,Table1_1[seq],0))</f>
        <v>service2@ezchemtech.com</v>
      </c>
      <c r="P80" t="str">
        <f>INDEX(Table1_2[dbLoginID],MATCH(Table1[[#This Row],[userSeq]],Table1_2[seq],0))</f>
        <v>scipio@js-crm.com</v>
      </c>
      <c r="Q80" s="22">
        <f>INDEX(Table1_1[seq],MATCH(Table1[[#This Row],[dbLoginID'[TB_User']]],Table1_1[email],0))</f>
        <v>99</v>
      </c>
    </row>
    <row r="81" spans="1:17" x14ac:dyDescent="0.3">
      <c r="A81">
        <v>178</v>
      </c>
      <c r="B81">
        <v>12</v>
      </c>
      <c r="C81">
        <v>34</v>
      </c>
      <c r="D81">
        <v>85</v>
      </c>
      <c r="E81">
        <v>3</v>
      </c>
      <c r="F81">
        <v>0</v>
      </c>
      <c r="G81" t="s">
        <v>842</v>
      </c>
      <c r="H81" t="s">
        <v>599</v>
      </c>
      <c r="J81" t="s">
        <v>843</v>
      </c>
      <c r="K81" t="s">
        <v>602</v>
      </c>
      <c r="L81" t="s">
        <v>844</v>
      </c>
      <c r="M81" t="s">
        <v>844</v>
      </c>
      <c r="N81" t="str">
        <f>INDEX(Table1_1[name],MATCH(E81,Table1_1[seq],0))</f>
        <v>김신영</v>
      </c>
      <c r="O81" t="str">
        <f>INDEX(Table1_1[email],MATCH(E81,Table1_1[seq],0))</f>
        <v>service2@ezchemtech.com</v>
      </c>
      <c r="P81" t="str">
        <f>INDEX(Table1_2[dbLoginID],MATCH(Table1[[#This Row],[userSeq]],Table1_2[seq],0))</f>
        <v>scipio@js-crm.com</v>
      </c>
      <c r="Q81" s="22">
        <f>INDEX(Table1_1[seq],MATCH(Table1[[#This Row],[dbLoginID'[TB_User']]],Table1_1[email],0))</f>
        <v>99</v>
      </c>
    </row>
    <row r="82" spans="1:17" x14ac:dyDescent="0.3">
      <c r="A82">
        <v>177</v>
      </c>
      <c r="B82">
        <v>12</v>
      </c>
      <c r="C82">
        <v>34</v>
      </c>
      <c r="D82">
        <v>84</v>
      </c>
      <c r="E82">
        <v>2</v>
      </c>
      <c r="F82">
        <v>0</v>
      </c>
      <c r="G82" t="s">
        <v>845</v>
      </c>
      <c r="H82" t="s">
        <v>599</v>
      </c>
      <c r="J82" t="s">
        <v>846</v>
      </c>
      <c r="K82" t="s">
        <v>602</v>
      </c>
      <c r="L82" t="s">
        <v>847</v>
      </c>
      <c r="M82" t="s">
        <v>847</v>
      </c>
      <c r="N82" t="str">
        <f>INDEX(Table1_1[name],MATCH(E82,Table1_1[seq],0))</f>
        <v>유동현</v>
      </c>
      <c r="O82" t="str">
        <f>INDEX(Table1_1[email],MATCH(E82,Table1_1[seq],0))</f>
        <v>c02095aa@gmail.com</v>
      </c>
      <c r="P82" t="str">
        <f>INDEX(Table1_2[dbLoginID],MATCH(Table1[[#This Row],[userSeq]],Table1_2[seq],0))</f>
        <v>qwer8612@naver.com</v>
      </c>
      <c r="Q82" s="22">
        <f>INDEX(Table1_1[seq],MATCH(Table1[[#This Row],[dbLoginID'[TB_User']]],Table1_1[email],0))</f>
        <v>88</v>
      </c>
    </row>
    <row r="83" spans="1:17" x14ac:dyDescent="0.3">
      <c r="A83">
        <v>176</v>
      </c>
      <c r="B83">
        <v>12</v>
      </c>
      <c r="C83">
        <v>34</v>
      </c>
      <c r="D83">
        <v>83</v>
      </c>
      <c r="E83">
        <v>1</v>
      </c>
      <c r="F83">
        <v>0</v>
      </c>
      <c r="G83" t="s">
        <v>848</v>
      </c>
      <c r="H83" t="s">
        <v>599</v>
      </c>
      <c r="J83" t="s">
        <v>849</v>
      </c>
      <c r="K83" t="s">
        <v>602</v>
      </c>
      <c r="L83" t="s">
        <v>850</v>
      </c>
      <c r="M83" t="s">
        <v>850</v>
      </c>
      <c r="N83" t="str">
        <f>INDEX(Table1_1[name],MATCH(E83,Table1_1[seq],0))</f>
        <v>customer_01</v>
      </c>
      <c r="O83" t="str">
        <f>INDEX(Table1_1[email],MATCH(E83,Table1_1[seq],0))</f>
        <v>customer_01@demo.co.kr</v>
      </c>
      <c r="P83" t="str">
        <f>INDEX(Table1_2[dbLoginID],MATCH(Table1[[#This Row],[userSeq]],Table1_2[seq],0))</f>
        <v>richard.choi@js-crm.com</v>
      </c>
      <c r="Q83" s="22">
        <f>INDEX(Table1_1[seq],MATCH(Table1[[#This Row],[dbLoginID'[TB_User']]],Table1_1[email],0))</f>
        <v>87</v>
      </c>
    </row>
    <row r="84" spans="1:17" x14ac:dyDescent="0.3">
      <c r="A84">
        <v>173</v>
      </c>
      <c r="B84">
        <v>9</v>
      </c>
      <c r="C84">
        <v>23</v>
      </c>
      <c r="D84">
        <v>79</v>
      </c>
      <c r="E84">
        <v>14</v>
      </c>
      <c r="F84">
        <v>0</v>
      </c>
      <c r="G84" t="s">
        <v>851</v>
      </c>
      <c r="H84" t="s">
        <v>599</v>
      </c>
      <c r="I84" t="s">
        <v>765</v>
      </c>
      <c r="J84" t="s">
        <v>852</v>
      </c>
      <c r="K84" t="s">
        <v>602</v>
      </c>
      <c r="L84" t="s">
        <v>853</v>
      </c>
      <c r="M84" t="s">
        <v>854</v>
      </c>
      <c r="N84" t="str">
        <f>INDEX(Table1_1[name],MATCH(E84,Table1_1[seq],0))</f>
        <v>최종규</v>
      </c>
      <c r="O84" t="str">
        <f>INDEX(Table1_1[email],MATCH(E84,Table1_1[seq],0))</f>
        <v>star_horse@naver.com</v>
      </c>
      <c r="P84" t="str">
        <f>INDEX(Table1_2[dbLoginID],MATCH(Table1[[#This Row],[userSeq]],Table1_2[seq],0))</f>
        <v>dev@unionlogis.com</v>
      </c>
      <c r="Q84" s="22">
        <f>INDEX(Table1_1[seq],MATCH(Table1[[#This Row],[dbLoginID'[TB_User']]],Table1_1[email],0))</f>
        <v>86</v>
      </c>
    </row>
    <row r="85" spans="1:17" x14ac:dyDescent="0.3">
      <c r="A85">
        <v>172</v>
      </c>
      <c r="B85">
        <v>2</v>
      </c>
      <c r="C85">
        <v>14</v>
      </c>
      <c r="D85">
        <v>78</v>
      </c>
      <c r="E85">
        <v>38</v>
      </c>
      <c r="F85">
        <v>0</v>
      </c>
      <c r="G85" t="s">
        <v>855</v>
      </c>
      <c r="H85" t="s">
        <v>599</v>
      </c>
      <c r="I85" t="s">
        <v>856</v>
      </c>
      <c r="J85" t="s">
        <v>857</v>
      </c>
      <c r="K85" t="s">
        <v>602</v>
      </c>
      <c r="L85" t="s">
        <v>858</v>
      </c>
      <c r="M85" t="s">
        <v>858</v>
      </c>
      <c r="N85" t="str">
        <f>INDEX(Table1_1[name],MATCH(E85,Table1_1[seq],0))</f>
        <v>미상</v>
      </c>
      <c r="O85" t="str">
        <f>INDEX(Table1_1[email],MATCH(E85,Table1_1[seq],0))</f>
        <v>any@ezchemtech.com</v>
      </c>
      <c r="P85" t="str">
        <f>INDEX(Table1_2[dbLoginID],MATCH(Table1[[#This Row],[userSeq]],Table1_2[seq],0))</f>
        <v>collector@ezchemtech.com</v>
      </c>
      <c r="Q85" s="22">
        <f>INDEX(Table1_1[seq],MATCH(Table1[[#This Row],[dbLoginID'[TB_User']]],Table1_1[email],0))</f>
        <v>82</v>
      </c>
    </row>
    <row r="86" spans="1:17" x14ac:dyDescent="0.3">
      <c r="A86">
        <v>171</v>
      </c>
      <c r="B86">
        <v>5</v>
      </c>
      <c r="C86">
        <v>17</v>
      </c>
      <c r="D86">
        <v>77</v>
      </c>
      <c r="E86">
        <v>10</v>
      </c>
      <c r="F86">
        <v>0</v>
      </c>
      <c r="G86" t="s">
        <v>859</v>
      </c>
      <c r="H86" t="s">
        <v>599</v>
      </c>
      <c r="J86" t="s">
        <v>860</v>
      </c>
      <c r="K86" t="s">
        <v>602</v>
      </c>
      <c r="L86" t="s">
        <v>861</v>
      </c>
      <c r="M86" t="s">
        <v>861</v>
      </c>
      <c r="N86" t="str">
        <f>INDEX(Table1_1[name],MATCH(E86,Table1_1[seq],0))</f>
        <v>최성철</v>
      </c>
      <c r="O86" t="str">
        <f>INDEX(Table1_1[email],MATCH(E86,Table1_1[seq],0))</f>
        <v>scipio@ezchemtech.com</v>
      </c>
      <c r="P86" t="str">
        <f>INDEX(Table1_2[dbLoginID],MATCH(Table1[[#This Row],[userSeq]],Table1_2[seq],0))</f>
        <v>am@demo.co.kr</v>
      </c>
      <c r="Q86" s="22">
        <f>INDEX(Table1_1[seq],MATCH(Table1[[#This Row],[dbLoginID'[TB_User']]],Table1_1[email],0))</f>
        <v>85</v>
      </c>
    </row>
    <row r="87" spans="1:17" x14ac:dyDescent="0.3">
      <c r="A87">
        <v>170</v>
      </c>
      <c r="B87">
        <v>2</v>
      </c>
      <c r="C87">
        <v>14</v>
      </c>
      <c r="D87">
        <v>2</v>
      </c>
      <c r="E87">
        <v>4</v>
      </c>
      <c r="F87">
        <v>0</v>
      </c>
      <c r="G87" t="s">
        <v>862</v>
      </c>
      <c r="H87" t="s">
        <v>599</v>
      </c>
      <c r="I87" t="s">
        <v>863</v>
      </c>
      <c r="J87" t="s">
        <v>864</v>
      </c>
      <c r="K87" t="s">
        <v>602</v>
      </c>
      <c r="L87" t="s">
        <v>865</v>
      </c>
      <c r="M87" t="s">
        <v>866</v>
      </c>
      <c r="N87" t="str">
        <f>INDEX(Table1_1[name],MATCH(E87,Table1_1[seq],0))</f>
        <v>최종규</v>
      </c>
      <c r="O87" t="str">
        <f>INDEX(Table1_1[email],MATCH(E87,Table1_1[seq],0))</f>
        <v>star_horse@naver.com</v>
      </c>
      <c r="P87" t="str">
        <f>INDEX(Table1_2[dbLoginID],MATCH(Table1[[#This Row],[userSeq]],Table1_2[seq],0))</f>
        <v>info7@ezchemtech.com</v>
      </c>
      <c r="Q87" s="22">
        <f>INDEX(Table1_1[seq],MATCH(Table1[[#This Row],[dbLoginID'[TB_User']]],Table1_1[email],0))</f>
        <v>61</v>
      </c>
    </row>
    <row r="88" spans="1:17" x14ac:dyDescent="0.3">
      <c r="A88">
        <v>169</v>
      </c>
      <c r="B88">
        <v>8</v>
      </c>
      <c r="C88">
        <v>22</v>
      </c>
      <c r="D88">
        <v>75</v>
      </c>
      <c r="E88">
        <v>5</v>
      </c>
      <c r="F88">
        <v>0</v>
      </c>
      <c r="G88" t="s">
        <v>867</v>
      </c>
      <c r="H88" t="s">
        <v>599</v>
      </c>
      <c r="J88" t="s">
        <v>868</v>
      </c>
      <c r="K88" t="s">
        <v>602</v>
      </c>
      <c r="L88" t="s">
        <v>869</v>
      </c>
      <c r="M88" t="s">
        <v>869</v>
      </c>
      <c r="N88" t="str">
        <f>INDEX(Table1_1[name],MATCH(E88,Table1_1[seq],0))</f>
        <v>최종규</v>
      </c>
      <c r="O88" t="str">
        <f>INDEX(Table1_1[email],MATCH(E88,Table1_1[seq],0))</f>
        <v>star_horse@naver.com</v>
      </c>
      <c r="P88" t="str">
        <f>INDEX(Table1_2[dbLoginID],MATCH(Table1[[#This Row],[userSeq]],Table1_2[seq],0))</f>
        <v>choihyeryun@dhyoo.co.kr</v>
      </c>
      <c r="Q88" s="22">
        <f>INDEX(Table1_1[seq],MATCH(Table1[[#This Row],[dbLoginID'[TB_User']]],Table1_1[email],0))</f>
        <v>81</v>
      </c>
    </row>
    <row r="89" spans="1:17" x14ac:dyDescent="0.3">
      <c r="A89">
        <v>168</v>
      </c>
      <c r="B89">
        <v>8</v>
      </c>
      <c r="C89">
        <v>22</v>
      </c>
      <c r="D89">
        <v>13</v>
      </c>
      <c r="E89">
        <v>4</v>
      </c>
      <c r="F89">
        <v>0</v>
      </c>
      <c r="G89" t="s">
        <v>870</v>
      </c>
      <c r="H89" t="s">
        <v>599</v>
      </c>
      <c r="I89" t="s">
        <v>625</v>
      </c>
      <c r="J89" t="s">
        <v>871</v>
      </c>
      <c r="K89" t="s">
        <v>602</v>
      </c>
      <c r="L89" t="s">
        <v>872</v>
      </c>
      <c r="M89" t="s">
        <v>873</v>
      </c>
      <c r="N89" t="str">
        <f>INDEX(Table1_1[name],MATCH(E89,Table1_1[seq],0))</f>
        <v>최종규</v>
      </c>
      <c r="O89" t="str">
        <f>INDEX(Table1_1[email],MATCH(E89,Table1_1[seq],0))</f>
        <v>star_horse@naver.com</v>
      </c>
      <c r="P89" t="str">
        <f>INDEX(Table1_2[dbLoginID],MATCH(Table1[[#This Row],[userSeq]],Table1_2[seq],0))</f>
        <v>scipio@dhyoo.co.kr</v>
      </c>
      <c r="Q89" s="22">
        <f>INDEX(Table1_1[seq],MATCH(Table1[[#This Row],[dbLoginID'[TB_User']]],Table1_1[email],0))</f>
        <v>80</v>
      </c>
    </row>
    <row r="90" spans="1:17" x14ac:dyDescent="0.3">
      <c r="A90">
        <v>163</v>
      </c>
      <c r="B90">
        <v>11</v>
      </c>
      <c r="C90">
        <v>33</v>
      </c>
      <c r="D90">
        <v>65</v>
      </c>
      <c r="E90">
        <v>6</v>
      </c>
      <c r="F90">
        <v>0</v>
      </c>
      <c r="G90" t="s">
        <v>874</v>
      </c>
      <c r="H90" t="s">
        <v>599</v>
      </c>
      <c r="I90" t="s">
        <v>649</v>
      </c>
      <c r="J90" t="s">
        <v>656</v>
      </c>
      <c r="K90" t="s">
        <v>602</v>
      </c>
      <c r="L90" t="s">
        <v>875</v>
      </c>
      <c r="M90" t="s">
        <v>876</v>
      </c>
      <c r="N90" t="str">
        <f>INDEX(Table1_1[name],MATCH(E90,Table1_1[seq],0))</f>
        <v>김원겸</v>
      </c>
      <c r="O90" t="str">
        <f>INDEX(Table1_1[email],MATCH(E90,Table1_1[seq],0))</f>
        <v>rzfr@naver.com</v>
      </c>
      <c r="P90" t="str">
        <f>INDEX(Table1_2[dbLoginID],MATCH(Table1[[#This Row],[userSeq]],Table1_2[seq],0))</f>
        <v>eden.lee@knu-osl.com</v>
      </c>
      <c r="Q90" s="22">
        <f>INDEX(Table1_1[seq],MATCH(Table1[[#This Row],[dbLoginID'[TB_User']]],Table1_1[email],0))</f>
        <v>75</v>
      </c>
    </row>
    <row r="91" spans="1:17" x14ac:dyDescent="0.3">
      <c r="A91">
        <v>162</v>
      </c>
      <c r="B91">
        <v>11</v>
      </c>
      <c r="C91">
        <v>33</v>
      </c>
      <c r="D91">
        <v>65</v>
      </c>
      <c r="E91">
        <v>6</v>
      </c>
      <c r="F91">
        <v>0</v>
      </c>
      <c r="G91" t="s">
        <v>877</v>
      </c>
      <c r="H91" t="s">
        <v>599</v>
      </c>
      <c r="J91" t="s">
        <v>656</v>
      </c>
      <c r="K91" t="s">
        <v>602</v>
      </c>
      <c r="L91" t="s">
        <v>878</v>
      </c>
      <c r="M91" t="s">
        <v>878</v>
      </c>
      <c r="N91" t="str">
        <f>INDEX(Table1_1[name],MATCH(E91,Table1_1[seq],0))</f>
        <v>김원겸</v>
      </c>
      <c r="O91" t="str">
        <f>INDEX(Table1_1[email],MATCH(E91,Table1_1[seq],0))</f>
        <v>rzfr@naver.com</v>
      </c>
      <c r="P91" t="str">
        <f>INDEX(Table1_2[dbLoginID],MATCH(Table1[[#This Row],[userSeq]],Table1_2[seq],0))</f>
        <v>eden.lee@knu-osl.com</v>
      </c>
      <c r="Q91" s="22">
        <f>INDEX(Table1_1[seq],MATCH(Table1[[#This Row],[dbLoginID'[TB_User']]],Table1_1[email],0))</f>
        <v>75</v>
      </c>
    </row>
    <row r="92" spans="1:17" x14ac:dyDescent="0.3">
      <c r="A92">
        <v>161</v>
      </c>
      <c r="B92">
        <v>11</v>
      </c>
      <c r="C92">
        <v>33</v>
      </c>
      <c r="D92">
        <v>64</v>
      </c>
      <c r="E92">
        <v>5</v>
      </c>
      <c r="F92">
        <v>0</v>
      </c>
      <c r="G92" t="s">
        <v>879</v>
      </c>
      <c r="H92" t="s">
        <v>599</v>
      </c>
      <c r="J92" t="s">
        <v>656</v>
      </c>
      <c r="K92" t="s">
        <v>602</v>
      </c>
      <c r="L92" t="s">
        <v>880</v>
      </c>
      <c r="M92" t="s">
        <v>880</v>
      </c>
      <c r="N92" t="str">
        <f>INDEX(Table1_1[name],MATCH(E92,Table1_1[seq],0))</f>
        <v>최종규</v>
      </c>
      <c r="O92" t="str">
        <f>INDEX(Table1_1[email],MATCH(E92,Table1_1[seq],0))</f>
        <v>star_horse@naver.com</v>
      </c>
      <c r="P92" t="str">
        <f>INDEX(Table1_2[dbLoginID],MATCH(Table1[[#This Row],[userSeq]],Table1_2[seq],0))</f>
        <v>scipio@knu-osl.com</v>
      </c>
      <c r="Q92" s="22">
        <f>INDEX(Table1_1[seq],MATCH(Table1[[#This Row],[dbLoginID'[TB_User']]],Table1_1[email],0))</f>
        <v>74</v>
      </c>
    </row>
    <row r="93" spans="1:17" x14ac:dyDescent="0.3">
      <c r="A93">
        <v>160</v>
      </c>
      <c r="B93">
        <v>2</v>
      </c>
      <c r="C93">
        <v>14</v>
      </c>
      <c r="D93">
        <v>2</v>
      </c>
      <c r="E93">
        <v>4</v>
      </c>
      <c r="F93">
        <v>0</v>
      </c>
      <c r="G93" t="s">
        <v>881</v>
      </c>
      <c r="H93" t="s">
        <v>599</v>
      </c>
      <c r="I93" t="s">
        <v>882</v>
      </c>
      <c r="J93" t="s">
        <v>883</v>
      </c>
      <c r="K93" t="s">
        <v>602</v>
      </c>
      <c r="L93" t="s">
        <v>884</v>
      </c>
      <c r="M93" t="s">
        <v>885</v>
      </c>
      <c r="N93" t="str">
        <f>INDEX(Table1_1[name],MATCH(E93,Table1_1[seq],0))</f>
        <v>최종규</v>
      </c>
      <c r="O93" t="str">
        <f>INDEX(Table1_1[email],MATCH(E93,Table1_1[seq],0))</f>
        <v>star_horse@naver.com</v>
      </c>
      <c r="P93" t="str">
        <f>INDEX(Table1_2[dbLoginID],MATCH(Table1[[#This Row],[userSeq]],Table1_2[seq],0))</f>
        <v>info7@ezchemtech.com</v>
      </c>
      <c r="Q93" s="22">
        <f>INDEX(Table1_1[seq],MATCH(Table1[[#This Row],[dbLoginID'[TB_User']]],Table1_1[email],0))</f>
        <v>61</v>
      </c>
    </row>
    <row r="94" spans="1:17" x14ac:dyDescent="0.3">
      <c r="A94">
        <v>159</v>
      </c>
      <c r="B94">
        <v>11</v>
      </c>
      <c r="C94">
        <v>33</v>
      </c>
      <c r="D94">
        <v>63</v>
      </c>
      <c r="E94">
        <v>4</v>
      </c>
      <c r="F94">
        <v>0</v>
      </c>
      <c r="G94" t="s">
        <v>886</v>
      </c>
      <c r="H94" t="s">
        <v>599</v>
      </c>
      <c r="J94" t="s">
        <v>656</v>
      </c>
      <c r="K94" t="s">
        <v>602</v>
      </c>
      <c r="L94" t="s">
        <v>887</v>
      </c>
      <c r="M94" t="s">
        <v>887</v>
      </c>
      <c r="N94" t="str">
        <f>INDEX(Table1_1[name],MATCH(E94,Table1_1[seq],0))</f>
        <v>최종규</v>
      </c>
      <c r="O94" t="str">
        <f>INDEX(Table1_1[email],MATCH(E94,Table1_1[seq],0))</f>
        <v>star_horse@naver.com</v>
      </c>
      <c r="P94" t="str">
        <f>INDEX(Table1_2[dbLoginID],MATCH(Table1[[#This Row],[userSeq]],Table1_2[seq],0))</f>
        <v>star_horse@knu_osl.demo</v>
      </c>
      <c r="Q94" s="22" t="e">
        <f>INDEX(Table1_1[seq],MATCH(Table1[[#This Row],[dbLoginID'[TB_User']]],Table1_1[email],0))</f>
        <v>#N/A</v>
      </c>
    </row>
    <row r="95" spans="1:17" x14ac:dyDescent="0.3">
      <c r="A95">
        <v>158</v>
      </c>
      <c r="B95">
        <v>2</v>
      </c>
      <c r="C95">
        <v>14</v>
      </c>
      <c r="D95">
        <v>20</v>
      </c>
      <c r="E95">
        <v>18</v>
      </c>
      <c r="F95">
        <v>0</v>
      </c>
      <c r="G95" t="s">
        <v>888</v>
      </c>
      <c r="H95" t="s">
        <v>599</v>
      </c>
      <c r="I95" t="s">
        <v>765</v>
      </c>
      <c r="J95" t="s">
        <v>889</v>
      </c>
      <c r="K95" t="s">
        <v>602</v>
      </c>
      <c r="L95" t="s">
        <v>890</v>
      </c>
      <c r="M95" t="s">
        <v>891</v>
      </c>
      <c r="N95" t="str">
        <f>INDEX(Table1_1[name],MATCH(E95,Table1_1[seq],0))</f>
        <v>황인국</v>
      </c>
      <c r="O95" t="str">
        <f>INDEX(Table1_1[email],MATCH(E95,Table1_1[seq],0))</f>
        <v>gshwang@ezchemtech.com</v>
      </c>
      <c r="P95" t="str">
        <f>INDEX(Table1_2[dbLoginID],MATCH(Table1[[#This Row],[userSeq]],Table1_2[seq],0))</f>
        <v>dev@ezchemtech.com</v>
      </c>
      <c r="Q95" s="22">
        <f>INDEX(Table1_1[seq],MATCH(Table1[[#This Row],[dbLoginID'[TB_User']]],Table1_1[email],0))</f>
        <v>51</v>
      </c>
    </row>
    <row r="96" spans="1:17" x14ac:dyDescent="0.3">
      <c r="A96">
        <v>152</v>
      </c>
      <c r="B96">
        <v>2</v>
      </c>
      <c r="C96">
        <v>14</v>
      </c>
      <c r="D96">
        <v>20</v>
      </c>
      <c r="E96">
        <v>18</v>
      </c>
      <c r="F96">
        <v>0</v>
      </c>
      <c r="G96" t="s">
        <v>892</v>
      </c>
      <c r="H96" t="s">
        <v>599</v>
      </c>
      <c r="I96" t="s">
        <v>893</v>
      </c>
      <c r="J96" t="s">
        <v>894</v>
      </c>
      <c r="K96" t="s">
        <v>602</v>
      </c>
      <c r="L96" t="s">
        <v>895</v>
      </c>
      <c r="M96" t="s">
        <v>896</v>
      </c>
      <c r="N96" t="str">
        <f>INDEX(Table1_1[name],MATCH(E96,Table1_1[seq],0))</f>
        <v>황인국</v>
      </c>
      <c r="O96" t="str">
        <f>INDEX(Table1_1[email],MATCH(E96,Table1_1[seq],0))</f>
        <v>gshwang@ezchemtech.com</v>
      </c>
      <c r="P96" t="str">
        <f>INDEX(Table1_2[dbLoginID],MATCH(Table1[[#This Row],[userSeq]],Table1_2[seq],0))</f>
        <v>dev@ezchemtech.com</v>
      </c>
      <c r="Q96" s="22">
        <f>INDEX(Table1_1[seq],MATCH(Table1[[#This Row],[dbLoginID'[TB_User']]],Table1_1[email],0))</f>
        <v>51</v>
      </c>
    </row>
    <row r="97" spans="1:17" x14ac:dyDescent="0.3">
      <c r="A97">
        <v>151</v>
      </c>
      <c r="B97">
        <v>2</v>
      </c>
      <c r="C97">
        <v>14</v>
      </c>
      <c r="D97">
        <v>18</v>
      </c>
      <c r="E97">
        <v>21</v>
      </c>
      <c r="F97">
        <v>0</v>
      </c>
      <c r="G97" t="s">
        <v>897</v>
      </c>
      <c r="H97" t="s">
        <v>599</v>
      </c>
      <c r="J97" t="s">
        <v>898</v>
      </c>
      <c r="K97" t="s">
        <v>602</v>
      </c>
      <c r="L97" t="s">
        <v>899</v>
      </c>
      <c r="M97" t="s">
        <v>899</v>
      </c>
      <c r="N97" t="str">
        <f>INDEX(Table1_1[name],MATCH(E97,Table1_1[seq],0))</f>
        <v>이현아</v>
      </c>
      <c r="O97" t="str">
        <f>INDEX(Table1_1[email],MATCH(E97,Table1_1[seq],0))</f>
        <v>shmlucy07@gmail.com</v>
      </c>
      <c r="P97" t="str">
        <f>INDEX(Table1_2[dbLoginID],MATCH(Table1[[#This Row],[userSeq]],Table1_2[seq],0))</f>
        <v>am@ezchemtech.com</v>
      </c>
      <c r="Q97" s="22">
        <f>INDEX(Table1_1[seq],MATCH(Table1[[#This Row],[dbLoginID'[TB_User']]],Table1_1[email],0))</f>
        <v>63</v>
      </c>
    </row>
    <row r="98" spans="1:17" x14ac:dyDescent="0.3">
      <c r="A98">
        <v>150</v>
      </c>
      <c r="B98">
        <v>2</v>
      </c>
      <c r="C98">
        <v>14</v>
      </c>
      <c r="D98">
        <v>18</v>
      </c>
      <c r="E98">
        <v>21</v>
      </c>
      <c r="F98">
        <v>0</v>
      </c>
      <c r="G98" t="s">
        <v>900</v>
      </c>
      <c r="H98" t="s">
        <v>599</v>
      </c>
      <c r="J98" t="s">
        <v>901</v>
      </c>
      <c r="K98" t="s">
        <v>602</v>
      </c>
      <c r="L98" t="s">
        <v>902</v>
      </c>
      <c r="M98" t="s">
        <v>902</v>
      </c>
      <c r="N98" t="str">
        <f>INDEX(Table1_1[name],MATCH(E98,Table1_1[seq],0))</f>
        <v>이현아</v>
      </c>
      <c r="O98" t="str">
        <f>INDEX(Table1_1[email],MATCH(E98,Table1_1[seq],0))</f>
        <v>shmlucy07@gmail.com</v>
      </c>
      <c r="P98" t="str">
        <f>INDEX(Table1_2[dbLoginID],MATCH(Table1[[#This Row],[userSeq]],Table1_2[seq],0))</f>
        <v>am@ezchemtech.com</v>
      </c>
      <c r="Q98" s="22">
        <f>INDEX(Table1_1[seq],MATCH(Table1[[#This Row],[dbLoginID'[TB_User']]],Table1_1[email],0))</f>
        <v>63</v>
      </c>
    </row>
    <row r="99" spans="1:17" x14ac:dyDescent="0.3">
      <c r="A99">
        <v>149</v>
      </c>
      <c r="B99">
        <v>10</v>
      </c>
      <c r="C99">
        <v>32</v>
      </c>
      <c r="D99">
        <v>39</v>
      </c>
      <c r="E99">
        <v>4</v>
      </c>
      <c r="F99">
        <v>0</v>
      </c>
      <c r="G99" t="s">
        <v>903</v>
      </c>
      <c r="H99" t="s">
        <v>599</v>
      </c>
      <c r="I99" t="s">
        <v>904</v>
      </c>
      <c r="J99" t="s">
        <v>905</v>
      </c>
      <c r="K99" t="s">
        <v>602</v>
      </c>
      <c r="L99" t="s">
        <v>906</v>
      </c>
      <c r="M99" t="s">
        <v>907</v>
      </c>
      <c r="N99" t="str">
        <f>INDEX(Table1_1[name],MATCH(E99,Table1_1[seq],0))</f>
        <v>최종규</v>
      </c>
      <c r="O99" t="str">
        <f>INDEX(Table1_1[email],MATCH(E99,Table1_1[seq],0))</f>
        <v>star_horse@naver.com</v>
      </c>
      <c r="P99" t="str">
        <f>INDEX(Table1_2[dbLoginID],MATCH(Table1[[#This Row],[userSeq]],Table1_2[seq],0))</f>
        <v>shmlucy07@gmail.com</v>
      </c>
      <c r="Q99" s="22">
        <f>INDEX(Table1_1[seq],MATCH(Table1[[#This Row],[dbLoginID'[TB_User']]],Table1_1[email],0))</f>
        <v>21</v>
      </c>
    </row>
    <row r="100" spans="1:17" x14ac:dyDescent="0.3">
      <c r="A100">
        <v>148</v>
      </c>
      <c r="B100">
        <v>10</v>
      </c>
      <c r="C100">
        <v>32</v>
      </c>
      <c r="D100">
        <v>40</v>
      </c>
      <c r="E100">
        <v>6</v>
      </c>
      <c r="F100">
        <v>0</v>
      </c>
      <c r="G100" t="s">
        <v>908</v>
      </c>
      <c r="H100" t="s">
        <v>599</v>
      </c>
      <c r="I100" t="s">
        <v>746</v>
      </c>
      <c r="J100" t="s">
        <v>909</v>
      </c>
      <c r="K100" t="s">
        <v>602</v>
      </c>
      <c r="L100" t="s">
        <v>910</v>
      </c>
      <c r="M100" t="s">
        <v>911</v>
      </c>
      <c r="N100" t="str">
        <f>INDEX(Table1_1[name],MATCH(E100,Table1_1[seq],0))</f>
        <v>김원겸</v>
      </c>
      <c r="O100" t="str">
        <f>INDEX(Table1_1[email],MATCH(E100,Table1_1[seq],0))</f>
        <v>rzfr@naver.com</v>
      </c>
      <c r="P100" t="str">
        <f>INDEX(Table1_2[dbLoginID],MATCH(Table1[[#This Row],[userSeq]],Table1_2[seq],0))</f>
        <v>scipio@shmlucy.com</v>
      </c>
      <c r="Q100" s="22">
        <f>INDEX(Table1_1[seq],MATCH(Table1[[#This Row],[dbLoginID'[TB_User']]],Table1_1[email],0))</f>
        <v>30</v>
      </c>
    </row>
    <row r="101" spans="1:17" x14ac:dyDescent="0.3">
      <c r="A101">
        <v>147</v>
      </c>
      <c r="B101">
        <v>10</v>
      </c>
      <c r="C101">
        <v>32</v>
      </c>
      <c r="D101">
        <v>39</v>
      </c>
      <c r="E101">
        <v>4</v>
      </c>
      <c r="F101">
        <v>0</v>
      </c>
      <c r="G101" t="s">
        <v>912</v>
      </c>
      <c r="H101" t="s">
        <v>599</v>
      </c>
      <c r="J101" t="s">
        <v>913</v>
      </c>
      <c r="K101" t="s">
        <v>602</v>
      </c>
      <c r="L101" t="s">
        <v>914</v>
      </c>
      <c r="M101" t="s">
        <v>914</v>
      </c>
      <c r="N101" t="str">
        <f>INDEX(Table1_1[name],MATCH(E101,Table1_1[seq],0))</f>
        <v>최종규</v>
      </c>
      <c r="O101" t="str">
        <f>INDEX(Table1_1[email],MATCH(E101,Table1_1[seq],0))</f>
        <v>star_horse@naver.com</v>
      </c>
      <c r="P101" t="str">
        <f>INDEX(Table1_2[dbLoginID],MATCH(Table1[[#This Row],[userSeq]],Table1_2[seq],0))</f>
        <v>shmlucy07@gmail.com</v>
      </c>
      <c r="Q101" s="22">
        <f>INDEX(Table1_1[seq],MATCH(Table1[[#This Row],[dbLoginID'[TB_User']]],Table1_1[email],0))</f>
        <v>21</v>
      </c>
    </row>
    <row r="102" spans="1:17" x14ac:dyDescent="0.3">
      <c r="A102">
        <v>145</v>
      </c>
      <c r="B102">
        <v>2</v>
      </c>
      <c r="C102">
        <v>14</v>
      </c>
      <c r="D102">
        <v>2</v>
      </c>
      <c r="E102">
        <v>4</v>
      </c>
      <c r="F102">
        <v>1</v>
      </c>
      <c r="G102" t="s">
        <v>915</v>
      </c>
      <c r="H102" t="s">
        <v>599</v>
      </c>
      <c r="I102" t="s">
        <v>916</v>
      </c>
      <c r="J102" t="s">
        <v>917</v>
      </c>
      <c r="K102" t="s">
        <v>602</v>
      </c>
      <c r="L102" t="s">
        <v>918</v>
      </c>
      <c r="M102" t="s">
        <v>919</v>
      </c>
      <c r="N102" t="str">
        <f>INDEX(Table1_1[name],MATCH(E102,Table1_1[seq],0))</f>
        <v>최종규</v>
      </c>
      <c r="O102" t="str">
        <f>INDEX(Table1_1[email],MATCH(E102,Table1_1[seq],0))</f>
        <v>star_horse@naver.com</v>
      </c>
      <c r="P102" t="str">
        <f>INDEX(Table1_2[dbLoginID],MATCH(Table1[[#This Row],[userSeq]],Table1_2[seq],0))</f>
        <v>info7@ezchemtech.com</v>
      </c>
      <c r="Q102" s="22">
        <f>INDEX(Table1_1[seq],MATCH(Table1[[#This Row],[dbLoginID'[TB_User']]],Table1_1[email],0))</f>
        <v>61</v>
      </c>
    </row>
    <row r="103" spans="1:17" x14ac:dyDescent="0.3">
      <c r="A103">
        <v>144</v>
      </c>
      <c r="B103">
        <v>2</v>
      </c>
      <c r="C103">
        <v>14</v>
      </c>
      <c r="D103">
        <v>2</v>
      </c>
      <c r="E103">
        <v>4</v>
      </c>
      <c r="F103">
        <v>1</v>
      </c>
      <c r="G103" t="s">
        <v>920</v>
      </c>
      <c r="H103" t="s">
        <v>599</v>
      </c>
      <c r="I103" t="s">
        <v>921</v>
      </c>
      <c r="J103" t="s">
        <v>922</v>
      </c>
      <c r="K103" t="s">
        <v>602</v>
      </c>
      <c r="L103" t="s">
        <v>918</v>
      </c>
      <c r="M103" t="s">
        <v>923</v>
      </c>
      <c r="N103" t="str">
        <f>INDEX(Table1_1[name],MATCH(E103,Table1_1[seq],0))</f>
        <v>최종규</v>
      </c>
      <c r="O103" t="str">
        <f>INDEX(Table1_1[email],MATCH(E103,Table1_1[seq],0))</f>
        <v>star_horse@naver.com</v>
      </c>
      <c r="P103" t="str">
        <f>INDEX(Table1_2[dbLoginID],MATCH(Table1[[#This Row],[userSeq]],Table1_2[seq],0))</f>
        <v>info7@ezchemtech.com</v>
      </c>
      <c r="Q103" s="22">
        <f>INDEX(Table1_1[seq],MATCH(Table1[[#This Row],[dbLoginID'[TB_User']]],Table1_1[email],0))</f>
        <v>61</v>
      </c>
    </row>
    <row r="104" spans="1:17" x14ac:dyDescent="0.3">
      <c r="A104">
        <v>143</v>
      </c>
      <c r="B104">
        <v>2</v>
      </c>
      <c r="C104">
        <v>14</v>
      </c>
      <c r="D104">
        <v>2</v>
      </c>
      <c r="E104">
        <v>4</v>
      </c>
      <c r="F104">
        <v>1</v>
      </c>
      <c r="G104" t="s">
        <v>924</v>
      </c>
      <c r="H104" t="s">
        <v>599</v>
      </c>
      <c r="I104" t="s">
        <v>925</v>
      </c>
      <c r="J104" t="s">
        <v>926</v>
      </c>
      <c r="K104" t="s">
        <v>602</v>
      </c>
      <c r="L104" t="s">
        <v>918</v>
      </c>
      <c r="M104" t="s">
        <v>927</v>
      </c>
      <c r="N104" t="str">
        <f>INDEX(Table1_1[name],MATCH(E104,Table1_1[seq],0))</f>
        <v>최종규</v>
      </c>
      <c r="O104" t="str">
        <f>INDEX(Table1_1[email],MATCH(E104,Table1_1[seq],0))</f>
        <v>star_horse@naver.com</v>
      </c>
      <c r="P104" t="str">
        <f>INDEX(Table1_2[dbLoginID],MATCH(Table1[[#This Row],[userSeq]],Table1_2[seq],0))</f>
        <v>info7@ezchemtech.com</v>
      </c>
      <c r="Q104" s="22">
        <f>INDEX(Table1_1[seq],MATCH(Table1[[#This Row],[dbLoginID'[TB_User']]],Table1_1[email],0))</f>
        <v>61</v>
      </c>
    </row>
    <row r="105" spans="1:17" x14ac:dyDescent="0.3">
      <c r="A105">
        <v>142</v>
      </c>
      <c r="B105">
        <v>2</v>
      </c>
      <c r="C105">
        <v>14</v>
      </c>
      <c r="D105">
        <v>2</v>
      </c>
      <c r="E105">
        <v>4</v>
      </c>
      <c r="F105">
        <v>1</v>
      </c>
      <c r="G105" t="s">
        <v>928</v>
      </c>
      <c r="H105" t="s">
        <v>599</v>
      </c>
      <c r="I105" t="s">
        <v>929</v>
      </c>
      <c r="J105" t="s">
        <v>930</v>
      </c>
      <c r="K105" t="s">
        <v>602</v>
      </c>
      <c r="L105" t="s">
        <v>918</v>
      </c>
      <c r="M105" t="s">
        <v>931</v>
      </c>
      <c r="N105" t="str">
        <f>INDEX(Table1_1[name],MATCH(E105,Table1_1[seq],0))</f>
        <v>최종규</v>
      </c>
      <c r="O105" t="str">
        <f>INDEX(Table1_1[email],MATCH(E105,Table1_1[seq],0))</f>
        <v>star_horse@naver.com</v>
      </c>
      <c r="P105" t="str">
        <f>INDEX(Table1_2[dbLoginID],MATCH(Table1[[#This Row],[userSeq]],Table1_2[seq],0))</f>
        <v>info7@ezchemtech.com</v>
      </c>
      <c r="Q105" s="22">
        <f>INDEX(Table1_1[seq],MATCH(Table1[[#This Row],[dbLoginID'[TB_User']]],Table1_1[email],0))</f>
        <v>61</v>
      </c>
    </row>
    <row r="106" spans="1:17" x14ac:dyDescent="0.3">
      <c r="A106">
        <v>141</v>
      </c>
      <c r="B106">
        <v>2</v>
      </c>
      <c r="C106">
        <v>14</v>
      </c>
      <c r="D106">
        <v>2</v>
      </c>
      <c r="E106">
        <v>4</v>
      </c>
      <c r="F106">
        <v>1</v>
      </c>
      <c r="G106" t="s">
        <v>932</v>
      </c>
      <c r="H106" t="s">
        <v>599</v>
      </c>
      <c r="I106" t="s">
        <v>933</v>
      </c>
      <c r="J106" t="s">
        <v>934</v>
      </c>
      <c r="K106" t="s">
        <v>602</v>
      </c>
      <c r="L106" t="s">
        <v>918</v>
      </c>
      <c r="M106" t="s">
        <v>935</v>
      </c>
      <c r="N106" t="str">
        <f>INDEX(Table1_1[name],MATCH(E106,Table1_1[seq],0))</f>
        <v>최종규</v>
      </c>
      <c r="O106" t="str">
        <f>INDEX(Table1_1[email],MATCH(E106,Table1_1[seq],0))</f>
        <v>star_horse@naver.com</v>
      </c>
      <c r="P106" t="str">
        <f>INDEX(Table1_2[dbLoginID],MATCH(Table1[[#This Row],[userSeq]],Table1_2[seq],0))</f>
        <v>info7@ezchemtech.com</v>
      </c>
      <c r="Q106" s="22">
        <f>INDEX(Table1_1[seq],MATCH(Table1[[#This Row],[dbLoginID'[TB_User']]],Table1_1[email],0))</f>
        <v>61</v>
      </c>
    </row>
    <row r="107" spans="1:17" x14ac:dyDescent="0.3">
      <c r="A107">
        <v>140</v>
      </c>
      <c r="B107">
        <v>2</v>
      </c>
      <c r="C107">
        <v>14</v>
      </c>
      <c r="D107">
        <v>25</v>
      </c>
      <c r="E107">
        <v>19</v>
      </c>
      <c r="F107">
        <v>0</v>
      </c>
      <c r="G107" t="s">
        <v>936</v>
      </c>
      <c r="H107" t="s">
        <v>599</v>
      </c>
      <c r="I107" t="s">
        <v>937</v>
      </c>
      <c r="J107" t="s">
        <v>938</v>
      </c>
      <c r="K107" t="s">
        <v>602</v>
      </c>
      <c r="L107" t="s">
        <v>939</v>
      </c>
      <c r="M107" t="s">
        <v>940</v>
      </c>
      <c r="N107" t="str">
        <f>INDEX(Table1_1[name],MATCH(E107,Table1_1[seq],0))</f>
        <v>심규정</v>
      </c>
      <c r="O107" t="str">
        <f>INDEX(Table1_1[email],MATCH(E107,Table1_1[seq],0))</f>
        <v>info7@ezchemtech.com</v>
      </c>
      <c r="P107" t="str">
        <f>INDEX(Table1_2[dbLoginID],MATCH(Table1[[#This Row],[userSeq]],Table1_2[seq],0))</f>
        <v>inno@ezchemtech.com</v>
      </c>
      <c r="Q107" s="22">
        <f>INDEX(Table1_1[seq],MATCH(Table1[[#This Row],[dbLoginID'[TB_User']]],Table1_1[email],0))</f>
        <v>52</v>
      </c>
    </row>
    <row r="108" spans="1:17" x14ac:dyDescent="0.3">
      <c r="A108">
        <v>139</v>
      </c>
      <c r="B108">
        <v>2</v>
      </c>
      <c r="C108">
        <v>14</v>
      </c>
      <c r="D108">
        <v>31</v>
      </c>
      <c r="E108">
        <v>31</v>
      </c>
      <c r="F108">
        <v>0</v>
      </c>
      <c r="G108" t="s">
        <v>941</v>
      </c>
      <c r="H108" t="s">
        <v>599</v>
      </c>
      <c r="I108" t="s">
        <v>606</v>
      </c>
      <c r="J108" t="s">
        <v>942</v>
      </c>
      <c r="K108" t="s">
        <v>602</v>
      </c>
      <c r="L108" t="s">
        <v>943</v>
      </c>
      <c r="M108" t="s">
        <v>944</v>
      </c>
      <c r="N108" t="str">
        <f>INDEX(Table1_1[name],MATCH(E108,Table1_1[seq],0))</f>
        <v>최성철</v>
      </c>
      <c r="O108" t="str">
        <f>INDEX(Table1_1[email],MATCH(E108,Table1_1[seq],0))</f>
        <v>scipio@ezchemtech.com</v>
      </c>
      <c r="P108" t="str">
        <f>INDEX(Table1_2[dbLoginID],MATCH(Table1[[#This Row],[userSeq]],Table1_2[seq],0))</f>
        <v>choihyeryun@ezchemtech.com</v>
      </c>
      <c r="Q108" s="22">
        <f>INDEX(Table1_1[seq],MATCH(Table1[[#This Row],[dbLoginID'[TB_User']]],Table1_1[email],0))</f>
        <v>57</v>
      </c>
    </row>
    <row r="109" spans="1:17" x14ac:dyDescent="0.3">
      <c r="A109">
        <v>138</v>
      </c>
      <c r="B109">
        <v>2</v>
      </c>
      <c r="C109">
        <v>14</v>
      </c>
      <c r="D109">
        <v>31</v>
      </c>
      <c r="E109">
        <v>31</v>
      </c>
      <c r="F109">
        <v>0</v>
      </c>
      <c r="G109" t="s">
        <v>945</v>
      </c>
      <c r="H109" t="s">
        <v>599</v>
      </c>
      <c r="J109" t="s">
        <v>946</v>
      </c>
      <c r="K109" t="s">
        <v>602</v>
      </c>
      <c r="L109" t="s">
        <v>943</v>
      </c>
      <c r="M109" t="s">
        <v>943</v>
      </c>
      <c r="N109" t="str">
        <f>INDEX(Table1_1[name],MATCH(E109,Table1_1[seq],0))</f>
        <v>최성철</v>
      </c>
      <c r="O109" t="str">
        <f>INDEX(Table1_1[email],MATCH(E109,Table1_1[seq],0))</f>
        <v>scipio@ezchemtech.com</v>
      </c>
      <c r="P109" t="str">
        <f>INDEX(Table1_2[dbLoginID],MATCH(Table1[[#This Row],[userSeq]],Table1_2[seq],0))</f>
        <v>choihyeryun@ezchemtech.com</v>
      </c>
      <c r="Q109" s="22">
        <f>INDEX(Table1_1[seq],MATCH(Table1[[#This Row],[dbLoginID'[TB_User']]],Table1_1[email],0))</f>
        <v>57</v>
      </c>
    </row>
    <row r="110" spans="1:17" x14ac:dyDescent="0.3">
      <c r="A110">
        <v>137</v>
      </c>
      <c r="B110">
        <v>9</v>
      </c>
      <c r="C110">
        <v>23</v>
      </c>
      <c r="D110">
        <v>37</v>
      </c>
      <c r="E110">
        <v>9</v>
      </c>
      <c r="F110">
        <v>0</v>
      </c>
      <c r="G110" t="s">
        <v>947</v>
      </c>
      <c r="H110" t="s">
        <v>599</v>
      </c>
      <c r="J110" t="s">
        <v>948</v>
      </c>
      <c r="K110" t="s">
        <v>602</v>
      </c>
      <c r="L110" t="s">
        <v>949</v>
      </c>
      <c r="M110" t="s">
        <v>949</v>
      </c>
      <c r="N110" t="str">
        <f>INDEX(Table1_1[name],MATCH(E110,Table1_1[seq],0))</f>
        <v>김연희</v>
      </c>
      <c r="O110" t="str">
        <f>INDEX(Table1_1[email],MATCH(E110,Table1_1[seq],0))</f>
        <v>am@ezchemtech.com</v>
      </c>
      <c r="P110" t="str">
        <f>INDEX(Table1_2[dbLoginID],MATCH(Table1[[#This Row],[userSeq]],Table1_2[seq],0))</f>
        <v>kj.sim@unionlogis.com</v>
      </c>
      <c r="Q110" s="22">
        <f>INDEX(Table1_1[seq],MATCH(Table1[[#This Row],[dbLoginID'[TB_User']]],Table1_1[email],0))</f>
        <v>42</v>
      </c>
    </row>
    <row r="111" spans="1:17" x14ac:dyDescent="0.3">
      <c r="A111">
        <v>136</v>
      </c>
      <c r="B111">
        <v>6</v>
      </c>
      <c r="C111">
        <v>20</v>
      </c>
      <c r="D111">
        <v>34</v>
      </c>
      <c r="E111">
        <v>7</v>
      </c>
      <c r="F111">
        <v>0</v>
      </c>
      <c r="G111" t="s">
        <v>950</v>
      </c>
      <c r="H111" t="s">
        <v>599</v>
      </c>
      <c r="I111" t="s">
        <v>760</v>
      </c>
      <c r="J111" t="s">
        <v>951</v>
      </c>
      <c r="K111" t="s">
        <v>602</v>
      </c>
      <c r="L111" t="s">
        <v>949</v>
      </c>
      <c r="M111" t="s">
        <v>952</v>
      </c>
      <c r="N111" t="str">
        <f>INDEX(Table1_1[name],MATCH(E111,Table1_1[seq],0))</f>
        <v>최종규</v>
      </c>
      <c r="O111" t="str">
        <f>INDEX(Table1_1[email],MATCH(E111,Table1_1[seq],0))</f>
        <v>star_horse@naver.com</v>
      </c>
      <c r="P111" t="str">
        <f>INDEX(Table1_2[dbLoginID],MATCH(Table1[[#This Row],[userSeq]],Table1_2[seq],0))</f>
        <v>kj.sim@orientpi.co.kr</v>
      </c>
      <c r="Q111" s="22">
        <f>INDEX(Table1_1[seq],MATCH(Table1[[#This Row],[dbLoginID'[TB_User']]],Table1_1[email],0))</f>
        <v>35</v>
      </c>
    </row>
    <row r="112" spans="1:17" x14ac:dyDescent="0.3">
      <c r="A112">
        <v>135</v>
      </c>
      <c r="B112">
        <v>9</v>
      </c>
      <c r="C112">
        <v>23</v>
      </c>
      <c r="D112">
        <v>38</v>
      </c>
      <c r="E112">
        <v>8</v>
      </c>
      <c r="F112">
        <v>0</v>
      </c>
      <c r="G112" t="s">
        <v>953</v>
      </c>
      <c r="H112" t="s">
        <v>599</v>
      </c>
      <c r="I112" t="s">
        <v>606</v>
      </c>
      <c r="J112" t="s">
        <v>954</v>
      </c>
      <c r="K112" t="s">
        <v>602</v>
      </c>
      <c r="L112" t="s">
        <v>949</v>
      </c>
      <c r="M112" t="s">
        <v>955</v>
      </c>
      <c r="N112" t="str">
        <f>INDEX(Table1_1[name],MATCH(E112,Table1_1[seq],0))</f>
        <v>최종규</v>
      </c>
      <c r="O112" t="str">
        <f>INDEX(Table1_1[email],MATCH(E112,Table1_1[seq],0))</f>
        <v>star_horse@naver.com</v>
      </c>
      <c r="P112" t="str">
        <f>INDEX(Table1_2[dbLoginID],MATCH(Table1[[#This Row],[userSeq]],Table1_2[seq],0))</f>
        <v>choihyeryun@unionlogis.com</v>
      </c>
      <c r="Q112" s="22">
        <f>INDEX(Table1_1[seq],MATCH(Table1[[#This Row],[dbLoginID'[TB_User']]],Table1_1[email],0))</f>
        <v>39</v>
      </c>
    </row>
    <row r="113" spans="1:17" x14ac:dyDescent="0.3">
      <c r="A113">
        <v>134</v>
      </c>
      <c r="B113">
        <v>6</v>
      </c>
      <c r="C113">
        <v>20</v>
      </c>
      <c r="D113">
        <v>35</v>
      </c>
      <c r="E113">
        <v>6</v>
      </c>
      <c r="F113">
        <v>0</v>
      </c>
      <c r="G113" t="s">
        <v>956</v>
      </c>
      <c r="H113" t="s">
        <v>599</v>
      </c>
      <c r="I113" t="s">
        <v>606</v>
      </c>
      <c r="J113" t="s">
        <v>957</v>
      </c>
      <c r="K113" t="s">
        <v>602</v>
      </c>
      <c r="L113" t="s">
        <v>949</v>
      </c>
      <c r="M113" t="s">
        <v>958</v>
      </c>
      <c r="N113" t="str">
        <f>INDEX(Table1_1[name],MATCH(E113,Table1_1[seq],0))</f>
        <v>김원겸</v>
      </c>
      <c r="O113" t="str">
        <f>INDEX(Table1_1[email],MATCH(E113,Table1_1[seq],0))</f>
        <v>rzfr@naver.com</v>
      </c>
      <c r="P113" t="str">
        <f>INDEX(Table1_2[dbLoginID],MATCH(Table1[[#This Row],[userSeq]],Table1_2[seq],0))</f>
        <v>choihyeryun@orientpi.co.kr</v>
      </c>
      <c r="Q113" s="22">
        <f>INDEX(Table1_1[seq],MATCH(Table1[[#This Row],[dbLoginID'[TB_User']]],Table1_1[email],0))</f>
        <v>29</v>
      </c>
    </row>
    <row r="114" spans="1:17" x14ac:dyDescent="0.3">
      <c r="A114">
        <v>133</v>
      </c>
      <c r="B114">
        <v>6</v>
      </c>
      <c r="C114">
        <v>20</v>
      </c>
      <c r="D114">
        <v>33</v>
      </c>
      <c r="E114">
        <v>5</v>
      </c>
      <c r="F114">
        <v>0</v>
      </c>
      <c r="G114" t="s">
        <v>959</v>
      </c>
      <c r="H114" t="s">
        <v>599</v>
      </c>
      <c r="I114" t="s">
        <v>960</v>
      </c>
      <c r="J114" t="s">
        <v>961</v>
      </c>
      <c r="K114" t="s">
        <v>602</v>
      </c>
      <c r="L114" t="s">
        <v>949</v>
      </c>
      <c r="M114" t="s">
        <v>962</v>
      </c>
      <c r="N114" t="str">
        <f>INDEX(Table1_1[name],MATCH(E114,Table1_1[seq],0))</f>
        <v>최종규</v>
      </c>
      <c r="O114" t="str">
        <f>INDEX(Table1_1[email],MATCH(E114,Table1_1[seq],0))</f>
        <v>star_horse@naver.com</v>
      </c>
      <c r="P114" t="str">
        <f>INDEX(Table1_2[dbLoginID],MATCH(Table1[[#This Row],[userSeq]],Table1_2[seq],0))</f>
        <v>eden.lee@orientpi.co.kr</v>
      </c>
      <c r="Q114" s="22">
        <f>INDEX(Table1_1[seq],MATCH(Table1[[#This Row],[dbLoginID'[TB_User']]],Table1_1[email],0))</f>
        <v>25</v>
      </c>
    </row>
    <row r="115" spans="1:17" x14ac:dyDescent="0.3">
      <c r="A115">
        <v>132</v>
      </c>
      <c r="B115">
        <v>9</v>
      </c>
      <c r="C115">
        <v>23</v>
      </c>
      <c r="D115">
        <v>36</v>
      </c>
      <c r="E115">
        <v>7</v>
      </c>
      <c r="F115">
        <v>0</v>
      </c>
      <c r="G115" t="s">
        <v>963</v>
      </c>
      <c r="H115" t="s">
        <v>599</v>
      </c>
      <c r="J115" t="s">
        <v>964</v>
      </c>
      <c r="K115" t="s">
        <v>602</v>
      </c>
      <c r="L115" t="s">
        <v>965</v>
      </c>
      <c r="M115" t="s">
        <v>965</v>
      </c>
      <c r="N115" t="str">
        <f>INDEX(Table1_1[name],MATCH(E115,Table1_1[seq],0))</f>
        <v>최종규</v>
      </c>
      <c r="O115" t="str">
        <f>INDEX(Table1_1[email],MATCH(E115,Table1_1[seq],0))</f>
        <v>star_horse@naver.com</v>
      </c>
      <c r="P115" t="str">
        <f>INDEX(Table1_2[dbLoginID],MATCH(Table1[[#This Row],[userSeq]],Table1_2[seq],0))</f>
        <v>eden.lee@unionlogis.com</v>
      </c>
      <c r="Q115" s="22">
        <f>INDEX(Table1_1[seq],MATCH(Table1[[#This Row],[dbLoginID'[TB_User']]],Table1_1[email],0))</f>
        <v>36</v>
      </c>
    </row>
    <row r="116" spans="1:17" x14ac:dyDescent="0.3">
      <c r="A116">
        <v>131</v>
      </c>
      <c r="B116">
        <v>2</v>
      </c>
      <c r="C116">
        <v>14</v>
      </c>
      <c r="D116">
        <v>17</v>
      </c>
      <c r="E116">
        <v>12</v>
      </c>
      <c r="F116">
        <v>0</v>
      </c>
      <c r="G116" t="s">
        <v>966</v>
      </c>
      <c r="H116" t="s">
        <v>599</v>
      </c>
      <c r="J116" t="s">
        <v>967</v>
      </c>
      <c r="K116" t="s">
        <v>602</v>
      </c>
      <c r="L116" t="s">
        <v>949</v>
      </c>
      <c r="M116" t="s">
        <v>949</v>
      </c>
      <c r="N116" t="str">
        <f>INDEX(Table1_1[name],MATCH(E116,Table1_1[seq],0))</f>
        <v>심규정</v>
      </c>
      <c r="O116" t="str">
        <f>INDEX(Table1_1[email],MATCH(E116,Table1_1[seq],0))</f>
        <v>info7@ezchemtech.com</v>
      </c>
      <c r="P116" t="str">
        <f>INDEX(Table1_2[dbLoginID],MATCH(Table1[[#This Row],[userSeq]],Table1_2[seq],0))</f>
        <v>ykhwang@ezchemtech.com</v>
      </c>
      <c r="Q116" s="22">
        <f>INDEX(Table1_1[seq],MATCH(Table1[[#This Row],[dbLoginID'[TB_User']]],Table1_1[email],0))</f>
        <v>46</v>
      </c>
    </row>
    <row r="117" spans="1:17" x14ac:dyDescent="0.3">
      <c r="A117">
        <v>130</v>
      </c>
      <c r="B117">
        <v>2</v>
      </c>
      <c r="C117">
        <v>14</v>
      </c>
      <c r="D117">
        <v>17</v>
      </c>
      <c r="E117">
        <v>12</v>
      </c>
      <c r="F117">
        <v>0</v>
      </c>
      <c r="G117" t="s">
        <v>968</v>
      </c>
      <c r="H117" t="s">
        <v>599</v>
      </c>
      <c r="I117" t="s">
        <v>969</v>
      </c>
      <c r="J117" t="s">
        <v>970</v>
      </c>
      <c r="K117" t="s">
        <v>602</v>
      </c>
      <c r="L117" t="s">
        <v>949</v>
      </c>
      <c r="M117" t="s">
        <v>971</v>
      </c>
      <c r="N117" t="str">
        <f>INDEX(Table1_1[name],MATCH(E117,Table1_1[seq],0))</f>
        <v>심규정</v>
      </c>
      <c r="O117" t="str">
        <f>INDEX(Table1_1[email],MATCH(E117,Table1_1[seq],0))</f>
        <v>info7@ezchemtech.com</v>
      </c>
      <c r="P117" t="str">
        <f>INDEX(Table1_2[dbLoginID],MATCH(Table1[[#This Row],[userSeq]],Table1_2[seq],0))</f>
        <v>ykhwang@ezchemtech.com</v>
      </c>
      <c r="Q117" s="22">
        <f>INDEX(Table1_1[seq],MATCH(Table1[[#This Row],[dbLoginID'[TB_User']]],Table1_1[email],0))</f>
        <v>46</v>
      </c>
    </row>
    <row r="118" spans="1:17" x14ac:dyDescent="0.3">
      <c r="A118">
        <v>129</v>
      </c>
      <c r="B118">
        <v>2</v>
      </c>
      <c r="C118">
        <v>14</v>
      </c>
      <c r="D118">
        <v>17</v>
      </c>
      <c r="E118">
        <v>12</v>
      </c>
      <c r="F118">
        <v>0</v>
      </c>
      <c r="G118" t="s">
        <v>972</v>
      </c>
      <c r="H118" t="s">
        <v>599</v>
      </c>
      <c r="I118" t="s">
        <v>973</v>
      </c>
      <c r="J118" t="s">
        <v>974</v>
      </c>
      <c r="K118" t="s">
        <v>602</v>
      </c>
      <c r="L118" t="s">
        <v>949</v>
      </c>
      <c r="M118" t="s">
        <v>975</v>
      </c>
      <c r="N118" t="str">
        <f>INDEX(Table1_1[name],MATCH(E118,Table1_1[seq],0))</f>
        <v>심규정</v>
      </c>
      <c r="O118" t="str">
        <f>INDEX(Table1_1[email],MATCH(E118,Table1_1[seq],0))</f>
        <v>info7@ezchemtech.com</v>
      </c>
      <c r="P118" t="str">
        <f>INDEX(Table1_2[dbLoginID],MATCH(Table1[[#This Row],[userSeq]],Table1_2[seq],0))</f>
        <v>ykhwang@ezchemtech.com</v>
      </c>
      <c r="Q118" s="22">
        <f>INDEX(Table1_1[seq],MATCH(Table1[[#This Row],[dbLoginID'[TB_User']]],Table1_1[email],0))</f>
        <v>46</v>
      </c>
    </row>
    <row r="119" spans="1:17" x14ac:dyDescent="0.3">
      <c r="A119">
        <v>128</v>
      </c>
      <c r="B119">
        <v>2</v>
      </c>
      <c r="C119">
        <v>14</v>
      </c>
      <c r="D119">
        <v>18</v>
      </c>
      <c r="E119">
        <v>21</v>
      </c>
      <c r="F119">
        <v>0</v>
      </c>
      <c r="G119" t="s">
        <v>976</v>
      </c>
      <c r="H119" t="s">
        <v>599</v>
      </c>
      <c r="I119" t="s">
        <v>977</v>
      </c>
      <c r="J119" t="s">
        <v>978</v>
      </c>
      <c r="K119" t="s">
        <v>602</v>
      </c>
      <c r="L119" t="s">
        <v>949</v>
      </c>
      <c r="M119" t="s">
        <v>979</v>
      </c>
      <c r="N119" t="str">
        <f>INDEX(Table1_1[name],MATCH(E119,Table1_1[seq],0))</f>
        <v>이현아</v>
      </c>
      <c r="O119" t="str">
        <f>INDEX(Table1_1[email],MATCH(E119,Table1_1[seq],0))</f>
        <v>shmlucy07@gmail.com</v>
      </c>
      <c r="P119" t="str">
        <f>INDEX(Table1_2[dbLoginID],MATCH(Table1[[#This Row],[userSeq]],Table1_2[seq],0))</f>
        <v>am@ezchemtech.com</v>
      </c>
      <c r="Q119" s="22">
        <f>INDEX(Table1_1[seq],MATCH(Table1[[#This Row],[dbLoginID'[TB_User']]],Table1_1[email],0))</f>
        <v>63</v>
      </c>
    </row>
    <row r="120" spans="1:17" x14ac:dyDescent="0.3">
      <c r="A120">
        <v>127</v>
      </c>
      <c r="B120">
        <v>2</v>
      </c>
      <c r="C120">
        <v>14</v>
      </c>
      <c r="D120">
        <v>24</v>
      </c>
      <c r="E120">
        <v>9</v>
      </c>
      <c r="F120">
        <v>0</v>
      </c>
      <c r="G120" t="s">
        <v>980</v>
      </c>
      <c r="H120" t="s">
        <v>599</v>
      </c>
      <c r="I120" t="s">
        <v>981</v>
      </c>
      <c r="J120" t="s">
        <v>982</v>
      </c>
      <c r="K120" t="s">
        <v>602</v>
      </c>
      <c r="L120" t="s">
        <v>949</v>
      </c>
      <c r="M120" t="s">
        <v>983</v>
      </c>
      <c r="N120" t="str">
        <f>INDEX(Table1_1[name],MATCH(E120,Table1_1[seq],0))</f>
        <v>김연희</v>
      </c>
      <c r="O120" t="str">
        <f>INDEX(Table1_1[email],MATCH(E120,Table1_1[seq],0))</f>
        <v>am@ezchemtech.com</v>
      </c>
      <c r="P120" t="str">
        <f>INDEX(Table1_2[dbLoginID],MATCH(Table1[[#This Row],[userSeq]],Table1_2[seq],0))</f>
        <v>account@ezchemtech.com</v>
      </c>
      <c r="Q120" s="22">
        <f>INDEX(Table1_1[seq],MATCH(Table1[[#This Row],[dbLoginID'[TB_User']]],Table1_1[email],0))</f>
        <v>41</v>
      </c>
    </row>
    <row r="121" spans="1:17" x14ac:dyDescent="0.3">
      <c r="A121">
        <v>126</v>
      </c>
      <c r="B121">
        <v>2</v>
      </c>
      <c r="C121">
        <v>14</v>
      </c>
      <c r="D121">
        <v>22</v>
      </c>
      <c r="E121">
        <v>1</v>
      </c>
      <c r="F121">
        <v>0</v>
      </c>
      <c r="G121" t="s">
        <v>984</v>
      </c>
      <c r="H121" t="s">
        <v>599</v>
      </c>
      <c r="I121" t="s">
        <v>985</v>
      </c>
      <c r="J121" t="s">
        <v>986</v>
      </c>
      <c r="K121" t="s">
        <v>602</v>
      </c>
      <c r="L121" t="s">
        <v>987</v>
      </c>
      <c r="M121" t="s">
        <v>988</v>
      </c>
      <c r="N121" t="str">
        <f>INDEX(Table1_1[name],MATCH(E121,Table1_1[seq],0))</f>
        <v>customer_01</v>
      </c>
      <c r="O121" t="str">
        <f>INDEX(Table1_1[email],MATCH(E121,Table1_1[seq],0))</f>
        <v>customer_01@demo.co.kr</v>
      </c>
      <c r="P121" t="str">
        <f>INDEX(Table1_2[dbLoginID],MATCH(Table1[[#This Row],[userSeq]],Table1_2[seq],0))</f>
        <v>service2@ezchemtech.com</v>
      </c>
      <c r="Q121" s="22">
        <f>INDEX(Table1_1[seq],MATCH(Table1[[#This Row],[dbLoginID'[TB_User']]],Table1_1[email],0))</f>
        <v>3</v>
      </c>
    </row>
    <row r="122" spans="1:17" x14ac:dyDescent="0.3">
      <c r="A122">
        <v>125</v>
      </c>
      <c r="B122">
        <v>2</v>
      </c>
      <c r="C122">
        <v>14</v>
      </c>
      <c r="D122">
        <v>26</v>
      </c>
      <c r="E122">
        <v>26</v>
      </c>
      <c r="F122">
        <v>0</v>
      </c>
      <c r="G122" t="s">
        <v>989</v>
      </c>
      <c r="H122" t="s">
        <v>599</v>
      </c>
      <c r="I122" t="s">
        <v>990</v>
      </c>
      <c r="J122" t="s">
        <v>991</v>
      </c>
      <c r="K122" t="s">
        <v>602</v>
      </c>
      <c r="L122" t="s">
        <v>987</v>
      </c>
      <c r="M122" t="s">
        <v>992</v>
      </c>
      <c r="N122" t="str">
        <f>INDEX(Table1_1[name],MATCH(E122,Table1_1[seq],0))</f>
        <v>김현선</v>
      </c>
      <c r="O122" t="str">
        <f>INDEX(Table1_1[email],MATCH(E122,Table1_1[seq],0))</f>
        <v>dev@ezchemtech.com</v>
      </c>
      <c r="P122" t="str">
        <f>INDEX(Table1_2[dbLoginID],MATCH(Table1[[#This Row],[userSeq]],Table1_2[seq],0))</f>
        <v>info9@ezchemtech.com</v>
      </c>
      <c r="Q122" s="22">
        <f>INDEX(Table1_1[seq],MATCH(Table1[[#This Row],[dbLoginID'[TB_User']]],Table1_1[email],0))</f>
        <v>55</v>
      </c>
    </row>
    <row r="123" spans="1:17" x14ac:dyDescent="0.3">
      <c r="A123">
        <v>124</v>
      </c>
      <c r="B123">
        <v>9</v>
      </c>
      <c r="C123">
        <v>23</v>
      </c>
      <c r="D123">
        <v>32</v>
      </c>
      <c r="E123">
        <v>6</v>
      </c>
      <c r="F123">
        <v>0</v>
      </c>
      <c r="G123" t="s">
        <v>993</v>
      </c>
      <c r="H123" t="s">
        <v>599</v>
      </c>
      <c r="I123" t="s">
        <v>625</v>
      </c>
      <c r="J123" t="s">
        <v>994</v>
      </c>
      <c r="K123" t="s">
        <v>602</v>
      </c>
      <c r="L123" t="s">
        <v>987</v>
      </c>
      <c r="M123" t="s">
        <v>995</v>
      </c>
      <c r="N123" t="str">
        <f>INDEX(Table1_1[name],MATCH(E123,Table1_1[seq],0))</f>
        <v>김원겸</v>
      </c>
      <c r="O123" t="str">
        <f>INDEX(Table1_1[email],MATCH(E123,Table1_1[seq],0))</f>
        <v>rzfr@naver.com</v>
      </c>
      <c r="P123" t="str">
        <f>INDEX(Table1_2[dbLoginID],MATCH(Table1[[#This Row],[userSeq]],Table1_2[seq],0))</f>
        <v>scipio@unionlogis.com</v>
      </c>
      <c r="Q123" s="22" t="e">
        <f>INDEX(Table1_1[seq],MATCH(Table1[[#This Row],[dbLoginID'[TB_User']]],Table1_1[email],0))</f>
        <v>#N/A</v>
      </c>
    </row>
    <row r="124" spans="1:17" x14ac:dyDescent="0.3">
      <c r="A124">
        <v>123</v>
      </c>
      <c r="B124">
        <v>9</v>
      </c>
      <c r="C124">
        <v>23</v>
      </c>
      <c r="D124">
        <v>32</v>
      </c>
      <c r="E124">
        <v>6</v>
      </c>
      <c r="F124">
        <v>0</v>
      </c>
      <c r="G124" t="s">
        <v>996</v>
      </c>
      <c r="H124" t="s">
        <v>599</v>
      </c>
      <c r="I124" t="s">
        <v>746</v>
      </c>
      <c r="J124" t="s">
        <v>997</v>
      </c>
      <c r="K124" t="s">
        <v>602</v>
      </c>
      <c r="L124" t="s">
        <v>987</v>
      </c>
      <c r="M124" t="s">
        <v>998</v>
      </c>
      <c r="N124" t="str">
        <f>INDEX(Table1_1[name],MATCH(E124,Table1_1[seq],0))</f>
        <v>김원겸</v>
      </c>
      <c r="O124" t="str">
        <f>INDEX(Table1_1[email],MATCH(E124,Table1_1[seq],0))</f>
        <v>rzfr@naver.com</v>
      </c>
      <c r="P124" t="str">
        <f>INDEX(Table1_2[dbLoginID],MATCH(Table1[[#This Row],[userSeq]],Table1_2[seq],0))</f>
        <v>scipio@unionlogis.com</v>
      </c>
      <c r="Q124" s="22" t="e">
        <f>INDEX(Table1_1[seq],MATCH(Table1[[#This Row],[dbLoginID'[TB_User']]],Table1_1[email],0))</f>
        <v>#N/A</v>
      </c>
    </row>
    <row r="125" spans="1:17" x14ac:dyDescent="0.3">
      <c r="A125">
        <v>122</v>
      </c>
      <c r="B125">
        <v>9</v>
      </c>
      <c r="C125">
        <v>23</v>
      </c>
      <c r="D125">
        <v>32</v>
      </c>
      <c r="E125">
        <v>6</v>
      </c>
      <c r="F125">
        <v>0</v>
      </c>
      <c r="G125" t="s">
        <v>999</v>
      </c>
      <c r="H125" t="s">
        <v>599</v>
      </c>
      <c r="I125" t="s">
        <v>617</v>
      </c>
      <c r="J125" t="s">
        <v>1000</v>
      </c>
      <c r="K125" t="s">
        <v>602</v>
      </c>
      <c r="L125" t="s">
        <v>987</v>
      </c>
      <c r="M125" t="s">
        <v>1001</v>
      </c>
      <c r="N125" t="str">
        <f>INDEX(Table1_1[name],MATCH(E125,Table1_1[seq],0))</f>
        <v>김원겸</v>
      </c>
      <c r="O125" t="str">
        <f>INDEX(Table1_1[email],MATCH(E125,Table1_1[seq],0))</f>
        <v>rzfr@naver.com</v>
      </c>
      <c r="P125" t="str">
        <f>INDEX(Table1_2[dbLoginID],MATCH(Table1[[#This Row],[userSeq]],Table1_2[seq],0))</f>
        <v>scipio@unionlogis.com</v>
      </c>
      <c r="Q125" s="22" t="e">
        <f>INDEX(Table1_1[seq],MATCH(Table1[[#This Row],[dbLoginID'[TB_User']]],Table1_1[email],0))</f>
        <v>#N/A</v>
      </c>
    </row>
    <row r="126" spans="1:17" x14ac:dyDescent="0.3">
      <c r="A126">
        <v>121</v>
      </c>
      <c r="B126">
        <v>2</v>
      </c>
      <c r="C126">
        <v>14</v>
      </c>
      <c r="D126">
        <v>6</v>
      </c>
      <c r="E126">
        <v>27</v>
      </c>
      <c r="F126">
        <v>0</v>
      </c>
      <c r="G126" t="s">
        <v>1002</v>
      </c>
      <c r="H126" t="s">
        <v>599</v>
      </c>
      <c r="I126" t="s">
        <v>617</v>
      </c>
      <c r="J126" t="s">
        <v>1003</v>
      </c>
      <c r="K126" t="s">
        <v>602</v>
      </c>
      <c r="L126" t="s">
        <v>1004</v>
      </c>
      <c r="M126" t="s">
        <v>1005</v>
      </c>
      <c r="N126" t="str">
        <f>INDEX(Table1_1[name],MATCH(E126,Table1_1[seq],0))</f>
        <v>윤현경</v>
      </c>
      <c r="O126" t="str">
        <f>INDEX(Table1_1[email],MATCH(E126,Table1_1[seq],0))</f>
        <v>service@ezchemtech.com</v>
      </c>
      <c r="P126" t="str">
        <f>INDEX(Table1_2[dbLoginID],MATCH(Table1[[#This Row],[userSeq]],Table1_2[seq],0))</f>
        <v>scipio@ezchemtech.com</v>
      </c>
      <c r="Q126" s="22">
        <f>INDEX(Table1_1[seq],MATCH(Table1[[#This Row],[dbLoginID'[TB_User']]],Table1_1[email],0))</f>
        <v>72</v>
      </c>
    </row>
    <row r="127" spans="1:17" x14ac:dyDescent="0.3">
      <c r="A127">
        <v>120</v>
      </c>
      <c r="B127">
        <v>2</v>
      </c>
      <c r="C127">
        <v>14</v>
      </c>
      <c r="D127">
        <v>6</v>
      </c>
      <c r="E127">
        <v>27</v>
      </c>
      <c r="F127">
        <v>0</v>
      </c>
      <c r="G127" t="s">
        <v>1006</v>
      </c>
      <c r="H127" t="s">
        <v>599</v>
      </c>
      <c r="I127" t="s">
        <v>746</v>
      </c>
      <c r="J127" t="s">
        <v>1007</v>
      </c>
      <c r="K127" t="s">
        <v>602</v>
      </c>
      <c r="L127" t="s">
        <v>1004</v>
      </c>
      <c r="M127" t="s">
        <v>1008</v>
      </c>
      <c r="N127" t="str">
        <f>INDEX(Table1_1[name],MATCH(E127,Table1_1[seq],0))</f>
        <v>윤현경</v>
      </c>
      <c r="O127" t="str">
        <f>INDEX(Table1_1[email],MATCH(E127,Table1_1[seq],0))</f>
        <v>service@ezchemtech.com</v>
      </c>
      <c r="P127" t="str">
        <f>INDEX(Table1_2[dbLoginID],MATCH(Table1[[#This Row],[userSeq]],Table1_2[seq],0))</f>
        <v>scipio@ezchemtech.com</v>
      </c>
      <c r="Q127" s="22">
        <f>INDEX(Table1_1[seq],MATCH(Table1[[#This Row],[dbLoginID'[TB_User']]],Table1_1[email],0))</f>
        <v>72</v>
      </c>
    </row>
    <row r="128" spans="1:17" x14ac:dyDescent="0.3">
      <c r="A128">
        <v>119</v>
      </c>
      <c r="B128">
        <v>2</v>
      </c>
      <c r="C128">
        <v>14</v>
      </c>
      <c r="D128">
        <v>6</v>
      </c>
      <c r="E128">
        <v>27</v>
      </c>
      <c r="F128">
        <v>0</v>
      </c>
      <c r="G128" t="s">
        <v>1009</v>
      </c>
      <c r="H128" t="s">
        <v>599</v>
      </c>
      <c r="I128" t="s">
        <v>625</v>
      </c>
      <c r="J128" t="s">
        <v>1010</v>
      </c>
      <c r="K128" t="s">
        <v>602</v>
      </c>
      <c r="L128" t="s">
        <v>1004</v>
      </c>
      <c r="M128" t="s">
        <v>1011</v>
      </c>
      <c r="N128" t="str">
        <f>INDEX(Table1_1[name],MATCH(E128,Table1_1[seq],0))</f>
        <v>윤현경</v>
      </c>
      <c r="O128" t="str">
        <f>INDEX(Table1_1[email],MATCH(E128,Table1_1[seq],0))</f>
        <v>service@ezchemtech.com</v>
      </c>
      <c r="P128" t="str">
        <f>INDEX(Table1_2[dbLoginID],MATCH(Table1[[#This Row],[userSeq]],Table1_2[seq],0))</f>
        <v>scipio@ezchemtech.com</v>
      </c>
      <c r="Q128" s="22">
        <f>INDEX(Table1_1[seq],MATCH(Table1[[#This Row],[dbLoginID'[TB_User']]],Table1_1[email],0))</f>
        <v>72</v>
      </c>
    </row>
    <row r="129" spans="1:17" x14ac:dyDescent="0.3">
      <c r="A129">
        <v>118</v>
      </c>
      <c r="B129">
        <v>2</v>
      </c>
      <c r="C129">
        <v>14</v>
      </c>
      <c r="D129">
        <v>30</v>
      </c>
      <c r="E129">
        <v>32</v>
      </c>
      <c r="F129">
        <v>0</v>
      </c>
      <c r="G129" t="s">
        <v>1012</v>
      </c>
      <c r="H129" t="s">
        <v>599</v>
      </c>
      <c r="J129" t="s">
        <v>1013</v>
      </c>
      <c r="K129" t="s">
        <v>602</v>
      </c>
      <c r="L129" t="s">
        <v>1004</v>
      </c>
      <c r="M129" t="s">
        <v>1004</v>
      </c>
      <c r="N129" t="str">
        <f>INDEX(Table1_1[name],MATCH(E129,Table1_1[seq],0))</f>
        <v>이상현</v>
      </c>
      <c r="O129" t="str">
        <f>INDEX(Table1_1[email],MATCH(E129,Table1_1[seq],0))</f>
        <v>eden.lee@ez-office.co.kr</v>
      </c>
      <c r="P129" t="str">
        <f>INDEX(Table1_2[dbLoginID],MATCH(Table1[[#This Row],[userSeq]],Table1_2[seq],0))</f>
        <v>info6@ezchemtech.com</v>
      </c>
      <c r="Q129" s="22">
        <f>INDEX(Table1_1[seq],MATCH(Table1[[#This Row],[dbLoginID'[TB_User']]],Table1_1[email],0))</f>
        <v>58</v>
      </c>
    </row>
    <row r="130" spans="1:17" x14ac:dyDescent="0.3">
      <c r="A130">
        <v>117</v>
      </c>
      <c r="B130">
        <v>2</v>
      </c>
      <c r="C130">
        <v>14</v>
      </c>
      <c r="D130">
        <v>31</v>
      </c>
      <c r="E130">
        <v>31</v>
      </c>
      <c r="F130">
        <v>0</v>
      </c>
      <c r="G130" t="s">
        <v>1014</v>
      </c>
      <c r="H130" t="s">
        <v>599</v>
      </c>
      <c r="I130" t="s">
        <v>1015</v>
      </c>
      <c r="J130" t="s">
        <v>1016</v>
      </c>
      <c r="K130" t="s">
        <v>602</v>
      </c>
      <c r="L130" t="s">
        <v>1004</v>
      </c>
      <c r="M130" t="s">
        <v>1017</v>
      </c>
      <c r="N130" t="str">
        <f>INDEX(Table1_1[name],MATCH(E130,Table1_1[seq],0))</f>
        <v>최성철</v>
      </c>
      <c r="O130" t="str">
        <f>INDEX(Table1_1[email],MATCH(E130,Table1_1[seq],0))</f>
        <v>scipio@ezchemtech.com</v>
      </c>
      <c r="P130" t="str">
        <f>INDEX(Table1_2[dbLoginID],MATCH(Table1[[#This Row],[userSeq]],Table1_2[seq],0))</f>
        <v>choihyeryun@ezchemtech.com</v>
      </c>
      <c r="Q130" s="22">
        <f>INDEX(Table1_1[seq],MATCH(Table1[[#This Row],[dbLoginID'[TB_User']]],Table1_1[email],0))</f>
        <v>57</v>
      </c>
    </row>
    <row r="131" spans="1:17" x14ac:dyDescent="0.3">
      <c r="A131">
        <v>115</v>
      </c>
      <c r="B131">
        <v>9</v>
      </c>
      <c r="C131">
        <v>23</v>
      </c>
      <c r="D131">
        <v>16</v>
      </c>
      <c r="E131">
        <v>1</v>
      </c>
      <c r="F131">
        <v>0</v>
      </c>
      <c r="G131" t="s">
        <v>1018</v>
      </c>
      <c r="H131" t="s">
        <v>599</v>
      </c>
      <c r="I131" t="s">
        <v>1019</v>
      </c>
      <c r="J131" t="s">
        <v>1020</v>
      </c>
      <c r="K131" t="s">
        <v>602</v>
      </c>
      <c r="L131" t="s">
        <v>1021</v>
      </c>
      <c r="M131" t="s">
        <v>1022</v>
      </c>
      <c r="N131" t="str">
        <f>INDEX(Table1_1[name],MATCH(E131,Table1_1[seq],0))</f>
        <v>customer_01</v>
      </c>
      <c r="O131" t="str">
        <f>INDEX(Table1_1[email],MATCH(E131,Table1_1[seq],0))</f>
        <v>customer_01@demo.co.kr</v>
      </c>
      <c r="P131" t="str">
        <f>INDEX(Table1_2[dbLoginID],MATCH(Table1[[#This Row],[userSeq]],Table1_2[seq],0))</f>
        <v>rzfr@naver.com</v>
      </c>
      <c r="Q131" s="22">
        <f>INDEX(Table1_1[seq],MATCH(Table1[[#This Row],[dbLoginID'[TB_User']]],Table1_1[email],0))</f>
        <v>6</v>
      </c>
    </row>
    <row r="132" spans="1:17" x14ac:dyDescent="0.3">
      <c r="A132">
        <v>114</v>
      </c>
      <c r="B132">
        <v>9</v>
      </c>
      <c r="C132">
        <v>23</v>
      </c>
      <c r="D132">
        <v>16</v>
      </c>
      <c r="E132">
        <v>1</v>
      </c>
      <c r="F132">
        <v>0</v>
      </c>
      <c r="G132" t="s">
        <v>1023</v>
      </c>
      <c r="H132" t="s">
        <v>599</v>
      </c>
      <c r="I132" t="s">
        <v>1019</v>
      </c>
      <c r="J132" t="s">
        <v>1024</v>
      </c>
      <c r="K132" t="s">
        <v>602</v>
      </c>
      <c r="L132" t="s">
        <v>1025</v>
      </c>
      <c r="M132" t="s">
        <v>1026</v>
      </c>
      <c r="N132" t="str">
        <f>INDEX(Table1_1[name],MATCH(E132,Table1_1[seq],0))</f>
        <v>customer_01</v>
      </c>
      <c r="O132" t="str">
        <f>INDEX(Table1_1[email],MATCH(E132,Table1_1[seq],0))</f>
        <v>customer_01@demo.co.kr</v>
      </c>
      <c r="P132" t="str">
        <f>INDEX(Table1_2[dbLoginID],MATCH(Table1[[#This Row],[userSeq]],Table1_2[seq],0))</f>
        <v>rzfr@naver.com</v>
      </c>
      <c r="Q132" s="22">
        <f>INDEX(Table1_1[seq],MATCH(Table1[[#This Row],[dbLoginID'[TB_User']]],Table1_1[email],0))</f>
        <v>6</v>
      </c>
    </row>
    <row r="133" spans="1:17" x14ac:dyDescent="0.3">
      <c r="A133">
        <v>113</v>
      </c>
      <c r="B133">
        <v>9</v>
      </c>
      <c r="C133">
        <v>23</v>
      </c>
      <c r="D133">
        <v>16</v>
      </c>
      <c r="E133">
        <v>1</v>
      </c>
      <c r="F133">
        <v>0</v>
      </c>
      <c r="G133" t="s">
        <v>1027</v>
      </c>
      <c r="H133" t="s">
        <v>599</v>
      </c>
      <c r="I133" t="s">
        <v>1028</v>
      </c>
      <c r="J133" t="s">
        <v>1029</v>
      </c>
      <c r="K133" t="s">
        <v>602</v>
      </c>
      <c r="L133" t="s">
        <v>1030</v>
      </c>
      <c r="M133" t="s">
        <v>1031</v>
      </c>
      <c r="N133" t="str">
        <f>INDEX(Table1_1[name],MATCH(E133,Table1_1[seq],0))</f>
        <v>customer_01</v>
      </c>
      <c r="O133" t="str">
        <f>INDEX(Table1_1[email],MATCH(E133,Table1_1[seq],0))</f>
        <v>customer_01@demo.co.kr</v>
      </c>
      <c r="P133" t="str">
        <f>INDEX(Table1_2[dbLoginID],MATCH(Table1[[#This Row],[userSeq]],Table1_2[seq],0))</f>
        <v>rzfr@naver.com</v>
      </c>
      <c r="Q133" s="22">
        <f>INDEX(Table1_1[seq],MATCH(Table1[[#This Row],[dbLoginID'[TB_User']]],Table1_1[email],0))</f>
        <v>6</v>
      </c>
    </row>
    <row r="134" spans="1:17" x14ac:dyDescent="0.3">
      <c r="A134">
        <v>112</v>
      </c>
      <c r="B134">
        <v>1</v>
      </c>
      <c r="C134">
        <v>13</v>
      </c>
      <c r="D134">
        <v>15</v>
      </c>
      <c r="E134">
        <v>13</v>
      </c>
      <c r="F134">
        <v>0</v>
      </c>
      <c r="G134" t="s">
        <v>1032</v>
      </c>
      <c r="H134" t="s">
        <v>599</v>
      </c>
      <c r="J134" t="s">
        <v>1033</v>
      </c>
      <c r="K134" t="s">
        <v>602</v>
      </c>
      <c r="L134" t="s">
        <v>1034</v>
      </c>
      <c r="M134" t="s">
        <v>1034</v>
      </c>
      <c r="N134" t="str">
        <f>INDEX(Table1_1[name],MATCH(E134,Table1_1[seq],0))</f>
        <v>최성철</v>
      </c>
      <c r="O134" t="str">
        <f>INDEX(Table1_1[email],MATCH(E134,Table1_1[seq],0))</f>
        <v>scipio@ezchemtech.com</v>
      </c>
      <c r="P134" t="str">
        <f>INDEX(Table1_2[dbLoginID],MATCH(Table1[[#This Row],[userSeq]],Table1_2[seq],0))</f>
        <v>choihyeryun@ez-office.co.kr</v>
      </c>
      <c r="Q134" s="22">
        <f>INDEX(Table1_1[seq],MATCH(Table1[[#This Row],[dbLoginID'[TB_User']]],Table1_1[email],0))</f>
        <v>47</v>
      </c>
    </row>
    <row r="135" spans="1:17" x14ac:dyDescent="0.3">
      <c r="A135">
        <v>111</v>
      </c>
      <c r="B135">
        <v>1</v>
      </c>
      <c r="C135">
        <v>13</v>
      </c>
      <c r="D135">
        <v>15</v>
      </c>
      <c r="E135">
        <v>13</v>
      </c>
      <c r="F135">
        <v>0</v>
      </c>
      <c r="G135" t="s">
        <v>1035</v>
      </c>
      <c r="H135" t="s">
        <v>599</v>
      </c>
      <c r="I135" t="s">
        <v>1015</v>
      </c>
      <c r="J135" t="s">
        <v>1036</v>
      </c>
      <c r="K135" t="s">
        <v>602</v>
      </c>
      <c r="L135" t="s">
        <v>1037</v>
      </c>
      <c r="M135" t="s">
        <v>1038</v>
      </c>
      <c r="N135" t="str">
        <f>INDEX(Table1_1[name],MATCH(E135,Table1_1[seq],0))</f>
        <v>최성철</v>
      </c>
      <c r="O135" t="str">
        <f>INDEX(Table1_1[email],MATCH(E135,Table1_1[seq],0))</f>
        <v>scipio@ezchemtech.com</v>
      </c>
      <c r="P135" t="str">
        <f>INDEX(Table1_2[dbLoginID],MATCH(Table1[[#This Row],[userSeq]],Table1_2[seq],0))</f>
        <v>choihyeryun@ez-office.co.kr</v>
      </c>
      <c r="Q135" s="22">
        <f>INDEX(Table1_1[seq],MATCH(Table1[[#This Row],[dbLoginID'[TB_User']]],Table1_1[email],0))</f>
        <v>47</v>
      </c>
    </row>
    <row r="136" spans="1:17" x14ac:dyDescent="0.3">
      <c r="A136">
        <v>110</v>
      </c>
      <c r="B136">
        <v>1</v>
      </c>
      <c r="C136">
        <v>13</v>
      </c>
      <c r="D136">
        <v>15</v>
      </c>
      <c r="E136">
        <v>13</v>
      </c>
      <c r="F136">
        <v>0</v>
      </c>
      <c r="G136" t="s">
        <v>1039</v>
      </c>
      <c r="H136" t="s">
        <v>599</v>
      </c>
      <c r="I136" t="s">
        <v>606</v>
      </c>
      <c r="J136" t="s">
        <v>1040</v>
      </c>
      <c r="K136" t="s">
        <v>602</v>
      </c>
      <c r="L136" t="s">
        <v>1041</v>
      </c>
      <c r="M136" t="s">
        <v>1042</v>
      </c>
      <c r="N136" t="str">
        <f>INDEX(Table1_1[name],MATCH(E136,Table1_1[seq],0))</f>
        <v>최성철</v>
      </c>
      <c r="O136" t="str">
        <f>INDEX(Table1_1[email],MATCH(E136,Table1_1[seq],0))</f>
        <v>scipio@ezchemtech.com</v>
      </c>
      <c r="P136" t="str">
        <f>INDEX(Table1_2[dbLoginID],MATCH(Table1[[#This Row],[userSeq]],Table1_2[seq],0))</f>
        <v>choihyeryun@ez-office.co.kr</v>
      </c>
      <c r="Q136" s="22">
        <f>INDEX(Table1_1[seq],MATCH(Table1[[#This Row],[dbLoginID'[TB_User']]],Table1_1[email],0))</f>
        <v>47</v>
      </c>
    </row>
    <row r="137" spans="1:17" x14ac:dyDescent="0.3">
      <c r="A137">
        <v>109</v>
      </c>
      <c r="B137">
        <v>1</v>
      </c>
      <c r="C137">
        <v>13</v>
      </c>
      <c r="D137">
        <v>14</v>
      </c>
      <c r="E137">
        <v>11</v>
      </c>
      <c r="F137">
        <v>0</v>
      </c>
      <c r="G137" t="s">
        <v>1043</v>
      </c>
      <c r="H137" t="s">
        <v>599</v>
      </c>
      <c r="I137" t="s">
        <v>863</v>
      </c>
      <c r="J137" t="s">
        <v>1044</v>
      </c>
      <c r="K137" t="s">
        <v>602</v>
      </c>
      <c r="L137" t="s">
        <v>1045</v>
      </c>
      <c r="M137" t="s">
        <v>1046</v>
      </c>
      <c r="N137" t="str">
        <f>INDEX(Table1_1[name],MATCH(E137,Table1_1[seq],0))</f>
        <v>최종규</v>
      </c>
      <c r="O137" t="str">
        <f>INDEX(Table1_1[email],MATCH(E137,Table1_1[seq],0))</f>
        <v>star_horse@naver.com</v>
      </c>
      <c r="P137" t="str">
        <f>INDEX(Table1_2[dbLoginID],MATCH(Table1[[#This Row],[userSeq]],Table1_2[seq],0))</f>
        <v>kj.sim@ez-office.co.kr</v>
      </c>
      <c r="Q137" s="22">
        <f>INDEX(Table1_1[seq],MATCH(Table1[[#This Row],[dbLoginID'[TB_User']]],Table1_1[email],0))</f>
        <v>45</v>
      </c>
    </row>
    <row r="138" spans="1:17" x14ac:dyDescent="0.3">
      <c r="A138">
        <v>108</v>
      </c>
      <c r="B138">
        <v>1</v>
      </c>
      <c r="C138">
        <v>13</v>
      </c>
      <c r="D138">
        <v>14</v>
      </c>
      <c r="E138">
        <v>11</v>
      </c>
      <c r="F138">
        <v>0</v>
      </c>
      <c r="G138" t="s">
        <v>1047</v>
      </c>
      <c r="H138" t="s">
        <v>599</v>
      </c>
      <c r="I138" t="s">
        <v>882</v>
      </c>
      <c r="J138" t="s">
        <v>1048</v>
      </c>
      <c r="K138" t="s">
        <v>602</v>
      </c>
      <c r="L138" t="s">
        <v>1049</v>
      </c>
      <c r="M138" t="s">
        <v>1050</v>
      </c>
      <c r="N138" t="str">
        <f>INDEX(Table1_1[name],MATCH(E138,Table1_1[seq],0))</f>
        <v>최종규</v>
      </c>
      <c r="O138" t="str">
        <f>INDEX(Table1_1[email],MATCH(E138,Table1_1[seq],0))</f>
        <v>star_horse@naver.com</v>
      </c>
      <c r="P138" t="str">
        <f>INDEX(Table1_2[dbLoginID],MATCH(Table1[[#This Row],[userSeq]],Table1_2[seq],0))</f>
        <v>kj.sim@ez-office.co.kr</v>
      </c>
      <c r="Q138" s="22">
        <f>INDEX(Table1_1[seq],MATCH(Table1[[#This Row],[dbLoginID'[TB_User']]],Table1_1[email],0))</f>
        <v>45</v>
      </c>
    </row>
    <row r="139" spans="1:17" x14ac:dyDescent="0.3">
      <c r="A139">
        <v>107</v>
      </c>
      <c r="B139">
        <v>1</v>
      </c>
      <c r="C139">
        <v>13</v>
      </c>
      <c r="D139">
        <v>14</v>
      </c>
      <c r="E139">
        <v>11</v>
      </c>
      <c r="F139">
        <v>0</v>
      </c>
      <c r="G139" t="s">
        <v>1051</v>
      </c>
      <c r="H139" t="s">
        <v>599</v>
      </c>
      <c r="I139" t="s">
        <v>679</v>
      </c>
      <c r="J139" t="s">
        <v>1052</v>
      </c>
      <c r="K139" t="s">
        <v>602</v>
      </c>
      <c r="L139" t="s">
        <v>1053</v>
      </c>
      <c r="M139" t="s">
        <v>1054</v>
      </c>
      <c r="N139" t="str">
        <f>INDEX(Table1_1[name],MATCH(E139,Table1_1[seq],0))</f>
        <v>최종규</v>
      </c>
      <c r="O139" t="str">
        <f>INDEX(Table1_1[email],MATCH(E139,Table1_1[seq],0))</f>
        <v>star_horse@naver.com</v>
      </c>
      <c r="P139" t="str">
        <f>INDEX(Table1_2[dbLoginID],MATCH(Table1[[#This Row],[userSeq]],Table1_2[seq],0))</f>
        <v>kj.sim@ez-office.co.kr</v>
      </c>
      <c r="Q139" s="22">
        <f>INDEX(Table1_1[seq],MATCH(Table1[[#This Row],[dbLoginID'[TB_User']]],Table1_1[email],0))</f>
        <v>45</v>
      </c>
    </row>
    <row r="140" spans="1:17" x14ac:dyDescent="0.3">
      <c r="A140">
        <v>106</v>
      </c>
      <c r="B140">
        <v>8</v>
      </c>
      <c r="C140">
        <v>22</v>
      </c>
      <c r="D140">
        <v>13</v>
      </c>
      <c r="E140">
        <v>3</v>
      </c>
      <c r="F140">
        <v>0</v>
      </c>
      <c r="G140" t="s">
        <v>1055</v>
      </c>
      <c r="H140" t="s">
        <v>599</v>
      </c>
      <c r="I140" t="s">
        <v>617</v>
      </c>
      <c r="J140" t="s">
        <v>1056</v>
      </c>
      <c r="K140" t="s">
        <v>602</v>
      </c>
      <c r="L140" t="s">
        <v>1057</v>
      </c>
      <c r="M140" t="s">
        <v>1058</v>
      </c>
      <c r="N140" t="str">
        <f>INDEX(Table1_1[name],MATCH(E140,Table1_1[seq],0))</f>
        <v>김신영</v>
      </c>
      <c r="O140" t="str">
        <f>INDEX(Table1_1[email],MATCH(E140,Table1_1[seq],0))</f>
        <v>service2@ezchemtech.com</v>
      </c>
      <c r="P140" t="str">
        <f>INDEX(Table1_2[dbLoginID],MATCH(Table1[[#This Row],[userSeq]],Table1_2[seq],0))</f>
        <v>scipio@dhyoo.co.kr</v>
      </c>
      <c r="Q140" s="22">
        <f>INDEX(Table1_1[seq],MATCH(Table1[[#This Row],[dbLoginID'[TB_User']]],Table1_1[email],0))</f>
        <v>80</v>
      </c>
    </row>
    <row r="141" spans="1:17" x14ac:dyDescent="0.3">
      <c r="A141">
        <v>105</v>
      </c>
      <c r="B141">
        <v>8</v>
      </c>
      <c r="C141">
        <v>22</v>
      </c>
      <c r="D141">
        <v>13</v>
      </c>
      <c r="E141">
        <v>3</v>
      </c>
      <c r="F141">
        <v>0</v>
      </c>
      <c r="G141" t="s">
        <v>1059</v>
      </c>
      <c r="H141" t="s">
        <v>599</v>
      </c>
      <c r="I141" t="s">
        <v>746</v>
      </c>
      <c r="J141" t="s">
        <v>1060</v>
      </c>
      <c r="K141" t="s">
        <v>602</v>
      </c>
      <c r="L141" t="s">
        <v>1061</v>
      </c>
      <c r="M141" t="s">
        <v>1062</v>
      </c>
      <c r="N141" t="str">
        <f>INDEX(Table1_1[name],MATCH(E141,Table1_1[seq],0))</f>
        <v>김신영</v>
      </c>
      <c r="O141" t="str">
        <f>INDEX(Table1_1[email],MATCH(E141,Table1_1[seq],0))</f>
        <v>service2@ezchemtech.com</v>
      </c>
      <c r="P141" t="str">
        <f>INDEX(Table1_2[dbLoginID],MATCH(Table1[[#This Row],[userSeq]],Table1_2[seq],0))</f>
        <v>scipio@dhyoo.co.kr</v>
      </c>
      <c r="Q141" s="22">
        <f>INDEX(Table1_1[seq],MATCH(Table1[[#This Row],[dbLoginID'[TB_User']]],Table1_1[email],0))</f>
        <v>80</v>
      </c>
    </row>
    <row r="142" spans="1:17" x14ac:dyDescent="0.3">
      <c r="A142">
        <v>104</v>
      </c>
      <c r="B142">
        <v>8</v>
      </c>
      <c r="C142">
        <v>22</v>
      </c>
      <c r="D142">
        <v>12</v>
      </c>
      <c r="E142">
        <v>1</v>
      </c>
      <c r="F142">
        <v>0</v>
      </c>
      <c r="G142" t="s">
        <v>1063</v>
      </c>
      <c r="H142" t="s">
        <v>599</v>
      </c>
      <c r="J142" t="s">
        <v>1064</v>
      </c>
      <c r="K142" t="s">
        <v>602</v>
      </c>
      <c r="L142" t="s">
        <v>1065</v>
      </c>
      <c r="M142" t="s">
        <v>1065</v>
      </c>
      <c r="N142" t="str">
        <f>INDEX(Table1_1[name],MATCH(E142,Table1_1[seq],0))</f>
        <v>customer_01</v>
      </c>
      <c r="O142" t="str">
        <f>INDEX(Table1_1[email],MATCH(E142,Table1_1[seq],0))</f>
        <v>customer_01@demo.co.kr</v>
      </c>
      <c r="P142" t="str">
        <f>INDEX(Table1_2[dbLoginID],MATCH(Table1[[#This Row],[userSeq]],Table1_2[seq],0))</f>
        <v>dbmaster@dhyoo.co.kr</v>
      </c>
      <c r="Q142" s="22" t="e">
        <f>INDEX(Table1_1[seq],MATCH(Table1[[#This Row],[dbLoginID'[TB_User']]],Table1_1[email],0))</f>
        <v>#N/A</v>
      </c>
    </row>
    <row r="143" spans="1:17" x14ac:dyDescent="0.3">
      <c r="A143">
        <v>103</v>
      </c>
      <c r="B143">
        <v>8</v>
      </c>
      <c r="C143">
        <v>22</v>
      </c>
      <c r="D143">
        <v>12</v>
      </c>
      <c r="E143">
        <v>1</v>
      </c>
      <c r="F143">
        <v>0</v>
      </c>
      <c r="G143" t="s">
        <v>1066</v>
      </c>
      <c r="H143" t="s">
        <v>599</v>
      </c>
      <c r="I143" t="s">
        <v>1067</v>
      </c>
      <c r="J143" t="s">
        <v>1068</v>
      </c>
      <c r="K143" t="s">
        <v>602</v>
      </c>
      <c r="L143" t="s">
        <v>1069</v>
      </c>
      <c r="M143" t="s">
        <v>1070</v>
      </c>
      <c r="N143" t="str">
        <f>INDEX(Table1_1[name],MATCH(E143,Table1_1[seq],0))</f>
        <v>customer_01</v>
      </c>
      <c r="O143" t="str">
        <f>INDEX(Table1_1[email],MATCH(E143,Table1_1[seq],0))</f>
        <v>customer_01@demo.co.kr</v>
      </c>
      <c r="P143" t="str">
        <f>INDEX(Table1_2[dbLoginID],MATCH(Table1[[#This Row],[userSeq]],Table1_2[seq],0))</f>
        <v>dbmaster@dhyoo.co.kr</v>
      </c>
      <c r="Q143" s="22" t="e">
        <f>INDEX(Table1_1[seq],MATCH(Table1[[#This Row],[dbLoginID'[TB_User']]],Table1_1[email],0))</f>
        <v>#N/A</v>
      </c>
    </row>
    <row r="144" spans="1:17" x14ac:dyDescent="0.3">
      <c r="A144">
        <v>102</v>
      </c>
      <c r="B144">
        <v>6</v>
      </c>
      <c r="C144">
        <v>20</v>
      </c>
      <c r="D144">
        <v>10</v>
      </c>
      <c r="E144">
        <v>1</v>
      </c>
      <c r="F144">
        <v>0</v>
      </c>
      <c r="G144" t="s">
        <v>1071</v>
      </c>
      <c r="H144" t="s">
        <v>599</v>
      </c>
      <c r="J144" t="s">
        <v>1072</v>
      </c>
      <c r="K144" t="s">
        <v>602</v>
      </c>
      <c r="L144" t="s">
        <v>1073</v>
      </c>
      <c r="M144" t="s">
        <v>1074</v>
      </c>
      <c r="N144" t="str">
        <f>INDEX(Table1_1[name],MATCH(E144,Table1_1[seq],0))</f>
        <v>customer_01</v>
      </c>
      <c r="O144" t="str">
        <f>INDEX(Table1_1[email],MATCH(E144,Table1_1[seq],0))</f>
        <v>customer_01@demo.co.kr</v>
      </c>
      <c r="P144" t="str">
        <f>INDEX(Table1_2[dbLoginID],MATCH(Table1[[#This Row],[userSeq]],Table1_2[seq],0))</f>
        <v>dbmaster@orientpi.co.kr</v>
      </c>
      <c r="Q144" s="22" t="e">
        <f>INDEX(Table1_1[seq],MATCH(Table1[[#This Row],[dbLoginID'[TB_User']]],Table1_1[email],0))</f>
        <v>#N/A</v>
      </c>
    </row>
    <row r="145" spans="1:17" x14ac:dyDescent="0.3">
      <c r="A145">
        <v>101</v>
      </c>
      <c r="B145">
        <v>6</v>
      </c>
      <c r="C145">
        <v>20</v>
      </c>
      <c r="E145">
        <v>3</v>
      </c>
      <c r="F145">
        <v>0</v>
      </c>
      <c r="G145" t="s">
        <v>1075</v>
      </c>
      <c r="H145" t="s">
        <v>599</v>
      </c>
      <c r="J145" t="s">
        <v>1076</v>
      </c>
      <c r="K145" t="s">
        <v>602</v>
      </c>
      <c r="L145" t="s">
        <v>1077</v>
      </c>
      <c r="M145" t="s">
        <v>1077</v>
      </c>
      <c r="N145" t="str">
        <f>INDEX(Table1_1[name],MATCH(E145,Table1_1[seq],0))</f>
        <v>김신영</v>
      </c>
      <c r="O145" t="str">
        <f>INDEX(Table1_1[email],MATCH(E145,Table1_1[seq],0))</f>
        <v>service2@ezchemtech.com</v>
      </c>
      <c r="P145" t="e">
        <f>INDEX(Table1_2[dbLoginID],MATCH(Table1[[#This Row],[userSeq]],Table1_2[seq],0))</f>
        <v>#N/A</v>
      </c>
      <c r="Q145" s="22" t="e">
        <f>INDEX(Table1_1[seq],MATCH(Table1[[#This Row],[dbLoginID'[TB_User']]],Table1_1[email],0))</f>
        <v>#N/A</v>
      </c>
    </row>
    <row r="146" spans="1:17" x14ac:dyDescent="0.3">
      <c r="A146">
        <v>100</v>
      </c>
      <c r="B146">
        <v>6</v>
      </c>
      <c r="C146">
        <v>20</v>
      </c>
      <c r="E146">
        <v>3</v>
      </c>
      <c r="F146">
        <v>0</v>
      </c>
      <c r="G146" t="s">
        <v>1078</v>
      </c>
      <c r="H146" t="s">
        <v>599</v>
      </c>
      <c r="J146" t="s">
        <v>1079</v>
      </c>
      <c r="K146" t="s">
        <v>602</v>
      </c>
      <c r="L146" t="s">
        <v>1080</v>
      </c>
      <c r="M146" t="s">
        <v>1080</v>
      </c>
      <c r="N146" t="str">
        <f>INDEX(Table1_1[name],MATCH(E146,Table1_1[seq],0))</f>
        <v>김신영</v>
      </c>
      <c r="O146" t="str">
        <f>INDEX(Table1_1[email],MATCH(E146,Table1_1[seq],0))</f>
        <v>service2@ezchemtech.com</v>
      </c>
      <c r="P146" t="e">
        <f>INDEX(Table1_2[dbLoginID],MATCH(Table1[[#This Row],[userSeq]],Table1_2[seq],0))</f>
        <v>#N/A</v>
      </c>
      <c r="Q146" s="22" t="e">
        <f>INDEX(Table1_1[seq],MATCH(Table1[[#This Row],[dbLoginID'[TB_User']]],Table1_1[email],0))</f>
        <v>#N/A</v>
      </c>
    </row>
    <row r="147" spans="1:17" x14ac:dyDescent="0.3">
      <c r="A147">
        <v>99</v>
      </c>
      <c r="B147">
        <v>6</v>
      </c>
      <c r="C147">
        <v>20</v>
      </c>
      <c r="D147">
        <v>9</v>
      </c>
      <c r="E147">
        <v>3</v>
      </c>
      <c r="F147">
        <v>1</v>
      </c>
      <c r="G147" t="s">
        <v>1081</v>
      </c>
      <c r="H147" t="s">
        <v>599</v>
      </c>
      <c r="I147" t="s">
        <v>1082</v>
      </c>
      <c r="J147" t="s">
        <v>1083</v>
      </c>
      <c r="K147" t="s">
        <v>602</v>
      </c>
      <c r="L147" t="s">
        <v>1084</v>
      </c>
      <c r="M147" t="s">
        <v>1085</v>
      </c>
      <c r="N147" t="str">
        <f>INDEX(Table1_1[name],MATCH(E147,Table1_1[seq],0))</f>
        <v>김신영</v>
      </c>
      <c r="O147" t="str">
        <f>INDEX(Table1_1[email],MATCH(E147,Table1_1[seq],0))</f>
        <v>service2@ezchemtech.com</v>
      </c>
      <c r="P147" t="str">
        <f>INDEX(Table1_2[dbLoginID],MATCH(Table1[[#This Row],[userSeq]],Table1_2[seq],0))</f>
        <v>orpi.scm@orientpi.com</v>
      </c>
      <c r="Q147" s="22" t="e">
        <f>INDEX(Table1_1[seq],MATCH(Table1[[#This Row],[dbLoginID'[TB_User']]],Table1_1[email],0))</f>
        <v>#N/A</v>
      </c>
    </row>
    <row r="148" spans="1:17" x14ac:dyDescent="0.3">
      <c r="A148">
        <v>98</v>
      </c>
      <c r="B148">
        <v>7</v>
      </c>
      <c r="C148">
        <v>21</v>
      </c>
      <c r="D148">
        <v>8</v>
      </c>
      <c r="E148">
        <v>2</v>
      </c>
      <c r="F148">
        <v>0</v>
      </c>
      <c r="G148" t="s">
        <v>1086</v>
      </c>
      <c r="H148" t="s">
        <v>599</v>
      </c>
      <c r="I148" t="s">
        <v>1087</v>
      </c>
      <c r="J148" t="s">
        <v>1088</v>
      </c>
      <c r="K148" t="s">
        <v>602</v>
      </c>
      <c r="L148" t="s">
        <v>1089</v>
      </c>
      <c r="M148" t="s">
        <v>1090</v>
      </c>
      <c r="N148" t="str">
        <f>INDEX(Table1_1[name],MATCH(E148,Table1_1[seq],0))</f>
        <v>유동현</v>
      </c>
      <c r="O148" t="str">
        <f>INDEX(Table1_1[email],MATCH(E148,Table1_1[seq],0))</f>
        <v>c02095aa@gmail.com</v>
      </c>
      <c r="P148" t="str">
        <f>INDEX(Table1_2[dbLoginID],MATCH(Table1[[#This Row],[userSeq]],Table1_2[seq],0))</f>
        <v>ldh81@asiafni.com</v>
      </c>
      <c r="Q148" s="22" t="e">
        <f>INDEX(Table1_1[seq],MATCH(Table1[[#This Row],[dbLoginID'[TB_User']]],Table1_1[email],0))</f>
        <v>#N/A</v>
      </c>
    </row>
    <row r="149" spans="1:17" x14ac:dyDescent="0.3">
      <c r="A149">
        <v>97</v>
      </c>
      <c r="B149">
        <v>6</v>
      </c>
      <c r="C149">
        <v>20</v>
      </c>
      <c r="D149">
        <v>7</v>
      </c>
      <c r="E149">
        <v>2</v>
      </c>
      <c r="F149">
        <v>0</v>
      </c>
      <c r="G149" t="s">
        <v>1091</v>
      </c>
      <c r="H149" t="s">
        <v>1092</v>
      </c>
      <c r="I149" t="s">
        <v>617</v>
      </c>
      <c r="J149" t="s">
        <v>1093</v>
      </c>
      <c r="K149" t="s">
        <v>602</v>
      </c>
      <c r="L149" t="s">
        <v>1094</v>
      </c>
      <c r="M149" t="s">
        <v>1095</v>
      </c>
      <c r="N149" t="str">
        <f>INDEX(Table1_1[name],MATCH(E149,Table1_1[seq],0))</f>
        <v>유동현</v>
      </c>
      <c r="O149" t="str">
        <f>INDEX(Table1_1[email],MATCH(E149,Table1_1[seq],0))</f>
        <v>c02095aa@gmail.com</v>
      </c>
      <c r="P149" t="str">
        <f>INDEX(Table1_2[dbLoginID],MATCH(Table1[[#This Row],[userSeq]],Table1_2[seq],0))</f>
        <v>scipio@orientpi.co.kr</v>
      </c>
      <c r="Q149" s="22" t="e">
        <f>INDEX(Table1_1[seq],MATCH(Table1[[#This Row],[dbLoginID'[TB_User']]],Table1_1[email],0))</f>
        <v>#N/A</v>
      </c>
    </row>
    <row r="150" spans="1:17" x14ac:dyDescent="0.3">
      <c r="A150">
        <v>96</v>
      </c>
      <c r="B150">
        <v>6</v>
      </c>
      <c r="C150">
        <v>20</v>
      </c>
      <c r="D150">
        <v>7</v>
      </c>
      <c r="E150">
        <v>2</v>
      </c>
      <c r="F150">
        <v>0</v>
      </c>
      <c r="G150" t="s">
        <v>1096</v>
      </c>
      <c r="H150" t="s">
        <v>1092</v>
      </c>
      <c r="J150" t="s">
        <v>1097</v>
      </c>
      <c r="K150" t="s">
        <v>602</v>
      </c>
      <c r="L150" t="s">
        <v>1098</v>
      </c>
      <c r="M150" t="s">
        <v>1098</v>
      </c>
      <c r="N150" t="str">
        <f>INDEX(Table1_1[name],MATCH(E150,Table1_1[seq],0))</f>
        <v>유동현</v>
      </c>
      <c r="O150" t="str">
        <f>INDEX(Table1_1[email],MATCH(E150,Table1_1[seq],0))</f>
        <v>c02095aa@gmail.com</v>
      </c>
      <c r="P150" t="str">
        <f>INDEX(Table1_2[dbLoginID],MATCH(Table1[[#This Row],[userSeq]],Table1_2[seq],0))</f>
        <v>scipio@orientpi.co.kr</v>
      </c>
      <c r="Q150" s="22" t="e">
        <f>INDEX(Table1_1[seq],MATCH(Table1[[#This Row],[dbLoginID'[TB_User']]],Table1_1[email],0))</f>
        <v>#N/A</v>
      </c>
    </row>
    <row r="151" spans="1:17" x14ac:dyDescent="0.3">
      <c r="A151">
        <v>95</v>
      </c>
      <c r="B151">
        <v>6</v>
      </c>
      <c r="C151">
        <v>20</v>
      </c>
      <c r="D151">
        <v>7</v>
      </c>
      <c r="E151">
        <v>2</v>
      </c>
      <c r="F151">
        <v>0</v>
      </c>
      <c r="G151" t="s">
        <v>1099</v>
      </c>
      <c r="H151" t="s">
        <v>1092</v>
      </c>
      <c r="I151" t="s">
        <v>625</v>
      </c>
      <c r="J151" t="s">
        <v>1100</v>
      </c>
      <c r="K151" t="s">
        <v>602</v>
      </c>
      <c r="L151" t="s">
        <v>1101</v>
      </c>
      <c r="M151" t="s">
        <v>1102</v>
      </c>
      <c r="N151" t="str">
        <f>INDEX(Table1_1[name],MATCH(E151,Table1_1[seq],0))</f>
        <v>유동현</v>
      </c>
      <c r="O151" t="str">
        <f>INDEX(Table1_1[email],MATCH(E151,Table1_1[seq],0))</f>
        <v>c02095aa@gmail.com</v>
      </c>
      <c r="P151" t="str">
        <f>INDEX(Table1_2[dbLoginID],MATCH(Table1[[#This Row],[userSeq]],Table1_2[seq],0))</f>
        <v>scipio@orientpi.co.kr</v>
      </c>
      <c r="Q151" s="22" t="e">
        <f>INDEX(Table1_1[seq],MATCH(Table1[[#This Row],[dbLoginID'[TB_User']]],Table1_1[email],0))</f>
        <v>#N/A</v>
      </c>
    </row>
    <row r="152" spans="1:17" x14ac:dyDescent="0.3">
      <c r="A152">
        <v>94</v>
      </c>
      <c r="B152">
        <v>1</v>
      </c>
      <c r="C152">
        <v>13</v>
      </c>
      <c r="D152">
        <v>1</v>
      </c>
      <c r="E152">
        <v>3</v>
      </c>
      <c r="F152">
        <v>0</v>
      </c>
      <c r="G152" t="s">
        <v>1103</v>
      </c>
      <c r="H152" t="s">
        <v>1092</v>
      </c>
      <c r="J152" t="s">
        <v>1104</v>
      </c>
      <c r="K152" t="s">
        <v>602</v>
      </c>
      <c r="L152" t="s">
        <v>1105</v>
      </c>
      <c r="M152" t="s">
        <v>1105</v>
      </c>
      <c r="N152" t="str">
        <f>INDEX(Table1_1[name],MATCH(E152,Table1_1[seq],0))</f>
        <v>김신영</v>
      </c>
      <c r="O152" t="str">
        <f>INDEX(Table1_1[email],MATCH(E152,Table1_1[seq],0))</f>
        <v>service2@ezchemtech.com</v>
      </c>
      <c r="P152" t="str">
        <f>INDEX(Table1_2[dbLoginID],MATCH(Table1[[#This Row],[userSeq]],Table1_2[seq],0))</f>
        <v>eden.lee@ez-office.co.kr</v>
      </c>
      <c r="Q152" s="22">
        <f>INDEX(Table1_1[seq],MATCH(Table1[[#This Row],[dbLoginID'[TB_User']]],Table1_1[email],0))</f>
        <v>71</v>
      </c>
    </row>
    <row r="153" spans="1:17" x14ac:dyDescent="0.3">
      <c r="A153">
        <v>93</v>
      </c>
      <c r="B153">
        <v>1</v>
      </c>
      <c r="C153">
        <v>13</v>
      </c>
      <c r="D153">
        <v>11</v>
      </c>
      <c r="E153">
        <v>1</v>
      </c>
      <c r="F153">
        <v>0</v>
      </c>
      <c r="G153" t="s">
        <v>1106</v>
      </c>
      <c r="H153" t="s">
        <v>1092</v>
      </c>
      <c r="I153" t="s">
        <v>1107</v>
      </c>
      <c r="J153" t="s">
        <v>1108</v>
      </c>
      <c r="K153" t="s">
        <v>602</v>
      </c>
      <c r="L153" t="s">
        <v>1109</v>
      </c>
      <c r="M153" t="s">
        <v>1109</v>
      </c>
      <c r="N153" t="str">
        <f>INDEX(Table1_1[name],MATCH(E153,Table1_1[seq],0))</f>
        <v>customer_01</v>
      </c>
      <c r="O153" t="str">
        <f>INDEX(Table1_1[email],MATCH(E153,Table1_1[seq],0))</f>
        <v>customer_01@demo.co.kr</v>
      </c>
      <c r="P153" t="str">
        <f>INDEX(Table1_2[dbLoginID],MATCH(Table1[[#This Row],[userSeq]],Table1_2[seq],0))</f>
        <v>dbadmin@ezoffice365.com</v>
      </c>
      <c r="Q153" s="22" t="e">
        <f>INDEX(Table1_1[seq],MATCH(Table1[[#This Row],[dbLoginID'[TB_User']]],Table1_1[email],0))</f>
        <v>#N/A</v>
      </c>
    </row>
    <row r="154" spans="1:17" x14ac:dyDescent="0.3">
      <c r="A154">
        <v>92</v>
      </c>
      <c r="B154">
        <v>1</v>
      </c>
      <c r="C154">
        <v>13</v>
      </c>
      <c r="D154">
        <v>1</v>
      </c>
      <c r="E154">
        <v>3</v>
      </c>
      <c r="F154">
        <v>0</v>
      </c>
      <c r="G154" t="s">
        <v>1110</v>
      </c>
      <c r="H154" t="s">
        <v>1092</v>
      </c>
      <c r="K154" t="s">
        <v>602</v>
      </c>
      <c r="L154" t="s">
        <v>1111</v>
      </c>
      <c r="M154" t="s">
        <v>1111</v>
      </c>
      <c r="N154" t="str">
        <f>INDEX(Table1_1[name],MATCH(E154,Table1_1[seq],0))</f>
        <v>김신영</v>
      </c>
      <c r="O154" t="str">
        <f>INDEX(Table1_1[email],MATCH(E154,Table1_1[seq],0))</f>
        <v>service2@ezchemtech.com</v>
      </c>
      <c r="P154" t="str">
        <f>INDEX(Table1_2[dbLoginID],MATCH(Table1[[#This Row],[userSeq]],Table1_2[seq],0))</f>
        <v>eden.lee@ez-office.co.kr</v>
      </c>
      <c r="Q154" s="22">
        <f>INDEX(Table1_1[seq],MATCH(Table1[[#This Row],[dbLoginID'[TB_User']]],Table1_1[email],0))</f>
        <v>71</v>
      </c>
    </row>
    <row r="155" spans="1:17" x14ac:dyDescent="0.3">
      <c r="A155">
        <v>91</v>
      </c>
      <c r="B155">
        <v>2</v>
      </c>
      <c r="C155">
        <v>14</v>
      </c>
      <c r="D155">
        <v>26</v>
      </c>
      <c r="E155">
        <v>26</v>
      </c>
      <c r="F155">
        <v>0</v>
      </c>
      <c r="G155" t="s">
        <v>1112</v>
      </c>
      <c r="H155" t="s">
        <v>1113</v>
      </c>
      <c r="I155" t="s">
        <v>1114</v>
      </c>
      <c r="J155" t="s">
        <v>1115</v>
      </c>
      <c r="K155" t="s">
        <v>602</v>
      </c>
      <c r="L155" t="s">
        <v>1116</v>
      </c>
      <c r="M155" t="s">
        <v>1117</v>
      </c>
      <c r="N155" t="str">
        <f>INDEX(Table1_1[name],MATCH(E155,Table1_1[seq],0))</f>
        <v>김현선</v>
      </c>
      <c r="O155" t="str">
        <f>INDEX(Table1_1[email],MATCH(E155,Table1_1[seq],0))</f>
        <v>dev@ezchemtech.com</v>
      </c>
      <c r="P155" t="str">
        <f>INDEX(Table1_2[dbLoginID],MATCH(Table1[[#This Row],[userSeq]],Table1_2[seq],0))</f>
        <v>info9@ezchemtech.com</v>
      </c>
      <c r="Q155" s="22">
        <f>INDEX(Table1_1[seq],MATCH(Table1[[#This Row],[dbLoginID'[TB_User']]],Table1_1[email],0))</f>
        <v>55</v>
      </c>
    </row>
    <row r="156" spans="1:17" x14ac:dyDescent="0.3">
      <c r="A156">
        <v>90</v>
      </c>
      <c r="B156">
        <v>2</v>
      </c>
      <c r="C156">
        <v>14</v>
      </c>
      <c r="D156">
        <v>18</v>
      </c>
      <c r="E156">
        <v>21</v>
      </c>
      <c r="F156">
        <v>0</v>
      </c>
      <c r="G156" t="s">
        <v>1118</v>
      </c>
      <c r="H156" t="s">
        <v>1113</v>
      </c>
      <c r="I156" t="s">
        <v>904</v>
      </c>
      <c r="J156" t="s">
        <v>1119</v>
      </c>
      <c r="K156" t="s">
        <v>602</v>
      </c>
      <c r="L156" t="s">
        <v>1120</v>
      </c>
      <c r="M156" t="s">
        <v>1121</v>
      </c>
      <c r="N156" t="str">
        <f>INDEX(Table1_1[name],MATCH(E156,Table1_1[seq],0))</f>
        <v>이현아</v>
      </c>
      <c r="O156" t="str">
        <f>INDEX(Table1_1[email],MATCH(E156,Table1_1[seq],0))</f>
        <v>shmlucy07@gmail.com</v>
      </c>
      <c r="P156" t="str">
        <f>INDEX(Table1_2[dbLoginID],MATCH(Table1[[#This Row],[userSeq]],Table1_2[seq],0))</f>
        <v>am@ezchemtech.com</v>
      </c>
      <c r="Q156" s="22">
        <f>INDEX(Table1_1[seq],MATCH(Table1[[#This Row],[dbLoginID'[TB_User']]],Table1_1[email],0))</f>
        <v>63</v>
      </c>
    </row>
    <row r="157" spans="1:17" x14ac:dyDescent="0.3">
      <c r="A157">
        <v>89</v>
      </c>
      <c r="B157">
        <v>2</v>
      </c>
      <c r="C157">
        <v>14</v>
      </c>
      <c r="D157">
        <v>21</v>
      </c>
      <c r="E157">
        <v>20</v>
      </c>
      <c r="F157">
        <v>0</v>
      </c>
      <c r="G157" t="s">
        <v>1122</v>
      </c>
      <c r="H157" t="s">
        <v>1113</v>
      </c>
      <c r="I157" t="s">
        <v>1123</v>
      </c>
      <c r="J157" t="s">
        <v>1124</v>
      </c>
      <c r="K157" t="s">
        <v>602</v>
      </c>
      <c r="L157" t="s">
        <v>1125</v>
      </c>
      <c r="M157" t="s">
        <v>1126</v>
      </c>
      <c r="N157" t="str">
        <f>INDEX(Table1_1[name],MATCH(E157,Table1_1[seq],0))</f>
        <v>김연희</v>
      </c>
      <c r="O157" t="str">
        <f>INDEX(Table1_1[email],MATCH(E157,Table1_1[seq],0))</f>
        <v>am@ezchemtech.com</v>
      </c>
      <c r="P157" t="str">
        <f>INDEX(Table1_2[dbLoginID],MATCH(Table1[[#This Row],[userSeq]],Table1_2[seq],0))</f>
        <v>info5@ezchemtech.com</v>
      </c>
      <c r="Q157" s="22">
        <f>INDEX(Table1_1[seq],MATCH(Table1[[#This Row],[dbLoginID'[TB_User']]],Table1_1[email],0))</f>
        <v>53</v>
      </c>
    </row>
    <row r="158" spans="1:17" x14ac:dyDescent="0.3">
      <c r="A158">
        <v>88</v>
      </c>
      <c r="B158">
        <v>2</v>
      </c>
      <c r="C158">
        <v>14</v>
      </c>
      <c r="D158">
        <v>25</v>
      </c>
      <c r="E158">
        <v>19</v>
      </c>
      <c r="F158">
        <v>0</v>
      </c>
      <c r="G158" t="s">
        <v>1127</v>
      </c>
      <c r="H158" t="s">
        <v>1113</v>
      </c>
      <c r="J158" t="s">
        <v>1128</v>
      </c>
      <c r="K158" t="s">
        <v>602</v>
      </c>
      <c r="L158" t="s">
        <v>1129</v>
      </c>
      <c r="M158" t="s">
        <v>1130</v>
      </c>
      <c r="N158" t="str">
        <f>INDEX(Table1_1[name],MATCH(E158,Table1_1[seq],0))</f>
        <v>심규정</v>
      </c>
      <c r="O158" t="str">
        <f>INDEX(Table1_1[email],MATCH(E158,Table1_1[seq],0))</f>
        <v>info7@ezchemtech.com</v>
      </c>
      <c r="P158" t="str">
        <f>INDEX(Table1_2[dbLoginID],MATCH(Table1[[#This Row],[userSeq]],Table1_2[seq],0))</f>
        <v>inno@ezchemtech.com</v>
      </c>
      <c r="Q158" s="22">
        <f>INDEX(Table1_1[seq],MATCH(Table1[[#This Row],[dbLoginID'[TB_User']]],Table1_1[email],0))</f>
        <v>52</v>
      </c>
    </row>
    <row r="159" spans="1:17" x14ac:dyDescent="0.3">
      <c r="A159">
        <v>87</v>
      </c>
      <c r="B159">
        <v>2</v>
      </c>
      <c r="C159">
        <v>14</v>
      </c>
      <c r="D159">
        <v>20</v>
      </c>
      <c r="E159">
        <v>18</v>
      </c>
      <c r="F159">
        <v>0</v>
      </c>
      <c r="G159" t="s">
        <v>1131</v>
      </c>
      <c r="H159" t="s">
        <v>1113</v>
      </c>
      <c r="I159" t="s">
        <v>662</v>
      </c>
      <c r="J159" t="s">
        <v>1132</v>
      </c>
      <c r="K159" t="s">
        <v>602</v>
      </c>
      <c r="L159" t="s">
        <v>1133</v>
      </c>
      <c r="M159" t="s">
        <v>1133</v>
      </c>
      <c r="N159" t="str">
        <f>INDEX(Table1_1[name],MATCH(E159,Table1_1[seq],0))</f>
        <v>황인국</v>
      </c>
      <c r="O159" t="str">
        <f>INDEX(Table1_1[email],MATCH(E159,Table1_1[seq],0))</f>
        <v>gshwang@ezchemtech.com</v>
      </c>
      <c r="P159" t="str">
        <f>INDEX(Table1_2[dbLoginID],MATCH(Table1[[#This Row],[userSeq]],Table1_2[seq],0))</f>
        <v>dev@ezchemtech.com</v>
      </c>
      <c r="Q159" s="22">
        <f>INDEX(Table1_1[seq],MATCH(Table1[[#This Row],[dbLoginID'[TB_User']]],Table1_1[email],0))</f>
        <v>51</v>
      </c>
    </row>
    <row r="160" spans="1:17" x14ac:dyDescent="0.3">
      <c r="A160">
        <v>86</v>
      </c>
      <c r="B160">
        <v>2</v>
      </c>
      <c r="C160">
        <v>14</v>
      </c>
      <c r="E160">
        <v>17</v>
      </c>
      <c r="F160">
        <v>0</v>
      </c>
      <c r="G160" t="s">
        <v>1134</v>
      </c>
      <c r="H160" t="s">
        <v>1113</v>
      </c>
      <c r="J160" t="s">
        <v>1135</v>
      </c>
      <c r="K160" t="s">
        <v>602</v>
      </c>
      <c r="L160" t="s">
        <v>1136</v>
      </c>
      <c r="M160" t="s">
        <v>1136</v>
      </c>
      <c r="N160" t="str">
        <f>INDEX(Table1_1[name],MATCH(E160,Table1_1[seq],0))</f>
        <v>최종규</v>
      </c>
      <c r="O160" t="str">
        <f>INDEX(Table1_1[email],MATCH(E160,Table1_1[seq],0))</f>
        <v>star_horse@naver.com</v>
      </c>
      <c r="P160" t="e">
        <f>INDEX(Table1_2[dbLoginID],MATCH(Table1[[#This Row],[userSeq]],Table1_2[seq],0))</f>
        <v>#N/A</v>
      </c>
      <c r="Q160" s="22" t="e">
        <f>INDEX(Table1_1[seq],MATCH(Table1[[#This Row],[dbLoginID'[TB_User']]],Table1_1[email],0))</f>
        <v>#N/A</v>
      </c>
    </row>
    <row r="161" spans="1:17" x14ac:dyDescent="0.3">
      <c r="A161">
        <v>85</v>
      </c>
      <c r="B161">
        <v>2</v>
      </c>
      <c r="C161">
        <v>14</v>
      </c>
      <c r="D161">
        <v>28</v>
      </c>
      <c r="E161">
        <v>16</v>
      </c>
      <c r="F161">
        <v>0</v>
      </c>
      <c r="G161" t="s">
        <v>1137</v>
      </c>
      <c r="H161" t="s">
        <v>1113</v>
      </c>
      <c r="I161" t="s">
        <v>1138</v>
      </c>
      <c r="J161" t="s">
        <v>1139</v>
      </c>
      <c r="K161" t="s">
        <v>602</v>
      </c>
      <c r="L161" t="s">
        <v>1140</v>
      </c>
      <c r="M161" t="s">
        <v>1141</v>
      </c>
      <c r="N161" t="str">
        <f>INDEX(Table1_1[name],MATCH(E161,Table1_1[seq],0))</f>
        <v>customer_01</v>
      </c>
      <c r="O161" t="str">
        <f>INDEX(Table1_1[email],MATCH(E161,Table1_1[seq],0))</f>
        <v>customer_01@orientpi.co.kr</v>
      </c>
      <c r="P161" t="str">
        <f>INDEX(Table1_2[dbLoginID],MATCH(Table1[[#This Row],[userSeq]],Table1_2[seq],0))</f>
        <v>service3@ezchemtech.com</v>
      </c>
      <c r="Q161" s="22">
        <f>INDEX(Table1_1[seq],MATCH(Table1[[#This Row],[dbLoginID'[TB_User']]],Table1_1[email],0))</f>
        <v>49</v>
      </c>
    </row>
    <row r="162" spans="1:17" x14ac:dyDescent="0.3">
      <c r="A162">
        <v>83</v>
      </c>
      <c r="B162">
        <v>2</v>
      </c>
      <c r="C162">
        <v>14</v>
      </c>
      <c r="E162">
        <v>14</v>
      </c>
      <c r="F162">
        <v>0</v>
      </c>
      <c r="G162" t="s">
        <v>1142</v>
      </c>
      <c r="H162" t="s">
        <v>1113</v>
      </c>
      <c r="J162" t="s">
        <v>1143</v>
      </c>
      <c r="K162" t="s">
        <v>602</v>
      </c>
      <c r="L162" t="s">
        <v>1144</v>
      </c>
      <c r="M162" t="s">
        <v>1144</v>
      </c>
      <c r="N162" t="str">
        <f>INDEX(Table1_1[name],MATCH(E162,Table1_1[seq],0))</f>
        <v>최종규</v>
      </c>
      <c r="O162" t="str">
        <f>INDEX(Table1_1[email],MATCH(E162,Table1_1[seq],0))</f>
        <v>star_horse@naver.com</v>
      </c>
      <c r="P162" t="e">
        <f>INDEX(Table1_2[dbLoginID],MATCH(Table1[[#This Row],[userSeq]],Table1_2[seq],0))</f>
        <v>#N/A</v>
      </c>
      <c r="Q162" s="22" t="e">
        <f>INDEX(Table1_1[seq],MATCH(Table1[[#This Row],[dbLoginID'[TB_User']]],Table1_1[email],0))</f>
        <v>#N/A</v>
      </c>
    </row>
    <row r="163" spans="1:17" x14ac:dyDescent="0.3">
      <c r="A163">
        <v>80</v>
      </c>
      <c r="B163">
        <v>2</v>
      </c>
      <c r="C163">
        <v>14</v>
      </c>
      <c r="D163">
        <v>29</v>
      </c>
      <c r="E163">
        <v>11</v>
      </c>
      <c r="F163">
        <v>0</v>
      </c>
      <c r="G163" t="s">
        <v>1145</v>
      </c>
      <c r="H163" t="s">
        <v>1113</v>
      </c>
      <c r="I163" t="s">
        <v>1146</v>
      </c>
      <c r="J163" t="s">
        <v>1147</v>
      </c>
      <c r="K163" t="s">
        <v>602</v>
      </c>
      <c r="L163" t="s">
        <v>1148</v>
      </c>
      <c r="M163" t="s">
        <v>1149</v>
      </c>
      <c r="N163" t="str">
        <f>INDEX(Table1_1[name],MATCH(E163,Table1_1[seq],0))</f>
        <v>최종규</v>
      </c>
      <c r="O163" t="str">
        <f>INDEX(Table1_1[email],MATCH(E163,Table1_1[seq],0))</f>
        <v>star_horse@naver.com</v>
      </c>
      <c r="P163" t="str">
        <f>INDEX(Table1_2[dbLoginID],MATCH(Table1[[#This Row],[userSeq]],Table1_2[seq],0))</f>
        <v>service6@ezchemtech.com</v>
      </c>
      <c r="Q163" s="22">
        <f>INDEX(Table1_1[seq],MATCH(Table1[[#This Row],[dbLoginID'[TB_User']]],Table1_1[email],0))</f>
        <v>44</v>
      </c>
    </row>
    <row r="164" spans="1:17" x14ac:dyDescent="0.3">
      <c r="A164">
        <v>79</v>
      </c>
      <c r="B164">
        <v>2</v>
      </c>
      <c r="C164">
        <v>14</v>
      </c>
      <c r="D164">
        <v>23</v>
      </c>
      <c r="E164">
        <v>10</v>
      </c>
      <c r="F164">
        <v>0</v>
      </c>
      <c r="G164" t="s">
        <v>1150</v>
      </c>
      <c r="H164" t="s">
        <v>1113</v>
      </c>
      <c r="I164" t="s">
        <v>1151</v>
      </c>
      <c r="J164" t="s">
        <v>1152</v>
      </c>
      <c r="K164" t="s">
        <v>602</v>
      </c>
      <c r="L164" t="s">
        <v>1153</v>
      </c>
      <c r="M164" t="s">
        <v>1154</v>
      </c>
      <c r="N164" t="str">
        <f>INDEX(Table1_1[name],MATCH(E164,Table1_1[seq],0))</f>
        <v>최성철</v>
      </c>
      <c r="O164" t="str">
        <f>INDEX(Table1_1[email],MATCH(E164,Table1_1[seq],0))</f>
        <v>scipio@ezchemtech.com</v>
      </c>
      <c r="P164" t="str">
        <f>INDEX(Table1_2[dbLoginID],MATCH(Table1[[#This Row],[userSeq]],Table1_2[seq],0))</f>
        <v>info3@ezchemtech.com</v>
      </c>
      <c r="Q164" s="22">
        <f>INDEX(Table1_1[seq],MATCH(Table1[[#This Row],[dbLoginID'[TB_User']]],Table1_1[email],0))</f>
        <v>43</v>
      </c>
    </row>
    <row r="165" spans="1:17" x14ac:dyDescent="0.3">
      <c r="A165">
        <v>78</v>
      </c>
      <c r="B165">
        <v>2</v>
      </c>
      <c r="C165">
        <v>14</v>
      </c>
      <c r="D165">
        <v>24</v>
      </c>
      <c r="E165">
        <v>9</v>
      </c>
      <c r="F165">
        <v>0</v>
      </c>
      <c r="G165" t="s">
        <v>1155</v>
      </c>
      <c r="H165" t="s">
        <v>1113</v>
      </c>
      <c r="I165" t="s">
        <v>1156</v>
      </c>
      <c r="J165" t="s">
        <v>1157</v>
      </c>
      <c r="K165" t="s">
        <v>602</v>
      </c>
      <c r="L165" t="s">
        <v>1158</v>
      </c>
      <c r="M165" t="s">
        <v>1159</v>
      </c>
      <c r="N165" t="str">
        <f>INDEX(Table1_1[name],MATCH(E165,Table1_1[seq],0))</f>
        <v>김연희</v>
      </c>
      <c r="O165" t="str">
        <f>INDEX(Table1_1[email],MATCH(E165,Table1_1[seq],0))</f>
        <v>am@ezchemtech.com</v>
      </c>
      <c r="P165" t="str">
        <f>INDEX(Table1_2[dbLoginID],MATCH(Table1[[#This Row],[userSeq]],Table1_2[seq],0))</f>
        <v>account@ezchemtech.com</v>
      </c>
      <c r="Q165" s="22">
        <f>INDEX(Table1_1[seq],MATCH(Table1[[#This Row],[dbLoginID'[TB_User']]],Table1_1[email],0))</f>
        <v>41</v>
      </c>
    </row>
    <row r="166" spans="1:17" x14ac:dyDescent="0.3">
      <c r="A166">
        <v>76</v>
      </c>
      <c r="B166">
        <v>2</v>
      </c>
      <c r="C166">
        <v>14</v>
      </c>
      <c r="D166">
        <v>27</v>
      </c>
      <c r="E166">
        <v>7</v>
      </c>
      <c r="F166">
        <v>0</v>
      </c>
      <c r="G166" t="s">
        <v>1160</v>
      </c>
      <c r="H166" t="s">
        <v>1113</v>
      </c>
      <c r="I166" t="s">
        <v>1161</v>
      </c>
      <c r="J166" t="s">
        <v>1162</v>
      </c>
      <c r="K166" t="s">
        <v>602</v>
      </c>
      <c r="L166" t="s">
        <v>1163</v>
      </c>
      <c r="M166" t="s">
        <v>1164</v>
      </c>
      <c r="N166" t="str">
        <f>INDEX(Table1_1[name],MATCH(E166,Table1_1[seq],0))</f>
        <v>최종규</v>
      </c>
      <c r="O166" t="str">
        <f>INDEX(Table1_1[email],MATCH(E166,Table1_1[seq],0))</f>
        <v>star_horse@naver.com</v>
      </c>
      <c r="P166" t="str">
        <f>INDEX(Table1_2[dbLoginID],MATCH(Table1[[#This Row],[userSeq]],Table1_2[seq],0))</f>
        <v>info@ezchemtech.com</v>
      </c>
      <c r="Q166" s="22">
        <f>INDEX(Table1_1[seq],MATCH(Table1[[#This Row],[dbLoginID'[TB_User']]],Table1_1[email],0))</f>
        <v>33</v>
      </c>
    </row>
    <row r="167" spans="1:17" x14ac:dyDescent="0.3">
      <c r="A167">
        <v>75</v>
      </c>
      <c r="B167">
        <v>2</v>
      </c>
      <c r="C167">
        <v>14</v>
      </c>
      <c r="D167">
        <v>19</v>
      </c>
      <c r="E167">
        <v>6</v>
      </c>
      <c r="F167">
        <v>0</v>
      </c>
      <c r="G167" t="s">
        <v>1165</v>
      </c>
      <c r="H167" t="s">
        <v>1113</v>
      </c>
      <c r="I167" t="s">
        <v>1166</v>
      </c>
      <c r="J167" t="s">
        <v>1167</v>
      </c>
      <c r="K167" t="s">
        <v>602</v>
      </c>
      <c r="L167" t="s">
        <v>1168</v>
      </c>
      <c r="M167" t="s">
        <v>1169</v>
      </c>
      <c r="N167" t="str">
        <f>INDEX(Table1_1[name],MATCH(E167,Table1_1[seq],0))</f>
        <v>김원겸</v>
      </c>
      <c r="O167" t="str">
        <f>INDEX(Table1_1[email],MATCH(E167,Table1_1[seq],0))</f>
        <v>rzfr@naver.com</v>
      </c>
      <c r="P167" t="str">
        <f>INDEX(Table1_2[dbLoginID],MATCH(Table1[[#This Row],[userSeq]],Table1_2[seq],0))</f>
        <v>service@ezchemtech.com</v>
      </c>
      <c r="Q167" s="22">
        <f>INDEX(Table1_1[seq],MATCH(Table1[[#This Row],[dbLoginID'[TB_User']]],Table1_1[email],0))</f>
        <v>27</v>
      </c>
    </row>
    <row r="168" spans="1:17" x14ac:dyDescent="0.3">
      <c r="A168">
        <v>74</v>
      </c>
      <c r="B168">
        <v>2</v>
      </c>
      <c r="C168">
        <v>14</v>
      </c>
      <c r="E168">
        <v>5</v>
      </c>
      <c r="F168">
        <v>0</v>
      </c>
      <c r="G168" t="s">
        <v>1170</v>
      </c>
      <c r="H168" t="s">
        <v>1113</v>
      </c>
      <c r="J168" t="s">
        <v>1171</v>
      </c>
      <c r="K168" t="s">
        <v>602</v>
      </c>
      <c r="L168" t="s">
        <v>1172</v>
      </c>
      <c r="M168" t="s">
        <v>1172</v>
      </c>
      <c r="N168" t="str">
        <f>INDEX(Table1_1[name],MATCH(E168,Table1_1[seq],0))</f>
        <v>최종규</v>
      </c>
      <c r="O168" t="str">
        <f>INDEX(Table1_1[email],MATCH(E168,Table1_1[seq],0))</f>
        <v>star_horse@naver.com</v>
      </c>
      <c r="P168" t="e">
        <f>INDEX(Table1_2[dbLoginID],MATCH(Table1[[#This Row],[userSeq]],Table1_2[seq],0))</f>
        <v>#N/A</v>
      </c>
      <c r="Q168" s="22" t="e">
        <f>INDEX(Table1_1[seq],MATCH(Table1[[#This Row],[dbLoginID'[TB_User']]],Table1_1[email],0))</f>
        <v>#N/A</v>
      </c>
    </row>
    <row r="169" spans="1:17" x14ac:dyDescent="0.3">
      <c r="A169">
        <v>73</v>
      </c>
      <c r="B169">
        <v>2</v>
      </c>
      <c r="C169">
        <v>14</v>
      </c>
      <c r="D169">
        <v>2</v>
      </c>
      <c r="E169">
        <v>4</v>
      </c>
      <c r="F169">
        <v>0</v>
      </c>
      <c r="G169" t="s">
        <v>1173</v>
      </c>
      <c r="H169" t="s">
        <v>1113</v>
      </c>
      <c r="I169" t="s">
        <v>679</v>
      </c>
      <c r="J169" t="s">
        <v>1174</v>
      </c>
      <c r="K169" t="s">
        <v>602</v>
      </c>
      <c r="L169" t="s">
        <v>1175</v>
      </c>
      <c r="M169" t="s">
        <v>1175</v>
      </c>
      <c r="N169" t="str">
        <f>INDEX(Table1_1[name],MATCH(E169,Table1_1[seq],0))</f>
        <v>최종규</v>
      </c>
      <c r="O169" t="str">
        <f>INDEX(Table1_1[email],MATCH(E169,Table1_1[seq],0))</f>
        <v>star_horse@naver.com</v>
      </c>
      <c r="P169" t="str">
        <f>INDEX(Table1_2[dbLoginID],MATCH(Table1[[#This Row],[userSeq]],Table1_2[seq],0))</f>
        <v>info7@ezchemtech.com</v>
      </c>
      <c r="Q169" s="22">
        <f>INDEX(Table1_1[seq],MATCH(Table1[[#This Row],[dbLoginID'[TB_User']]],Table1_1[email],0))</f>
        <v>61</v>
      </c>
    </row>
    <row r="170" spans="1:17" x14ac:dyDescent="0.3">
      <c r="A170">
        <v>72</v>
      </c>
      <c r="B170">
        <v>2</v>
      </c>
      <c r="C170">
        <v>14</v>
      </c>
      <c r="E170">
        <v>3</v>
      </c>
      <c r="F170">
        <v>0</v>
      </c>
      <c r="G170" t="s">
        <v>1176</v>
      </c>
      <c r="H170" t="s">
        <v>1113</v>
      </c>
      <c r="I170" t="s">
        <v>1177</v>
      </c>
      <c r="J170" t="s">
        <v>1178</v>
      </c>
      <c r="K170" t="s">
        <v>602</v>
      </c>
      <c r="L170" t="s">
        <v>1179</v>
      </c>
      <c r="M170" t="s">
        <v>1179</v>
      </c>
      <c r="N170" t="str">
        <f>INDEX(Table1_1[name],MATCH(E170,Table1_1[seq],0))</f>
        <v>김신영</v>
      </c>
      <c r="O170" t="str">
        <f>INDEX(Table1_1[email],MATCH(E170,Table1_1[seq],0))</f>
        <v>service2@ezchemtech.com</v>
      </c>
      <c r="P170" t="e">
        <f>INDEX(Table1_2[dbLoginID],MATCH(Table1[[#This Row],[userSeq]],Table1_2[seq],0))</f>
        <v>#N/A</v>
      </c>
      <c r="Q170" s="22" t="e">
        <f>INDEX(Table1_1[seq],MATCH(Table1[[#This Row],[dbLoginID'[TB_User']]],Table1_1[email],0))</f>
        <v>#N/A</v>
      </c>
    </row>
    <row r="171" spans="1:17" x14ac:dyDescent="0.3">
      <c r="A171">
        <v>71</v>
      </c>
      <c r="B171">
        <v>2</v>
      </c>
      <c r="C171">
        <v>14</v>
      </c>
      <c r="D171">
        <v>22</v>
      </c>
      <c r="E171">
        <v>1</v>
      </c>
      <c r="F171">
        <v>0</v>
      </c>
      <c r="G171" t="s">
        <v>1180</v>
      </c>
      <c r="H171" t="s">
        <v>1113</v>
      </c>
      <c r="I171" t="s">
        <v>1181</v>
      </c>
      <c r="J171" t="s">
        <v>1182</v>
      </c>
      <c r="K171" t="s">
        <v>602</v>
      </c>
      <c r="L171" t="s">
        <v>1183</v>
      </c>
      <c r="M171" t="s">
        <v>1184</v>
      </c>
      <c r="N171" t="str">
        <f>INDEX(Table1_1[name],MATCH(E171,Table1_1[seq],0))</f>
        <v>customer_01</v>
      </c>
      <c r="O171" t="str">
        <f>INDEX(Table1_1[email],MATCH(E171,Table1_1[seq],0))</f>
        <v>customer_01@demo.co.kr</v>
      </c>
      <c r="P171" t="str">
        <f>INDEX(Table1_2[dbLoginID],MATCH(Table1[[#This Row],[userSeq]],Table1_2[seq],0))</f>
        <v>service2@ezchemtech.com</v>
      </c>
      <c r="Q171" s="22">
        <f>INDEX(Table1_1[seq],MATCH(Table1[[#This Row],[dbLoginID'[TB_User']]],Table1_1[email],0))</f>
        <v>3</v>
      </c>
    </row>
    <row r="172" spans="1:17" x14ac:dyDescent="0.3">
      <c r="A172">
        <v>5</v>
      </c>
      <c r="B172">
        <v>5</v>
      </c>
      <c r="C172">
        <v>17</v>
      </c>
      <c r="E172">
        <v>1</v>
      </c>
      <c r="F172">
        <v>0</v>
      </c>
      <c r="G172" t="s">
        <v>1185</v>
      </c>
      <c r="H172" t="s">
        <v>1113</v>
      </c>
      <c r="I172">
        <v>1234</v>
      </c>
      <c r="K172" t="s">
        <v>602</v>
      </c>
      <c r="L172" t="s">
        <v>1186</v>
      </c>
      <c r="M172" t="s">
        <v>1186</v>
      </c>
      <c r="N172" t="str">
        <f>INDEX(Table1_1[name],MATCH(E172,Table1_1[seq],0))</f>
        <v>customer_01</v>
      </c>
      <c r="O172" t="str">
        <f>INDEX(Table1_1[email],MATCH(E172,Table1_1[seq],0))</f>
        <v>customer_01@demo.co.kr</v>
      </c>
      <c r="P172" t="e">
        <f>INDEX(Table1_2[dbLoginID],MATCH(Table1[[#This Row],[userSeq]],Table1_2[seq],0))</f>
        <v>#N/A</v>
      </c>
      <c r="Q172" s="22" t="e">
        <f>INDEX(Table1_1[seq],MATCH(Table1[[#This Row],[dbLoginID'[TB_User']]],Table1_1[email],0))</f>
        <v>#N/A</v>
      </c>
    </row>
    <row r="173" spans="1:17" x14ac:dyDescent="0.3">
      <c r="A173">
        <v>3</v>
      </c>
      <c r="B173">
        <v>1</v>
      </c>
      <c r="C173">
        <v>13</v>
      </c>
      <c r="D173">
        <v>1</v>
      </c>
      <c r="E173">
        <v>3</v>
      </c>
      <c r="F173">
        <v>0</v>
      </c>
      <c r="G173" t="s">
        <v>1187</v>
      </c>
      <c r="H173" t="s">
        <v>1113</v>
      </c>
      <c r="I173" t="s">
        <v>960</v>
      </c>
      <c r="J173" t="s">
        <v>1188</v>
      </c>
      <c r="K173" t="s">
        <v>602</v>
      </c>
      <c r="L173" t="s">
        <v>1189</v>
      </c>
      <c r="M173" t="s">
        <v>1190</v>
      </c>
      <c r="N173" t="str">
        <f>INDEX(Table1_1[name],MATCH(E173,Table1_1[seq],0))</f>
        <v>김신영</v>
      </c>
      <c r="O173" t="str">
        <f>INDEX(Table1_1[email],MATCH(E173,Table1_1[seq],0))</f>
        <v>service2@ezchemtech.com</v>
      </c>
      <c r="P173" t="str">
        <f>INDEX(Table1_2[dbLoginID],MATCH(Table1[[#This Row],[userSeq]],Table1_2[seq],0))</f>
        <v>eden.lee@ez-office.co.kr</v>
      </c>
      <c r="Q173" s="22">
        <f>INDEX(Table1_1[seq],MATCH(Table1[[#This Row],[dbLoginID'[TB_User']]],Table1_1[email],0))</f>
        <v>71</v>
      </c>
    </row>
    <row r="174" spans="1:17" x14ac:dyDescent="0.3">
      <c r="A174">
        <v>2</v>
      </c>
      <c r="B174">
        <v>5</v>
      </c>
      <c r="C174">
        <v>17</v>
      </c>
      <c r="D174">
        <v>3</v>
      </c>
      <c r="E174">
        <v>1</v>
      </c>
      <c r="F174">
        <v>0</v>
      </c>
      <c r="G174" t="s">
        <v>1191</v>
      </c>
      <c r="H174" t="s">
        <v>1113</v>
      </c>
      <c r="I174" t="s">
        <v>1192</v>
      </c>
      <c r="K174" t="s">
        <v>602</v>
      </c>
      <c r="L174" t="s">
        <v>1193</v>
      </c>
      <c r="M174" t="s">
        <v>1194</v>
      </c>
      <c r="N174" t="str">
        <f>INDEX(Table1_1[name],MATCH(E174,Table1_1[seq],0))</f>
        <v>customer_01</v>
      </c>
      <c r="O174" t="str">
        <f>INDEX(Table1_1[email],MATCH(E174,Table1_1[seq],0))</f>
        <v>customer_01@demo.co.kr</v>
      </c>
      <c r="P174" t="str">
        <f>INDEX(Table1_2[dbLoginID],MATCH(Table1[[#This Row],[userSeq]],Table1_2[seq],0))</f>
        <v>customer_01@demo.co.kr</v>
      </c>
      <c r="Q174" s="22">
        <f>INDEX(Table1_1[seq],MATCH(Table1[[#This Row],[dbLoginID'[TB_User']]],Table1_1[email],0))</f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662B-8645-4639-97F4-22B8632A6D12}">
  <sheetPr codeName="Sheet16"/>
  <dimension ref="A5:T142"/>
  <sheetViews>
    <sheetView workbookViewId="0">
      <selection activeCell="I11" sqref="I11"/>
    </sheetView>
  </sheetViews>
  <sheetFormatPr defaultRowHeight="16.5" x14ac:dyDescent="0.3"/>
  <cols>
    <col min="8" max="8" width="20.125" customWidth="1"/>
    <col min="9" max="9" width="37.125" customWidth="1"/>
    <col min="17" max="17" width="22.375" customWidth="1"/>
    <col min="18" max="18" width="27.875" customWidth="1"/>
    <col min="19" max="19" width="26.375" customWidth="1"/>
    <col min="20" max="20" width="27" customWidth="1"/>
  </cols>
  <sheetData>
    <row r="5" spans="1:20" x14ac:dyDescent="0.3">
      <c r="A5" t="s">
        <v>1</v>
      </c>
      <c r="B5" t="s">
        <v>491</v>
      </c>
      <c r="C5" t="s">
        <v>492</v>
      </c>
      <c r="D5" t="s">
        <v>493</v>
      </c>
      <c r="E5" t="s">
        <v>2</v>
      </c>
      <c r="F5" t="s">
        <v>494</v>
      </c>
      <c r="G5" t="s">
        <v>4</v>
      </c>
      <c r="H5" t="s">
        <v>495</v>
      </c>
      <c r="I5" t="s">
        <v>3</v>
      </c>
      <c r="J5" t="s">
        <v>496</v>
      </c>
      <c r="K5" t="s">
        <v>497</v>
      </c>
      <c r="L5" t="s">
        <v>498</v>
      </c>
      <c r="M5" t="s">
        <v>499</v>
      </c>
      <c r="N5" t="s">
        <v>500</v>
      </c>
      <c r="O5" t="s">
        <v>501</v>
      </c>
      <c r="P5" t="s">
        <v>502</v>
      </c>
      <c r="Q5" t="s">
        <v>503</v>
      </c>
      <c r="R5" t="s">
        <v>504</v>
      </c>
      <c r="S5" t="s">
        <v>5</v>
      </c>
      <c r="T5" t="s">
        <v>6</v>
      </c>
    </row>
    <row r="6" spans="1:20" x14ac:dyDescent="0.3">
      <c r="A6">
        <v>189</v>
      </c>
      <c r="B6" t="s">
        <v>142</v>
      </c>
      <c r="H6">
        <v>1234</v>
      </c>
      <c r="I6" t="s">
        <v>593</v>
      </c>
      <c r="O6">
        <v>174</v>
      </c>
      <c r="P6" t="s">
        <v>594</v>
      </c>
      <c r="Q6" t="s">
        <v>594</v>
      </c>
      <c r="R6" t="s">
        <v>595</v>
      </c>
      <c r="S6" t="s">
        <v>596</v>
      </c>
      <c r="T6" t="s">
        <v>597</v>
      </c>
    </row>
    <row r="7" spans="1:20" x14ac:dyDescent="0.3">
      <c r="A7">
        <v>188</v>
      </c>
      <c r="B7" t="s">
        <v>205</v>
      </c>
      <c r="H7">
        <v>1234</v>
      </c>
      <c r="I7" t="s">
        <v>580</v>
      </c>
      <c r="O7">
        <v>173</v>
      </c>
      <c r="P7" t="s">
        <v>581</v>
      </c>
      <c r="Q7" t="s">
        <v>581</v>
      </c>
      <c r="S7" t="s">
        <v>582</v>
      </c>
      <c r="T7" t="s">
        <v>583</v>
      </c>
    </row>
    <row r="8" spans="1:20" x14ac:dyDescent="0.3">
      <c r="A8">
        <v>187</v>
      </c>
      <c r="B8" t="s">
        <v>133</v>
      </c>
      <c r="H8">
        <v>1234</v>
      </c>
      <c r="I8" t="s">
        <v>134</v>
      </c>
      <c r="O8">
        <v>172</v>
      </c>
      <c r="P8" t="s">
        <v>135</v>
      </c>
      <c r="Q8" t="s">
        <v>135</v>
      </c>
      <c r="S8" t="s">
        <v>136</v>
      </c>
      <c r="T8" t="s">
        <v>137</v>
      </c>
    </row>
    <row r="9" spans="1:20" x14ac:dyDescent="0.3">
      <c r="A9">
        <v>186</v>
      </c>
      <c r="B9" t="s">
        <v>133</v>
      </c>
      <c r="H9">
        <v>1234</v>
      </c>
      <c r="I9" t="s">
        <v>138</v>
      </c>
      <c r="O9">
        <v>171</v>
      </c>
      <c r="P9" t="s">
        <v>139</v>
      </c>
      <c r="Q9" t="s">
        <v>139</v>
      </c>
      <c r="S9" t="s">
        <v>140</v>
      </c>
      <c r="T9" t="s">
        <v>141</v>
      </c>
    </row>
    <row r="10" spans="1:20" x14ac:dyDescent="0.3">
      <c r="A10">
        <v>185</v>
      </c>
      <c r="B10" t="s">
        <v>142</v>
      </c>
      <c r="H10">
        <v>1234</v>
      </c>
      <c r="I10" t="s">
        <v>143</v>
      </c>
      <c r="O10">
        <v>170</v>
      </c>
      <c r="P10" t="s">
        <v>144</v>
      </c>
      <c r="Q10" t="s">
        <v>144</v>
      </c>
      <c r="S10" t="s">
        <v>145</v>
      </c>
      <c r="T10" t="s">
        <v>146</v>
      </c>
    </row>
    <row r="11" spans="1:20" x14ac:dyDescent="0.3">
      <c r="A11">
        <v>184</v>
      </c>
      <c r="B11" t="s">
        <v>142</v>
      </c>
      <c r="E11" t="s">
        <v>147</v>
      </c>
      <c r="H11">
        <v>1234</v>
      </c>
      <c r="I11" t="s">
        <v>148</v>
      </c>
      <c r="O11">
        <v>169</v>
      </c>
      <c r="P11" t="s">
        <v>149</v>
      </c>
      <c r="Q11" t="s">
        <v>149</v>
      </c>
      <c r="S11" t="s">
        <v>150</v>
      </c>
      <c r="T11" t="s">
        <v>151</v>
      </c>
    </row>
    <row r="12" spans="1:20" x14ac:dyDescent="0.3">
      <c r="A12">
        <v>183</v>
      </c>
      <c r="B12" t="s">
        <v>142</v>
      </c>
      <c r="E12" t="s">
        <v>152</v>
      </c>
      <c r="H12">
        <v>1234</v>
      </c>
      <c r="I12" t="s">
        <v>153</v>
      </c>
      <c r="O12">
        <v>168</v>
      </c>
      <c r="P12" t="s">
        <v>154</v>
      </c>
      <c r="Q12" t="s">
        <v>154</v>
      </c>
      <c r="S12" t="s">
        <v>155</v>
      </c>
      <c r="T12" t="s">
        <v>156</v>
      </c>
    </row>
    <row r="13" spans="1:20" x14ac:dyDescent="0.3">
      <c r="A13">
        <v>182</v>
      </c>
      <c r="B13" t="s">
        <v>157</v>
      </c>
      <c r="C13">
        <v>3</v>
      </c>
      <c r="H13">
        <v>1234</v>
      </c>
      <c r="I13" t="s">
        <v>158</v>
      </c>
      <c r="O13">
        <v>157</v>
      </c>
      <c r="P13" t="s">
        <v>159</v>
      </c>
      <c r="Q13" t="s">
        <v>159</v>
      </c>
      <c r="S13" t="s">
        <v>159</v>
      </c>
      <c r="T13" t="s">
        <v>159</v>
      </c>
    </row>
    <row r="14" spans="1:20" x14ac:dyDescent="0.3">
      <c r="A14">
        <v>181</v>
      </c>
      <c r="B14" t="s">
        <v>142</v>
      </c>
      <c r="E14" t="s">
        <v>160</v>
      </c>
      <c r="H14">
        <v>1234</v>
      </c>
      <c r="I14" t="s">
        <v>161</v>
      </c>
      <c r="O14">
        <v>167</v>
      </c>
      <c r="P14" t="s">
        <v>162</v>
      </c>
      <c r="Q14" t="s">
        <v>162</v>
      </c>
      <c r="S14" t="s">
        <v>163</v>
      </c>
      <c r="T14" t="s">
        <v>164</v>
      </c>
    </row>
    <row r="15" spans="1:20" x14ac:dyDescent="0.3">
      <c r="A15">
        <v>173</v>
      </c>
      <c r="B15" t="s">
        <v>165</v>
      </c>
      <c r="C15">
        <v>5</v>
      </c>
      <c r="H15">
        <v>1234</v>
      </c>
      <c r="I15" t="s">
        <v>166</v>
      </c>
      <c r="O15">
        <v>149</v>
      </c>
      <c r="P15" t="s">
        <v>167</v>
      </c>
      <c r="Q15" t="s">
        <v>167</v>
      </c>
      <c r="S15" t="s">
        <v>167</v>
      </c>
      <c r="T15" t="s">
        <v>167</v>
      </c>
    </row>
    <row r="16" spans="1:20" x14ac:dyDescent="0.3">
      <c r="A16">
        <v>172</v>
      </c>
      <c r="B16" t="s">
        <v>165</v>
      </c>
      <c r="C16">
        <v>4</v>
      </c>
      <c r="E16" t="s">
        <v>147</v>
      </c>
      <c r="H16">
        <v>1234</v>
      </c>
      <c r="I16" t="s">
        <v>168</v>
      </c>
      <c r="O16">
        <v>146</v>
      </c>
      <c r="P16" t="s">
        <v>167</v>
      </c>
      <c r="Q16" t="s">
        <v>167</v>
      </c>
      <c r="S16" t="s">
        <v>167</v>
      </c>
      <c r="T16" t="s">
        <v>167</v>
      </c>
    </row>
    <row r="17" spans="1:20" x14ac:dyDescent="0.3">
      <c r="A17">
        <v>171</v>
      </c>
      <c r="B17" t="s">
        <v>165</v>
      </c>
      <c r="C17">
        <v>3</v>
      </c>
      <c r="E17" t="s">
        <v>169</v>
      </c>
      <c r="H17">
        <v>1234</v>
      </c>
      <c r="I17" t="s">
        <v>170</v>
      </c>
      <c r="O17">
        <v>145</v>
      </c>
      <c r="P17" t="s">
        <v>167</v>
      </c>
      <c r="Q17" t="s">
        <v>167</v>
      </c>
      <c r="S17" t="s">
        <v>167</v>
      </c>
      <c r="T17" t="s">
        <v>167</v>
      </c>
    </row>
    <row r="18" spans="1:20" x14ac:dyDescent="0.3">
      <c r="A18">
        <v>170</v>
      </c>
      <c r="B18" t="s">
        <v>165</v>
      </c>
      <c r="C18">
        <v>2</v>
      </c>
      <c r="E18" t="s">
        <v>171</v>
      </c>
      <c r="H18">
        <v>1234</v>
      </c>
      <c r="I18" t="s">
        <v>172</v>
      </c>
      <c r="O18">
        <v>144</v>
      </c>
      <c r="P18" t="s">
        <v>167</v>
      </c>
      <c r="Q18" t="s">
        <v>167</v>
      </c>
      <c r="S18" t="s">
        <v>167</v>
      </c>
      <c r="T18" t="s">
        <v>167</v>
      </c>
    </row>
    <row r="19" spans="1:20" x14ac:dyDescent="0.3">
      <c r="A19">
        <v>169</v>
      </c>
      <c r="B19" t="s">
        <v>165</v>
      </c>
      <c r="C19">
        <v>1</v>
      </c>
      <c r="E19" t="s">
        <v>173</v>
      </c>
      <c r="H19">
        <v>1234</v>
      </c>
      <c r="I19" t="s">
        <v>174</v>
      </c>
      <c r="O19">
        <v>141</v>
      </c>
      <c r="P19" t="s">
        <v>167</v>
      </c>
      <c r="Q19" t="s">
        <v>167</v>
      </c>
      <c r="S19" t="s">
        <v>167</v>
      </c>
      <c r="T19" t="s">
        <v>167</v>
      </c>
    </row>
    <row r="20" spans="1:20" x14ac:dyDescent="0.3">
      <c r="A20">
        <v>153</v>
      </c>
      <c r="B20" t="s">
        <v>175</v>
      </c>
      <c r="C20">
        <v>39</v>
      </c>
      <c r="F20" t="s">
        <v>176</v>
      </c>
      <c r="G20">
        <v>5</v>
      </c>
      <c r="H20">
        <v>1234</v>
      </c>
      <c r="I20" t="s">
        <v>177</v>
      </c>
      <c r="O20">
        <v>148</v>
      </c>
      <c r="P20" t="s">
        <v>178</v>
      </c>
      <c r="Q20" t="s">
        <v>178</v>
      </c>
      <c r="S20" t="s">
        <v>179</v>
      </c>
      <c r="T20" t="s">
        <v>179</v>
      </c>
    </row>
    <row r="21" spans="1:20" x14ac:dyDescent="0.3">
      <c r="A21">
        <v>147</v>
      </c>
      <c r="B21" t="s">
        <v>180</v>
      </c>
      <c r="C21">
        <v>21</v>
      </c>
      <c r="E21" t="s">
        <v>181</v>
      </c>
      <c r="F21" t="s">
        <v>176</v>
      </c>
      <c r="G21">
        <v>5</v>
      </c>
      <c r="H21">
        <v>1234</v>
      </c>
      <c r="I21" t="s">
        <v>182</v>
      </c>
      <c r="O21">
        <v>147</v>
      </c>
      <c r="P21" t="s">
        <v>183</v>
      </c>
      <c r="Q21" t="s">
        <v>183</v>
      </c>
      <c r="S21" t="s">
        <v>184</v>
      </c>
      <c r="T21" t="s">
        <v>184</v>
      </c>
    </row>
    <row r="22" spans="1:20" x14ac:dyDescent="0.3">
      <c r="A22">
        <v>129</v>
      </c>
      <c r="B22" t="s">
        <v>185</v>
      </c>
      <c r="C22">
        <v>2</v>
      </c>
      <c r="E22" t="s">
        <v>186</v>
      </c>
      <c r="F22" t="s">
        <v>187</v>
      </c>
      <c r="G22">
        <v>-1</v>
      </c>
      <c r="H22" t="s">
        <v>188</v>
      </c>
      <c r="I22" t="s">
        <v>189</v>
      </c>
      <c r="K22" t="s">
        <v>190</v>
      </c>
      <c r="L22" t="s">
        <v>190</v>
      </c>
      <c r="P22" t="s">
        <v>191</v>
      </c>
      <c r="Q22" t="s">
        <v>192</v>
      </c>
      <c r="S22" t="s">
        <v>193</v>
      </c>
      <c r="T22" t="s">
        <v>193</v>
      </c>
    </row>
    <row r="23" spans="1:20" x14ac:dyDescent="0.3">
      <c r="A23">
        <v>128</v>
      </c>
      <c r="B23" t="s">
        <v>194</v>
      </c>
      <c r="C23">
        <v>2</v>
      </c>
      <c r="H23">
        <v>1234</v>
      </c>
      <c r="I23" t="s">
        <v>195</v>
      </c>
      <c r="O23">
        <v>143</v>
      </c>
      <c r="P23" t="s">
        <v>196</v>
      </c>
      <c r="Q23" t="s">
        <v>196</v>
      </c>
      <c r="S23" t="s">
        <v>196</v>
      </c>
      <c r="T23" t="s">
        <v>196</v>
      </c>
    </row>
    <row r="24" spans="1:20" x14ac:dyDescent="0.3">
      <c r="A24">
        <v>127</v>
      </c>
      <c r="B24" t="s">
        <v>194</v>
      </c>
      <c r="C24">
        <v>1</v>
      </c>
      <c r="H24">
        <v>1234</v>
      </c>
      <c r="I24" t="s">
        <v>197</v>
      </c>
      <c r="O24">
        <v>142</v>
      </c>
      <c r="P24" t="s">
        <v>198</v>
      </c>
      <c r="Q24" t="s">
        <v>198</v>
      </c>
      <c r="S24" t="s">
        <v>198</v>
      </c>
      <c r="T24" t="s">
        <v>198</v>
      </c>
    </row>
    <row r="25" spans="1:20" x14ac:dyDescent="0.3">
      <c r="A25">
        <v>125</v>
      </c>
      <c r="B25" t="s">
        <v>199</v>
      </c>
      <c r="C25">
        <v>5</v>
      </c>
      <c r="H25">
        <v>1234</v>
      </c>
      <c r="I25" t="s">
        <v>200</v>
      </c>
      <c r="O25">
        <v>140</v>
      </c>
      <c r="P25" t="s">
        <v>201</v>
      </c>
      <c r="Q25" t="s">
        <v>192</v>
      </c>
      <c r="S25" t="s">
        <v>202</v>
      </c>
      <c r="T25" t="s">
        <v>202</v>
      </c>
    </row>
    <row r="26" spans="1:20" x14ac:dyDescent="0.3">
      <c r="A26">
        <v>124</v>
      </c>
      <c r="B26" t="s">
        <v>199</v>
      </c>
      <c r="C26">
        <v>4</v>
      </c>
      <c r="H26">
        <v>1234</v>
      </c>
      <c r="I26" t="s">
        <v>203</v>
      </c>
      <c r="O26">
        <v>139</v>
      </c>
      <c r="P26" t="s">
        <v>201</v>
      </c>
      <c r="Q26" t="s">
        <v>192</v>
      </c>
      <c r="S26" t="s">
        <v>204</v>
      </c>
      <c r="T26" t="s">
        <v>204</v>
      </c>
    </row>
    <row r="27" spans="1:20" x14ac:dyDescent="0.3">
      <c r="A27">
        <v>123</v>
      </c>
      <c r="B27" t="s">
        <v>205</v>
      </c>
      <c r="C27">
        <v>1</v>
      </c>
      <c r="H27">
        <v>1234</v>
      </c>
      <c r="I27" t="s">
        <v>206</v>
      </c>
      <c r="O27">
        <v>138</v>
      </c>
      <c r="P27" t="s">
        <v>207</v>
      </c>
      <c r="Q27" t="s">
        <v>207</v>
      </c>
      <c r="S27" t="s">
        <v>207</v>
      </c>
      <c r="T27" t="s">
        <v>208</v>
      </c>
    </row>
    <row r="28" spans="1:20" x14ac:dyDescent="0.3">
      <c r="A28">
        <v>122</v>
      </c>
      <c r="B28" t="s">
        <v>209</v>
      </c>
      <c r="C28">
        <v>2</v>
      </c>
      <c r="H28">
        <v>1234</v>
      </c>
      <c r="I28" t="s">
        <v>210</v>
      </c>
      <c r="O28">
        <v>134</v>
      </c>
      <c r="P28" t="s">
        <v>207</v>
      </c>
      <c r="Q28" t="s">
        <v>207</v>
      </c>
      <c r="S28" t="s">
        <v>207</v>
      </c>
      <c r="T28" t="s">
        <v>207</v>
      </c>
    </row>
    <row r="29" spans="1:20" x14ac:dyDescent="0.3">
      <c r="A29">
        <v>121</v>
      </c>
      <c r="B29" t="s">
        <v>209</v>
      </c>
      <c r="C29">
        <v>1</v>
      </c>
      <c r="H29">
        <v>1234</v>
      </c>
      <c r="I29" t="s">
        <v>211</v>
      </c>
      <c r="O29">
        <v>133</v>
      </c>
      <c r="P29" t="s">
        <v>207</v>
      </c>
      <c r="Q29" t="s">
        <v>207</v>
      </c>
      <c r="S29" t="s">
        <v>207</v>
      </c>
      <c r="T29" t="s">
        <v>207</v>
      </c>
    </row>
    <row r="30" spans="1:20" x14ac:dyDescent="0.3">
      <c r="A30">
        <v>120</v>
      </c>
      <c r="B30" t="s">
        <v>212</v>
      </c>
      <c r="C30">
        <v>2</v>
      </c>
      <c r="E30" t="s">
        <v>213</v>
      </c>
      <c r="H30" t="s">
        <v>212</v>
      </c>
      <c r="I30" t="s">
        <v>214</v>
      </c>
      <c r="O30">
        <v>135</v>
      </c>
      <c r="P30" t="s">
        <v>207</v>
      </c>
      <c r="Q30" t="s">
        <v>207</v>
      </c>
      <c r="S30" t="s">
        <v>207</v>
      </c>
      <c r="T30" t="s">
        <v>207</v>
      </c>
    </row>
    <row r="31" spans="1:20" x14ac:dyDescent="0.3">
      <c r="A31">
        <v>119</v>
      </c>
      <c r="B31" t="s">
        <v>212</v>
      </c>
      <c r="C31">
        <v>1</v>
      </c>
      <c r="E31" t="s">
        <v>215</v>
      </c>
      <c r="H31" t="s">
        <v>212</v>
      </c>
      <c r="I31" t="s">
        <v>216</v>
      </c>
      <c r="O31">
        <v>122</v>
      </c>
      <c r="P31" t="s">
        <v>207</v>
      </c>
      <c r="Q31" t="s">
        <v>207</v>
      </c>
      <c r="S31" t="s">
        <v>207</v>
      </c>
      <c r="T31" t="s">
        <v>207</v>
      </c>
    </row>
    <row r="32" spans="1:20" x14ac:dyDescent="0.3">
      <c r="A32">
        <v>118</v>
      </c>
      <c r="B32" t="s">
        <v>217</v>
      </c>
      <c r="C32">
        <v>4</v>
      </c>
      <c r="H32">
        <v>1234</v>
      </c>
      <c r="I32" t="s">
        <v>218</v>
      </c>
      <c r="O32">
        <v>121</v>
      </c>
      <c r="P32" t="s">
        <v>207</v>
      </c>
      <c r="Q32" t="s">
        <v>207</v>
      </c>
      <c r="S32" t="s">
        <v>207</v>
      </c>
      <c r="T32" t="s">
        <v>207</v>
      </c>
    </row>
    <row r="33" spans="1:20" x14ac:dyDescent="0.3">
      <c r="A33">
        <v>117</v>
      </c>
      <c r="B33" t="s">
        <v>217</v>
      </c>
      <c r="C33">
        <v>3</v>
      </c>
      <c r="E33" t="s">
        <v>173</v>
      </c>
      <c r="H33">
        <v>1234</v>
      </c>
      <c r="I33" t="s">
        <v>219</v>
      </c>
      <c r="O33">
        <v>120</v>
      </c>
      <c r="P33" t="s">
        <v>207</v>
      </c>
      <c r="Q33" t="s">
        <v>207</v>
      </c>
      <c r="S33" t="s">
        <v>207</v>
      </c>
      <c r="T33" t="s">
        <v>207</v>
      </c>
    </row>
    <row r="34" spans="1:20" x14ac:dyDescent="0.3">
      <c r="A34">
        <v>116</v>
      </c>
      <c r="B34" t="s">
        <v>217</v>
      </c>
      <c r="C34">
        <v>2</v>
      </c>
      <c r="H34">
        <v>1234</v>
      </c>
      <c r="I34" t="s">
        <v>220</v>
      </c>
      <c r="O34">
        <v>119</v>
      </c>
      <c r="P34" t="s">
        <v>207</v>
      </c>
      <c r="Q34" t="s">
        <v>207</v>
      </c>
      <c r="S34" t="s">
        <v>207</v>
      </c>
      <c r="T34" t="s">
        <v>207</v>
      </c>
    </row>
    <row r="35" spans="1:20" x14ac:dyDescent="0.3">
      <c r="A35">
        <v>115</v>
      </c>
      <c r="B35" t="s">
        <v>217</v>
      </c>
      <c r="C35">
        <v>1</v>
      </c>
      <c r="E35" t="s">
        <v>147</v>
      </c>
      <c r="H35">
        <v>1234</v>
      </c>
      <c r="I35" t="s">
        <v>221</v>
      </c>
      <c r="O35">
        <v>118</v>
      </c>
      <c r="P35" t="s">
        <v>207</v>
      </c>
      <c r="Q35" t="s">
        <v>207</v>
      </c>
      <c r="S35" t="s">
        <v>207</v>
      </c>
      <c r="T35" t="s">
        <v>207</v>
      </c>
    </row>
    <row r="36" spans="1:20" x14ac:dyDescent="0.3">
      <c r="A36">
        <v>114</v>
      </c>
      <c r="B36" t="s">
        <v>222</v>
      </c>
      <c r="C36">
        <v>3</v>
      </c>
      <c r="H36">
        <v>1234</v>
      </c>
      <c r="I36" t="s">
        <v>223</v>
      </c>
      <c r="O36">
        <v>116</v>
      </c>
      <c r="P36" t="s">
        <v>207</v>
      </c>
      <c r="Q36" t="s">
        <v>207</v>
      </c>
      <c r="S36" t="s">
        <v>207</v>
      </c>
      <c r="T36" t="s">
        <v>207</v>
      </c>
    </row>
    <row r="37" spans="1:20" x14ac:dyDescent="0.3">
      <c r="A37">
        <v>113</v>
      </c>
      <c r="B37" t="s">
        <v>222</v>
      </c>
      <c r="C37">
        <v>2</v>
      </c>
      <c r="H37">
        <v>1234</v>
      </c>
      <c r="I37" t="s">
        <v>224</v>
      </c>
      <c r="O37">
        <v>115</v>
      </c>
      <c r="P37" t="s">
        <v>207</v>
      </c>
      <c r="Q37" t="s">
        <v>207</v>
      </c>
      <c r="S37" t="s">
        <v>207</v>
      </c>
      <c r="T37" t="s">
        <v>207</v>
      </c>
    </row>
    <row r="38" spans="1:20" x14ac:dyDescent="0.3">
      <c r="A38">
        <v>112</v>
      </c>
      <c r="B38" t="s">
        <v>222</v>
      </c>
      <c r="C38">
        <v>1</v>
      </c>
      <c r="H38">
        <v>1234</v>
      </c>
      <c r="I38" t="s">
        <v>225</v>
      </c>
      <c r="O38">
        <v>114</v>
      </c>
      <c r="P38" t="s">
        <v>207</v>
      </c>
      <c r="Q38" t="s">
        <v>207</v>
      </c>
      <c r="S38" t="s">
        <v>207</v>
      </c>
      <c r="T38" t="s">
        <v>207</v>
      </c>
    </row>
    <row r="39" spans="1:20" x14ac:dyDescent="0.3">
      <c r="A39">
        <v>111</v>
      </c>
      <c r="B39" t="s">
        <v>226</v>
      </c>
      <c r="C39">
        <v>4</v>
      </c>
      <c r="H39">
        <v>1234</v>
      </c>
      <c r="I39" t="s">
        <v>227</v>
      </c>
      <c r="O39">
        <v>117</v>
      </c>
      <c r="P39" t="s">
        <v>207</v>
      </c>
      <c r="Q39" t="s">
        <v>207</v>
      </c>
      <c r="S39" t="s">
        <v>207</v>
      </c>
      <c r="T39" t="s">
        <v>207</v>
      </c>
    </row>
    <row r="40" spans="1:20" x14ac:dyDescent="0.3">
      <c r="A40">
        <v>110</v>
      </c>
      <c r="B40" t="s">
        <v>226</v>
      </c>
      <c r="C40">
        <v>3</v>
      </c>
      <c r="E40" t="s">
        <v>173</v>
      </c>
      <c r="H40">
        <v>1234</v>
      </c>
      <c r="I40" t="s">
        <v>228</v>
      </c>
      <c r="O40">
        <v>113</v>
      </c>
      <c r="P40" t="s">
        <v>207</v>
      </c>
      <c r="Q40" t="s">
        <v>207</v>
      </c>
      <c r="S40" t="s">
        <v>207</v>
      </c>
      <c r="T40" t="s">
        <v>207</v>
      </c>
    </row>
    <row r="41" spans="1:20" x14ac:dyDescent="0.3">
      <c r="A41">
        <v>109</v>
      </c>
      <c r="B41" t="s">
        <v>226</v>
      </c>
      <c r="C41">
        <v>2</v>
      </c>
      <c r="E41" t="s">
        <v>171</v>
      </c>
      <c r="H41">
        <v>1234</v>
      </c>
      <c r="I41" t="s">
        <v>229</v>
      </c>
      <c r="O41">
        <v>112</v>
      </c>
      <c r="P41" t="s">
        <v>207</v>
      </c>
      <c r="Q41" t="s">
        <v>207</v>
      </c>
      <c r="S41" t="s">
        <v>207</v>
      </c>
      <c r="T41" t="s">
        <v>207</v>
      </c>
    </row>
    <row r="42" spans="1:20" x14ac:dyDescent="0.3">
      <c r="A42">
        <v>108</v>
      </c>
      <c r="B42" t="s">
        <v>226</v>
      </c>
      <c r="C42">
        <v>1</v>
      </c>
      <c r="E42" t="s">
        <v>147</v>
      </c>
      <c r="H42">
        <v>1234</v>
      </c>
      <c r="I42" t="s">
        <v>230</v>
      </c>
      <c r="O42">
        <v>111</v>
      </c>
      <c r="P42" t="s">
        <v>207</v>
      </c>
      <c r="Q42" t="s">
        <v>207</v>
      </c>
      <c r="S42" t="s">
        <v>207</v>
      </c>
      <c r="T42" t="s">
        <v>207</v>
      </c>
    </row>
    <row r="43" spans="1:20" x14ac:dyDescent="0.3">
      <c r="A43">
        <v>107</v>
      </c>
      <c r="B43" t="s">
        <v>231</v>
      </c>
      <c r="C43">
        <v>6</v>
      </c>
      <c r="H43">
        <v>1234</v>
      </c>
      <c r="I43" t="s">
        <v>232</v>
      </c>
      <c r="O43">
        <v>107</v>
      </c>
      <c r="P43" t="s">
        <v>207</v>
      </c>
      <c r="Q43" t="s">
        <v>207</v>
      </c>
      <c r="S43" t="s">
        <v>207</v>
      </c>
      <c r="T43" t="s">
        <v>207</v>
      </c>
    </row>
    <row r="44" spans="1:20" x14ac:dyDescent="0.3">
      <c r="A44">
        <v>106</v>
      </c>
      <c r="B44" t="s">
        <v>231</v>
      </c>
      <c r="C44">
        <v>5</v>
      </c>
      <c r="H44">
        <v>1234</v>
      </c>
      <c r="I44" t="s">
        <v>233</v>
      </c>
      <c r="O44">
        <v>106</v>
      </c>
      <c r="P44" t="s">
        <v>207</v>
      </c>
      <c r="Q44" t="s">
        <v>207</v>
      </c>
      <c r="S44" t="s">
        <v>207</v>
      </c>
      <c r="T44" t="s">
        <v>207</v>
      </c>
    </row>
    <row r="45" spans="1:20" x14ac:dyDescent="0.3">
      <c r="A45">
        <v>105</v>
      </c>
      <c r="B45" t="s">
        <v>231</v>
      </c>
      <c r="C45">
        <v>4</v>
      </c>
      <c r="H45">
        <v>1234</v>
      </c>
      <c r="I45" t="s">
        <v>234</v>
      </c>
      <c r="O45">
        <v>105</v>
      </c>
      <c r="P45" t="s">
        <v>207</v>
      </c>
      <c r="Q45" t="s">
        <v>207</v>
      </c>
      <c r="S45" t="s">
        <v>207</v>
      </c>
      <c r="T45" t="s">
        <v>207</v>
      </c>
    </row>
    <row r="46" spans="1:20" x14ac:dyDescent="0.3">
      <c r="A46">
        <v>104</v>
      </c>
      <c r="B46" t="s">
        <v>231</v>
      </c>
      <c r="C46">
        <v>3</v>
      </c>
      <c r="H46">
        <v>1234</v>
      </c>
      <c r="I46" t="s">
        <v>235</v>
      </c>
      <c r="O46">
        <v>104</v>
      </c>
      <c r="P46" t="s">
        <v>207</v>
      </c>
      <c r="Q46" t="s">
        <v>207</v>
      </c>
      <c r="S46" t="s">
        <v>207</v>
      </c>
      <c r="T46" t="s">
        <v>207</v>
      </c>
    </row>
    <row r="47" spans="1:20" x14ac:dyDescent="0.3">
      <c r="A47">
        <v>103</v>
      </c>
      <c r="B47" t="s">
        <v>231</v>
      </c>
      <c r="C47">
        <v>2</v>
      </c>
      <c r="H47">
        <v>1234</v>
      </c>
      <c r="I47" t="s">
        <v>236</v>
      </c>
      <c r="O47">
        <v>103</v>
      </c>
      <c r="P47" t="s">
        <v>207</v>
      </c>
      <c r="Q47" t="s">
        <v>207</v>
      </c>
      <c r="S47" t="s">
        <v>207</v>
      </c>
      <c r="T47" t="s">
        <v>207</v>
      </c>
    </row>
    <row r="48" spans="1:20" x14ac:dyDescent="0.3">
      <c r="A48">
        <v>102</v>
      </c>
      <c r="B48" t="s">
        <v>231</v>
      </c>
      <c r="C48">
        <v>1</v>
      </c>
      <c r="H48">
        <v>1234</v>
      </c>
      <c r="I48" t="s">
        <v>237</v>
      </c>
      <c r="O48">
        <v>102</v>
      </c>
      <c r="P48" t="s">
        <v>207</v>
      </c>
      <c r="Q48" t="s">
        <v>207</v>
      </c>
      <c r="S48" t="s">
        <v>207</v>
      </c>
      <c r="T48" t="s">
        <v>207</v>
      </c>
    </row>
    <row r="49" spans="1:20" x14ac:dyDescent="0.3">
      <c r="A49">
        <v>101</v>
      </c>
      <c r="B49" t="s">
        <v>238</v>
      </c>
      <c r="C49">
        <v>2</v>
      </c>
      <c r="H49">
        <v>1234</v>
      </c>
      <c r="I49" t="s">
        <v>239</v>
      </c>
      <c r="O49">
        <v>101</v>
      </c>
      <c r="P49" t="s">
        <v>207</v>
      </c>
      <c r="Q49" t="s">
        <v>207</v>
      </c>
      <c r="S49" t="s">
        <v>207</v>
      </c>
      <c r="T49" t="s">
        <v>207</v>
      </c>
    </row>
    <row r="50" spans="1:20" x14ac:dyDescent="0.3">
      <c r="A50">
        <v>100</v>
      </c>
      <c r="B50" t="s">
        <v>238</v>
      </c>
      <c r="C50">
        <v>1</v>
      </c>
      <c r="H50">
        <v>1234</v>
      </c>
      <c r="I50" t="s">
        <v>240</v>
      </c>
      <c r="O50">
        <v>100</v>
      </c>
      <c r="P50" t="s">
        <v>207</v>
      </c>
      <c r="Q50" t="s">
        <v>207</v>
      </c>
      <c r="S50" t="s">
        <v>207</v>
      </c>
      <c r="T50" t="s">
        <v>207</v>
      </c>
    </row>
    <row r="51" spans="1:20" x14ac:dyDescent="0.3">
      <c r="A51">
        <v>99</v>
      </c>
      <c r="B51" t="s">
        <v>199</v>
      </c>
      <c r="C51">
        <v>3</v>
      </c>
      <c r="E51" t="s">
        <v>147</v>
      </c>
      <c r="H51">
        <v>1234</v>
      </c>
      <c r="I51" t="s">
        <v>241</v>
      </c>
      <c r="O51">
        <v>85</v>
      </c>
      <c r="P51" t="s">
        <v>207</v>
      </c>
      <c r="Q51" t="s">
        <v>192</v>
      </c>
      <c r="S51" t="s">
        <v>242</v>
      </c>
      <c r="T51" t="s">
        <v>242</v>
      </c>
    </row>
    <row r="52" spans="1:20" x14ac:dyDescent="0.3">
      <c r="A52">
        <v>98</v>
      </c>
      <c r="B52" t="s">
        <v>243</v>
      </c>
      <c r="C52">
        <v>15</v>
      </c>
      <c r="H52">
        <v>1234</v>
      </c>
      <c r="I52" t="s">
        <v>244</v>
      </c>
      <c r="O52">
        <v>137</v>
      </c>
      <c r="P52" t="s">
        <v>207</v>
      </c>
      <c r="Q52" t="s">
        <v>192</v>
      </c>
      <c r="S52" t="s">
        <v>245</v>
      </c>
      <c r="T52" t="s">
        <v>245</v>
      </c>
    </row>
    <row r="53" spans="1:20" x14ac:dyDescent="0.3">
      <c r="A53">
        <v>97</v>
      </c>
      <c r="B53" t="s">
        <v>243</v>
      </c>
      <c r="C53">
        <v>14</v>
      </c>
      <c r="H53">
        <v>1234</v>
      </c>
      <c r="I53" t="s">
        <v>246</v>
      </c>
      <c r="O53">
        <v>136</v>
      </c>
      <c r="P53" t="s">
        <v>207</v>
      </c>
      <c r="Q53" t="s">
        <v>192</v>
      </c>
      <c r="S53" t="s">
        <v>247</v>
      </c>
      <c r="T53" t="s">
        <v>247</v>
      </c>
    </row>
    <row r="54" spans="1:20" x14ac:dyDescent="0.3">
      <c r="A54">
        <v>96</v>
      </c>
      <c r="B54" t="s">
        <v>243</v>
      </c>
      <c r="C54">
        <v>13</v>
      </c>
      <c r="H54">
        <v>1234</v>
      </c>
      <c r="I54" t="s">
        <v>248</v>
      </c>
      <c r="O54">
        <v>98</v>
      </c>
      <c r="P54" t="s">
        <v>207</v>
      </c>
      <c r="Q54" t="s">
        <v>192</v>
      </c>
      <c r="S54" t="s">
        <v>249</v>
      </c>
      <c r="T54" t="s">
        <v>249</v>
      </c>
    </row>
    <row r="55" spans="1:20" x14ac:dyDescent="0.3">
      <c r="A55">
        <v>95</v>
      </c>
      <c r="B55" t="s">
        <v>243</v>
      </c>
      <c r="C55">
        <v>12</v>
      </c>
      <c r="E55" t="s">
        <v>250</v>
      </c>
      <c r="H55">
        <v>1234</v>
      </c>
      <c r="I55" t="s">
        <v>251</v>
      </c>
      <c r="O55">
        <v>93</v>
      </c>
      <c r="P55" t="s">
        <v>207</v>
      </c>
      <c r="Q55" t="s">
        <v>192</v>
      </c>
      <c r="S55" t="s">
        <v>252</v>
      </c>
      <c r="T55" t="s">
        <v>252</v>
      </c>
    </row>
    <row r="56" spans="1:20" x14ac:dyDescent="0.3">
      <c r="A56">
        <v>94</v>
      </c>
      <c r="B56" t="s">
        <v>180</v>
      </c>
      <c r="C56">
        <v>20</v>
      </c>
      <c r="D56">
        <v>12</v>
      </c>
      <c r="E56" t="s">
        <v>147</v>
      </c>
      <c r="F56" t="s">
        <v>253</v>
      </c>
      <c r="G56">
        <v>0</v>
      </c>
      <c r="H56">
        <v>1234</v>
      </c>
      <c r="I56" t="s">
        <v>254</v>
      </c>
      <c r="K56" t="s">
        <v>255</v>
      </c>
      <c r="L56" t="s">
        <v>255</v>
      </c>
      <c r="M56" t="s">
        <v>256</v>
      </c>
      <c r="O56">
        <v>5</v>
      </c>
      <c r="P56" t="s">
        <v>207</v>
      </c>
      <c r="Q56" t="s">
        <v>192</v>
      </c>
      <c r="S56" t="s">
        <v>257</v>
      </c>
      <c r="T56" t="s">
        <v>257</v>
      </c>
    </row>
    <row r="57" spans="1:20" x14ac:dyDescent="0.3">
      <c r="A57">
        <v>93</v>
      </c>
      <c r="B57" t="s">
        <v>180</v>
      </c>
      <c r="C57">
        <v>19</v>
      </c>
      <c r="E57" t="s">
        <v>258</v>
      </c>
      <c r="H57">
        <v>1234</v>
      </c>
      <c r="I57" t="s">
        <v>259</v>
      </c>
      <c r="O57">
        <v>97</v>
      </c>
      <c r="P57" t="s">
        <v>207</v>
      </c>
      <c r="Q57" t="s">
        <v>192</v>
      </c>
      <c r="S57" t="s">
        <v>260</v>
      </c>
      <c r="T57" t="s">
        <v>260</v>
      </c>
    </row>
    <row r="58" spans="1:20" x14ac:dyDescent="0.3">
      <c r="A58">
        <v>92</v>
      </c>
      <c r="B58" t="s">
        <v>180</v>
      </c>
      <c r="C58">
        <v>15</v>
      </c>
      <c r="E58" t="s">
        <v>173</v>
      </c>
      <c r="G58">
        <v>0</v>
      </c>
      <c r="H58">
        <v>1234</v>
      </c>
      <c r="I58" t="s">
        <v>261</v>
      </c>
      <c r="O58">
        <v>87</v>
      </c>
      <c r="P58" t="s">
        <v>207</v>
      </c>
      <c r="Q58" t="s">
        <v>192</v>
      </c>
      <c r="S58" t="s">
        <v>262</v>
      </c>
      <c r="T58" t="s">
        <v>262</v>
      </c>
    </row>
    <row r="59" spans="1:20" x14ac:dyDescent="0.3">
      <c r="A59">
        <v>88</v>
      </c>
      <c r="B59" t="s">
        <v>199</v>
      </c>
      <c r="C59">
        <v>2</v>
      </c>
      <c r="E59" t="s">
        <v>263</v>
      </c>
      <c r="H59">
        <v>1234</v>
      </c>
      <c r="I59" t="s">
        <v>264</v>
      </c>
      <c r="O59">
        <v>84</v>
      </c>
      <c r="P59" t="s">
        <v>265</v>
      </c>
      <c r="Q59" t="s">
        <v>192</v>
      </c>
      <c r="S59" t="s">
        <v>266</v>
      </c>
      <c r="T59" t="s">
        <v>266</v>
      </c>
    </row>
    <row r="60" spans="1:20" x14ac:dyDescent="0.3">
      <c r="A60">
        <v>87</v>
      </c>
      <c r="B60" t="s">
        <v>199</v>
      </c>
      <c r="C60">
        <v>1</v>
      </c>
      <c r="E60" t="s">
        <v>186</v>
      </c>
      <c r="H60">
        <v>1234</v>
      </c>
      <c r="I60" t="s">
        <v>267</v>
      </c>
      <c r="O60">
        <v>83</v>
      </c>
      <c r="P60" t="s">
        <v>265</v>
      </c>
      <c r="Q60" t="s">
        <v>192</v>
      </c>
      <c r="S60" t="s">
        <v>268</v>
      </c>
      <c r="T60" t="s">
        <v>268</v>
      </c>
    </row>
    <row r="61" spans="1:20" x14ac:dyDescent="0.3">
      <c r="A61">
        <v>86</v>
      </c>
      <c r="B61" t="s">
        <v>269</v>
      </c>
      <c r="C61">
        <v>14</v>
      </c>
      <c r="D61">
        <v>7</v>
      </c>
      <c r="E61" t="s">
        <v>173</v>
      </c>
      <c r="F61" t="s">
        <v>270</v>
      </c>
      <c r="G61">
        <v>5</v>
      </c>
      <c r="H61" t="s">
        <v>271</v>
      </c>
      <c r="I61" t="s">
        <v>272</v>
      </c>
      <c r="J61">
        <v>5</v>
      </c>
      <c r="K61" t="s">
        <v>273</v>
      </c>
      <c r="L61" t="s">
        <v>273</v>
      </c>
      <c r="M61" t="s">
        <v>274</v>
      </c>
      <c r="O61">
        <v>79</v>
      </c>
      <c r="P61" t="s">
        <v>275</v>
      </c>
      <c r="Q61" t="s">
        <v>192</v>
      </c>
      <c r="S61" t="s">
        <v>276</v>
      </c>
      <c r="T61" t="s">
        <v>276</v>
      </c>
    </row>
    <row r="62" spans="1:20" x14ac:dyDescent="0.3">
      <c r="A62">
        <v>85</v>
      </c>
      <c r="B62" t="s">
        <v>243</v>
      </c>
      <c r="C62">
        <v>10</v>
      </c>
      <c r="H62">
        <v>1234</v>
      </c>
      <c r="I62" t="s">
        <v>277</v>
      </c>
      <c r="O62">
        <v>77</v>
      </c>
      <c r="P62" t="s">
        <v>278</v>
      </c>
      <c r="Q62" t="s">
        <v>192</v>
      </c>
      <c r="S62" t="s">
        <v>279</v>
      </c>
      <c r="T62" t="s">
        <v>279</v>
      </c>
    </row>
    <row r="63" spans="1:20" x14ac:dyDescent="0.3">
      <c r="A63">
        <v>84</v>
      </c>
      <c r="B63" t="s">
        <v>280</v>
      </c>
      <c r="C63">
        <v>12</v>
      </c>
      <c r="H63">
        <v>1234</v>
      </c>
      <c r="I63" t="s">
        <v>281</v>
      </c>
      <c r="O63">
        <v>74</v>
      </c>
      <c r="P63" t="s">
        <v>278</v>
      </c>
      <c r="Q63" t="s">
        <v>192</v>
      </c>
      <c r="S63" t="s">
        <v>282</v>
      </c>
      <c r="T63" t="s">
        <v>282</v>
      </c>
    </row>
    <row r="64" spans="1:20" x14ac:dyDescent="0.3">
      <c r="A64">
        <v>83</v>
      </c>
      <c r="B64" t="s">
        <v>280</v>
      </c>
      <c r="C64">
        <v>11</v>
      </c>
      <c r="H64">
        <v>1234</v>
      </c>
      <c r="I64" t="s">
        <v>283</v>
      </c>
      <c r="O64">
        <v>73</v>
      </c>
      <c r="P64" t="s">
        <v>278</v>
      </c>
      <c r="Q64" t="s">
        <v>192</v>
      </c>
      <c r="S64" t="s">
        <v>284</v>
      </c>
      <c r="T64" t="s">
        <v>284</v>
      </c>
    </row>
    <row r="65" spans="1:20" x14ac:dyDescent="0.3">
      <c r="A65">
        <v>82</v>
      </c>
      <c r="B65" t="s">
        <v>175</v>
      </c>
      <c r="C65">
        <v>38</v>
      </c>
      <c r="E65" t="s">
        <v>285</v>
      </c>
      <c r="H65">
        <v>1234</v>
      </c>
      <c r="I65" t="s">
        <v>286</v>
      </c>
      <c r="O65">
        <v>78</v>
      </c>
      <c r="P65" t="s">
        <v>278</v>
      </c>
      <c r="Q65" t="s">
        <v>192</v>
      </c>
      <c r="S65" t="s">
        <v>287</v>
      </c>
      <c r="T65" t="s">
        <v>287</v>
      </c>
    </row>
    <row r="66" spans="1:20" x14ac:dyDescent="0.3">
      <c r="A66">
        <v>81</v>
      </c>
      <c r="B66" t="s">
        <v>288</v>
      </c>
      <c r="C66">
        <v>5</v>
      </c>
      <c r="H66">
        <v>1234</v>
      </c>
      <c r="I66" t="s">
        <v>289</v>
      </c>
      <c r="O66">
        <v>75</v>
      </c>
      <c r="P66" t="s">
        <v>278</v>
      </c>
      <c r="Q66" t="s">
        <v>192</v>
      </c>
      <c r="S66" t="s">
        <v>290</v>
      </c>
      <c r="T66" t="s">
        <v>290</v>
      </c>
    </row>
    <row r="67" spans="1:20" x14ac:dyDescent="0.3">
      <c r="A67">
        <v>80</v>
      </c>
      <c r="B67" t="s">
        <v>288</v>
      </c>
      <c r="C67">
        <v>4</v>
      </c>
      <c r="D67">
        <v>4</v>
      </c>
      <c r="E67" t="s">
        <v>147</v>
      </c>
      <c r="F67" t="s">
        <v>253</v>
      </c>
      <c r="G67">
        <v>5</v>
      </c>
      <c r="H67">
        <v>1234</v>
      </c>
      <c r="I67" t="s">
        <v>291</v>
      </c>
      <c r="J67">
        <v>1</v>
      </c>
      <c r="K67" t="s">
        <v>255</v>
      </c>
      <c r="L67" t="s">
        <v>255</v>
      </c>
      <c r="M67" t="s">
        <v>256</v>
      </c>
      <c r="O67">
        <v>13</v>
      </c>
      <c r="P67" t="s">
        <v>278</v>
      </c>
      <c r="Q67" t="s">
        <v>192</v>
      </c>
      <c r="S67" t="s">
        <v>292</v>
      </c>
      <c r="T67" t="s">
        <v>292</v>
      </c>
    </row>
    <row r="68" spans="1:20" x14ac:dyDescent="0.3">
      <c r="A68">
        <v>75</v>
      </c>
      <c r="B68" t="s">
        <v>280</v>
      </c>
      <c r="C68">
        <v>6</v>
      </c>
      <c r="E68" t="s">
        <v>169</v>
      </c>
      <c r="H68">
        <v>1234</v>
      </c>
      <c r="I68" t="s">
        <v>293</v>
      </c>
      <c r="O68">
        <v>65</v>
      </c>
      <c r="P68" t="s">
        <v>294</v>
      </c>
      <c r="Q68" t="s">
        <v>192</v>
      </c>
      <c r="S68" t="s">
        <v>295</v>
      </c>
      <c r="T68" t="s">
        <v>295</v>
      </c>
    </row>
    <row r="69" spans="1:20" x14ac:dyDescent="0.3">
      <c r="A69">
        <v>74</v>
      </c>
      <c r="B69" t="s">
        <v>280</v>
      </c>
      <c r="C69">
        <v>5</v>
      </c>
      <c r="E69" t="s">
        <v>147</v>
      </c>
      <c r="H69">
        <v>1234</v>
      </c>
      <c r="I69" t="s">
        <v>296</v>
      </c>
      <c r="O69">
        <v>64</v>
      </c>
      <c r="P69" t="s">
        <v>294</v>
      </c>
      <c r="Q69" t="s">
        <v>192</v>
      </c>
      <c r="S69" t="s">
        <v>297</v>
      </c>
      <c r="T69" t="s">
        <v>297</v>
      </c>
    </row>
    <row r="70" spans="1:20" x14ac:dyDescent="0.3">
      <c r="A70">
        <v>73</v>
      </c>
      <c r="B70" t="s">
        <v>280</v>
      </c>
      <c r="C70">
        <v>4</v>
      </c>
      <c r="E70" t="s">
        <v>186</v>
      </c>
      <c r="G70">
        <v>-1</v>
      </c>
      <c r="H70" t="s">
        <v>298</v>
      </c>
      <c r="I70" t="s">
        <v>299</v>
      </c>
      <c r="O70">
        <v>63</v>
      </c>
      <c r="P70" t="s">
        <v>294</v>
      </c>
      <c r="Q70" t="s">
        <v>192</v>
      </c>
      <c r="S70" t="s">
        <v>300</v>
      </c>
      <c r="T70" t="s">
        <v>300</v>
      </c>
    </row>
    <row r="71" spans="1:20" x14ac:dyDescent="0.3">
      <c r="A71">
        <v>72</v>
      </c>
      <c r="B71" t="s">
        <v>280</v>
      </c>
      <c r="C71">
        <v>3</v>
      </c>
      <c r="E71" t="s">
        <v>147</v>
      </c>
      <c r="F71" t="s">
        <v>253</v>
      </c>
      <c r="G71">
        <v>5</v>
      </c>
      <c r="H71" t="s">
        <v>301</v>
      </c>
      <c r="I71" t="s">
        <v>302</v>
      </c>
      <c r="K71" t="s">
        <v>255</v>
      </c>
      <c r="O71">
        <v>13</v>
      </c>
      <c r="P71" t="s">
        <v>294</v>
      </c>
      <c r="Q71" t="s">
        <v>192</v>
      </c>
      <c r="S71" t="s">
        <v>303</v>
      </c>
      <c r="T71" t="s">
        <v>303</v>
      </c>
    </row>
    <row r="72" spans="1:20" x14ac:dyDescent="0.3">
      <c r="A72">
        <v>71</v>
      </c>
      <c r="B72" t="s">
        <v>280</v>
      </c>
      <c r="C72">
        <v>2</v>
      </c>
      <c r="E72" t="s">
        <v>169</v>
      </c>
      <c r="F72" t="s">
        <v>304</v>
      </c>
      <c r="G72">
        <v>0</v>
      </c>
      <c r="H72" t="s">
        <v>301</v>
      </c>
      <c r="I72" t="s">
        <v>305</v>
      </c>
      <c r="K72" t="s">
        <v>306</v>
      </c>
      <c r="M72" t="s">
        <v>256</v>
      </c>
      <c r="P72" t="s">
        <v>294</v>
      </c>
      <c r="Q72" t="s">
        <v>192</v>
      </c>
      <c r="S72" t="s">
        <v>303</v>
      </c>
      <c r="T72" t="s">
        <v>303</v>
      </c>
    </row>
    <row r="73" spans="1:20" x14ac:dyDescent="0.3">
      <c r="A73">
        <v>70</v>
      </c>
      <c r="B73" t="s">
        <v>175</v>
      </c>
      <c r="C73">
        <v>37</v>
      </c>
      <c r="H73">
        <v>1234</v>
      </c>
      <c r="I73" t="s">
        <v>307</v>
      </c>
      <c r="O73">
        <v>60</v>
      </c>
      <c r="P73" t="s">
        <v>308</v>
      </c>
      <c r="Q73" t="s">
        <v>192</v>
      </c>
      <c r="S73" t="s">
        <v>309</v>
      </c>
      <c r="T73" t="s">
        <v>309</v>
      </c>
    </row>
    <row r="74" spans="1:20" x14ac:dyDescent="0.3">
      <c r="A74">
        <v>69</v>
      </c>
      <c r="B74" t="s">
        <v>175</v>
      </c>
      <c r="C74">
        <v>36</v>
      </c>
      <c r="H74">
        <v>1234</v>
      </c>
      <c r="I74" t="s">
        <v>310</v>
      </c>
      <c r="O74">
        <v>59</v>
      </c>
      <c r="P74" t="s">
        <v>308</v>
      </c>
      <c r="Q74" t="s">
        <v>192</v>
      </c>
      <c r="S74" t="s">
        <v>311</v>
      </c>
      <c r="T74" t="s">
        <v>311</v>
      </c>
    </row>
    <row r="75" spans="1:20" x14ac:dyDescent="0.3">
      <c r="A75">
        <v>68</v>
      </c>
      <c r="B75" t="s">
        <v>175</v>
      </c>
      <c r="C75">
        <v>35</v>
      </c>
      <c r="E75" t="s">
        <v>312</v>
      </c>
      <c r="H75">
        <v>1234</v>
      </c>
      <c r="I75" t="s">
        <v>313</v>
      </c>
      <c r="O75">
        <v>58</v>
      </c>
      <c r="P75" t="s">
        <v>308</v>
      </c>
      <c r="Q75" t="s">
        <v>192</v>
      </c>
      <c r="S75" t="s">
        <v>314</v>
      </c>
      <c r="T75" t="s">
        <v>314</v>
      </c>
    </row>
    <row r="76" spans="1:20" x14ac:dyDescent="0.3">
      <c r="A76">
        <v>67</v>
      </c>
      <c r="B76" t="s">
        <v>133</v>
      </c>
      <c r="C76">
        <v>9</v>
      </c>
      <c r="D76">
        <v>1</v>
      </c>
      <c r="E76" t="s">
        <v>186</v>
      </c>
      <c r="F76" t="s">
        <v>187</v>
      </c>
      <c r="G76">
        <v>-1</v>
      </c>
      <c r="H76" t="s">
        <v>188</v>
      </c>
      <c r="I76" t="s">
        <v>189</v>
      </c>
      <c r="K76" t="s">
        <v>190</v>
      </c>
      <c r="L76" t="s">
        <v>190</v>
      </c>
      <c r="M76" t="s">
        <v>256</v>
      </c>
      <c r="N76" t="s">
        <v>315</v>
      </c>
      <c r="P76" t="s">
        <v>308</v>
      </c>
      <c r="Q76" t="s">
        <v>192</v>
      </c>
      <c r="S76" t="s">
        <v>316</v>
      </c>
      <c r="T76" t="s">
        <v>316</v>
      </c>
    </row>
    <row r="77" spans="1:20" x14ac:dyDescent="0.3">
      <c r="A77">
        <v>66</v>
      </c>
      <c r="B77" t="s">
        <v>133</v>
      </c>
      <c r="C77">
        <v>8</v>
      </c>
      <c r="D77">
        <v>3</v>
      </c>
      <c r="E77" t="s">
        <v>317</v>
      </c>
      <c r="F77" t="s">
        <v>318</v>
      </c>
      <c r="G77">
        <v>3</v>
      </c>
      <c r="H77">
        <v>1234</v>
      </c>
      <c r="I77" t="s">
        <v>319</v>
      </c>
      <c r="M77" t="s">
        <v>256</v>
      </c>
      <c r="N77" t="s">
        <v>320</v>
      </c>
      <c r="P77" t="s">
        <v>308</v>
      </c>
      <c r="Q77" t="s">
        <v>192</v>
      </c>
      <c r="S77" t="s">
        <v>321</v>
      </c>
      <c r="T77" t="s">
        <v>321</v>
      </c>
    </row>
    <row r="78" spans="1:20" x14ac:dyDescent="0.3">
      <c r="A78">
        <v>65</v>
      </c>
      <c r="B78" t="s">
        <v>133</v>
      </c>
      <c r="C78">
        <v>7</v>
      </c>
      <c r="D78">
        <v>20</v>
      </c>
      <c r="E78" t="s">
        <v>322</v>
      </c>
      <c r="F78" t="s">
        <v>323</v>
      </c>
      <c r="G78">
        <v>5</v>
      </c>
      <c r="I78" t="s">
        <v>324</v>
      </c>
      <c r="K78" t="s">
        <v>322</v>
      </c>
      <c r="L78" t="s">
        <v>325</v>
      </c>
      <c r="N78" t="s">
        <v>320</v>
      </c>
      <c r="P78" t="s">
        <v>308</v>
      </c>
      <c r="Q78" t="s">
        <v>192</v>
      </c>
      <c r="S78" t="s">
        <v>326</v>
      </c>
      <c r="T78" t="s">
        <v>326</v>
      </c>
    </row>
    <row r="79" spans="1:20" x14ac:dyDescent="0.3">
      <c r="A79">
        <v>64</v>
      </c>
      <c r="B79" t="s">
        <v>133</v>
      </c>
      <c r="C79">
        <v>6</v>
      </c>
      <c r="D79">
        <v>15</v>
      </c>
      <c r="E79" t="s">
        <v>327</v>
      </c>
      <c r="F79" t="s">
        <v>187</v>
      </c>
      <c r="G79">
        <v>5</v>
      </c>
      <c r="H79" t="s">
        <v>328</v>
      </c>
      <c r="I79" t="s">
        <v>329</v>
      </c>
      <c r="K79" t="s">
        <v>330</v>
      </c>
      <c r="L79" t="s">
        <v>190</v>
      </c>
      <c r="M79" t="s">
        <v>331</v>
      </c>
      <c r="N79" t="s">
        <v>320</v>
      </c>
      <c r="P79" t="s">
        <v>308</v>
      </c>
      <c r="Q79" t="s">
        <v>192</v>
      </c>
      <c r="S79" t="s">
        <v>332</v>
      </c>
      <c r="T79" t="s">
        <v>332</v>
      </c>
    </row>
    <row r="80" spans="1:20" x14ac:dyDescent="0.3">
      <c r="A80">
        <v>63</v>
      </c>
      <c r="B80" t="s">
        <v>133</v>
      </c>
      <c r="C80">
        <v>5</v>
      </c>
      <c r="D80">
        <v>14</v>
      </c>
      <c r="E80" t="s">
        <v>333</v>
      </c>
      <c r="F80" t="s">
        <v>334</v>
      </c>
      <c r="G80">
        <v>3</v>
      </c>
      <c r="H80" t="s">
        <v>301</v>
      </c>
      <c r="I80" t="s">
        <v>335</v>
      </c>
      <c r="K80" t="s">
        <v>336</v>
      </c>
      <c r="L80" t="s">
        <v>336</v>
      </c>
      <c r="M80" t="s">
        <v>337</v>
      </c>
      <c r="N80" t="s">
        <v>338</v>
      </c>
      <c r="O80">
        <v>18</v>
      </c>
      <c r="P80" t="s">
        <v>308</v>
      </c>
      <c r="Q80" t="s">
        <v>192</v>
      </c>
      <c r="R80" t="s">
        <v>339</v>
      </c>
      <c r="S80" t="s">
        <v>340</v>
      </c>
      <c r="T80" t="s">
        <v>341</v>
      </c>
    </row>
    <row r="81" spans="1:20" x14ac:dyDescent="0.3">
      <c r="A81">
        <v>62</v>
      </c>
      <c r="B81" t="s">
        <v>133</v>
      </c>
      <c r="C81">
        <v>4</v>
      </c>
      <c r="D81">
        <v>5</v>
      </c>
      <c r="E81" t="s">
        <v>147</v>
      </c>
      <c r="F81" t="s">
        <v>187</v>
      </c>
      <c r="G81">
        <v>5</v>
      </c>
      <c r="H81">
        <v>1234</v>
      </c>
      <c r="I81" t="s">
        <v>302</v>
      </c>
      <c r="K81" t="s">
        <v>255</v>
      </c>
      <c r="L81" t="s">
        <v>273</v>
      </c>
      <c r="M81" t="s">
        <v>256</v>
      </c>
      <c r="N81" t="s">
        <v>320</v>
      </c>
      <c r="O81">
        <v>13</v>
      </c>
      <c r="P81" t="s">
        <v>308</v>
      </c>
      <c r="Q81" t="s">
        <v>192</v>
      </c>
      <c r="S81" t="s">
        <v>342</v>
      </c>
      <c r="T81" t="s">
        <v>342</v>
      </c>
    </row>
    <row r="82" spans="1:20" x14ac:dyDescent="0.3">
      <c r="A82">
        <v>61</v>
      </c>
      <c r="B82" t="s">
        <v>133</v>
      </c>
      <c r="C82">
        <v>3</v>
      </c>
      <c r="D82">
        <v>9</v>
      </c>
      <c r="E82" t="s">
        <v>343</v>
      </c>
      <c r="F82" t="s">
        <v>344</v>
      </c>
      <c r="G82">
        <v>3</v>
      </c>
      <c r="H82" t="s">
        <v>301</v>
      </c>
      <c r="I82" t="s">
        <v>345</v>
      </c>
      <c r="K82" t="s">
        <v>346</v>
      </c>
      <c r="L82" t="s">
        <v>346</v>
      </c>
      <c r="M82" t="s">
        <v>256</v>
      </c>
      <c r="N82" t="s">
        <v>320</v>
      </c>
      <c r="O82">
        <v>2</v>
      </c>
      <c r="P82" t="s">
        <v>308</v>
      </c>
      <c r="Q82" t="s">
        <v>192</v>
      </c>
      <c r="S82" t="s">
        <v>347</v>
      </c>
      <c r="T82" t="s">
        <v>347</v>
      </c>
    </row>
    <row r="83" spans="1:20" x14ac:dyDescent="0.3">
      <c r="A83">
        <v>60</v>
      </c>
      <c r="B83" t="s">
        <v>133</v>
      </c>
      <c r="C83">
        <v>2</v>
      </c>
      <c r="D83">
        <v>19</v>
      </c>
      <c r="E83" t="s">
        <v>169</v>
      </c>
      <c r="F83" t="s">
        <v>304</v>
      </c>
      <c r="G83">
        <v>0</v>
      </c>
      <c r="H83">
        <v>1234</v>
      </c>
      <c r="I83" t="s">
        <v>305</v>
      </c>
      <c r="K83" t="s">
        <v>306</v>
      </c>
      <c r="L83" t="s">
        <v>190</v>
      </c>
      <c r="M83" t="s">
        <v>256</v>
      </c>
      <c r="N83" t="s">
        <v>320</v>
      </c>
      <c r="P83" t="s">
        <v>308</v>
      </c>
      <c r="Q83" t="s">
        <v>192</v>
      </c>
      <c r="S83" t="s">
        <v>348</v>
      </c>
      <c r="T83" t="s">
        <v>348</v>
      </c>
    </row>
    <row r="84" spans="1:20" x14ac:dyDescent="0.3">
      <c r="A84">
        <v>59</v>
      </c>
      <c r="B84" t="s">
        <v>133</v>
      </c>
      <c r="C84">
        <v>1</v>
      </c>
      <c r="D84">
        <v>2</v>
      </c>
      <c r="E84" t="s">
        <v>185</v>
      </c>
      <c r="F84" t="s">
        <v>318</v>
      </c>
      <c r="G84">
        <v>5</v>
      </c>
      <c r="H84">
        <v>1234</v>
      </c>
      <c r="I84" t="s">
        <v>349</v>
      </c>
      <c r="M84" t="s">
        <v>331</v>
      </c>
      <c r="N84" t="s">
        <v>350</v>
      </c>
      <c r="O84">
        <v>1</v>
      </c>
      <c r="P84" t="s">
        <v>308</v>
      </c>
      <c r="Q84" t="s">
        <v>192</v>
      </c>
      <c r="S84" t="s">
        <v>351</v>
      </c>
      <c r="T84" t="s">
        <v>351</v>
      </c>
    </row>
    <row r="85" spans="1:20" x14ac:dyDescent="0.3">
      <c r="A85">
        <v>58</v>
      </c>
      <c r="B85" t="s">
        <v>175</v>
      </c>
      <c r="C85">
        <v>32</v>
      </c>
      <c r="D85">
        <v>28</v>
      </c>
      <c r="E85" t="s">
        <v>352</v>
      </c>
      <c r="F85" t="s">
        <v>353</v>
      </c>
      <c r="G85">
        <v>5</v>
      </c>
      <c r="H85" t="s">
        <v>301</v>
      </c>
      <c r="I85" t="s">
        <v>354</v>
      </c>
      <c r="K85" t="s">
        <v>355</v>
      </c>
      <c r="L85" t="s">
        <v>355</v>
      </c>
      <c r="O85">
        <v>30</v>
      </c>
      <c r="P85" t="s">
        <v>356</v>
      </c>
      <c r="Q85" t="s">
        <v>192</v>
      </c>
      <c r="S85" t="s">
        <v>357</v>
      </c>
      <c r="T85" t="s">
        <v>358</v>
      </c>
    </row>
    <row r="86" spans="1:20" x14ac:dyDescent="0.3">
      <c r="A86">
        <v>57</v>
      </c>
      <c r="B86" t="s">
        <v>175</v>
      </c>
      <c r="C86">
        <v>31</v>
      </c>
      <c r="D86">
        <v>27</v>
      </c>
      <c r="E86" t="s">
        <v>171</v>
      </c>
      <c r="F86" t="s">
        <v>344</v>
      </c>
      <c r="G86">
        <v>1</v>
      </c>
      <c r="H86" t="s">
        <v>301</v>
      </c>
      <c r="I86" t="s">
        <v>359</v>
      </c>
      <c r="K86" t="s">
        <v>360</v>
      </c>
      <c r="L86" t="s">
        <v>360</v>
      </c>
      <c r="M86" t="s">
        <v>274</v>
      </c>
      <c r="O86">
        <v>31</v>
      </c>
      <c r="P86" t="s">
        <v>356</v>
      </c>
      <c r="Q86" t="s">
        <v>192</v>
      </c>
      <c r="S86" t="s">
        <v>357</v>
      </c>
      <c r="T86" t="s">
        <v>361</v>
      </c>
    </row>
    <row r="87" spans="1:20" x14ac:dyDescent="0.3">
      <c r="A87">
        <v>56</v>
      </c>
      <c r="B87" t="s">
        <v>175</v>
      </c>
      <c r="C87">
        <v>27</v>
      </c>
      <c r="D87">
        <v>24</v>
      </c>
      <c r="E87" t="s">
        <v>147</v>
      </c>
      <c r="F87" t="s">
        <v>253</v>
      </c>
      <c r="G87">
        <v>5</v>
      </c>
      <c r="H87" t="s">
        <v>301</v>
      </c>
      <c r="I87" t="s">
        <v>302</v>
      </c>
      <c r="K87" t="s">
        <v>255</v>
      </c>
      <c r="L87" t="s">
        <v>273</v>
      </c>
      <c r="O87">
        <v>13</v>
      </c>
      <c r="P87" t="s">
        <v>356</v>
      </c>
      <c r="Q87" t="s">
        <v>192</v>
      </c>
      <c r="S87" t="s">
        <v>362</v>
      </c>
      <c r="T87" t="s">
        <v>362</v>
      </c>
    </row>
    <row r="88" spans="1:20" x14ac:dyDescent="0.3">
      <c r="A88">
        <v>55</v>
      </c>
      <c r="B88" t="s">
        <v>175</v>
      </c>
      <c r="C88">
        <v>26</v>
      </c>
      <c r="D88">
        <v>23</v>
      </c>
      <c r="E88" t="s">
        <v>363</v>
      </c>
      <c r="F88" t="s">
        <v>344</v>
      </c>
      <c r="G88">
        <v>5</v>
      </c>
      <c r="H88" t="s">
        <v>301</v>
      </c>
      <c r="I88" t="s">
        <v>364</v>
      </c>
      <c r="K88" t="s">
        <v>365</v>
      </c>
      <c r="L88" t="s">
        <v>190</v>
      </c>
      <c r="M88" t="s">
        <v>366</v>
      </c>
      <c r="N88" t="s">
        <v>320</v>
      </c>
      <c r="O88">
        <v>26</v>
      </c>
      <c r="P88" t="s">
        <v>356</v>
      </c>
      <c r="Q88" t="s">
        <v>192</v>
      </c>
      <c r="S88" t="s">
        <v>367</v>
      </c>
      <c r="T88" t="s">
        <v>367</v>
      </c>
    </row>
    <row r="89" spans="1:20" x14ac:dyDescent="0.3">
      <c r="A89">
        <v>54</v>
      </c>
      <c r="B89" t="s">
        <v>175</v>
      </c>
      <c r="C89">
        <v>21</v>
      </c>
      <c r="D89">
        <v>14</v>
      </c>
      <c r="E89" t="s">
        <v>333</v>
      </c>
      <c r="F89" t="s">
        <v>334</v>
      </c>
      <c r="G89">
        <v>-1</v>
      </c>
      <c r="H89" t="s">
        <v>301</v>
      </c>
      <c r="I89" t="s">
        <v>335</v>
      </c>
      <c r="K89" t="s">
        <v>336</v>
      </c>
      <c r="L89" t="s">
        <v>336</v>
      </c>
      <c r="M89" t="s">
        <v>337</v>
      </c>
      <c r="N89" t="s">
        <v>338</v>
      </c>
      <c r="O89">
        <v>18</v>
      </c>
      <c r="P89" t="s">
        <v>356</v>
      </c>
      <c r="Q89" t="s">
        <v>368</v>
      </c>
      <c r="R89" t="s">
        <v>339</v>
      </c>
      <c r="S89" t="s">
        <v>369</v>
      </c>
      <c r="T89" t="s">
        <v>370</v>
      </c>
    </row>
    <row r="90" spans="1:20" x14ac:dyDescent="0.3">
      <c r="A90">
        <v>53</v>
      </c>
      <c r="B90" t="s">
        <v>175</v>
      </c>
      <c r="C90">
        <v>20</v>
      </c>
      <c r="D90">
        <v>16</v>
      </c>
      <c r="E90" t="s">
        <v>371</v>
      </c>
      <c r="F90" t="s">
        <v>176</v>
      </c>
      <c r="G90">
        <v>5</v>
      </c>
      <c r="H90" t="s">
        <v>301</v>
      </c>
      <c r="I90" t="s">
        <v>372</v>
      </c>
      <c r="K90" t="s">
        <v>330</v>
      </c>
      <c r="L90" t="s">
        <v>190</v>
      </c>
      <c r="M90" t="s">
        <v>366</v>
      </c>
      <c r="N90" t="s">
        <v>320</v>
      </c>
      <c r="O90">
        <v>21</v>
      </c>
      <c r="P90" t="s">
        <v>356</v>
      </c>
      <c r="Q90" t="s">
        <v>192</v>
      </c>
      <c r="S90" t="s">
        <v>373</v>
      </c>
      <c r="T90" t="s">
        <v>373</v>
      </c>
    </row>
    <row r="91" spans="1:20" x14ac:dyDescent="0.3">
      <c r="A91">
        <v>52</v>
      </c>
      <c r="B91" t="s">
        <v>175</v>
      </c>
      <c r="C91">
        <v>19</v>
      </c>
      <c r="D91">
        <v>15</v>
      </c>
      <c r="E91" t="s">
        <v>374</v>
      </c>
      <c r="F91" t="s">
        <v>344</v>
      </c>
      <c r="G91">
        <v>5</v>
      </c>
      <c r="H91" t="s">
        <v>301</v>
      </c>
      <c r="I91" t="s">
        <v>375</v>
      </c>
      <c r="K91" t="s">
        <v>376</v>
      </c>
      <c r="L91" t="s">
        <v>190</v>
      </c>
      <c r="M91" t="s">
        <v>331</v>
      </c>
      <c r="N91" t="s">
        <v>320</v>
      </c>
      <c r="O91">
        <v>25</v>
      </c>
      <c r="P91" t="s">
        <v>356</v>
      </c>
      <c r="Q91" t="s">
        <v>192</v>
      </c>
      <c r="S91" t="s">
        <v>377</v>
      </c>
      <c r="T91" t="s">
        <v>377</v>
      </c>
    </row>
    <row r="92" spans="1:20" x14ac:dyDescent="0.3">
      <c r="A92">
        <v>51</v>
      </c>
      <c r="B92" t="s">
        <v>175</v>
      </c>
      <c r="C92">
        <v>18</v>
      </c>
      <c r="D92">
        <v>18</v>
      </c>
      <c r="E92" t="s">
        <v>173</v>
      </c>
      <c r="F92" t="s">
        <v>270</v>
      </c>
      <c r="G92">
        <v>0</v>
      </c>
      <c r="H92" t="s">
        <v>301</v>
      </c>
      <c r="I92" t="s">
        <v>378</v>
      </c>
      <c r="K92" t="s">
        <v>273</v>
      </c>
      <c r="L92" t="s">
        <v>190</v>
      </c>
      <c r="M92" t="s">
        <v>337</v>
      </c>
      <c r="N92" t="s">
        <v>338</v>
      </c>
      <c r="O92">
        <v>20</v>
      </c>
      <c r="P92" t="s">
        <v>356</v>
      </c>
      <c r="Q92" t="s">
        <v>192</v>
      </c>
      <c r="S92" t="s">
        <v>379</v>
      </c>
      <c r="T92" t="s">
        <v>379</v>
      </c>
    </row>
    <row r="93" spans="1:20" x14ac:dyDescent="0.3">
      <c r="A93">
        <v>50</v>
      </c>
      <c r="B93" t="s">
        <v>175</v>
      </c>
      <c r="C93">
        <v>17</v>
      </c>
      <c r="D93">
        <v>19</v>
      </c>
      <c r="E93" t="s">
        <v>169</v>
      </c>
      <c r="F93" t="s">
        <v>304</v>
      </c>
      <c r="G93">
        <v>0</v>
      </c>
      <c r="H93" t="s">
        <v>301</v>
      </c>
      <c r="I93" t="s">
        <v>305</v>
      </c>
      <c r="K93" t="s">
        <v>306</v>
      </c>
      <c r="L93" t="s">
        <v>190</v>
      </c>
      <c r="M93" t="s">
        <v>256</v>
      </c>
      <c r="N93" t="s">
        <v>320</v>
      </c>
      <c r="P93" t="s">
        <v>356</v>
      </c>
      <c r="Q93" t="s">
        <v>192</v>
      </c>
      <c r="S93" t="s">
        <v>380</v>
      </c>
      <c r="T93" t="s">
        <v>380</v>
      </c>
    </row>
    <row r="94" spans="1:20" x14ac:dyDescent="0.3">
      <c r="A94">
        <v>49</v>
      </c>
      <c r="B94" t="s">
        <v>175</v>
      </c>
      <c r="C94">
        <v>16</v>
      </c>
      <c r="D94">
        <v>10</v>
      </c>
      <c r="E94" t="s">
        <v>381</v>
      </c>
      <c r="F94" t="s">
        <v>382</v>
      </c>
      <c r="G94">
        <v>5</v>
      </c>
      <c r="H94" t="s">
        <v>301</v>
      </c>
      <c r="I94" t="s">
        <v>383</v>
      </c>
      <c r="K94" t="s">
        <v>384</v>
      </c>
      <c r="L94" t="s">
        <v>346</v>
      </c>
      <c r="M94" t="s">
        <v>331</v>
      </c>
      <c r="N94" t="s">
        <v>320</v>
      </c>
      <c r="O94">
        <v>28</v>
      </c>
      <c r="P94" t="s">
        <v>356</v>
      </c>
      <c r="Q94" t="s">
        <v>192</v>
      </c>
      <c r="S94" t="s">
        <v>385</v>
      </c>
      <c r="T94" t="s">
        <v>385</v>
      </c>
    </row>
    <row r="95" spans="1:20" x14ac:dyDescent="0.3">
      <c r="A95">
        <v>48</v>
      </c>
      <c r="B95" t="s">
        <v>175</v>
      </c>
      <c r="C95">
        <v>14</v>
      </c>
      <c r="D95">
        <v>3</v>
      </c>
      <c r="E95" t="s">
        <v>317</v>
      </c>
      <c r="F95" t="s">
        <v>318</v>
      </c>
      <c r="G95">
        <v>3</v>
      </c>
      <c r="H95">
        <v>1234</v>
      </c>
      <c r="I95" t="s">
        <v>319</v>
      </c>
      <c r="M95" t="s">
        <v>256</v>
      </c>
      <c r="N95" t="s">
        <v>320</v>
      </c>
      <c r="P95" t="s">
        <v>356</v>
      </c>
      <c r="Q95" t="s">
        <v>192</v>
      </c>
      <c r="S95" t="s">
        <v>386</v>
      </c>
      <c r="T95" t="s">
        <v>386</v>
      </c>
    </row>
    <row r="96" spans="1:20" x14ac:dyDescent="0.3">
      <c r="A96">
        <v>47</v>
      </c>
      <c r="B96" t="s">
        <v>180</v>
      </c>
      <c r="C96">
        <v>13</v>
      </c>
      <c r="D96">
        <v>11</v>
      </c>
      <c r="E96" t="s">
        <v>171</v>
      </c>
      <c r="F96" t="s">
        <v>344</v>
      </c>
      <c r="G96">
        <v>0</v>
      </c>
      <c r="H96" t="s">
        <v>271</v>
      </c>
      <c r="I96" t="s">
        <v>387</v>
      </c>
      <c r="K96" t="s">
        <v>388</v>
      </c>
      <c r="L96" t="s">
        <v>388</v>
      </c>
      <c r="M96" t="s">
        <v>389</v>
      </c>
      <c r="O96">
        <v>15</v>
      </c>
      <c r="P96" t="s">
        <v>356</v>
      </c>
      <c r="Q96" t="s">
        <v>192</v>
      </c>
      <c r="S96" t="s">
        <v>390</v>
      </c>
      <c r="T96" t="s">
        <v>390</v>
      </c>
    </row>
    <row r="97" spans="1:20" x14ac:dyDescent="0.3">
      <c r="A97">
        <v>46</v>
      </c>
      <c r="B97" t="s">
        <v>175</v>
      </c>
      <c r="C97">
        <v>12</v>
      </c>
      <c r="D97">
        <v>4</v>
      </c>
      <c r="E97" t="s">
        <v>391</v>
      </c>
      <c r="F97" t="s">
        <v>253</v>
      </c>
      <c r="G97">
        <v>5</v>
      </c>
      <c r="H97" t="s">
        <v>301</v>
      </c>
      <c r="I97" t="s">
        <v>392</v>
      </c>
      <c r="K97" t="s">
        <v>393</v>
      </c>
      <c r="L97" t="s">
        <v>273</v>
      </c>
      <c r="M97" t="s">
        <v>256</v>
      </c>
      <c r="N97" t="s">
        <v>320</v>
      </c>
      <c r="O97">
        <v>17</v>
      </c>
      <c r="P97" t="s">
        <v>356</v>
      </c>
      <c r="Q97" t="s">
        <v>192</v>
      </c>
      <c r="S97" t="s">
        <v>394</v>
      </c>
      <c r="T97" t="s">
        <v>394</v>
      </c>
    </row>
    <row r="98" spans="1:20" x14ac:dyDescent="0.3">
      <c r="A98">
        <v>45</v>
      </c>
      <c r="B98" t="s">
        <v>180</v>
      </c>
      <c r="C98">
        <v>11</v>
      </c>
      <c r="D98">
        <v>5</v>
      </c>
      <c r="E98" t="s">
        <v>343</v>
      </c>
      <c r="F98" t="s">
        <v>176</v>
      </c>
      <c r="G98">
        <v>0</v>
      </c>
      <c r="H98" t="s">
        <v>271</v>
      </c>
      <c r="I98" t="s">
        <v>395</v>
      </c>
      <c r="K98" t="s">
        <v>346</v>
      </c>
      <c r="L98" t="s">
        <v>346</v>
      </c>
      <c r="M98" t="s">
        <v>256</v>
      </c>
      <c r="N98" t="s">
        <v>320</v>
      </c>
      <c r="P98" t="s">
        <v>356</v>
      </c>
      <c r="Q98" t="s">
        <v>192</v>
      </c>
      <c r="S98" t="s">
        <v>390</v>
      </c>
      <c r="T98" t="s">
        <v>390</v>
      </c>
    </row>
    <row r="99" spans="1:20" x14ac:dyDescent="0.3">
      <c r="A99">
        <v>44</v>
      </c>
      <c r="B99" t="s">
        <v>175</v>
      </c>
      <c r="C99">
        <v>11</v>
      </c>
      <c r="D99">
        <v>17</v>
      </c>
      <c r="E99" t="s">
        <v>396</v>
      </c>
      <c r="F99" t="s">
        <v>382</v>
      </c>
      <c r="G99">
        <v>5</v>
      </c>
      <c r="H99" t="s">
        <v>301</v>
      </c>
      <c r="I99" t="s">
        <v>397</v>
      </c>
      <c r="K99" t="s">
        <v>398</v>
      </c>
      <c r="L99" t="s">
        <v>190</v>
      </c>
      <c r="M99" t="s">
        <v>331</v>
      </c>
      <c r="N99" t="s">
        <v>320</v>
      </c>
      <c r="O99">
        <v>29</v>
      </c>
      <c r="P99" t="s">
        <v>356</v>
      </c>
      <c r="Q99" t="s">
        <v>192</v>
      </c>
      <c r="S99" t="s">
        <v>399</v>
      </c>
      <c r="T99" t="s">
        <v>399</v>
      </c>
    </row>
    <row r="100" spans="1:20" x14ac:dyDescent="0.3">
      <c r="A100">
        <v>43</v>
      </c>
      <c r="B100" t="s">
        <v>175</v>
      </c>
      <c r="C100">
        <v>10</v>
      </c>
      <c r="D100">
        <v>7</v>
      </c>
      <c r="E100" t="s">
        <v>400</v>
      </c>
      <c r="F100" t="s">
        <v>344</v>
      </c>
      <c r="G100">
        <v>-1</v>
      </c>
      <c r="H100" t="s">
        <v>301</v>
      </c>
      <c r="I100" t="s">
        <v>401</v>
      </c>
      <c r="K100" t="s">
        <v>402</v>
      </c>
      <c r="L100" t="s">
        <v>273</v>
      </c>
      <c r="M100" t="s">
        <v>366</v>
      </c>
      <c r="N100" t="s">
        <v>320</v>
      </c>
      <c r="O100">
        <v>23</v>
      </c>
      <c r="P100" t="s">
        <v>356</v>
      </c>
      <c r="Q100" t="s">
        <v>403</v>
      </c>
      <c r="S100" t="s">
        <v>404</v>
      </c>
      <c r="T100" t="s">
        <v>405</v>
      </c>
    </row>
    <row r="101" spans="1:20" x14ac:dyDescent="0.3">
      <c r="A101">
        <v>42</v>
      </c>
      <c r="B101" t="s">
        <v>269</v>
      </c>
      <c r="C101">
        <v>9</v>
      </c>
      <c r="D101">
        <v>6</v>
      </c>
      <c r="E101" t="s">
        <v>343</v>
      </c>
      <c r="F101" t="s">
        <v>176</v>
      </c>
      <c r="G101">
        <v>5</v>
      </c>
      <c r="H101" t="s">
        <v>271</v>
      </c>
      <c r="I101" t="s">
        <v>406</v>
      </c>
      <c r="J101">
        <v>5</v>
      </c>
      <c r="K101" t="s">
        <v>407</v>
      </c>
      <c r="L101" t="s">
        <v>407</v>
      </c>
      <c r="M101" t="s">
        <v>274</v>
      </c>
      <c r="P101" t="s">
        <v>356</v>
      </c>
      <c r="Q101" t="s">
        <v>192</v>
      </c>
      <c r="S101" t="s">
        <v>408</v>
      </c>
      <c r="T101" t="s">
        <v>408</v>
      </c>
    </row>
    <row r="102" spans="1:20" x14ac:dyDescent="0.3">
      <c r="A102">
        <v>41</v>
      </c>
      <c r="B102" t="s">
        <v>175</v>
      </c>
      <c r="C102">
        <v>9</v>
      </c>
      <c r="D102">
        <v>21</v>
      </c>
      <c r="E102" t="s">
        <v>409</v>
      </c>
      <c r="F102" t="s">
        <v>344</v>
      </c>
      <c r="G102">
        <v>5</v>
      </c>
      <c r="H102" t="s">
        <v>301</v>
      </c>
      <c r="I102" t="s">
        <v>410</v>
      </c>
      <c r="K102" t="s">
        <v>411</v>
      </c>
      <c r="L102" t="s">
        <v>273</v>
      </c>
      <c r="M102" t="s">
        <v>337</v>
      </c>
      <c r="N102" t="s">
        <v>320</v>
      </c>
      <c r="O102">
        <v>24</v>
      </c>
      <c r="P102" t="s">
        <v>356</v>
      </c>
      <c r="Q102" t="s">
        <v>192</v>
      </c>
      <c r="S102" t="s">
        <v>412</v>
      </c>
      <c r="T102" t="s">
        <v>413</v>
      </c>
    </row>
    <row r="103" spans="1:20" x14ac:dyDescent="0.3">
      <c r="A103">
        <v>40</v>
      </c>
      <c r="B103" t="s">
        <v>243</v>
      </c>
      <c r="C103">
        <v>9</v>
      </c>
      <c r="E103" t="s">
        <v>171</v>
      </c>
      <c r="F103" t="s">
        <v>344</v>
      </c>
      <c r="G103">
        <v>5</v>
      </c>
      <c r="H103" t="s">
        <v>271</v>
      </c>
      <c r="I103" t="s">
        <v>387</v>
      </c>
      <c r="K103" t="s">
        <v>360</v>
      </c>
      <c r="L103" t="s">
        <v>360</v>
      </c>
      <c r="M103" t="s">
        <v>274</v>
      </c>
      <c r="O103">
        <v>15</v>
      </c>
      <c r="P103" t="s">
        <v>356</v>
      </c>
      <c r="Q103" t="s">
        <v>192</v>
      </c>
      <c r="S103" t="s">
        <v>414</v>
      </c>
      <c r="T103" t="s">
        <v>414</v>
      </c>
    </row>
    <row r="104" spans="1:20" x14ac:dyDescent="0.3">
      <c r="A104">
        <v>39</v>
      </c>
      <c r="B104" t="s">
        <v>269</v>
      </c>
      <c r="C104">
        <v>8</v>
      </c>
      <c r="D104">
        <v>5</v>
      </c>
      <c r="E104" t="s">
        <v>171</v>
      </c>
      <c r="F104" t="s">
        <v>344</v>
      </c>
      <c r="G104">
        <v>5</v>
      </c>
      <c r="H104" t="s">
        <v>271</v>
      </c>
      <c r="I104" t="s">
        <v>415</v>
      </c>
      <c r="J104">
        <v>5</v>
      </c>
      <c r="K104" t="s">
        <v>360</v>
      </c>
      <c r="L104" t="s">
        <v>360</v>
      </c>
      <c r="M104" t="s">
        <v>274</v>
      </c>
      <c r="O104">
        <v>38</v>
      </c>
      <c r="P104" t="s">
        <v>356</v>
      </c>
      <c r="Q104" t="s">
        <v>192</v>
      </c>
      <c r="S104" t="s">
        <v>408</v>
      </c>
      <c r="T104" t="s">
        <v>408</v>
      </c>
    </row>
    <row r="105" spans="1:20" x14ac:dyDescent="0.3">
      <c r="A105">
        <v>38</v>
      </c>
      <c r="B105" t="s">
        <v>175</v>
      </c>
      <c r="C105">
        <v>8</v>
      </c>
      <c r="D105">
        <v>20</v>
      </c>
      <c r="E105" t="s">
        <v>322</v>
      </c>
      <c r="F105" t="s">
        <v>323</v>
      </c>
      <c r="G105">
        <v>5</v>
      </c>
      <c r="H105" t="s">
        <v>301</v>
      </c>
      <c r="I105" t="s">
        <v>416</v>
      </c>
      <c r="K105" t="s">
        <v>322</v>
      </c>
      <c r="L105" t="s">
        <v>190</v>
      </c>
      <c r="N105" t="s">
        <v>320</v>
      </c>
      <c r="O105">
        <v>57</v>
      </c>
      <c r="P105" t="s">
        <v>356</v>
      </c>
      <c r="Q105" t="s">
        <v>192</v>
      </c>
      <c r="S105" t="s">
        <v>417</v>
      </c>
      <c r="T105" t="s">
        <v>417</v>
      </c>
    </row>
    <row r="106" spans="1:20" x14ac:dyDescent="0.3">
      <c r="A106">
        <v>37</v>
      </c>
      <c r="B106" t="s">
        <v>243</v>
      </c>
      <c r="C106">
        <v>8</v>
      </c>
      <c r="E106" t="s">
        <v>333</v>
      </c>
      <c r="F106" t="s">
        <v>334</v>
      </c>
      <c r="G106">
        <v>3</v>
      </c>
      <c r="H106" t="s">
        <v>301</v>
      </c>
      <c r="I106" t="s">
        <v>335</v>
      </c>
      <c r="K106" t="s">
        <v>336</v>
      </c>
      <c r="L106" t="s">
        <v>336</v>
      </c>
      <c r="M106" t="s">
        <v>337</v>
      </c>
      <c r="O106">
        <v>18</v>
      </c>
      <c r="P106" t="s">
        <v>356</v>
      </c>
      <c r="Q106" t="s">
        <v>192</v>
      </c>
      <c r="R106" t="s">
        <v>339</v>
      </c>
      <c r="S106" t="s">
        <v>418</v>
      </c>
      <c r="T106" t="s">
        <v>419</v>
      </c>
    </row>
    <row r="107" spans="1:20" x14ac:dyDescent="0.3">
      <c r="A107">
        <v>36</v>
      </c>
      <c r="B107" t="s">
        <v>269</v>
      </c>
      <c r="C107">
        <v>7</v>
      </c>
      <c r="D107">
        <v>4</v>
      </c>
      <c r="E107" t="s">
        <v>169</v>
      </c>
      <c r="F107" t="s">
        <v>304</v>
      </c>
      <c r="G107">
        <v>5</v>
      </c>
      <c r="H107" t="s">
        <v>271</v>
      </c>
      <c r="I107" t="s">
        <v>420</v>
      </c>
      <c r="J107">
        <v>5</v>
      </c>
      <c r="K107" t="s">
        <v>306</v>
      </c>
      <c r="L107" t="s">
        <v>306</v>
      </c>
      <c r="M107" t="s">
        <v>274</v>
      </c>
      <c r="P107" t="s">
        <v>356</v>
      </c>
      <c r="Q107" t="s">
        <v>192</v>
      </c>
      <c r="S107" t="s">
        <v>408</v>
      </c>
      <c r="T107" t="s">
        <v>408</v>
      </c>
    </row>
    <row r="108" spans="1:20" x14ac:dyDescent="0.3">
      <c r="A108">
        <v>35</v>
      </c>
      <c r="B108" t="s">
        <v>421</v>
      </c>
      <c r="C108">
        <v>7</v>
      </c>
      <c r="D108">
        <v>7</v>
      </c>
      <c r="E108" t="s">
        <v>422</v>
      </c>
      <c r="F108" t="s">
        <v>176</v>
      </c>
      <c r="G108">
        <v>5</v>
      </c>
      <c r="H108" t="s">
        <v>271</v>
      </c>
      <c r="I108" t="s">
        <v>423</v>
      </c>
      <c r="K108" t="s">
        <v>407</v>
      </c>
      <c r="L108" t="s">
        <v>407</v>
      </c>
      <c r="M108" t="s">
        <v>274</v>
      </c>
      <c r="P108" t="s">
        <v>356</v>
      </c>
      <c r="Q108" t="s">
        <v>192</v>
      </c>
      <c r="S108" t="s">
        <v>408</v>
      </c>
      <c r="T108" t="s">
        <v>408</v>
      </c>
    </row>
    <row r="109" spans="1:20" x14ac:dyDescent="0.3">
      <c r="A109">
        <v>34</v>
      </c>
      <c r="B109" t="s">
        <v>180</v>
      </c>
      <c r="C109">
        <v>7</v>
      </c>
      <c r="D109">
        <v>2</v>
      </c>
      <c r="E109" t="s">
        <v>185</v>
      </c>
      <c r="F109" t="s">
        <v>318</v>
      </c>
      <c r="G109">
        <v>5</v>
      </c>
      <c r="H109">
        <v>1234</v>
      </c>
      <c r="I109" t="s">
        <v>349</v>
      </c>
      <c r="M109" t="s">
        <v>331</v>
      </c>
      <c r="N109" t="s">
        <v>350</v>
      </c>
      <c r="O109">
        <v>1</v>
      </c>
      <c r="P109" t="s">
        <v>356</v>
      </c>
      <c r="Q109" t="s">
        <v>192</v>
      </c>
      <c r="S109" t="s">
        <v>424</v>
      </c>
      <c r="T109" t="s">
        <v>424</v>
      </c>
    </row>
    <row r="110" spans="1:20" x14ac:dyDescent="0.3">
      <c r="A110">
        <v>33</v>
      </c>
      <c r="B110" t="s">
        <v>175</v>
      </c>
      <c r="C110">
        <v>7</v>
      </c>
      <c r="D110">
        <v>8</v>
      </c>
      <c r="E110" t="s">
        <v>425</v>
      </c>
      <c r="F110" t="s">
        <v>344</v>
      </c>
      <c r="G110">
        <v>5</v>
      </c>
      <c r="H110" t="s">
        <v>301</v>
      </c>
      <c r="I110" t="s">
        <v>426</v>
      </c>
      <c r="K110" t="s">
        <v>427</v>
      </c>
      <c r="L110" t="s">
        <v>273</v>
      </c>
      <c r="M110" t="s">
        <v>366</v>
      </c>
      <c r="N110" t="s">
        <v>320</v>
      </c>
      <c r="O110">
        <v>27</v>
      </c>
      <c r="P110" t="s">
        <v>356</v>
      </c>
      <c r="Q110" t="s">
        <v>192</v>
      </c>
      <c r="S110" t="s">
        <v>428</v>
      </c>
      <c r="T110" t="s">
        <v>429</v>
      </c>
    </row>
    <row r="111" spans="1:20" x14ac:dyDescent="0.3">
      <c r="A111">
        <v>32</v>
      </c>
      <c r="B111" t="s">
        <v>243</v>
      </c>
      <c r="C111">
        <v>7</v>
      </c>
      <c r="E111" t="s">
        <v>169</v>
      </c>
      <c r="F111" t="s">
        <v>304</v>
      </c>
      <c r="H111" t="s">
        <v>301</v>
      </c>
      <c r="I111" t="s">
        <v>305</v>
      </c>
      <c r="K111" t="s">
        <v>306</v>
      </c>
      <c r="L111" t="s">
        <v>190</v>
      </c>
      <c r="P111" t="s">
        <v>356</v>
      </c>
      <c r="Q111" t="s">
        <v>192</v>
      </c>
      <c r="S111" t="s">
        <v>430</v>
      </c>
      <c r="T111" t="s">
        <v>430</v>
      </c>
    </row>
    <row r="112" spans="1:20" x14ac:dyDescent="0.3">
      <c r="A112">
        <v>31</v>
      </c>
      <c r="B112" t="s">
        <v>269</v>
      </c>
      <c r="C112">
        <v>6</v>
      </c>
      <c r="D112">
        <v>3</v>
      </c>
      <c r="E112" t="s">
        <v>147</v>
      </c>
      <c r="F112" t="s">
        <v>253</v>
      </c>
      <c r="G112">
        <v>5</v>
      </c>
      <c r="H112" t="s">
        <v>301</v>
      </c>
      <c r="I112" t="s">
        <v>302</v>
      </c>
      <c r="J112">
        <v>5</v>
      </c>
      <c r="K112" t="s">
        <v>255</v>
      </c>
      <c r="L112" t="s">
        <v>255</v>
      </c>
      <c r="M112" t="s">
        <v>256</v>
      </c>
      <c r="O112">
        <v>13</v>
      </c>
      <c r="P112" t="s">
        <v>356</v>
      </c>
      <c r="Q112" t="s">
        <v>192</v>
      </c>
      <c r="S112" t="s">
        <v>431</v>
      </c>
      <c r="T112" t="s">
        <v>431</v>
      </c>
    </row>
    <row r="113" spans="1:20" x14ac:dyDescent="0.3">
      <c r="A113">
        <v>30</v>
      </c>
      <c r="B113" t="s">
        <v>432</v>
      </c>
      <c r="C113">
        <v>6</v>
      </c>
      <c r="E113" t="s">
        <v>147</v>
      </c>
      <c r="F113" t="s">
        <v>253</v>
      </c>
      <c r="G113">
        <v>1</v>
      </c>
      <c r="H113">
        <v>1234</v>
      </c>
      <c r="I113" t="s">
        <v>433</v>
      </c>
      <c r="K113" t="s">
        <v>255</v>
      </c>
      <c r="P113" t="s">
        <v>356</v>
      </c>
      <c r="Q113" t="s">
        <v>192</v>
      </c>
      <c r="S113" t="s">
        <v>434</v>
      </c>
      <c r="T113" t="s">
        <v>434</v>
      </c>
    </row>
    <row r="114" spans="1:20" x14ac:dyDescent="0.3">
      <c r="A114">
        <v>29</v>
      </c>
      <c r="B114" t="s">
        <v>421</v>
      </c>
      <c r="C114">
        <v>6</v>
      </c>
      <c r="D114">
        <v>6</v>
      </c>
      <c r="E114" t="s">
        <v>171</v>
      </c>
      <c r="F114" t="s">
        <v>344</v>
      </c>
      <c r="G114">
        <v>5</v>
      </c>
      <c r="H114" t="s">
        <v>271</v>
      </c>
      <c r="I114" t="s">
        <v>435</v>
      </c>
      <c r="K114" t="s">
        <v>360</v>
      </c>
      <c r="L114" t="s">
        <v>360</v>
      </c>
      <c r="M114" t="s">
        <v>274</v>
      </c>
      <c r="P114" t="s">
        <v>356</v>
      </c>
      <c r="Q114" t="s">
        <v>192</v>
      </c>
      <c r="S114" t="s">
        <v>408</v>
      </c>
      <c r="T114" t="s">
        <v>408</v>
      </c>
    </row>
    <row r="115" spans="1:20" x14ac:dyDescent="0.3">
      <c r="A115">
        <v>28</v>
      </c>
      <c r="B115" t="s">
        <v>180</v>
      </c>
      <c r="C115">
        <v>6</v>
      </c>
      <c r="D115">
        <v>9</v>
      </c>
      <c r="E115" t="s">
        <v>322</v>
      </c>
      <c r="F115" t="s">
        <v>323</v>
      </c>
      <c r="G115">
        <v>5</v>
      </c>
      <c r="I115" t="s">
        <v>324</v>
      </c>
      <c r="K115" t="s">
        <v>322</v>
      </c>
      <c r="L115" t="s">
        <v>325</v>
      </c>
      <c r="N115" t="s">
        <v>320</v>
      </c>
      <c r="P115" t="s">
        <v>356</v>
      </c>
      <c r="Q115" t="s">
        <v>192</v>
      </c>
      <c r="S115" t="s">
        <v>436</v>
      </c>
      <c r="T115" t="s">
        <v>436</v>
      </c>
    </row>
    <row r="116" spans="1:20" x14ac:dyDescent="0.3">
      <c r="A116">
        <v>27</v>
      </c>
      <c r="B116" t="s">
        <v>175</v>
      </c>
      <c r="C116">
        <v>6</v>
      </c>
      <c r="D116">
        <v>6</v>
      </c>
      <c r="E116" t="s">
        <v>437</v>
      </c>
      <c r="F116" t="s">
        <v>270</v>
      </c>
      <c r="G116">
        <v>5</v>
      </c>
      <c r="H116" t="s">
        <v>301</v>
      </c>
      <c r="I116" t="s">
        <v>438</v>
      </c>
      <c r="K116" t="s">
        <v>439</v>
      </c>
      <c r="L116" t="s">
        <v>273</v>
      </c>
      <c r="M116" t="s">
        <v>331</v>
      </c>
      <c r="N116" t="s">
        <v>320</v>
      </c>
      <c r="O116">
        <v>19</v>
      </c>
      <c r="P116" t="s">
        <v>356</v>
      </c>
      <c r="Q116" t="s">
        <v>192</v>
      </c>
      <c r="S116" t="s">
        <v>440</v>
      </c>
      <c r="T116" t="s">
        <v>440</v>
      </c>
    </row>
    <row r="117" spans="1:20" x14ac:dyDescent="0.3">
      <c r="A117">
        <v>26</v>
      </c>
      <c r="B117" t="s">
        <v>243</v>
      </c>
      <c r="C117">
        <v>6</v>
      </c>
      <c r="E117" t="s">
        <v>173</v>
      </c>
      <c r="F117" t="s">
        <v>270</v>
      </c>
      <c r="H117" t="s">
        <v>301</v>
      </c>
      <c r="I117" t="s">
        <v>378</v>
      </c>
      <c r="K117" t="s">
        <v>273</v>
      </c>
      <c r="L117" t="s">
        <v>190</v>
      </c>
      <c r="O117">
        <v>20</v>
      </c>
      <c r="P117" t="s">
        <v>356</v>
      </c>
      <c r="Q117" t="s">
        <v>192</v>
      </c>
      <c r="S117" t="s">
        <v>441</v>
      </c>
      <c r="T117" t="s">
        <v>441</v>
      </c>
    </row>
    <row r="118" spans="1:20" x14ac:dyDescent="0.3">
      <c r="A118">
        <v>25</v>
      </c>
      <c r="B118" t="s">
        <v>421</v>
      </c>
      <c r="C118">
        <v>5</v>
      </c>
      <c r="D118">
        <v>5</v>
      </c>
      <c r="E118" t="s">
        <v>169</v>
      </c>
      <c r="F118" t="s">
        <v>304</v>
      </c>
      <c r="G118">
        <v>5</v>
      </c>
      <c r="H118" t="s">
        <v>271</v>
      </c>
      <c r="I118" t="s">
        <v>442</v>
      </c>
      <c r="K118" t="s">
        <v>306</v>
      </c>
      <c r="L118" t="s">
        <v>306</v>
      </c>
      <c r="M118" t="s">
        <v>274</v>
      </c>
      <c r="P118" t="s">
        <v>356</v>
      </c>
      <c r="Q118" t="s">
        <v>192</v>
      </c>
      <c r="S118" t="s">
        <v>408</v>
      </c>
      <c r="T118" t="s">
        <v>408</v>
      </c>
    </row>
    <row r="119" spans="1:20" x14ac:dyDescent="0.3">
      <c r="A119">
        <v>24</v>
      </c>
      <c r="B119" t="s">
        <v>180</v>
      </c>
      <c r="C119">
        <v>5</v>
      </c>
      <c r="D119">
        <v>3</v>
      </c>
      <c r="E119" t="s">
        <v>317</v>
      </c>
      <c r="F119" t="s">
        <v>318</v>
      </c>
      <c r="G119">
        <v>-1</v>
      </c>
      <c r="H119">
        <v>1234</v>
      </c>
      <c r="I119" t="s">
        <v>319</v>
      </c>
      <c r="M119" t="s">
        <v>256</v>
      </c>
      <c r="N119" t="s">
        <v>320</v>
      </c>
      <c r="O119">
        <v>90</v>
      </c>
      <c r="P119" t="s">
        <v>356</v>
      </c>
      <c r="Q119" t="s">
        <v>192</v>
      </c>
      <c r="S119" t="s">
        <v>443</v>
      </c>
      <c r="T119" t="s">
        <v>443</v>
      </c>
    </row>
    <row r="120" spans="1:20" x14ac:dyDescent="0.3">
      <c r="A120">
        <v>23</v>
      </c>
      <c r="B120" t="s">
        <v>175</v>
      </c>
      <c r="C120">
        <v>5</v>
      </c>
      <c r="D120">
        <v>2</v>
      </c>
      <c r="E120" t="s">
        <v>185</v>
      </c>
      <c r="F120" t="s">
        <v>318</v>
      </c>
      <c r="G120">
        <v>5</v>
      </c>
      <c r="H120">
        <v>1234</v>
      </c>
      <c r="I120" t="s">
        <v>349</v>
      </c>
      <c r="M120" t="s">
        <v>331</v>
      </c>
      <c r="N120" t="s">
        <v>350</v>
      </c>
      <c r="O120">
        <v>1</v>
      </c>
      <c r="P120" t="s">
        <v>356</v>
      </c>
      <c r="Q120" t="s">
        <v>192</v>
      </c>
      <c r="S120" t="s">
        <v>444</v>
      </c>
      <c r="T120" t="s">
        <v>444</v>
      </c>
    </row>
    <row r="121" spans="1:20" x14ac:dyDescent="0.3">
      <c r="A121">
        <v>22</v>
      </c>
      <c r="B121" t="s">
        <v>243</v>
      </c>
      <c r="C121">
        <v>5</v>
      </c>
      <c r="E121" t="s">
        <v>147</v>
      </c>
      <c r="F121" t="s">
        <v>187</v>
      </c>
      <c r="G121">
        <v>5</v>
      </c>
      <c r="H121" t="s">
        <v>301</v>
      </c>
      <c r="I121" t="s">
        <v>302</v>
      </c>
      <c r="K121" t="s">
        <v>255</v>
      </c>
      <c r="L121" t="s">
        <v>273</v>
      </c>
      <c r="M121" t="s">
        <v>256</v>
      </c>
      <c r="O121">
        <v>13</v>
      </c>
      <c r="P121" t="s">
        <v>356</v>
      </c>
      <c r="Q121" t="s">
        <v>192</v>
      </c>
      <c r="S121" t="s">
        <v>445</v>
      </c>
      <c r="T121" t="s">
        <v>445</v>
      </c>
    </row>
    <row r="122" spans="1:20" x14ac:dyDescent="0.3">
      <c r="A122">
        <v>21</v>
      </c>
      <c r="B122" t="s">
        <v>432</v>
      </c>
      <c r="C122">
        <v>4</v>
      </c>
      <c r="E122" t="s">
        <v>181</v>
      </c>
      <c r="F122" t="s">
        <v>446</v>
      </c>
      <c r="G122">
        <v>5</v>
      </c>
      <c r="H122">
        <v>1234</v>
      </c>
      <c r="I122" t="s">
        <v>447</v>
      </c>
      <c r="K122" t="s">
        <v>448</v>
      </c>
      <c r="O122">
        <v>39</v>
      </c>
      <c r="P122" t="s">
        <v>356</v>
      </c>
      <c r="Q122" t="s">
        <v>192</v>
      </c>
      <c r="S122" t="s">
        <v>434</v>
      </c>
      <c r="T122" t="s">
        <v>434</v>
      </c>
    </row>
    <row r="123" spans="1:20" x14ac:dyDescent="0.3">
      <c r="A123">
        <v>20</v>
      </c>
      <c r="B123" t="s">
        <v>421</v>
      </c>
      <c r="C123">
        <v>4</v>
      </c>
      <c r="D123">
        <v>4</v>
      </c>
      <c r="E123" t="s">
        <v>333</v>
      </c>
      <c r="F123" t="s">
        <v>334</v>
      </c>
      <c r="G123">
        <v>3</v>
      </c>
      <c r="H123" t="s">
        <v>301</v>
      </c>
      <c r="I123" t="s">
        <v>335</v>
      </c>
      <c r="K123" t="s">
        <v>336</v>
      </c>
      <c r="L123" t="s">
        <v>336</v>
      </c>
      <c r="M123" t="s">
        <v>256</v>
      </c>
      <c r="O123">
        <v>18</v>
      </c>
      <c r="P123" t="s">
        <v>356</v>
      </c>
      <c r="Q123" t="s">
        <v>192</v>
      </c>
      <c r="R123" t="s">
        <v>339</v>
      </c>
      <c r="S123" t="s">
        <v>449</v>
      </c>
      <c r="T123" t="s">
        <v>450</v>
      </c>
    </row>
    <row r="124" spans="1:20" x14ac:dyDescent="0.3">
      <c r="A124">
        <v>19</v>
      </c>
      <c r="B124" t="s">
        <v>175</v>
      </c>
      <c r="C124">
        <v>4</v>
      </c>
      <c r="D124">
        <v>9</v>
      </c>
      <c r="E124" t="s">
        <v>343</v>
      </c>
      <c r="F124" t="s">
        <v>344</v>
      </c>
      <c r="G124">
        <v>0</v>
      </c>
      <c r="H124" t="s">
        <v>301</v>
      </c>
      <c r="I124" t="s">
        <v>345</v>
      </c>
      <c r="K124" t="s">
        <v>346</v>
      </c>
      <c r="L124" t="s">
        <v>346</v>
      </c>
      <c r="M124" t="s">
        <v>256</v>
      </c>
      <c r="N124" t="s">
        <v>320</v>
      </c>
      <c r="O124">
        <v>2</v>
      </c>
      <c r="P124" t="s">
        <v>356</v>
      </c>
      <c r="Q124" t="s">
        <v>192</v>
      </c>
      <c r="S124" t="s">
        <v>451</v>
      </c>
      <c r="T124" t="s">
        <v>451</v>
      </c>
    </row>
    <row r="125" spans="1:20" x14ac:dyDescent="0.3">
      <c r="A125">
        <v>18</v>
      </c>
      <c r="B125" t="s">
        <v>243</v>
      </c>
      <c r="C125">
        <v>4</v>
      </c>
      <c r="E125" t="s">
        <v>391</v>
      </c>
      <c r="F125" t="s">
        <v>452</v>
      </c>
      <c r="G125">
        <v>5</v>
      </c>
      <c r="H125" t="s">
        <v>301</v>
      </c>
      <c r="I125" t="s">
        <v>453</v>
      </c>
      <c r="K125" t="s">
        <v>393</v>
      </c>
      <c r="L125" t="s">
        <v>273</v>
      </c>
      <c r="M125" t="s">
        <v>256</v>
      </c>
      <c r="P125" t="s">
        <v>356</v>
      </c>
      <c r="Q125" t="s">
        <v>192</v>
      </c>
      <c r="S125" t="s">
        <v>454</v>
      </c>
      <c r="T125" t="s">
        <v>454</v>
      </c>
    </row>
    <row r="126" spans="1:20" x14ac:dyDescent="0.3">
      <c r="A126">
        <v>17</v>
      </c>
      <c r="B126" t="s">
        <v>432</v>
      </c>
      <c r="C126">
        <v>3</v>
      </c>
      <c r="E126" t="s">
        <v>186</v>
      </c>
      <c r="F126" t="s">
        <v>187</v>
      </c>
      <c r="G126">
        <v>-1</v>
      </c>
      <c r="H126" t="s">
        <v>188</v>
      </c>
      <c r="I126" t="s">
        <v>189</v>
      </c>
      <c r="K126" t="s">
        <v>190</v>
      </c>
      <c r="P126" t="s">
        <v>356</v>
      </c>
      <c r="Q126" t="s">
        <v>192</v>
      </c>
      <c r="S126" t="s">
        <v>434</v>
      </c>
      <c r="T126" t="s">
        <v>434</v>
      </c>
    </row>
    <row r="127" spans="1:20" x14ac:dyDescent="0.3">
      <c r="A127">
        <v>16</v>
      </c>
      <c r="B127" t="s">
        <v>421</v>
      </c>
      <c r="C127">
        <v>3</v>
      </c>
      <c r="D127">
        <v>3</v>
      </c>
      <c r="E127" t="s">
        <v>455</v>
      </c>
      <c r="F127" t="s">
        <v>187</v>
      </c>
      <c r="G127">
        <v>5</v>
      </c>
      <c r="H127" t="s">
        <v>456</v>
      </c>
      <c r="I127" t="s">
        <v>457</v>
      </c>
      <c r="K127" t="s">
        <v>455</v>
      </c>
      <c r="M127" t="s">
        <v>458</v>
      </c>
      <c r="P127" t="s">
        <v>356</v>
      </c>
      <c r="Q127" t="s">
        <v>192</v>
      </c>
      <c r="S127" t="s">
        <v>459</v>
      </c>
      <c r="T127" t="s">
        <v>459</v>
      </c>
    </row>
    <row r="128" spans="1:20" x14ac:dyDescent="0.3">
      <c r="A128">
        <v>15</v>
      </c>
      <c r="B128" t="s">
        <v>180</v>
      </c>
      <c r="C128">
        <v>3</v>
      </c>
      <c r="D128">
        <v>8</v>
      </c>
      <c r="E128" t="s">
        <v>169</v>
      </c>
      <c r="F128" t="s">
        <v>304</v>
      </c>
      <c r="G128">
        <v>0</v>
      </c>
      <c r="H128" t="s">
        <v>271</v>
      </c>
      <c r="I128" t="s">
        <v>305</v>
      </c>
      <c r="K128" t="s">
        <v>306</v>
      </c>
      <c r="L128" t="s">
        <v>190</v>
      </c>
      <c r="M128" t="s">
        <v>256</v>
      </c>
      <c r="N128" t="s">
        <v>320</v>
      </c>
      <c r="P128" t="s">
        <v>356</v>
      </c>
      <c r="Q128" t="s">
        <v>192</v>
      </c>
      <c r="S128" t="s">
        <v>460</v>
      </c>
      <c r="T128" t="s">
        <v>460</v>
      </c>
    </row>
    <row r="129" spans="1:20" x14ac:dyDescent="0.3">
      <c r="A129">
        <v>14</v>
      </c>
      <c r="B129" t="s">
        <v>175</v>
      </c>
      <c r="C129">
        <v>3</v>
      </c>
      <c r="D129">
        <v>1</v>
      </c>
      <c r="E129" t="s">
        <v>186</v>
      </c>
      <c r="F129" t="s">
        <v>187</v>
      </c>
      <c r="G129">
        <v>-1</v>
      </c>
      <c r="H129" t="s">
        <v>188</v>
      </c>
      <c r="I129" t="s">
        <v>189</v>
      </c>
      <c r="K129" t="s">
        <v>190</v>
      </c>
      <c r="L129" t="s">
        <v>190</v>
      </c>
      <c r="M129" t="s">
        <v>256</v>
      </c>
      <c r="N129" t="s">
        <v>315</v>
      </c>
      <c r="P129" t="s">
        <v>356</v>
      </c>
      <c r="Q129" t="s">
        <v>192</v>
      </c>
      <c r="S129" t="s">
        <v>461</v>
      </c>
      <c r="T129" t="s">
        <v>461</v>
      </c>
    </row>
    <row r="130" spans="1:20" x14ac:dyDescent="0.3">
      <c r="A130">
        <v>13</v>
      </c>
      <c r="B130" t="s">
        <v>288</v>
      </c>
      <c r="C130">
        <v>3</v>
      </c>
      <c r="D130">
        <v>3</v>
      </c>
      <c r="E130" t="s">
        <v>147</v>
      </c>
      <c r="F130" t="s">
        <v>253</v>
      </c>
      <c r="G130">
        <v>5</v>
      </c>
      <c r="H130" t="s">
        <v>301</v>
      </c>
      <c r="I130" t="s">
        <v>302</v>
      </c>
      <c r="J130">
        <v>1</v>
      </c>
      <c r="K130" t="s">
        <v>255</v>
      </c>
      <c r="L130" t="s">
        <v>255</v>
      </c>
      <c r="M130" t="s">
        <v>256</v>
      </c>
      <c r="O130">
        <v>13</v>
      </c>
      <c r="P130" t="s">
        <v>356</v>
      </c>
      <c r="Q130" t="s">
        <v>192</v>
      </c>
      <c r="S130" t="s">
        <v>462</v>
      </c>
      <c r="T130" t="s">
        <v>462</v>
      </c>
    </row>
    <row r="131" spans="1:20" x14ac:dyDescent="0.3">
      <c r="A131">
        <v>12</v>
      </c>
      <c r="B131" t="s">
        <v>243</v>
      </c>
      <c r="C131">
        <v>3</v>
      </c>
      <c r="E131" t="s">
        <v>343</v>
      </c>
      <c r="F131" t="s">
        <v>176</v>
      </c>
      <c r="H131" t="s">
        <v>301</v>
      </c>
      <c r="I131" t="s">
        <v>345</v>
      </c>
      <c r="K131" t="s">
        <v>346</v>
      </c>
      <c r="L131" t="s">
        <v>346</v>
      </c>
      <c r="O131">
        <v>2</v>
      </c>
      <c r="P131" t="s">
        <v>356</v>
      </c>
      <c r="Q131" t="s">
        <v>192</v>
      </c>
      <c r="S131" t="s">
        <v>463</v>
      </c>
      <c r="T131" t="s">
        <v>464</v>
      </c>
    </row>
    <row r="132" spans="1:20" x14ac:dyDescent="0.3">
      <c r="A132">
        <v>11</v>
      </c>
      <c r="B132" t="s">
        <v>269</v>
      </c>
      <c r="C132">
        <v>2</v>
      </c>
      <c r="D132">
        <v>2</v>
      </c>
      <c r="E132" t="s">
        <v>186</v>
      </c>
      <c r="F132" t="s">
        <v>187</v>
      </c>
      <c r="G132">
        <v>-1</v>
      </c>
      <c r="H132" t="s">
        <v>188</v>
      </c>
      <c r="I132" t="s">
        <v>189</v>
      </c>
      <c r="J132">
        <v>1</v>
      </c>
      <c r="K132" t="s">
        <v>190</v>
      </c>
      <c r="L132" t="s">
        <v>190</v>
      </c>
      <c r="M132" t="s">
        <v>256</v>
      </c>
      <c r="P132" t="s">
        <v>356</v>
      </c>
      <c r="Q132" t="s">
        <v>192</v>
      </c>
      <c r="S132" t="s">
        <v>465</v>
      </c>
      <c r="T132" t="s">
        <v>465</v>
      </c>
    </row>
    <row r="133" spans="1:20" x14ac:dyDescent="0.3">
      <c r="A133">
        <v>10</v>
      </c>
      <c r="B133" t="s">
        <v>421</v>
      </c>
      <c r="C133">
        <v>2</v>
      </c>
      <c r="D133">
        <v>2</v>
      </c>
      <c r="E133" t="s">
        <v>147</v>
      </c>
      <c r="F133" t="s">
        <v>253</v>
      </c>
      <c r="G133">
        <v>3</v>
      </c>
      <c r="H133" t="s">
        <v>301</v>
      </c>
      <c r="I133" t="s">
        <v>302</v>
      </c>
      <c r="K133" t="s">
        <v>255</v>
      </c>
      <c r="L133" t="s">
        <v>255</v>
      </c>
      <c r="M133" t="s">
        <v>256</v>
      </c>
      <c r="O133">
        <v>13</v>
      </c>
      <c r="P133" t="s">
        <v>356</v>
      </c>
      <c r="Q133" t="s">
        <v>192</v>
      </c>
      <c r="S133" t="s">
        <v>466</v>
      </c>
      <c r="T133" t="s">
        <v>466</v>
      </c>
    </row>
    <row r="134" spans="1:20" x14ac:dyDescent="0.3">
      <c r="A134">
        <v>9</v>
      </c>
      <c r="B134" t="s">
        <v>180</v>
      </c>
      <c r="C134">
        <v>2</v>
      </c>
      <c r="D134">
        <v>6</v>
      </c>
      <c r="E134" t="s">
        <v>333</v>
      </c>
      <c r="F134" t="s">
        <v>334</v>
      </c>
      <c r="G134">
        <v>0</v>
      </c>
      <c r="H134" t="s">
        <v>301</v>
      </c>
      <c r="I134" t="s">
        <v>335</v>
      </c>
      <c r="K134" t="s">
        <v>336</v>
      </c>
      <c r="L134" t="s">
        <v>336</v>
      </c>
      <c r="M134" t="s">
        <v>337</v>
      </c>
      <c r="N134" t="s">
        <v>338</v>
      </c>
      <c r="O134">
        <v>18</v>
      </c>
      <c r="P134" t="s">
        <v>356</v>
      </c>
      <c r="Q134" t="s">
        <v>192</v>
      </c>
      <c r="R134" t="s">
        <v>339</v>
      </c>
      <c r="S134" t="s">
        <v>467</v>
      </c>
      <c r="T134" t="s">
        <v>468</v>
      </c>
    </row>
    <row r="135" spans="1:20" x14ac:dyDescent="0.3">
      <c r="A135">
        <v>8</v>
      </c>
      <c r="B135" t="s">
        <v>288</v>
      </c>
      <c r="C135">
        <v>2</v>
      </c>
      <c r="D135">
        <v>2</v>
      </c>
      <c r="E135" t="s">
        <v>186</v>
      </c>
      <c r="F135" t="s">
        <v>187</v>
      </c>
      <c r="G135">
        <v>-1</v>
      </c>
      <c r="H135" t="s">
        <v>188</v>
      </c>
      <c r="I135" t="s">
        <v>189</v>
      </c>
      <c r="J135">
        <v>1</v>
      </c>
      <c r="K135" t="s">
        <v>190</v>
      </c>
      <c r="L135" t="s">
        <v>190</v>
      </c>
      <c r="M135" t="s">
        <v>469</v>
      </c>
      <c r="P135" t="s">
        <v>356</v>
      </c>
      <c r="Q135" t="s">
        <v>192</v>
      </c>
      <c r="S135" t="s">
        <v>470</v>
      </c>
      <c r="T135" t="s">
        <v>470</v>
      </c>
    </row>
    <row r="136" spans="1:20" x14ac:dyDescent="0.3">
      <c r="A136">
        <v>7</v>
      </c>
      <c r="B136" t="s">
        <v>243</v>
      </c>
      <c r="C136">
        <v>2</v>
      </c>
      <c r="E136" t="s">
        <v>186</v>
      </c>
      <c r="F136" t="s">
        <v>187</v>
      </c>
      <c r="G136">
        <v>-1</v>
      </c>
      <c r="H136" t="s">
        <v>188</v>
      </c>
      <c r="I136" t="s">
        <v>189</v>
      </c>
      <c r="K136" t="s">
        <v>190</v>
      </c>
      <c r="L136" t="s">
        <v>190</v>
      </c>
      <c r="P136" t="s">
        <v>356</v>
      </c>
      <c r="Q136" t="s">
        <v>192</v>
      </c>
      <c r="S136" t="s">
        <v>193</v>
      </c>
      <c r="T136" t="s">
        <v>193</v>
      </c>
    </row>
    <row r="137" spans="1:20" x14ac:dyDescent="0.3">
      <c r="A137">
        <v>6</v>
      </c>
      <c r="B137" t="s">
        <v>269</v>
      </c>
      <c r="C137">
        <v>1</v>
      </c>
      <c r="D137">
        <v>1</v>
      </c>
      <c r="E137" t="s">
        <v>471</v>
      </c>
      <c r="F137" t="s">
        <v>176</v>
      </c>
      <c r="G137">
        <v>5</v>
      </c>
      <c r="H137" t="s">
        <v>472</v>
      </c>
      <c r="I137" t="s">
        <v>473</v>
      </c>
      <c r="K137" t="s">
        <v>474</v>
      </c>
      <c r="L137" t="s">
        <v>474</v>
      </c>
      <c r="M137" t="s">
        <v>475</v>
      </c>
      <c r="O137">
        <v>16</v>
      </c>
      <c r="P137" t="s">
        <v>356</v>
      </c>
      <c r="Q137" t="s">
        <v>192</v>
      </c>
      <c r="S137" t="s">
        <v>465</v>
      </c>
      <c r="T137" t="s">
        <v>465</v>
      </c>
    </row>
    <row r="138" spans="1:20" x14ac:dyDescent="0.3">
      <c r="A138">
        <v>5</v>
      </c>
      <c r="B138" t="s">
        <v>421</v>
      </c>
      <c r="C138">
        <v>1</v>
      </c>
      <c r="D138">
        <v>1</v>
      </c>
      <c r="E138" t="s">
        <v>186</v>
      </c>
      <c r="F138" t="s">
        <v>187</v>
      </c>
      <c r="G138">
        <v>-1</v>
      </c>
      <c r="H138" t="s">
        <v>188</v>
      </c>
      <c r="I138" t="s">
        <v>189</v>
      </c>
      <c r="K138" t="s">
        <v>190</v>
      </c>
      <c r="L138" t="s">
        <v>190</v>
      </c>
      <c r="M138" t="s">
        <v>274</v>
      </c>
      <c r="P138" t="s">
        <v>356</v>
      </c>
      <c r="Q138" t="s">
        <v>192</v>
      </c>
      <c r="S138" t="s">
        <v>476</v>
      </c>
      <c r="T138" t="s">
        <v>476</v>
      </c>
    </row>
    <row r="139" spans="1:20" x14ac:dyDescent="0.3">
      <c r="A139">
        <v>4</v>
      </c>
      <c r="B139" t="s">
        <v>180</v>
      </c>
      <c r="C139">
        <v>1</v>
      </c>
      <c r="D139">
        <v>1</v>
      </c>
      <c r="E139" t="s">
        <v>186</v>
      </c>
      <c r="F139" t="s">
        <v>187</v>
      </c>
      <c r="G139">
        <v>-1</v>
      </c>
      <c r="H139" t="s">
        <v>188</v>
      </c>
      <c r="I139" t="s">
        <v>189</v>
      </c>
      <c r="K139" t="s">
        <v>190</v>
      </c>
      <c r="L139" t="s">
        <v>190</v>
      </c>
      <c r="M139" t="s">
        <v>256</v>
      </c>
      <c r="N139" t="s">
        <v>315</v>
      </c>
      <c r="P139" t="s">
        <v>356</v>
      </c>
      <c r="Q139" t="s">
        <v>192</v>
      </c>
      <c r="S139" t="s">
        <v>477</v>
      </c>
      <c r="T139" t="s">
        <v>477</v>
      </c>
    </row>
    <row r="140" spans="1:20" x14ac:dyDescent="0.3">
      <c r="A140">
        <v>3</v>
      </c>
      <c r="B140" t="s">
        <v>175</v>
      </c>
      <c r="C140">
        <v>1</v>
      </c>
      <c r="D140">
        <v>12</v>
      </c>
      <c r="E140" t="s">
        <v>478</v>
      </c>
      <c r="F140" t="s">
        <v>344</v>
      </c>
      <c r="G140">
        <v>5</v>
      </c>
      <c r="H140" t="s">
        <v>301</v>
      </c>
      <c r="I140" t="s">
        <v>479</v>
      </c>
      <c r="K140" t="s">
        <v>480</v>
      </c>
      <c r="L140" t="s">
        <v>346</v>
      </c>
      <c r="N140" t="s">
        <v>320</v>
      </c>
      <c r="O140">
        <v>22</v>
      </c>
      <c r="P140" t="s">
        <v>356</v>
      </c>
      <c r="Q140" t="s">
        <v>192</v>
      </c>
      <c r="S140" t="s">
        <v>481</v>
      </c>
      <c r="T140" t="s">
        <v>481</v>
      </c>
    </row>
    <row r="141" spans="1:20" x14ac:dyDescent="0.3">
      <c r="A141">
        <v>2</v>
      </c>
      <c r="B141" t="s">
        <v>288</v>
      </c>
      <c r="C141">
        <v>1</v>
      </c>
      <c r="D141">
        <v>1</v>
      </c>
      <c r="E141" t="s">
        <v>482</v>
      </c>
      <c r="F141" t="s">
        <v>483</v>
      </c>
      <c r="G141">
        <v>5</v>
      </c>
      <c r="H141" t="s">
        <v>484</v>
      </c>
      <c r="I141" t="s">
        <v>485</v>
      </c>
      <c r="J141">
        <v>5</v>
      </c>
      <c r="K141" t="s">
        <v>336</v>
      </c>
      <c r="L141" t="s">
        <v>336</v>
      </c>
      <c r="M141" t="s">
        <v>483</v>
      </c>
      <c r="P141" t="s">
        <v>356</v>
      </c>
      <c r="Q141" t="s">
        <v>192</v>
      </c>
      <c r="S141" t="s">
        <v>486</v>
      </c>
      <c r="T141" t="s">
        <v>486</v>
      </c>
    </row>
    <row r="142" spans="1:20" x14ac:dyDescent="0.3">
      <c r="A142">
        <v>1</v>
      </c>
      <c r="B142" t="s">
        <v>243</v>
      </c>
      <c r="C142">
        <v>1</v>
      </c>
      <c r="E142" t="s">
        <v>455</v>
      </c>
      <c r="G142">
        <v>5</v>
      </c>
      <c r="H142" t="s">
        <v>487</v>
      </c>
      <c r="I142" t="s">
        <v>488</v>
      </c>
      <c r="P142" t="s">
        <v>356</v>
      </c>
      <c r="Q142" t="s">
        <v>192</v>
      </c>
      <c r="R142" t="s">
        <v>489</v>
      </c>
      <c r="S142" t="s">
        <v>490</v>
      </c>
      <c r="T142" t="s">
        <v>490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56E8-8BB8-4DD5-A153-47ED9FFF3BA6}">
  <sheetPr codeName="Sheet17"/>
  <dimension ref="A5:H112"/>
  <sheetViews>
    <sheetView workbookViewId="0">
      <selection activeCell="A9" sqref="A9"/>
    </sheetView>
  </sheetViews>
  <sheetFormatPr defaultRowHeight="16.5" x14ac:dyDescent="0.3"/>
  <cols>
    <col min="3" max="3" width="13.625" customWidth="1"/>
    <col min="5" max="5" width="25.5" customWidth="1"/>
    <col min="6" max="6" width="29" customWidth="1"/>
    <col min="7" max="7" width="29.75" customWidth="1"/>
    <col min="8" max="8" width="36" customWidth="1"/>
  </cols>
  <sheetData>
    <row r="5" spans="1:8" x14ac:dyDescent="0.3">
      <c r="A5" t="s">
        <v>1</v>
      </c>
      <c r="B5" t="s">
        <v>1195</v>
      </c>
      <c r="C5" t="s">
        <v>1196</v>
      </c>
      <c r="D5" t="s">
        <v>1203</v>
      </c>
      <c r="E5" t="s">
        <v>1204</v>
      </c>
      <c r="F5" t="s">
        <v>1205</v>
      </c>
      <c r="G5" t="s">
        <v>502</v>
      </c>
      <c r="H5" t="s">
        <v>503</v>
      </c>
    </row>
    <row r="6" spans="1:8" x14ac:dyDescent="0.3">
      <c r="A6">
        <v>174</v>
      </c>
      <c r="B6">
        <v>55</v>
      </c>
      <c r="C6">
        <v>55</v>
      </c>
      <c r="D6" t="s">
        <v>142</v>
      </c>
      <c r="E6" t="s">
        <v>593</v>
      </c>
      <c r="F6" t="s">
        <v>1206</v>
      </c>
      <c r="G6" t="s">
        <v>1207</v>
      </c>
      <c r="H6" t="s">
        <v>1207</v>
      </c>
    </row>
    <row r="7" spans="1:8" x14ac:dyDescent="0.3">
      <c r="A7">
        <v>173</v>
      </c>
      <c r="B7">
        <v>22</v>
      </c>
      <c r="C7">
        <v>43</v>
      </c>
      <c r="D7" t="s">
        <v>205</v>
      </c>
      <c r="E7" t="s">
        <v>580</v>
      </c>
      <c r="F7" t="s">
        <v>1206</v>
      </c>
      <c r="G7" t="s">
        <v>1208</v>
      </c>
      <c r="H7" t="s">
        <v>1208</v>
      </c>
    </row>
    <row r="8" spans="1:8" x14ac:dyDescent="0.3">
      <c r="A8">
        <v>172</v>
      </c>
      <c r="B8">
        <v>7</v>
      </c>
      <c r="C8">
        <v>21</v>
      </c>
      <c r="D8" t="s">
        <v>133</v>
      </c>
      <c r="E8" t="s">
        <v>134</v>
      </c>
      <c r="F8" t="s">
        <v>1206</v>
      </c>
      <c r="G8" t="s">
        <v>1209</v>
      </c>
      <c r="H8" t="s">
        <v>1209</v>
      </c>
    </row>
    <row r="9" spans="1:8" x14ac:dyDescent="0.3">
      <c r="A9">
        <v>171</v>
      </c>
      <c r="B9">
        <v>7</v>
      </c>
      <c r="C9">
        <v>21</v>
      </c>
      <c r="D9" t="s">
        <v>133</v>
      </c>
      <c r="E9" t="s">
        <v>138</v>
      </c>
      <c r="F9" t="s">
        <v>1206</v>
      </c>
      <c r="G9" t="s">
        <v>1210</v>
      </c>
      <c r="H9" t="s">
        <v>1210</v>
      </c>
    </row>
    <row r="10" spans="1:8" x14ac:dyDescent="0.3">
      <c r="A10">
        <v>170</v>
      </c>
      <c r="B10">
        <v>55</v>
      </c>
      <c r="C10">
        <v>55</v>
      </c>
      <c r="D10" t="s">
        <v>142</v>
      </c>
      <c r="E10" t="s">
        <v>143</v>
      </c>
      <c r="F10" t="s">
        <v>1206</v>
      </c>
      <c r="G10" t="s">
        <v>1211</v>
      </c>
      <c r="H10" t="s">
        <v>1211</v>
      </c>
    </row>
    <row r="11" spans="1:8" x14ac:dyDescent="0.3">
      <c r="A11">
        <v>169</v>
      </c>
      <c r="B11">
        <v>55</v>
      </c>
      <c r="C11">
        <v>55</v>
      </c>
      <c r="D11" t="s">
        <v>142</v>
      </c>
      <c r="E11" t="s">
        <v>148</v>
      </c>
      <c r="F11" t="s">
        <v>1206</v>
      </c>
      <c r="G11" t="s">
        <v>1212</v>
      </c>
      <c r="H11" t="s">
        <v>1212</v>
      </c>
    </row>
    <row r="12" spans="1:8" x14ac:dyDescent="0.3">
      <c r="A12">
        <v>168</v>
      </c>
      <c r="B12">
        <v>55</v>
      </c>
      <c r="C12">
        <v>55</v>
      </c>
      <c r="D12" t="s">
        <v>142</v>
      </c>
      <c r="E12" t="s">
        <v>153</v>
      </c>
      <c r="F12" t="s">
        <v>1206</v>
      </c>
      <c r="G12" t="s">
        <v>1213</v>
      </c>
      <c r="H12" t="s">
        <v>1213</v>
      </c>
    </row>
    <row r="13" spans="1:8" x14ac:dyDescent="0.3">
      <c r="A13">
        <v>167</v>
      </c>
      <c r="B13">
        <v>55</v>
      </c>
      <c r="C13">
        <v>55</v>
      </c>
      <c r="D13" t="s">
        <v>142</v>
      </c>
      <c r="E13" t="s">
        <v>161</v>
      </c>
      <c r="F13" t="s">
        <v>1206</v>
      </c>
      <c r="G13" t="s">
        <v>1214</v>
      </c>
      <c r="H13" t="s">
        <v>1214</v>
      </c>
    </row>
    <row r="14" spans="1:8" x14ac:dyDescent="0.3">
      <c r="A14">
        <v>149</v>
      </c>
      <c r="B14">
        <v>23</v>
      </c>
      <c r="C14">
        <v>44</v>
      </c>
      <c r="D14" t="s">
        <v>165</v>
      </c>
      <c r="E14" t="s">
        <v>166</v>
      </c>
      <c r="F14" t="s">
        <v>1206</v>
      </c>
      <c r="G14" t="s">
        <v>1215</v>
      </c>
      <c r="H14" t="s">
        <v>1215</v>
      </c>
    </row>
    <row r="15" spans="1:8" x14ac:dyDescent="0.3">
      <c r="A15">
        <v>148</v>
      </c>
      <c r="B15">
        <v>2</v>
      </c>
      <c r="C15">
        <v>14</v>
      </c>
      <c r="D15" t="s">
        <v>175</v>
      </c>
      <c r="E15" t="s">
        <v>177</v>
      </c>
      <c r="F15" t="s">
        <v>1206</v>
      </c>
      <c r="G15" t="s">
        <v>1216</v>
      </c>
      <c r="H15" t="s">
        <v>1216</v>
      </c>
    </row>
    <row r="16" spans="1:8" x14ac:dyDescent="0.3">
      <c r="A16">
        <v>147</v>
      </c>
      <c r="B16">
        <v>1</v>
      </c>
      <c r="C16">
        <v>13</v>
      </c>
      <c r="D16" t="s">
        <v>180</v>
      </c>
      <c r="E16" t="s">
        <v>182</v>
      </c>
      <c r="F16" t="s">
        <v>1206</v>
      </c>
      <c r="G16" t="s">
        <v>1217</v>
      </c>
      <c r="H16" t="s">
        <v>1217</v>
      </c>
    </row>
    <row r="17" spans="1:8" x14ac:dyDescent="0.3">
      <c r="A17">
        <v>146</v>
      </c>
      <c r="B17">
        <v>23</v>
      </c>
      <c r="C17">
        <v>44</v>
      </c>
      <c r="D17" t="s">
        <v>165</v>
      </c>
      <c r="E17" t="s">
        <v>168</v>
      </c>
      <c r="F17" t="s">
        <v>1206</v>
      </c>
      <c r="G17" t="s">
        <v>1218</v>
      </c>
      <c r="H17" t="s">
        <v>1218</v>
      </c>
    </row>
    <row r="18" spans="1:8" x14ac:dyDescent="0.3">
      <c r="A18">
        <v>145</v>
      </c>
      <c r="B18">
        <v>23</v>
      </c>
      <c r="C18">
        <v>44</v>
      </c>
      <c r="D18" t="s">
        <v>165</v>
      </c>
      <c r="E18" t="s">
        <v>170</v>
      </c>
      <c r="F18" t="s">
        <v>1206</v>
      </c>
      <c r="G18" t="s">
        <v>1219</v>
      </c>
      <c r="H18" t="s">
        <v>1219</v>
      </c>
    </row>
    <row r="19" spans="1:8" x14ac:dyDescent="0.3">
      <c r="A19">
        <v>144</v>
      </c>
      <c r="B19">
        <v>23</v>
      </c>
      <c r="C19">
        <v>44</v>
      </c>
      <c r="D19" t="s">
        <v>165</v>
      </c>
      <c r="E19" t="s">
        <v>172</v>
      </c>
      <c r="F19" t="s">
        <v>1206</v>
      </c>
      <c r="G19" t="s">
        <v>1220</v>
      </c>
      <c r="H19" t="s">
        <v>1220</v>
      </c>
    </row>
    <row r="20" spans="1:8" x14ac:dyDescent="0.3">
      <c r="A20">
        <v>143</v>
      </c>
      <c r="B20">
        <v>24</v>
      </c>
      <c r="C20">
        <v>45</v>
      </c>
      <c r="D20" t="s">
        <v>194</v>
      </c>
      <c r="E20" t="s">
        <v>195</v>
      </c>
      <c r="F20" t="s">
        <v>1206</v>
      </c>
      <c r="G20" t="s">
        <v>1221</v>
      </c>
      <c r="H20" t="s">
        <v>1221</v>
      </c>
    </row>
    <row r="21" spans="1:8" x14ac:dyDescent="0.3">
      <c r="A21">
        <v>142</v>
      </c>
      <c r="B21">
        <v>24</v>
      </c>
      <c r="C21">
        <v>45</v>
      </c>
      <c r="D21" t="s">
        <v>194</v>
      </c>
      <c r="E21" t="s">
        <v>197</v>
      </c>
      <c r="F21" t="s">
        <v>1206</v>
      </c>
      <c r="G21" t="s">
        <v>1222</v>
      </c>
      <c r="H21" t="s">
        <v>1222</v>
      </c>
    </row>
    <row r="22" spans="1:8" x14ac:dyDescent="0.3">
      <c r="A22">
        <v>141</v>
      </c>
      <c r="B22">
        <v>23</v>
      </c>
      <c r="C22">
        <v>44</v>
      </c>
      <c r="D22" t="s">
        <v>165</v>
      </c>
      <c r="E22" t="s">
        <v>174</v>
      </c>
      <c r="F22" t="s">
        <v>1206</v>
      </c>
      <c r="G22" t="s">
        <v>1223</v>
      </c>
      <c r="H22" t="s">
        <v>1223</v>
      </c>
    </row>
    <row r="23" spans="1:8" x14ac:dyDescent="0.3">
      <c r="A23">
        <v>140</v>
      </c>
      <c r="B23">
        <v>12</v>
      </c>
      <c r="C23">
        <v>34</v>
      </c>
      <c r="D23" t="s">
        <v>199</v>
      </c>
      <c r="E23" t="s">
        <v>200</v>
      </c>
      <c r="F23" t="s">
        <v>1206</v>
      </c>
      <c r="G23" t="s">
        <v>1224</v>
      </c>
      <c r="H23" t="s">
        <v>1224</v>
      </c>
    </row>
    <row r="24" spans="1:8" x14ac:dyDescent="0.3">
      <c r="A24">
        <v>139</v>
      </c>
      <c r="B24">
        <v>12</v>
      </c>
      <c r="C24">
        <v>34</v>
      </c>
      <c r="D24" t="s">
        <v>199</v>
      </c>
      <c r="E24" t="s">
        <v>203</v>
      </c>
      <c r="F24" t="s">
        <v>1206</v>
      </c>
      <c r="G24" t="s">
        <v>1225</v>
      </c>
      <c r="H24" t="s">
        <v>1225</v>
      </c>
    </row>
    <row r="25" spans="1:8" x14ac:dyDescent="0.3">
      <c r="A25">
        <v>138</v>
      </c>
      <c r="B25">
        <v>22</v>
      </c>
      <c r="C25">
        <v>43</v>
      </c>
      <c r="D25" t="s">
        <v>205</v>
      </c>
      <c r="E25" t="s">
        <v>206</v>
      </c>
      <c r="F25" t="s">
        <v>1206</v>
      </c>
      <c r="G25" t="s">
        <v>1226</v>
      </c>
      <c r="H25" t="s">
        <v>1226</v>
      </c>
    </row>
    <row r="26" spans="1:8" x14ac:dyDescent="0.3">
      <c r="A26">
        <v>137</v>
      </c>
      <c r="B26">
        <v>5</v>
      </c>
      <c r="C26">
        <v>17</v>
      </c>
      <c r="D26" t="s">
        <v>243</v>
      </c>
      <c r="E26" t="s">
        <v>244</v>
      </c>
      <c r="F26" t="s">
        <v>1206</v>
      </c>
      <c r="G26" t="s">
        <v>1227</v>
      </c>
      <c r="H26" t="s">
        <v>1227</v>
      </c>
    </row>
    <row r="27" spans="1:8" x14ac:dyDescent="0.3">
      <c r="A27">
        <v>136</v>
      </c>
      <c r="B27">
        <v>5</v>
      </c>
      <c r="C27">
        <v>17</v>
      </c>
      <c r="D27" t="s">
        <v>243</v>
      </c>
      <c r="E27" t="s">
        <v>246</v>
      </c>
      <c r="F27" t="s">
        <v>1206</v>
      </c>
      <c r="G27" t="s">
        <v>1228</v>
      </c>
      <c r="H27" t="s">
        <v>1228</v>
      </c>
    </row>
    <row r="28" spans="1:8" x14ac:dyDescent="0.3">
      <c r="A28">
        <v>135</v>
      </c>
      <c r="B28">
        <v>20</v>
      </c>
      <c r="C28">
        <v>41</v>
      </c>
      <c r="D28" t="s">
        <v>212</v>
      </c>
      <c r="E28" t="s">
        <v>214</v>
      </c>
      <c r="F28" t="s">
        <v>1206</v>
      </c>
      <c r="G28" t="s">
        <v>1229</v>
      </c>
      <c r="H28" t="s">
        <v>1229</v>
      </c>
    </row>
    <row r="29" spans="1:8" x14ac:dyDescent="0.3">
      <c r="A29">
        <v>134</v>
      </c>
      <c r="B29">
        <v>21</v>
      </c>
      <c r="C29">
        <v>42</v>
      </c>
      <c r="D29" t="s">
        <v>209</v>
      </c>
      <c r="E29" t="s">
        <v>210</v>
      </c>
      <c r="F29" t="s">
        <v>1206</v>
      </c>
      <c r="G29" t="s">
        <v>1230</v>
      </c>
      <c r="H29" t="s">
        <v>1230</v>
      </c>
    </row>
    <row r="30" spans="1:8" x14ac:dyDescent="0.3">
      <c r="A30">
        <v>133</v>
      </c>
      <c r="B30">
        <v>21</v>
      </c>
      <c r="C30">
        <v>42</v>
      </c>
      <c r="D30" t="s">
        <v>209</v>
      </c>
      <c r="E30" t="s">
        <v>211</v>
      </c>
      <c r="F30" t="s">
        <v>1206</v>
      </c>
      <c r="G30" t="s">
        <v>1231</v>
      </c>
      <c r="H30" t="s">
        <v>1231</v>
      </c>
    </row>
    <row r="31" spans="1:8" x14ac:dyDescent="0.3">
      <c r="A31">
        <v>122</v>
      </c>
      <c r="B31">
        <v>20</v>
      </c>
      <c r="C31">
        <v>41</v>
      </c>
      <c r="D31" t="s">
        <v>212</v>
      </c>
      <c r="E31" t="s">
        <v>216</v>
      </c>
      <c r="F31" t="s">
        <v>1206</v>
      </c>
      <c r="G31" t="s">
        <v>1232</v>
      </c>
      <c r="H31" t="s">
        <v>1232</v>
      </c>
    </row>
    <row r="32" spans="1:8" x14ac:dyDescent="0.3">
      <c r="A32">
        <v>121</v>
      </c>
      <c r="B32">
        <v>19</v>
      </c>
      <c r="C32">
        <v>40</v>
      </c>
      <c r="D32" t="s">
        <v>217</v>
      </c>
      <c r="E32" t="s">
        <v>218</v>
      </c>
      <c r="F32" t="s">
        <v>1206</v>
      </c>
      <c r="G32" t="s">
        <v>1233</v>
      </c>
      <c r="H32" t="s">
        <v>1233</v>
      </c>
    </row>
    <row r="33" spans="1:8" x14ac:dyDescent="0.3">
      <c r="A33">
        <v>120</v>
      </c>
      <c r="B33">
        <v>19</v>
      </c>
      <c r="C33">
        <v>40</v>
      </c>
      <c r="D33" t="s">
        <v>217</v>
      </c>
      <c r="E33" t="s">
        <v>219</v>
      </c>
      <c r="F33" t="s">
        <v>1206</v>
      </c>
      <c r="G33" t="s">
        <v>1234</v>
      </c>
      <c r="H33" t="s">
        <v>1234</v>
      </c>
    </row>
    <row r="34" spans="1:8" x14ac:dyDescent="0.3">
      <c r="A34">
        <v>119</v>
      </c>
      <c r="B34">
        <v>19</v>
      </c>
      <c r="C34">
        <v>40</v>
      </c>
      <c r="D34" t="s">
        <v>217</v>
      </c>
      <c r="E34" t="s">
        <v>220</v>
      </c>
      <c r="F34" t="s">
        <v>1206</v>
      </c>
      <c r="G34" t="s">
        <v>1235</v>
      </c>
      <c r="H34" t="s">
        <v>1235</v>
      </c>
    </row>
    <row r="35" spans="1:8" x14ac:dyDescent="0.3">
      <c r="A35">
        <v>118</v>
      </c>
      <c r="B35">
        <v>19</v>
      </c>
      <c r="C35">
        <v>40</v>
      </c>
      <c r="D35" t="s">
        <v>217</v>
      </c>
      <c r="E35" t="s">
        <v>221</v>
      </c>
      <c r="F35" t="s">
        <v>1206</v>
      </c>
      <c r="G35" t="s">
        <v>1236</v>
      </c>
      <c r="H35" t="s">
        <v>1236</v>
      </c>
    </row>
    <row r="36" spans="1:8" x14ac:dyDescent="0.3">
      <c r="A36">
        <v>117</v>
      </c>
      <c r="B36">
        <v>16</v>
      </c>
      <c r="C36">
        <v>38</v>
      </c>
      <c r="D36" t="s">
        <v>226</v>
      </c>
      <c r="E36" t="s">
        <v>227</v>
      </c>
      <c r="F36" t="s">
        <v>1206</v>
      </c>
      <c r="G36" t="s">
        <v>1237</v>
      </c>
      <c r="H36" t="s">
        <v>1237</v>
      </c>
    </row>
    <row r="37" spans="1:8" x14ac:dyDescent="0.3">
      <c r="A37">
        <v>116</v>
      </c>
      <c r="B37">
        <v>17</v>
      </c>
      <c r="C37">
        <v>39</v>
      </c>
      <c r="D37" t="s">
        <v>222</v>
      </c>
      <c r="E37" t="s">
        <v>223</v>
      </c>
      <c r="F37" t="s">
        <v>1206</v>
      </c>
      <c r="G37" t="s">
        <v>1238</v>
      </c>
      <c r="H37" t="s">
        <v>1238</v>
      </c>
    </row>
    <row r="38" spans="1:8" x14ac:dyDescent="0.3">
      <c r="A38">
        <v>115</v>
      </c>
      <c r="B38">
        <v>17</v>
      </c>
      <c r="C38">
        <v>39</v>
      </c>
      <c r="D38" t="s">
        <v>222</v>
      </c>
      <c r="E38" t="s">
        <v>224</v>
      </c>
      <c r="F38" t="s">
        <v>1206</v>
      </c>
      <c r="G38" t="s">
        <v>1239</v>
      </c>
      <c r="H38" t="s">
        <v>1239</v>
      </c>
    </row>
    <row r="39" spans="1:8" x14ac:dyDescent="0.3">
      <c r="A39">
        <v>114</v>
      </c>
      <c r="B39">
        <v>17</v>
      </c>
      <c r="C39">
        <v>39</v>
      </c>
      <c r="D39" t="s">
        <v>222</v>
      </c>
      <c r="E39" t="s">
        <v>225</v>
      </c>
      <c r="F39" t="s">
        <v>1206</v>
      </c>
      <c r="G39" t="s">
        <v>1240</v>
      </c>
      <c r="H39" t="s">
        <v>1240</v>
      </c>
    </row>
    <row r="40" spans="1:8" x14ac:dyDescent="0.3">
      <c r="A40">
        <v>113</v>
      </c>
      <c r="B40">
        <v>16</v>
      </c>
      <c r="C40">
        <v>38</v>
      </c>
      <c r="D40" t="s">
        <v>226</v>
      </c>
      <c r="E40" t="s">
        <v>228</v>
      </c>
      <c r="F40" t="s">
        <v>1206</v>
      </c>
      <c r="G40" t="s">
        <v>1241</v>
      </c>
      <c r="H40" t="s">
        <v>1241</v>
      </c>
    </row>
    <row r="41" spans="1:8" x14ac:dyDescent="0.3">
      <c r="A41">
        <v>112</v>
      </c>
      <c r="B41">
        <v>16</v>
      </c>
      <c r="C41">
        <v>38</v>
      </c>
      <c r="D41" t="s">
        <v>226</v>
      </c>
      <c r="E41" t="s">
        <v>229</v>
      </c>
      <c r="F41" t="s">
        <v>1206</v>
      </c>
      <c r="G41" t="s">
        <v>1242</v>
      </c>
      <c r="H41" t="s">
        <v>1242</v>
      </c>
    </row>
    <row r="42" spans="1:8" x14ac:dyDescent="0.3">
      <c r="A42">
        <v>111</v>
      </c>
      <c r="B42">
        <v>16</v>
      </c>
      <c r="C42">
        <v>38</v>
      </c>
      <c r="D42" t="s">
        <v>226</v>
      </c>
      <c r="E42" t="s">
        <v>230</v>
      </c>
      <c r="F42" t="s">
        <v>1206</v>
      </c>
      <c r="G42" t="s">
        <v>1243</v>
      </c>
      <c r="H42" t="s">
        <v>1243</v>
      </c>
    </row>
    <row r="43" spans="1:8" x14ac:dyDescent="0.3">
      <c r="A43">
        <v>108</v>
      </c>
      <c r="B43">
        <v>14</v>
      </c>
      <c r="C43">
        <v>36</v>
      </c>
      <c r="D43" t="s">
        <v>231</v>
      </c>
      <c r="E43" t="s">
        <v>656</v>
      </c>
      <c r="F43" t="s">
        <v>1206</v>
      </c>
      <c r="G43" t="s">
        <v>1244</v>
      </c>
      <c r="H43" t="s">
        <v>1244</v>
      </c>
    </row>
    <row r="44" spans="1:8" x14ac:dyDescent="0.3">
      <c r="A44">
        <v>107</v>
      </c>
      <c r="B44">
        <v>14</v>
      </c>
      <c r="C44">
        <v>36</v>
      </c>
      <c r="D44" t="s">
        <v>231</v>
      </c>
      <c r="E44" t="s">
        <v>232</v>
      </c>
      <c r="F44" t="s">
        <v>1206</v>
      </c>
      <c r="G44" t="s">
        <v>1245</v>
      </c>
      <c r="H44" t="s">
        <v>1245</v>
      </c>
    </row>
    <row r="45" spans="1:8" x14ac:dyDescent="0.3">
      <c r="A45">
        <v>106</v>
      </c>
      <c r="B45">
        <v>14</v>
      </c>
      <c r="C45">
        <v>36</v>
      </c>
      <c r="D45" t="s">
        <v>231</v>
      </c>
      <c r="E45" t="s">
        <v>233</v>
      </c>
      <c r="F45" t="s">
        <v>1206</v>
      </c>
      <c r="G45" t="s">
        <v>1246</v>
      </c>
      <c r="H45" t="s">
        <v>1246</v>
      </c>
    </row>
    <row r="46" spans="1:8" x14ac:dyDescent="0.3">
      <c r="A46">
        <v>105</v>
      </c>
      <c r="B46">
        <v>14</v>
      </c>
      <c r="C46">
        <v>36</v>
      </c>
      <c r="D46" t="s">
        <v>231</v>
      </c>
      <c r="E46" t="s">
        <v>234</v>
      </c>
      <c r="F46" t="s">
        <v>1206</v>
      </c>
      <c r="G46" t="s">
        <v>1247</v>
      </c>
      <c r="H46" t="s">
        <v>1247</v>
      </c>
    </row>
    <row r="47" spans="1:8" x14ac:dyDescent="0.3">
      <c r="A47">
        <v>104</v>
      </c>
      <c r="B47">
        <v>14</v>
      </c>
      <c r="C47">
        <v>36</v>
      </c>
      <c r="D47" t="s">
        <v>231</v>
      </c>
      <c r="E47" t="s">
        <v>235</v>
      </c>
      <c r="F47" t="s">
        <v>1206</v>
      </c>
      <c r="G47" t="s">
        <v>1248</v>
      </c>
      <c r="H47" t="s">
        <v>1248</v>
      </c>
    </row>
    <row r="48" spans="1:8" x14ac:dyDescent="0.3">
      <c r="A48">
        <v>103</v>
      </c>
      <c r="B48">
        <v>14</v>
      </c>
      <c r="C48">
        <v>36</v>
      </c>
      <c r="D48" t="s">
        <v>231</v>
      </c>
      <c r="E48" t="s">
        <v>236</v>
      </c>
      <c r="F48" t="s">
        <v>1206</v>
      </c>
      <c r="G48" t="s">
        <v>1249</v>
      </c>
      <c r="H48" t="s">
        <v>1249</v>
      </c>
    </row>
    <row r="49" spans="1:8" x14ac:dyDescent="0.3">
      <c r="A49">
        <v>102</v>
      </c>
      <c r="B49">
        <v>14</v>
      </c>
      <c r="C49">
        <v>36</v>
      </c>
      <c r="D49" t="s">
        <v>231</v>
      </c>
      <c r="E49" t="s">
        <v>237</v>
      </c>
      <c r="F49" t="s">
        <v>1206</v>
      </c>
      <c r="G49" t="s">
        <v>1250</v>
      </c>
      <c r="H49" t="s">
        <v>1250</v>
      </c>
    </row>
    <row r="50" spans="1:8" x14ac:dyDescent="0.3">
      <c r="A50">
        <v>101</v>
      </c>
      <c r="B50">
        <v>13</v>
      </c>
      <c r="C50">
        <v>35</v>
      </c>
      <c r="D50" t="s">
        <v>238</v>
      </c>
      <c r="E50" t="s">
        <v>239</v>
      </c>
      <c r="F50" t="s">
        <v>1206</v>
      </c>
      <c r="G50" t="s">
        <v>1251</v>
      </c>
      <c r="H50" t="s">
        <v>1251</v>
      </c>
    </row>
    <row r="51" spans="1:8" x14ac:dyDescent="0.3">
      <c r="A51">
        <v>100</v>
      </c>
      <c r="B51">
        <v>13</v>
      </c>
      <c r="C51">
        <v>35</v>
      </c>
      <c r="D51" t="s">
        <v>238</v>
      </c>
      <c r="E51" t="s">
        <v>240</v>
      </c>
      <c r="F51" t="s">
        <v>1206</v>
      </c>
      <c r="G51" t="s">
        <v>1252</v>
      </c>
      <c r="H51" t="s">
        <v>1252</v>
      </c>
    </row>
    <row r="52" spans="1:8" x14ac:dyDescent="0.3">
      <c r="A52">
        <v>98</v>
      </c>
      <c r="B52">
        <v>5</v>
      </c>
      <c r="C52">
        <v>17</v>
      </c>
      <c r="D52" t="s">
        <v>243</v>
      </c>
      <c r="E52" t="s">
        <v>248</v>
      </c>
      <c r="F52" t="s">
        <v>1206</v>
      </c>
      <c r="G52" t="s">
        <v>1253</v>
      </c>
      <c r="H52" t="s">
        <v>1253</v>
      </c>
    </row>
    <row r="53" spans="1:8" x14ac:dyDescent="0.3">
      <c r="A53">
        <v>97</v>
      </c>
      <c r="B53">
        <v>1</v>
      </c>
      <c r="C53">
        <v>13</v>
      </c>
      <c r="D53" t="s">
        <v>180</v>
      </c>
      <c r="E53" t="s">
        <v>259</v>
      </c>
      <c r="F53" t="s">
        <v>1206</v>
      </c>
      <c r="G53" t="s">
        <v>1254</v>
      </c>
      <c r="H53" t="s">
        <v>1254</v>
      </c>
    </row>
    <row r="54" spans="1:8" x14ac:dyDescent="0.3">
      <c r="A54">
        <v>93</v>
      </c>
      <c r="B54">
        <v>5</v>
      </c>
      <c r="C54">
        <v>17</v>
      </c>
      <c r="D54" t="s">
        <v>243</v>
      </c>
      <c r="E54" t="s">
        <v>251</v>
      </c>
      <c r="F54" t="s">
        <v>1206</v>
      </c>
      <c r="G54" t="s">
        <v>1255</v>
      </c>
      <c r="H54" t="s">
        <v>1255</v>
      </c>
    </row>
    <row r="55" spans="1:8" x14ac:dyDescent="0.3">
      <c r="A55">
        <v>90</v>
      </c>
      <c r="B55">
        <v>1</v>
      </c>
      <c r="C55">
        <v>13</v>
      </c>
      <c r="D55" t="s">
        <v>180</v>
      </c>
      <c r="E55" t="s">
        <v>319</v>
      </c>
      <c r="F55" t="s">
        <v>1206</v>
      </c>
      <c r="G55" t="s">
        <v>1256</v>
      </c>
      <c r="H55" t="s">
        <v>1256</v>
      </c>
    </row>
    <row r="56" spans="1:8" x14ac:dyDescent="0.3">
      <c r="A56">
        <v>87</v>
      </c>
      <c r="B56">
        <v>1</v>
      </c>
      <c r="C56">
        <v>13</v>
      </c>
      <c r="D56" t="s">
        <v>180</v>
      </c>
      <c r="E56" t="s">
        <v>261</v>
      </c>
      <c r="F56" t="s">
        <v>1206</v>
      </c>
      <c r="G56" t="s">
        <v>1257</v>
      </c>
      <c r="H56" t="s">
        <v>1257</v>
      </c>
    </row>
    <row r="57" spans="1:8" x14ac:dyDescent="0.3">
      <c r="A57">
        <v>85</v>
      </c>
      <c r="B57">
        <v>12</v>
      </c>
      <c r="C57">
        <v>34</v>
      </c>
      <c r="D57" t="s">
        <v>199</v>
      </c>
      <c r="E57" t="s">
        <v>241</v>
      </c>
      <c r="F57" t="s">
        <v>1206</v>
      </c>
      <c r="G57" t="s">
        <v>1258</v>
      </c>
      <c r="H57" t="s">
        <v>1258</v>
      </c>
    </row>
    <row r="58" spans="1:8" x14ac:dyDescent="0.3">
      <c r="A58">
        <v>84</v>
      </c>
      <c r="B58">
        <v>12</v>
      </c>
      <c r="C58">
        <v>34</v>
      </c>
      <c r="D58" t="s">
        <v>199</v>
      </c>
      <c r="E58" t="s">
        <v>264</v>
      </c>
      <c r="F58" t="s">
        <v>1206</v>
      </c>
      <c r="G58" t="s">
        <v>1259</v>
      </c>
      <c r="H58" t="s">
        <v>1259</v>
      </c>
    </row>
    <row r="59" spans="1:8" x14ac:dyDescent="0.3">
      <c r="A59">
        <v>83</v>
      </c>
      <c r="B59">
        <v>12</v>
      </c>
      <c r="C59">
        <v>34</v>
      </c>
      <c r="D59" t="s">
        <v>199</v>
      </c>
      <c r="E59" t="s">
        <v>267</v>
      </c>
      <c r="F59" t="s">
        <v>1206</v>
      </c>
      <c r="G59" t="s">
        <v>1260</v>
      </c>
      <c r="H59" t="s">
        <v>1260</v>
      </c>
    </row>
    <row r="60" spans="1:8" x14ac:dyDescent="0.3">
      <c r="A60">
        <v>79</v>
      </c>
      <c r="B60">
        <v>9</v>
      </c>
      <c r="C60">
        <v>23</v>
      </c>
      <c r="D60" t="s">
        <v>269</v>
      </c>
      <c r="E60" t="s">
        <v>272</v>
      </c>
      <c r="F60" t="s">
        <v>1206</v>
      </c>
      <c r="G60" t="s">
        <v>1261</v>
      </c>
      <c r="H60" t="s">
        <v>1261</v>
      </c>
    </row>
    <row r="61" spans="1:8" x14ac:dyDescent="0.3">
      <c r="A61">
        <v>78</v>
      </c>
      <c r="B61">
        <v>2</v>
      </c>
      <c r="C61">
        <v>14</v>
      </c>
      <c r="D61" t="s">
        <v>175</v>
      </c>
      <c r="E61" t="s">
        <v>286</v>
      </c>
      <c r="F61" t="s">
        <v>1206</v>
      </c>
      <c r="G61" t="s">
        <v>1262</v>
      </c>
      <c r="H61" t="s">
        <v>1262</v>
      </c>
    </row>
    <row r="62" spans="1:8" x14ac:dyDescent="0.3">
      <c r="A62">
        <v>77</v>
      </c>
      <c r="B62">
        <v>5</v>
      </c>
      <c r="C62">
        <v>17</v>
      </c>
      <c r="D62" t="s">
        <v>243</v>
      </c>
      <c r="E62" t="s">
        <v>277</v>
      </c>
      <c r="F62" t="s">
        <v>1206</v>
      </c>
      <c r="G62" t="s">
        <v>1263</v>
      </c>
      <c r="H62" t="s">
        <v>1263</v>
      </c>
    </row>
    <row r="63" spans="1:8" x14ac:dyDescent="0.3">
      <c r="A63">
        <v>76</v>
      </c>
      <c r="B63">
        <v>2</v>
      </c>
      <c r="C63">
        <v>14</v>
      </c>
      <c r="D63" t="s">
        <v>175</v>
      </c>
      <c r="E63" t="s">
        <v>656</v>
      </c>
      <c r="F63" t="s">
        <v>1206</v>
      </c>
      <c r="G63" t="s">
        <v>1264</v>
      </c>
      <c r="H63" t="s">
        <v>1264</v>
      </c>
    </row>
    <row r="64" spans="1:8" x14ac:dyDescent="0.3">
      <c r="A64">
        <v>75</v>
      </c>
      <c r="B64">
        <v>8</v>
      </c>
      <c r="C64">
        <v>22</v>
      </c>
      <c r="D64" t="s">
        <v>288</v>
      </c>
      <c r="E64" t="s">
        <v>289</v>
      </c>
      <c r="F64" t="s">
        <v>1206</v>
      </c>
      <c r="G64" t="s">
        <v>1265</v>
      </c>
      <c r="H64" t="s">
        <v>1265</v>
      </c>
    </row>
    <row r="65" spans="1:8" x14ac:dyDescent="0.3">
      <c r="A65">
        <v>74</v>
      </c>
      <c r="B65">
        <v>11</v>
      </c>
      <c r="C65">
        <v>33</v>
      </c>
      <c r="D65" t="s">
        <v>280</v>
      </c>
      <c r="E65" t="s">
        <v>281</v>
      </c>
      <c r="F65" t="s">
        <v>1206</v>
      </c>
      <c r="G65" t="s">
        <v>1266</v>
      </c>
      <c r="H65" t="s">
        <v>1266</v>
      </c>
    </row>
    <row r="66" spans="1:8" x14ac:dyDescent="0.3">
      <c r="A66">
        <v>73</v>
      </c>
      <c r="B66">
        <v>11</v>
      </c>
      <c r="C66">
        <v>33</v>
      </c>
      <c r="D66" t="s">
        <v>280</v>
      </c>
      <c r="E66" t="s">
        <v>283</v>
      </c>
      <c r="F66" t="s">
        <v>1206</v>
      </c>
      <c r="G66" t="s">
        <v>1267</v>
      </c>
      <c r="H66" t="s">
        <v>1267</v>
      </c>
    </row>
    <row r="67" spans="1:8" x14ac:dyDescent="0.3">
      <c r="A67">
        <v>65</v>
      </c>
      <c r="B67">
        <v>11</v>
      </c>
      <c r="C67">
        <v>33</v>
      </c>
      <c r="D67" t="s">
        <v>280</v>
      </c>
      <c r="E67" t="s">
        <v>293</v>
      </c>
      <c r="F67" t="s">
        <v>1206</v>
      </c>
      <c r="G67" t="s">
        <v>1268</v>
      </c>
      <c r="H67" t="s">
        <v>1268</v>
      </c>
    </row>
    <row r="68" spans="1:8" x14ac:dyDescent="0.3">
      <c r="A68">
        <v>64</v>
      </c>
      <c r="B68">
        <v>11</v>
      </c>
      <c r="C68">
        <v>33</v>
      </c>
      <c r="D68" t="s">
        <v>280</v>
      </c>
      <c r="E68" t="s">
        <v>296</v>
      </c>
      <c r="F68" t="s">
        <v>1206</v>
      </c>
      <c r="G68" t="s">
        <v>1269</v>
      </c>
      <c r="H68" t="s">
        <v>1269</v>
      </c>
    </row>
    <row r="69" spans="1:8" x14ac:dyDescent="0.3">
      <c r="A69">
        <v>63</v>
      </c>
      <c r="B69">
        <v>11</v>
      </c>
      <c r="C69">
        <v>33</v>
      </c>
      <c r="D69" t="s">
        <v>280</v>
      </c>
      <c r="E69" t="s">
        <v>1270</v>
      </c>
      <c r="F69" t="s">
        <v>1206</v>
      </c>
      <c r="G69" t="s">
        <v>1271</v>
      </c>
      <c r="H69" t="s">
        <v>1271</v>
      </c>
    </row>
    <row r="70" spans="1:8" x14ac:dyDescent="0.3">
      <c r="A70">
        <v>60</v>
      </c>
      <c r="B70">
        <v>2</v>
      </c>
      <c r="C70">
        <v>14</v>
      </c>
      <c r="D70" t="s">
        <v>175</v>
      </c>
      <c r="E70" t="s">
        <v>307</v>
      </c>
      <c r="F70" t="s">
        <v>1206</v>
      </c>
      <c r="G70" t="s">
        <v>1272</v>
      </c>
      <c r="H70" t="s">
        <v>1272</v>
      </c>
    </row>
    <row r="71" spans="1:8" x14ac:dyDescent="0.3">
      <c r="A71">
        <v>59</v>
      </c>
      <c r="B71">
        <v>2</v>
      </c>
      <c r="C71">
        <v>14</v>
      </c>
      <c r="D71" t="s">
        <v>175</v>
      </c>
      <c r="E71" t="s">
        <v>310</v>
      </c>
      <c r="F71" t="s">
        <v>1206</v>
      </c>
      <c r="G71" t="s">
        <v>1273</v>
      </c>
      <c r="H71" t="s">
        <v>1273</v>
      </c>
    </row>
    <row r="72" spans="1:8" x14ac:dyDescent="0.3">
      <c r="A72">
        <v>58</v>
      </c>
      <c r="B72">
        <v>2</v>
      </c>
      <c r="C72">
        <v>14</v>
      </c>
      <c r="D72" t="s">
        <v>175</v>
      </c>
      <c r="E72" t="s">
        <v>313</v>
      </c>
      <c r="F72" t="s">
        <v>1206</v>
      </c>
      <c r="G72" t="s">
        <v>1274</v>
      </c>
      <c r="H72" t="s">
        <v>1274</v>
      </c>
    </row>
    <row r="73" spans="1:8" x14ac:dyDescent="0.3">
      <c r="A73">
        <v>57</v>
      </c>
      <c r="B73">
        <v>2</v>
      </c>
      <c r="C73">
        <v>14</v>
      </c>
      <c r="D73" t="s">
        <v>175</v>
      </c>
      <c r="E73" t="s">
        <v>416</v>
      </c>
      <c r="F73" t="s">
        <v>1206</v>
      </c>
      <c r="G73" t="s">
        <v>1275</v>
      </c>
      <c r="H73" t="s">
        <v>1275</v>
      </c>
    </row>
    <row r="74" spans="1:8" x14ac:dyDescent="0.3">
      <c r="A74">
        <v>40</v>
      </c>
      <c r="B74">
        <v>10</v>
      </c>
      <c r="C74">
        <v>32</v>
      </c>
      <c r="D74" t="s">
        <v>432</v>
      </c>
      <c r="E74" t="s">
        <v>433</v>
      </c>
      <c r="F74" t="s">
        <v>1206</v>
      </c>
      <c r="G74" t="s">
        <v>1276</v>
      </c>
      <c r="H74" t="s">
        <v>1276</v>
      </c>
    </row>
    <row r="75" spans="1:8" x14ac:dyDescent="0.3">
      <c r="A75">
        <v>39</v>
      </c>
      <c r="B75">
        <v>10</v>
      </c>
      <c r="C75">
        <v>32</v>
      </c>
      <c r="D75" t="s">
        <v>432</v>
      </c>
      <c r="E75" t="s">
        <v>447</v>
      </c>
      <c r="F75" t="s">
        <v>1206</v>
      </c>
      <c r="G75" t="s">
        <v>1277</v>
      </c>
      <c r="H75" t="s">
        <v>1277</v>
      </c>
    </row>
    <row r="76" spans="1:8" x14ac:dyDescent="0.3">
      <c r="A76">
        <v>38</v>
      </c>
      <c r="B76">
        <v>9</v>
      </c>
      <c r="C76">
        <v>23</v>
      </c>
      <c r="D76" t="s">
        <v>269</v>
      </c>
      <c r="E76" t="s">
        <v>415</v>
      </c>
      <c r="F76" t="s">
        <v>1206</v>
      </c>
      <c r="G76" t="s">
        <v>1278</v>
      </c>
      <c r="H76" t="s">
        <v>1278</v>
      </c>
    </row>
    <row r="77" spans="1:8" x14ac:dyDescent="0.3">
      <c r="A77">
        <v>37</v>
      </c>
      <c r="B77">
        <v>9</v>
      </c>
      <c r="C77">
        <v>23</v>
      </c>
      <c r="D77" t="s">
        <v>269</v>
      </c>
      <c r="E77" t="s">
        <v>406</v>
      </c>
      <c r="F77" t="s">
        <v>1206</v>
      </c>
      <c r="G77" t="s">
        <v>1278</v>
      </c>
      <c r="H77" t="s">
        <v>1278</v>
      </c>
    </row>
    <row r="78" spans="1:8" x14ac:dyDescent="0.3">
      <c r="A78">
        <v>36</v>
      </c>
      <c r="B78">
        <v>9</v>
      </c>
      <c r="C78">
        <v>23</v>
      </c>
      <c r="D78" t="s">
        <v>269</v>
      </c>
      <c r="E78" t="s">
        <v>420</v>
      </c>
      <c r="F78" t="s">
        <v>1206</v>
      </c>
      <c r="G78" t="s">
        <v>1278</v>
      </c>
      <c r="H78" t="s">
        <v>1278</v>
      </c>
    </row>
    <row r="79" spans="1:8" x14ac:dyDescent="0.3">
      <c r="A79">
        <v>35</v>
      </c>
      <c r="B79">
        <v>6</v>
      </c>
      <c r="C79">
        <v>20</v>
      </c>
      <c r="D79" t="s">
        <v>421</v>
      </c>
      <c r="E79" t="s">
        <v>435</v>
      </c>
      <c r="F79" t="s">
        <v>1206</v>
      </c>
      <c r="G79" t="s">
        <v>1279</v>
      </c>
      <c r="H79" t="s">
        <v>1279</v>
      </c>
    </row>
    <row r="80" spans="1:8" x14ac:dyDescent="0.3">
      <c r="A80">
        <v>34</v>
      </c>
      <c r="B80">
        <v>6</v>
      </c>
      <c r="C80">
        <v>20</v>
      </c>
      <c r="D80" t="s">
        <v>421</v>
      </c>
      <c r="E80" t="s">
        <v>423</v>
      </c>
      <c r="F80" t="s">
        <v>1206</v>
      </c>
      <c r="G80" t="s">
        <v>1279</v>
      </c>
      <c r="H80" t="s">
        <v>1279</v>
      </c>
    </row>
    <row r="81" spans="1:8" x14ac:dyDescent="0.3">
      <c r="A81">
        <v>33</v>
      </c>
      <c r="B81">
        <v>6</v>
      </c>
      <c r="C81">
        <v>20</v>
      </c>
      <c r="D81" t="s">
        <v>421</v>
      </c>
      <c r="E81" t="s">
        <v>442</v>
      </c>
      <c r="F81" t="s">
        <v>1206</v>
      </c>
      <c r="G81" t="s">
        <v>1279</v>
      </c>
      <c r="H81" t="s">
        <v>1279</v>
      </c>
    </row>
    <row r="82" spans="1:8" x14ac:dyDescent="0.3">
      <c r="A82">
        <v>32</v>
      </c>
      <c r="B82">
        <v>9</v>
      </c>
      <c r="C82">
        <v>23</v>
      </c>
      <c r="D82" t="s">
        <v>269</v>
      </c>
      <c r="E82" t="s">
        <v>1280</v>
      </c>
      <c r="F82" t="s">
        <v>1206</v>
      </c>
      <c r="G82" t="s">
        <v>1281</v>
      </c>
      <c r="H82" t="s">
        <v>1281</v>
      </c>
    </row>
    <row r="83" spans="1:8" x14ac:dyDescent="0.3">
      <c r="A83">
        <v>31</v>
      </c>
      <c r="B83">
        <v>2</v>
      </c>
      <c r="C83">
        <v>14</v>
      </c>
      <c r="D83" t="s">
        <v>175</v>
      </c>
      <c r="E83" t="s">
        <v>359</v>
      </c>
      <c r="F83" t="s">
        <v>1206</v>
      </c>
      <c r="G83" t="s">
        <v>1282</v>
      </c>
      <c r="H83" t="s">
        <v>1282</v>
      </c>
    </row>
    <row r="84" spans="1:8" x14ac:dyDescent="0.3">
      <c r="A84">
        <v>30</v>
      </c>
      <c r="B84">
        <v>2</v>
      </c>
      <c r="C84">
        <v>14</v>
      </c>
      <c r="D84" t="s">
        <v>175</v>
      </c>
      <c r="E84" t="s">
        <v>354</v>
      </c>
      <c r="F84" t="s">
        <v>1206</v>
      </c>
      <c r="G84" t="s">
        <v>1283</v>
      </c>
      <c r="H84" t="s">
        <v>1283</v>
      </c>
    </row>
    <row r="85" spans="1:8" x14ac:dyDescent="0.3">
      <c r="A85">
        <v>29</v>
      </c>
      <c r="B85">
        <v>2</v>
      </c>
      <c r="C85">
        <v>14</v>
      </c>
      <c r="D85" t="s">
        <v>175</v>
      </c>
      <c r="E85" t="s">
        <v>397</v>
      </c>
      <c r="F85" t="s">
        <v>1206</v>
      </c>
      <c r="G85" t="s">
        <v>1283</v>
      </c>
      <c r="H85" t="s">
        <v>1283</v>
      </c>
    </row>
    <row r="86" spans="1:8" x14ac:dyDescent="0.3">
      <c r="A86">
        <v>28</v>
      </c>
      <c r="B86">
        <v>2</v>
      </c>
      <c r="C86">
        <v>14</v>
      </c>
      <c r="D86" t="s">
        <v>175</v>
      </c>
      <c r="E86" t="s">
        <v>383</v>
      </c>
      <c r="F86" t="s">
        <v>1206</v>
      </c>
      <c r="G86" t="s">
        <v>1284</v>
      </c>
      <c r="H86" t="s">
        <v>1284</v>
      </c>
    </row>
    <row r="87" spans="1:8" x14ac:dyDescent="0.3">
      <c r="A87">
        <v>27</v>
      </c>
      <c r="B87">
        <v>2</v>
      </c>
      <c r="C87">
        <v>14</v>
      </c>
      <c r="D87" t="s">
        <v>175</v>
      </c>
      <c r="E87" t="s">
        <v>426</v>
      </c>
      <c r="F87" t="s">
        <v>1206</v>
      </c>
      <c r="G87" t="s">
        <v>1284</v>
      </c>
      <c r="H87" t="s">
        <v>1284</v>
      </c>
    </row>
    <row r="88" spans="1:8" x14ac:dyDescent="0.3">
      <c r="A88">
        <v>26</v>
      </c>
      <c r="B88">
        <v>2</v>
      </c>
      <c r="C88">
        <v>14</v>
      </c>
      <c r="D88" t="s">
        <v>175</v>
      </c>
      <c r="E88" t="s">
        <v>364</v>
      </c>
      <c r="F88" t="s">
        <v>1206</v>
      </c>
      <c r="G88" t="s">
        <v>1284</v>
      </c>
      <c r="H88" t="s">
        <v>1284</v>
      </c>
    </row>
    <row r="89" spans="1:8" x14ac:dyDescent="0.3">
      <c r="A89">
        <v>25</v>
      </c>
      <c r="B89">
        <v>2</v>
      </c>
      <c r="C89">
        <v>14</v>
      </c>
      <c r="D89" t="s">
        <v>175</v>
      </c>
      <c r="E89" t="s">
        <v>375</v>
      </c>
      <c r="F89" t="s">
        <v>1206</v>
      </c>
      <c r="G89" t="s">
        <v>1285</v>
      </c>
      <c r="H89" t="s">
        <v>1285</v>
      </c>
    </row>
    <row r="90" spans="1:8" x14ac:dyDescent="0.3">
      <c r="A90">
        <v>24</v>
      </c>
      <c r="B90">
        <v>2</v>
      </c>
      <c r="C90">
        <v>14</v>
      </c>
      <c r="D90" t="s">
        <v>175</v>
      </c>
      <c r="E90" t="s">
        <v>410</v>
      </c>
      <c r="F90" t="s">
        <v>1206</v>
      </c>
      <c r="G90" t="s">
        <v>1285</v>
      </c>
      <c r="H90" t="s">
        <v>1285</v>
      </c>
    </row>
    <row r="91" spans="1:8" x14ac:dyDescent="0.3">
      <c r="A91">
        <v>23</v>
      </c>
      <c r="B91">
        <v>2</v>
      </c>
      <c r="C91">
        <v>14</v>
      </c>
      <c r="D91" t="s">
        <v>175</v>
      </c>
      <c r="E91" t="s">
        <v>401</v>
      </c>
      <c r="F91" t="s">
        <v>1206</v>
      </c>
      <c r="G91" t="s">
        <v>1285</v>
      </c>
      <c r="H91" t="s">
        <v>1285</v>
      </c>
    </row>
    <row r="92" spans="1:8" x14ac:dyDescent="0.3">
      <c r="A92">
        <v>22</v>
      </c>
      <c r="B92">
        <v>2</v>
      </c>
      <c r="C92">
        <v>14</v>
      </c>
      <c r="D92" t="s">
        <v>175</v>
      </c>
      <c r="E92" t="s">
        <v>479</v>
      </c>
      <c r="F92" t="s">
        <v>1206</v>
      </c>
      <c r="G92" t="s">
        <v>1285</v>
      </c>
      <c r="H92" t="s">
        <v>1285</v>
      </c>
    </row>
    <row r="93" spans="1:8" x14ac:dyDescent="0.3">
      <c r="A93">
        <v>21</v>
      </c>
      <c r="B93">
        <v>2</v>
      </c>
      <c r="C93">
        <v>14</v>
      </c>
      <c r="D93" t="s">
        <v>175</v>
      </c>
      <c r="E93" t="s">
        <v>372</v>
      </c>
      <c r="F93" t="s">
        <v>1206</v>
      </c>
      <c r="G93" t="s">
        <v>1286</v>
      </c>
      <c r="H93" t="s">
        <v>1286</v>
      </c>
    </row>
    <row r="94" spans="1:8" x14ac:dyDescent="0.3">
      <c r="A94">
        <v>20</v>
      </c>
      <c r="B94">
        <v>2</v>
      </c>
      <c r="C94">
        <v>14</v>
      </c>
      <c r="D94" t="s">
        <v>175</v>
      </c>
      <c r="E94" t="s">
        <v>378</v>
      </c>
      <c r="F94" t="s">
        <v>1206</v>
      </c>
      <c r="G94" t="s">
        <v>1287</v>
      </c>
      <c r="H94" t="s">
        <v>1287</v>
      </c>
    </row>
    <row r="95" spans="1:8" x14ac:dyDescent="0.3">
      <c r="A95">
        <v>19</v>
      </c>
      <c r="B95">
        <v>2</v>
      </c>
      <c r="C95">
        <v>14</v>
      </c>
      <c r="D95" t="s">
        <v>175</v>
      </c>
      <c r="E95" t="s">
        <v>438</v>
      </c>
      <c r="F95" t="s">
        <v>1206</v>
      </c>
      <c r="G95" t="s">
        <v>1287</v>
      </c>
      <c r="H95" t="s">
        <v>1287</v>
      </c>
    </row>
    <row r="96" spans="1:8" x14ac:dyDescent="0.3">
      <c r="A96">
        <v>18</v>
      </c>
      <c r="B96">
        <v>2</v>
      </c>
      <c r="C96">
        <v>14</v>
      </c>
      <c r="D96" t="s">
        <v>175</v>
      </c>
      <c r="E96" t="s">
        <v>335</v>
      </c>
      <c r="F96" t="s">
        <v>1206</v>
      </c>
      <c r="G96" t="s">
        <v>1288</v>
      </c>
      <c r="H96" t="s">
        <v>1288</v>
      </c>
    </row>
    <row r="97" spans="1:8" x14ac:dyDescent="0.3">
      <c r="A97">
        <v>17</v>
      </c>
      <c r="B97">
        <v>2</v>
      </c>
      <c r="C97">
        <v>14</v>
      </c>
      <c r="D97" t="s">
        <v>175</v>
      </c>
      <c r="E97" t="s">
        <v>392</v>
      </c>
      <c r="F97" t="s">
        <v>1206</v>
      </c>
      <c r="G97" t="s">
        <v>1288</v>
      </c>
      <c r="H97" t="s">
        <v>1288</v>
      </c>
    </row>
    <row r="98" spans="1:8" x14ac:dyDescent="0.3">
      <c r="A98">
        <v>16</v>
      </c>
      <c r="B98">
        <v>9</v>
      </c>
      <c r="C98">
        <v>23</v>
      </c>
      <c r="D98" t="s">
        <v>269</v>
      </c>
      <c r="E98" t="s">
        <v>473</v>
      </c>
      <c r="F98" t="s">
        <v>1206</v>
      </c>
      <c r="G98" t="s">
        <v>1289</v>
      </c>
      <c r="H98" t="s">
        <v>1289</v>
      </c>
    </row>
    <row r="99" spans="1:8" x14ac:dyDescent="0.3">
      <c r="A99">
        <v>15</v>
      </c>
      <c r="B99">
        <v>1</v>
      </c>
      <c r="C99">
        <v>13</v>
      </c>
      <c r="D99" t="s">
        <v>180</v>
      </c>
      <c r="E99" t="s">
        <v>387</v>
      </c>
      <c r="F99" t="s">
        <v>1206</v>
      </c>
      <c r="G99" t="s">
        <v>1290</v>
      </c>
      <c r="H99" t="s">
        <v>1290</v>
      </c>
    </row>
    <row r="100" spans="1:8" x14ac:dyDescent="0.3">
      <c r="A100">
        <v>14</v>
      </c>
      <c r="B100">
        <v>1</v>
      </c>
      <c r="C100">
        <v>13</v>
      </c>
      <c r="D100" t="s">
        <v>180</v>
      </c>
      <c r="E100" t="s">
        <v>395</v>
      </c>
      <c r="F100" t="s">
        <v>1206</v>
      </c>
      <c r="G100" t="s">
        <v>1291</v>
      </c>
      <c r="H100" t="s">
        <v>1291</v>
      </c>
    </row>
    <row r="101" spans="1:8" x14ac:dyDescent="0.3">
      <c r="A101">
        <v>13</v>
      </c>
      <c r="B101">
        <v>8</v>
      </c>
      <c r="C101">
        <v>22</v>
      </c>
      <c r="D101" t="s">
        <v>288</v>
      </c>
      <c r="E101" t="s">
        <v>291</v>
      </c>
      <c r="F101" t="s">
        <v>1206</v>
      </c>
      <c r="G101" t="s">
        <v>1292</v>
      </c>
      <c r="H101" t="s">
        <v>1292</v>
      </c>
    </row>
    <row r="102" spans="1:8" x14ac:dyDescent="0.3">
      <c r="A102">
        <v>12</v>
      </c>
      <c r="B102">
        <v>8</v>
      </c>
      <c r="C102">
        <v>22</v>
      </c>
      <c r="D102" t="s">
        <v>288</v>
      </c>
      <c r="E102" t="s">
        <v>1293</v>
      </c>
      <c r="F102" t="s">
        <v>1206</v>
      </c>
      <c r="G102" t="s">
        <v>1292</v>
      </c>
      <c r="H102" t="s">
        <v>1292</v>
      </c>
    </row>
    <row r="103" spans="1:8" x14ac:dyDescent="0.3">
      <c r="A103">
        <v>11</v>
      </c>
      <c r="B103">
        <v>1</v>
      </c>
      <c r="C103">
        <v>13</v>
      </c>
      <c r="D103" t="s">
        <v>180</v>
      </c>
      <c r="E103" t="s">
        <v>1294</v>
      </c>
      <c r="F103" t="s">
        <v>1206</v>
      </c>
      <c r="G103" t="s">
        <v>1295</v>
      </c>
      <c r="H103" t="s">
        <v>1295</v>
      </c>
    </row>
    <row r="104" spans="1:8" x14ac:dyDescent="0.3">
      <c r="A104">
        <v>10</v>
      </c>
      <c r="B104">
        <v>6</v>
      </c>
      <c r="C104">
        <v>20</v>
      </c>
      <c r="D104" t="s">
        <v>421</v>
      </c>
      <c r="E104" t="s">
        <v>1296</v>
      </c>
      <c r="F104" t="s">
        <v>1206</v>
      </c>
      <c r="G104" t="s">
        <v>1297</v>
      </c>
      <c r="H104" t="s">
        <v>1297</v>
      </c>
    </row>
    <row r="105" spans="1:8" x14ac:dyDescent="0.3">
      <c r="A105">
        <v>9</v>
      </c>
      <c r="B105">
        <v>6</v>
      </c>
      <c r="C105">
        <v>20</v>
      </c>
      <c r="D105" t="s">
        <v>421</v>
      </c>
      <c r="E105" t="s">
        <v>1298</v>
      </c>
      <c r="F105" t="s">
        <v>1206</v>
      </c>
      <c r="G105" t="s">
        <v>1299</v>
      </c>
      <c r="H105" t="s">
        <v>1299</v>
      </c>
    </row>
    <row r="106" spans="1:8" x14ac:dyDescent="0.3">
      <c r="A106">
        <v>8</v>
      </c>
      <c r="B106">
        <v>7</v>
      </c>
      <c r="C106">
        <v>21</v>
      </c>
      <c r="D106" t="s">
        <v>133</v>
      </c>
      <c r="E106" t="s">
        <v>1300</v>
      </c>
      <c r="F106" t="s">
        <v>1206</v>
      </c>
      <c r="G106" t="s">
        <v>1301</v>
      </c>
      <c r="H106" t="s">
        <v>1301</v>
      </c>
    </row>
    <row r="107" spans="1:8" x14ac:dyDescent="0.3">
      <c r="A107">
        <v>7</v>
      </c>
      <c r="B107">
        <v>6</v>
      </c>
      <c r="C107">
        <v>20</v>
      </c>
      <c r="D107" t="s">
        <v>421</v>
      </c>
      <c r="E107" t="s">
        <v>1302</v>
      </c>
      <c r="F107" t="s">
        <v>1206</v>
      </c>
      <c r="G107" t="s">
        <v>1303</v>
      </c>
      <c r="H107" t="s">
        <v>1303</v>
      </c>
    </row>
    <row r="108" spans="1:8" x14ac:dyDescent="0.3">
      <c r="A108">
        <v>6</v>
      </c>
      <c r="B108">
        <v>2</v>
      </c>
      <c r="C108">
        <v>14</v>
      </c>
      <c r="D108" t="s">
        <v>175</v>
      </c>
      <c r="E108" t="s">
        <v>302</v>
      </c>
      <c r="F108" t="s">
        <v>1206</v>
      </c>
      <c r="G108" t="s">
        <v>1304</v>
      </c>
      <c r="H108" t="s">
        <v>1304</v>
      </c>
    </row>
    <row r="109" spans="1:8" x14ac:dyDescent="0.3">
      <c r="A109">
        <v>5</v>
      </c>
      <c r="B109">
        <v>1</v>
      </c>
      <c r="C109">
        <v>13</v>
      </c>
      <c r="D109" t="s">
        <v>180</v>
      </c>
      <c r="E109" t="s">
        <v>254</v>
      </c>
      <c r="F109" t="s">
        <v>1206</v>
      </c>
      <c r="G109" t="s">
        <v>1305</v>
      </c>
      <c r="H109" t="s">
        <v>1305</v>
      </c>
    </row>
    <row r="110" spans="1:8" x14ac:dyDescent="0.3">
      <c r="A110">
        <v>3</v>
      </c>
      <c r="B110">
        <v>5</v>
      </c>
      <c r="C110">
        <v>17</v>
      </c>
      <c r="D110" t="s">
        <v>243</v>
      </c>
      <c r="E110" t="s">
        <v>488</v>
      </c>
      <c r="F110" t="s">
        <v>1206</v>
      </c>
      <c r="G110" t="s">
        <v>1306</v>
      </c>
      <c r="H110" t="s">
        <v>1306</v>
      </c>
    </row>
    <row r="111" spans="1:8" x14ac:dyDescent="0.3">
      <c r="A111">
        <v>2</v>
      </c>
      <c r="B111">
        <v>2</v>
      </c>
      <c r="C111">
        <v>14</v>
      </c>
      <c r="D111" t="s">
        <v>175</v>
      </c>
      <c r="E111" t="s">
        <v>345</v>
      </c>
      <c r="F111" t="s">
        <v>1206</v>
      </c>
      <c r="G111" t="s">
        <v>1307</v>
      </c>
      <c r="H111" t="s">
        <v>1307</v>
      </c>
    </row>
    <row r="112" spans="1:8" x14ac:dyDescent="0.3">
      <c r="A112">
        <v>1</v>
      </c>
      <c r="B112">
        <v>1</v>
      </c>
      <c r="C112">
        <v>13</v>
      </c>
      <c r="D112" t="s">
        <v>180</v>
      </c>
      <c r="E112" t="s">
        <v>305</v>
      </c>
      <c r="F112" t="s">
        <v>1206</v>
      </c>
      <c r="G112" t="s">
        <v>1308</v>
      </c>
      <c r="H112" t="s">
        <v>1308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Analysis</vt:lpstr>
      <vt:lpstr>Auth_Machine</vt:lpstr>
      <vt:lpstr>Admin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2024-04-01T02:54:19Z</dcterms:modified>
</cp:coreProperties>
</file>