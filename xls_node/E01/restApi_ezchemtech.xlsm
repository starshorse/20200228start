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328" codeName="{E757BCB4-07E6-AE0B-56E0-F0EEF7A6E26C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workdir\gitdn\20200228start\xls_node\E01\"/>
    </mc:Choice>
  </mc:AlternateContent>
  <xr:revisionPtr revIDLastSave="0" documentId="13_ncr:1_{6A2DC926-7A58-4FD4-9D4E-CD51178E431B}" xr6:coauthVersionLast="47" xr6:coauthVersionMax="47" xr10:uidLastSave="{00000000-0000-0000-0000-000000000000}"/>
  <bookViews>
    <workbookView xWindow="-120" yWindow="-120" windowWidth="38640" windowHeight="15840" activeTab="1" xr2:uid="{00000000-000D-0000-FFFF-FFFF00000000}"/>
  </bookViews>
  <sheets>
    <sheet name="Sheet1" sheetId="1" r:id="rId1"/>
    <sheet name="Analysis" sheetId="3" r:id="rId2"/>
  </sheets>
  <functionGroups builtInGroupCount="19"/>
  <definedNames>
    <definedName name="_xlnm._FilterDatabase" localSheetId="0" hidden="1">Sheet1!$B$6:$J$138</definedName>
    <definedName name="DB_List">OFFSET(Analysis!$B$6,0,0,COUNTA(Analysis!$B:$B)-1, 1)</definedName>
    <definedName name="TBL_List">OFFSET(Analysis!K3,0,0,10,1)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3" i="3" l="1"/>
  <c r="H3" i="3" s="1"/>
  <c r="E5" i="3" a="1"/>
  <c r="E5" i="3"/>
  <c r="F5" i="3"/>
  <c r="G5" i="3"/>
  <c r="H5" i="3"/>
  <c r="I5" i="3"/>
  <c r="J5" i="3"/>
  <c r="K5" i="3"/>
  <c r="L5" i="3"/>
  <c r="M5" i="3"/>
  <c r="N5" i="3"/>
  <c r="O5" i="3"/>
  <c r="P5" i="3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2" i="3"/>
  <c r="D33" i="3"/>
  <c r="D34" i="3"/>
  <c r="D35" i="3"/>
  <c r="D36" i="3"/>
  <c r="D37" i="3"/>
  <c r="D38" i="3"/>
  <c r="D39" i="3"/>
  <c r="D40" i="3"/>
  <c r="D41" i="3"/>
  <c r="D42" i="3"/>
  <c r="D43" i="3"/>
  <c r="D44" i="3"/>
  <c r="D45" i="3"/>
  <c r="D46" i="3"/>
  <c r="D47" i="3"/>
  <c r="D48" i="3"/>
  <c r="D49" i="3"/>
  <c r="D50" i="3"/>
  <c r="D51" i="3"/>
  <c r="D52" i="3"/>
  <c r="D53" i="3"/>
  <c r="D54" i="3"/>
  <c r="D55" i="3"/>
  <c r="D56" i="3"/>
  <c r="D57" i="3"/>
  <c r="D58" i="3"/>
  <c r="D59" i="3"/>
  <c r="D60" i="3"/>
  <c r="D61" i="3"/>
  <c r="D62" i="3"/>
  <c r="D63" i="3"/>
  <c r="D64" i="3"/>
  <c r="D65" i="3"/>
  <c r="D66" i="3"/>
  <c r="D67" i="3"/>
  <c r="D68" i="3"/>
  <c r="D69" i="3"/>
  <c r="D70" i="3"/>
  <c r="D71" i="3"/>
  <c r="D72" i="3"/>
  <c r="D73" i="3"/>
  <c r="D74" i="3"/>
  <c r="D75" i="3"/>
  <c r="D76" i="3"/>
  <c r="D77" i="3"/>
  <c r="D78" i="3"/>
  <c r="D79" i="3"/>
  <c r="D80" i="3"/>
  <c r="D81" i="3"/>
  <c r="D82" i="3"/>
  <c r="D83" i="3"/>
  <c r="D84" i="3"/>
  <c r="D85" i="3"/>
  <c r="D86" i="3"/>
  <c r="D87" i="3"/>
  <c r="D88" i="3"/>
  <c r="D89" i="3"/>
  <c r="D90" i="3"/>
  <c r="D91" i="3"/>
  <c r="D92" i="3"/>
  <c r="D93" i="3"/>
  <c r="D94" i="3"/>
  <c r="D95" i="3"/>
  <c r="D96" i="3"/>
  <c r="D97" i="3"/>
  <c r="D98" i="3"/>
  <c r="D99" i="3"/>
  <c r="D100" i="3"/>
  <c r="D101" i="3"/>
  <c r="D102" i="3"/>
  <c r="D103" i="3"/>
  <c r="D104" i="3"/>
  <c r="D105" i="3"/>
  <c r="D6" i="3"/>
</calcChain>
</file>

<file path=xl/sharedStrings.xml><?xml version="1.0" encoding="utf-8"?>
<sst xmlns="http://schemas.openxmlformats.org/spreadsheetml/2006/main" count="1494" uniqueCount="581">
  <si>
    <t>USER Inforamtion</t>
    <phoneticPr fontId="1" type="noConversion"/>
  </si>
  <si>
    <t>seq</t>
    <phoneticPr fontId="1" type="noConversion"/>
  </si>
  <si>
    <t>name</t>
    <phoneticPr fontId="1" type="noConversion"/>
  </si>
  <si>
    <t>email</t>
    <phoneticPr fontId="1" type="noConversion"/>
  </si>
  <si>
    <t>level</t>
    <phoneticPr fontId="1" type="noConversion"/>
  </si>
  <si>
    <t>createdAt</t>
    <phoneticPr fontId="1" type="noConversion"/>
  </si>
  <si>
    <t>updatedAt</t>
    <phoneticPr fontId="1" type="noConversion"/>
  </si>
  <si>
    <t>richard.choi@ez-office.co.kr</t>
    <phoneticPr fontId="1" type="noConversion"/>
  </si>
  <si>
    <t>dev@ezchemtech.com</t>
    <phoneticPr fontId="1" type="noConversion"/>
  </si>
  <si>
    <t>info7@ezchemtech.com</t>
    <phoneticPr fontId="1" type="noConversion"/>
  </si>
  <si>
    <t>lee0bok0@naver.com</t>
    <phoneticPr fontId="1" type="noConversion"/>
  </si>
  <si>
    <t>test1@test-delete3.com</t>
    <phoneticPr fontId="1" type="noConversion"/>
  </si>
  <si>
    <t>qoaansml@naver.com</t>
    <phoneticPr fontId="1" type="noConversion"/>
  </si>
  <si>
    <t>test01@gselec.com</t>
    <phoneticPr fontId="1" type="noConversion"/>
  </si>
  <si>
    <t>scipio@gselec.com</t>
    <phoneticPr fontId="1" type="noConversion"/>
  </si>
  <si>
    <t>eden.lee@gselec.com</t>
    <phoneticPr fontId="1" type="noConversion"/>
  </si>
  <si>
    <t>choihyeryun@gselec.com</t>
    <phoneticPr fontId="1" type="noConversion"/>
  </si>
  <si>
    <t>isabelle@gselec.com</t>
    <phoneticPr fontId="1" type="noConversion"/>
  </si>
  <si>
    <t>lucy@ezchemtech.com</t>
    <phoneticPr fontId="1" type="noConversion"/>
  </si>
  <si>
    <t>lucy@ez-office.co.kr</t>
    <phoneticPr fontId="1" type="noConversion"/>
  </si>
  <si>
    <t>star_horse@naver.com</t>
    <phoneticPr fontId="1" type="noConversion"/>
  </si>
  <si>
    <t>eden.lee@kumsung.com</t>
    <phoneticPr fontId="1" type="noConversion"/>
  </si>
  <si>
    <t>choihyeryun@kumsung.com</t>
    <phoneticPr fontId="1" type="noConversion"/>
  </si>
  <si>
    <t>test01@js-crm.com</t>
    <phoneticPr fontId="1" type="noConversion"/>
  </si>
  <si>
    <t>starshorse@js-crm.com</t>
    <phoneticPr fontId="1" type="noConversion"/>
  </si>
  <si>
    <t>scipio@daeryuk.co.kr</t>
    <phoneticPr fontId="1" type="noConversion"/>
  </si>
  <si>
    <t>kj.sim@ngc1994.co.kr</t>
    <phoneticPr fontId="1" type="noConversion"/>
  </si>
  <si>
    <t>scipio@ngc1994.co.kr</t>
    <phoneticPr fontId="1" type="noConversion"/>
  </si>
  <si>
    <t>sannhee@gwanakanalog.com</t>
    <phoneticPr fontId="1" type="noConversion"/>
  </si>
  <si>
    <t>kent.chon@gwanakanalog.com</t>
    <phoneticPr fontId="1" type="noConversion"/>
  </si>
  <si>
    <t>kj.sim@worldshoppe.com</t>
    <phoneticPr fontId="1" type="noConversion"/>
  </si>
  <si>
    <t>isabelle@worldshoppe.com</t>
    <phoneticPr fontId="1" type="noConversion"/>
  </si>
  <si>
    <t>isabelle@workdshoppe.com</t>
    <phoneticPr fontId="1" type="noConversion"/>
  </si>
  <si>
    <t>scipio@worldshoppe.com</t>
    <phoneticPr fontId="1" type="noConversion"/>
  </si>
  <si>
    <t>choihyeryun@helikorea.com</t>
    <phoneticPr fontId="1" type="noConversion"/>
  </si>
  <si>
    <t>scipio@helikorea.com</t>
    <phoneticPr fontId="1" type="noConversion"/>
  </si>
  <si>
    <t>isabelle@helikorea.com</t>
    <phoneticPr fontId="1" type="noConversion"/>
  </si>
  <si>
    <t>migration@agoptics.co.kr</t>
    <phoneticPr fontId="1" type="noConversion"/>
  </si>
  <si>
    <t>isabelle@agoptics.co.kr</t>
    <phoneticPr fontId="1" type="noConversion"/>
  </si>
  <si>
    <t>choihyeryun@agoptics.co.kr</t>
    <phoneticPr fontId="1" type="noConversion"/>
  </si>
  <si>
    <t>scipio@agoptics.co.kr</t>
    <phoneticPr fontId="1" type="noConversion"/>
  </si>
  <si>
    <t>dev@cvkorea.co.kr</t>
    <phoneticPr fontId="1" type="noConversion"/>
  </si>
  <si>
    <t>hjjae@cvkorea.co.kr</t>
    <phoneticPr fontId="1" type="noConversion"/>
  </si>
  <si>
    <t>ycyang@cvkorea.co.kr</t>
    <phoneticPr fontId="1" type="noConversion"/>
  </si>
  <si>
    <t>hykim@cvkorea.co.kr</t>
    <phoneticPr fontId="1" type="noConversion"/>
  </si>
  <si>
    <t>scipio@cvkorea.co.kr</t>
    <phoneticPr fontId="1" type="noConversion"/>
  </si>
  <si>
    <t>choihyeryun@convenience.com</t>
    <phoneticPr fontId="1" type="noConversion"/>
  </si>
  <si>
    <t>scipio@daewonsusan.com</t>
    <phoneticPr fontId="1" type="noConversion"/>
  </si>
  <si>
    <t>choihyeryun@daewonsusan.com</t>
    <phoneticPr fontId="1" type="noConversion"/>
  </si>
  <si>
    <t>scipio@js-crm.com</t>
    <phoneticPr fontId="1" type="noConversion"/>
  </si>
  <si>
    <t>jwhong@demo.co.kr</t>
    <phoneticPr fontId="1" type="noConversion"/>
  </si>
  <si>
    <t>hjwoo@demo.co.kr</t>
    <phoneticPr fontId="1" type="noConversion"/>
  </si>
  <si>
    <t>scipio@demo.co.kr</t>
    <phoneticPr fontId="1" type="noConversion"/>
  </si>
  <si>
    <t>isabelle@demo.co.kr</t>
    <phoneticPr fontId="1" type="noConversion"/>
  </si>
  <si>
    <t>scipio@ez-office.co.kr</t>
    <phoneticPr fontId="1" type="noConversion"/>
  </si>
  <si>
    <t>isabelle@ez-office.co.kr</t>
    <phoneticPr fontId="1" type="noConversion"/>
  </si>
  <si>
    <t>dev@ezoffice.co.kr</t>
    <phoneticPr fontId="1" type="noConversion"/>
  </si>
  <si>
    <t>qwer8612@naver.com</t>
    <phoneticPr fontId="1" type="noConversion"/>
  </si>
  <si>
    <t>richard.choi@js-crm.com</t>
    <phoneticPr fontId="1" type="noConversion"/>
  </si>
  <si>
    <t>dev@unionlogis.com</t>
    <phoneticPr fontId="1" type="noConversion"/>
  </si>
  <si>
    <t>am@demo.co.kr</t>
    <phoneticPr fontId="1" type="noConversion"/>
  </si>
  <si>
    <t>test2@knu-osl.demo</t>
    <phoneticPr fontId="1" type="noConversion"/>
  </si>
  <si>
    <t>test1@knu-osl.demo</t>
    <phoneticPr fontId="1" type="noConversion"/>
  </si>
  <si>
    <t>collector@ezchemtech.com</t>
    <phoneticPr fontId="1" type="noConversion"/>
  </si>
  <si>
    <t>choihyeryun@dhyoo.co.kr</t>
    <phoneticPr fontId="1" type="noConversion"/>
  </si>
  <si>
    <t>scipio@dhyoo.co.kr</t>
    <phoneticPr fontId="1" type="noConversion"/>
  </si>
  <si>
    <t>eden.lee@knu-osl.com</t>
    <phoneticPr fontId="1" type="noConversion"/>
  </si>
  <si>
    <t>scipio@knu-osl.com</t>
    <phoneticPr fontId="1" type="noConversion"/>
  </si>
  <si>
    <t>star_horse@knu-osl.demo</t>
    <phoneticPr fontId="1" type="noConversion"/>
  </si>
  <si>
    <t>scipio@ezchemtech.com</t>
    <phoneticPr fontId="1" type="noConversion"/>
  </si>
  <si>
    <t>eden.lee@ez-office.co.kr</t>
    <phoneticPr fontId="1" type="noConversion"/>
  </si>
  <si>
    <t>test03@ezchemtech.com</t>
    <phoneticPr fontId="1" type="noConversion"/>
  </si>
  <si>
    <t>test02@ezchemtech.com</t>
    <phoneticPr fontId="1" type="noConversion"/>
  </si>
  <si>
    <t>test01@ezchemtech.com</t>
    <phoneticPr fontId="1" type="noConversion"/>
  </si>
  <si>
    <t>guest@ez-office.co.kr</t>
    <phoneticPr fontId="1" type="noConversion"/>
  </si>
  <si>
    <t>good4u@asiafni.com</t>
    <phoneticPr fontId="1" type="noConversion"/>
  </si>
  <si>
    <t>am@ezchemtech.com</t>
    <phoneticPr fontId="1" type="noConversion"/>
  </si>
  <si>
    <t>starshorse</t>
    <phoneticPr fontId="1" type="noConversion"/>
  </si>
  <si>
    <t>admin@admin</t>
    <phoneticPr fontId="1" type="noConversion"/>
  </si>
  <si>
    <t>info6@ezchemtech.com</t>
    <phoneticPr fontId="1" type="noConversion"/>
  </si>
  <si>
    <t>choihyeryun@ezchemtech.com</t>
    <phoneticPr fontId="1" type="noConversion"/>
  </si>
  <si>
    <t>info9@ezchemtech.com</t>
    <phoneticPr fontId="1" type="noConversion"/>
  </si>
  <si>
    <t>info5@ezchemtech.com</t>
    <phoneticPr fontId="1" type="noConversion"/>
  </si>
  <si>
    <t>inno@ezchemtech.com</t>
    <phoneticPr fontId="1" type="noConversion"/>
  </si>
  <si>
    <t>service3@ezchemtech.com</t>
    <phoneticPr fontId="1" type="noConversion"/>
  </si>
  <si>
    <t>choihyeryun@ez-office.co.kr</t>
    <phoneticPr fontId="1" type="noConversion"/>
  </si>
  <si>
    <t>ykhwang@ezchemtech.com</t>
    <phoneticPr fontId="1" type="noConversion"/>
  </si>
  <si>
    <t>kj.sim@ez-office.co.kr</t>
    <phoneticPr fontId="1" type="noConversion"/>
  </si>
  <si>
    <t>service6@ezchemtech.com</t>
    <phoneticPr fontId="1" type="noConversion"/>
  </si>
  <si>
    <t>info3@ezchemtech.com</t>
    <phoneticPr fontId="1" type="noConversion"/>
  </si>
  <si>
    <t>kj.sim@unionlogis.com</t>
    <phoneticPr fontId="1" type="noConversion"/>
  </si>
  <si>
    <t>account@ezchemtech.com</t>
    <phoneticPr fontId="1" type="noConversion"/>
  </si>
  <si>
    <t>choihyeryun@unionlogis.com</t>
    <phoneticPr fontId="1" type="noConversion"/>
  </si>
  <si>
    <t>any@ezchemtech.com</t>
    <phoneticPr fontId="1" type="noConversion"/>
  </si>
  <si>
    <t>eden.lee@unionlogis.com</t>
    <phoneticPr fontId="1" type="noConversion"/>
  </si>
  <si>
    <t>kj.sim@orientpi.co.kr</t>
    <phoneticPr fontId="1" type="noConversion"/>
  </si>
  <si>
    <t>info@ezchemtech.com</t>
    <phoneticPr fontId="1" type="noConversion"/>
  </si>
  <si>
    <t>scipio@shmlucy.com</t>
    <phoneticPr fontId="1" type="noConversion"/>
  </si>
  <si>
    <t>choihyeryun@orientpi.co.kr</t>
    <phoneticPr fontId="1" type="noConversion"/>
  </si>
  <si>
    <t>service@ezchemtech.com</t>
    <phoneticPr fontId="1" type="noConversion"/>
  </si>
  <si>
    <t>eden.lee@orientpi.co.kr</t>
    <phoneticPr fontId="1" type="noConversion"/>
  </si>
  <si>
    <t>shmlucy07@gmail.com</t>
    <phoneticPr fontId="1" type="noConversion"/>
  </si>
  <si>
    <t>gshwang@ezchemtech.com</t>
    <phoneticPr fontId="1" type="noConversion"/>
  </si>
  <si>
    <t>customer_01@orientpi.co.kr</t>
    <phoneticPr fontId="1" type="noConversion"/>
  </si>
  <si>
    <t>rzfr@naver.com</t>
    <phoneticPr fontId="1" type="noConversion"/>
  </si>
  <si>
    <t>service2@ezchemtech.com</t>
    <phoneticPr fontId="1" type="noConversion"/>
  </si>
  <si>
    <t>c02095aa@gmail.com</t>
    <phoneticPr fontId="1" type="noConversion"/>
  </si>
  <si>
    <t>customer_01@demo.co.kr</t>
    <phoneticPr fontId="1" type="noConversion"/>
  </si>
  <si>
    <t>bkcrowd</t>
    <phoneticPr fontId="1" type="noConversion"/>
  </si>
  <si>
    <t>test-delete3</t>
    <phoneticPr fontId="1" type="noConversion"/>
  </si>
  <si>
    <t>gselec</t>
    <phoneticPr fontId="1" type="noConversion"/>
  </si>
  <si>
    <t>ezchemtech</t>
    <phoneticPr fontId="1" type="noConversion"/>
  </si>
  <si>
    <t>ezoffice</t>
    <phoneticPr fontId="1" type="noConversion"/>
  </si>
  <si>
    <t>kumsung</t>
    <phoneticPr fontId="1" type="noConversion"/>
  </si>
  <si>
    <t>js_crm</t>
    <phoneticPr fontId="1" type="noConversion"/>
  </si>
  <si>
    <t>daeryuk</t>
    <phoneticPr fontId="1" type="noConversion"/>
  </si>
  <si>
    <t>ngc1994</t>
    <phoneticPr fontId="1" type="noConversion"/>
  </si>
  <si>
    <t>gwanakanalog</t>
    <phoneticPr fontId="1" type="noConversion"/>
  </si>
  <si>
    <t>worldshoppe</t>
    <phoneticPr fontId="1" type="noConversion"/>
  </si>
  <si>
    <t>helikorea</t>
    <phoneticPr fontId="1" type="noConversion"/>
  </si>
  <si>
    <t>agoptics</t>
    <phoneticPr fontId="1" type="noConversion"/>
  </si>
  <si>
    <t>convenience</t>
    <phoneticPr fontId="1" type="noConversion"/>
  </si>
  <si>
    <t>daewonsusan</t>
    <phoneticPr fontId="1" type="noConversion"/>
  </si>
  <si>
    <t>demo</t>
    <phoneticPr fontId="1" type="noConversion"/>
  </si>
  <si>
    <t>unionlogis</t>
    <phoneticPr fontId="1" type="noConversion"/>
  </si>
  <si>
    <t>knu_osl</t>
    <phoneticPr fontId="1" type="noConversion"/>
  </si>
  <si>
    <t>dhyoo</t>
    <phoneticPr fontId="1" type="noConversion"/>
  </si>
  <si>
    <t>asiafni</t>
    <phoneticPr fontId="1" type="noConversion"/>
  </si>
  <si>
    <t>orientpi</t>
    <phoneticPr fontId="1" type="noConversion"/>
  </si>
  <si>
    <t>shmlucy</t>
    <phoneticPr fontId="1" type="noConversion"/>
  </si>
  <si>
    <t>ID List</t>
    <phoneticPr fontId="1" type="noConversion"/>
  </si>
  <si>
    <t>Copy data and remove duplicates</t>
    <phoneticPr fontId="1" type="noConversion"/>
  </si>
  <si>
    <t>DB List</t>
    <phoneticPr fontId="1" type="noConversion"/>
  </si>
  <si>
    <t>CountIf</t>
    <phoneticPr fontId="1" type="noConversion"/>
  </si>
  <si>
    <t>asiafni</t>
  </si>
  <si>
    <t>am@asiafni.com</t>
  </si>
  <si>
    <t>2024-03-11T11:20:58.293Z</t>
  </si>
  <si>
    <t>2024-03-11T02:21:13.404Z</t>
  </si>
  <si>
    <t>2024-03-11T02:23:35.609Z</t>
  </si>
  <si>
    <t>choihyeryun@asiafni.com</t>
  </si>
  <si>
    <t>2024-03-11T11:05:33.613Z</t>
  </si>
  <si>
    <t>2024-03-11T02:05:48.685Z</t>
  </si>
  <si>
    <t>2024-03-11T02:05:48.996Z</t>
  </si>
  <si>
    <t>bkcrowd</t>
  </si>
  <si>
    <t>choihyeryun@bkcrowd.com</t>
  </si>
  <si>
    <t>2024-02-29T09:46:14.607Z</t>
  </si>
  <si>
    <t>2024-02-29T00:46:14.541Z</t>
  </si>
  <si>
    <t>2024-02-29T00:46:14.818Z</t>
  </si>
  <si>
    <t>최성철</t>
  </si>
  <si>
    <t>scipio@bkcrowd.com</t>
  </si>
  <si>
    <t>2024-02-28T18:27:22.163Z</t>
  </si>
  <si>
    <t>2024-02-28T09:27:22.108Z</t>
  </si>
  <si>
    <t>2024-02-28T09:27:44.345Z</t>
  </si>
  <si>
    <t>이용복</t>
  </si>
  <si>
    <t>lee0bok0@naver.com</t>
  </si>
  <si>
    <t>2024-02-07T14:40:05.300Z</t>
  </si>
  <si>
    <t>2024-02-07T05:40:05.262Z</t>
  </si>
  <si>
    <t>2024-02-07T05:40:29.982Z</t>
  </si>
  <si>
    <t>test-delete3</t>
  </si>
  <si>
    <t>test1@test-delete3.com</t>
  </si>
  <si>
    <t>2024-02-07T13:58:14.410Z</t>
  </si>
  <si>
    <t>정태희</t>
  </si>
  <si>
    <t>qoaansml@naver.com</t>
  </si>
  <si>
    <t>2024-02-07T13:58:07.250Z</t>
  </si>
  <si>
    <t>2024-02-07T04:58:20.040Z</t>
  </si>
  <si>
    <t>2024-02-07T05:36:20.107Z</t>
  </si>
  <si>
    <t>gselec</t>
  </si>
  <si>
    <t>test01@gselec.com</t>
  </si>
  <si>
    <t>2024-01-05T11:53:31.230Z</t>
  </si>
  <si>
    <t>scipio@gselec.com</t>
  </si>
  <si>
    <t>이상현</t>
  </si>
  <si>
    <t>eden.lee@gselec.com</t>
  </si>
  <si>
    <t>최혜련</t>
  </si>
  <si>
    <t>choihyeryun@gselec.com</t>
  </si>
  <si>
    <t>김현선</t>
  </si>
  <si>
    <t>isabelle@gselec.com</t>
  </si>
  <si>
    <t>ezchemtech</t>
  </si>
  <si>
    <t>대리</t>
  </si>
  <si>
    <t>lucy@ezchemtech.com</t>
  </si>
  <si>
    <t>2024-01-05T11:12:05.687Z</t>
  </si>
  <si>
    <t>2024-01-05T11:12:05.686Z</t>
  </si>
  <si>
    <t>ezoffice</t>
  </si>
  <si>
    <t>이현아</t>
  </si>
  <si>
    <t>lucy@ez-office.co.kr</t>
  </si>
  <si>
    <t>2024-01-05T10:20:30.627Z</t>
  </si>
  <si>
    <t>2024-01-05T10:20:30.626Z</t>
  </si>
  <si>
    <t>starshorse</t>
  </si>
  <si>
    <t>최종규</t>
  </si>
  <si>
    <t>이사</t>
  </si>
  <si>
    <t>ch1whdrb</t>
  </si>
  <si>
    <t>star_horse@naver.com</t>
  </si>
  <si>
    <t>JG</t>
  </si>
  <si>
    <t>2024-01-03T14:21:01.210Z</t>
  </si>
  <si>
    <t>2024-01-04T16:48:38.197Z</t>
  </si>
  <si>
    <t>2022-11-29T01:26:05.816Z</t>
  </si>
  <si>
    <t>kumsung</t>
  </si>
  <si>
    <t>eden.lee@kumsung.com</t>
  </si>
  <si>
    <t>2024-01-03T11:04:03.333Z</t>
  </si>
  <si>
    <t>choihyeryun@kumsung.com</t>
  </si>
  <si>
    <t>2024-01-03T10:59:36.563Z</t>
  </si>
  <si>
    <t>js_crm</t>
  </si>
  <si>
    <t>test01@js-crm.com</t>
  </si>
  <si>
    <t>2023-12-04T17:29:29.573Z</t>
  </si>
  <si>
    <t>2023-12-04T17:29:28.880Z</t>
  </si>
  <si>
    <t>starshorse@js-crm.com</t>
  </si>
  <si>
    <t>2023-12-04T17:25:34.926Z</t>
  </si>
  <si>
    <t>daeryuk</t>
  </si>
  <si>
    <t>scipio@daeryuk.co.kr</t>
  </si>
  <si>
    <t>2023-12-04T16:07:44.920Z</t>
  </si>
  <si>
    <t>2024-02-28T09:15:13.075Z</t>
  </si>
  <si>
    <t>ngc1994</t>
  </si>
  <si>
    <t>kj.sim@ngc1994.co.kr</t>
  </si>
  <si>
    <t>scipio@ngc1994.co.kr</t>
  </si>
  <si>
    <t>gwanakanalog</t>
  </si>
  <si>
    <t>상영희</t>
  </si>
  <si>
    <t>sannhee@gwanakanalog.com</t>
  </si>
  <si>
    <t>전켄트</t>
  </si>
  <si>
    <t>kent.chon@gwanakanalog.com</t>
  </si>
  <si>
    <t>worldshoppe</t>
  </si>
  <si>
    <t>kj.sim@worldshoppe.com</t>
  </si>
  <si>
    <t>isabelle@worldshoppe.com</t>
  </si>
  <si>
    <t>isabelle@workdshoppe.com</t>
  </si>
  <si>
    <t>scipio@worldshoppe.com</t>
  </si>
  <si>
    <t>helikorea</t>
  </si>
  <si>
    <t>choihyeryun@helikorea.com</t>
  </si>
  <si>
    <t>scipio@helikorea.com</t>
  </si>
  <si>
    <t>isabelle@helikorea.com</t>
  </si>
  <si>
    <t>agoptics</t>
  </si>
  <si>
    <t>migration@agoptics.co.kr</t>
  </si>
  <si>
    <t>isabelle@agoptics.co.kr</t>
  </si>
  <si>
    <t>choihyeryun@agoptics.co.kr</t>
  </si>
  <si>
    <t>scipio@agoptics.co.kr</t>
  </si>
  <si>
    <t>convenience</t>
  </si>
  <si>
    <t>dev@cvkorea.co.kr</t>
  </si>
  <si>
    <t>hjjae@cvkorea.co.kr</t>
  </si>
  <si>
    <t>ycyang@cvkorea.co.kr</t>
  </si>
  <si>
    <t>hykim@cvkorea.co.kr</t>
  </si>
  <si>
    <t>scipio@cvkorea.co.kr</t>
  </si>
  <si>
    <t>choihyeryun@convenience.com</t>
  </si>
  <si>
    <t>daewonsusan</t>
  </si>
  <si>
    <t>scipio@daewonsusan.com</t>
  </si>
  <si>
    <t>choihyeryun@daewonsusan.com</t>
  </si>
  <si>
    <t>scipio@js-crm.com</t>
  </si>
  <si>
    <t>2023-08-25T15:34:18.600Z</t>
  </si>
  <si>
    <t>demo</t>
  </si>
  <si>
    <t>jwhong@demo.co.kr</t>
  </si>
  <si>
    <t>2023-11-27T18:31:38.023Z</t>
  </si>
  <si>
    <t>hjwoo@demo.co.kr</t>
  </si>
  <si>
    <t>2023-11-27T18:29:45.280Z</t>
  </si>
  <si>
    <t>scipio@demo.co.kr</t>
  </si>
  <si>
    <t>2023-09-15T16:24:32.743Z</t>
  </si>
  <si>
    <t>전시회 시연용</t>
  </si>
  <si>
    <t>isabelle@demo.co.kr</t>
  </si>
  <si>
    <t>2023-09-13T11:28:28.130Z</t>
  </si>
  <si>
    <t>대표이사</t>
  </si>
  <si>
    <t>scipio@ez-office.co.kr</t>
  </si>
  <si>
    <t>SC</t>
  </si>
  <si>
    <t>경영</t>
  </si>
  <si>
    <t>2023-09-13T17:02:56.786Z</t>
  </si>
  <si>
    <t>이지오피스 데모</t>
  </si>
  <si>
    <t>isabelle@ez-office.co.kr</t>
  </si>
  <si>
    <t>2023-09-13T11:52:12.770Z</t>
  </si>
  <si>
    <t>dev@ezoffice.co.kr</t>
  </si>
  <si>
    <t>2023-08-25T18:17:03.536Z</t>
  </si>
  <si>
    <t>이재숙</t>
  </si>
  <si>
    <t>qwer8612@naver.com</t>
  </si>
  <si>
    <t>2023-08-25T15:31:10.830Z</t>
  </si>
  <si>
    <t>2023-08-25T15:29:03.203Z</t>
  </si>
  <si>
    <t>richard.choi@js-crm.com</t>
  </si>
  <si>
    <t>2023-08-25T15:27:01.010Z</t>
  </si>
  <si>
    <t>unionlogis</t>
  </si>
  <si>
    <t>과장</t>
  </si>
  <si>
    <t>ezof@</t>
  </si>
  <si>
    <t>dev@unionlogis.com</t>
  </si>
  <si>
    <t>HS</t>
  </si>
  <si>
    <t>IT</t>
  </si>
  <si>
    <t>2023-08-21T13:28:25.977Z</t>
  </si>
  <si>
    <t>2023-08-21T13:26:14.293Z</t>
  </si>
  <si>
    <t>am@demo.co.kr</t>
  </si>
  <si>
    <t>2023-08-18T11:02:07.520Z</t>
  </si>
  <si>
    <t>2023-08-08T15:01:35.826Z</t>
  </si>
  <si>
    <t>knu_osl</t>
  </si>
  <si>
    <t>test2@knu-osl.demo</t>
  </si>
  <si>
    <t>2023-07-31T15:54:59.636Z</t>
  </si>
  <si>
    <t>test1@knu-osl.demo</t>
  </si>
  <si>
    <t>2023-07-31T15:49:02.303Z</t>
  </si>
  <si>
    <t>collector</t>
  </si>
  <si>
    <t>collector@ezchemtech.com</t>
  </si>
  <si>
    <t>2023-08-18T10:45:18.000Z</t>
  </si>
  <si>
    <t>dhyoo</t>
  </si>
  <si>
    <t>choihyeryun@dhyoo.co.kr</t>
  </si>
  <si>
    <t>2023-08-02T11:33:22.443Z</t>
  </si>
  <si>
    <t>scipio@dhyoo.co.kr</t>
  </si>
  <si>
    <t>2023-08-02T10:33:48.923Z</t>
  </si>
  <si>
    <t>eden.lee@knu-osl.com</t>
  </si>
  <si>
    <t>2023-07-06T16:54:09.057Z</t>
  </si>
  <si>
    <t>2023-07-06T16:47:29.066Z</t>
  </si>
  <si>
    <t>scipio@knu-osl.com</t>
  </si>
  <si>
    <t>2023-07-06T16:47:11.373Z</t>
  </si>
  <si>
    <t>knu_osl@</t>
  </si>
  <si>
    <t>star_horse@knu-osl.demo</t>
  </si>
  <si>
    <t>2023-07-06T15:13:00.676Z</t>
  </si>
  <si>
    <t>ezct@</t>
  </si>
  <si>
    <t>scipio@ezchemtech.com</t>
  </si>
  <si>
    <t>2023-07-05T16:36:49.450Z</t>
  </si>
  <si>
    <t>팀장</t>
  </si>
  <si>
    <t>eden.lee@ez-office.co.kr</t>
  </si>
  <si>
    <t>SH</t>
  </si>
  <si>
    <t>test03@ezchemtech.com</t>
  </si>
  <si>
    <t>2023-07-05T16:23:23.127Z</t>
  </si>
  <si>
    <t>2023-06-22T15:20:42.980Z</t>
  </si>
  <si>
    <t>test02@ezchemtech.com</t>
  </si>
  <si>
    <t>2023-06-19T17:13:44.990Z</t>
  </si>
  <si>
    <t>test01</t>
  </si>
  <si>
    <t>test01@ezchemtech.com</t>
  </si>
  <si>
    <t>2023-06-16T11:12:21.376Z</t>
  </si>
  <si>
    <t>{"statusSave":{"enable":1},"access":{"collectionList":["default"],"appList":[]}}</t>
  </si>
  <si>
    <t>2022-07-27T06:16:26.449Z</t>
  </si>
  <si>
    <t>최종규이사</t>
  </si>
  <si>
    <t>Test</t>
  </si>
  <si>
    <t>richard.choi@ez-office.co.kr</t>
  </si>
  <si>
    <t>{"access":{"collectionList":[],"appList":[]}}</t>
  </si>
  <si>
    <t>2022-07-27T06:16:26.230Z</t>
  </si>
  <si>
    <t>미상</t>
  </si>
  <si>
    <t xml:space="preserve">미상 </t>
  </si>
  <si>
    <t>guest@ez-office.co.kr</t>
  </si>
  <si>
    <t>GK</t>
  </si>
  <si>
    <t>2022-07-27T06:16:26.111Z</t>
  </si>
  <si>
    <t>권중호</t>
  </si>
  <si>
    <t>asiafni@</t>
  </si>
  <si>
    <t>good4u@asiafni.com</t>
  </si>
  <si>
    <t>AR</t>
  </si>
  <si>
    <t>입출고</t>
  </si>
  <si>
    <t>2022-07-27T06:16:25.611Z</t>
  </si>
  <si>
    <t>김연희</t>
  </si>
  <si>
    <t>차장</t>
  </si>
  <si>
    <t>am@ezchemtech.com</t>
  </si>
  <si>
    <t>YH</t>
  </si>
  <si>
    <t>회계</t>
  </si>
  <si>
    <t>{"access":{"collectionList":["workspace2","expense"],"appList":["카드승인내역_PUBLIC"]}}</t>
  </si>
  <si>
    <t>$2b$10$AI9HqZVC6ey.n9I9C.SCiuoSfiVV36.UpYxmWRKUNbOxcwry/O8AK</t>
  </si>
  <si>
    <t>2022-07-27T06:16:25.470Z</t>
  </si>
  <si>
    <t>2024-02-23T02:48:58.561Z</t>
  </si>
  <si>
    <t>2022-07-27T06:16:24.982Z</t>
  </si>
  <si>
    <t>심규정</t>
  </si>
  <si>
    <t>주임</t>
  </si>
  <si>
    <t>info7@ezchemtech.com</t>
  </si>
  <si>
    <t>KJ</t>
  </si>
  <si>
    <t>2022-07-27T06:16:24.919Z</t>
  </si>
  <si>
    <t>2022-07-27T06:16:24.554Z</t>
  </si>
  <si>
    <t>admin@admin</t>
  </si>
  <si>
    <t>{"access":{"collectionList":["workspace"],"appList":[]}}</t>
  </si>
  <si>
    <t>2022-07-27T06:16:24.559Z</t>
  </si>
  <si>
    <t>문효정</t>
  </si>
  <si>
    <t>사원</t>
  </si>
  <si>
    <t>info6@ezchemtech.com</t>
  </si>
  <si>
    <t>MH</t>
  </si>
  <si>
    <t>2023-06-15T22:32:02.843Z</t>
  </si>
  <si>
    <t>2023-03-12T15:00:00.000Z</t>
  </si>
  <si>
    <t>2032-03-12T15:00:00.000Z</t>
  </si>
  <si>
    <t>choihyeryun@ezchemtech.com</t>
  </si>
  <si>
    <t>HR</t>
  </si>
  <si>
    <t>2023-04-18T08:55:59.201Z</t>
  </si>
  <si>
    <t>2022-12-22T00:19:12.986Z</t>
  </si>
  <si>
    <t>이정민</t>
  </si>
  <si>
    <t>info9@ezchemtech.com</t>
  </si>
  <si>
    <t>JM</t>
  </si>
  <si>
    <t>견적</t>
  </si>
  <si>
    <t>2022-08-21T15:00:00.000Z</t>
  </si>
  <si>
    <t>2024-02-23T05:38:49.787Z</t>
  </si>
  <si>
    <t>2022-07-27T06:08:45.120Z</t>
  </si>
  <si>
    <t>2024-02-23T05:39:09.424Z</t>
  </si>
  <si>
    <t>최아련</t>
  </si>
  <si>
    <t>info5@ezchemtech.com</t>
  </si>
  <si>
    <t>2022-07-27T06:08:44.893Z</t>
  </si>
  <si>
    <t>이현정</t>
  </si>
  <si>
    <t>inno@ezchemtech.com</t>
  </si>
  <si>
    <t>HJ</t>
  </si>
  <si>
    <t>2022-07-27T06:08:44.857Z</t>
  </si>
  <si>
    <t>dev@ezchemtech.com</t>
  </si>
  <si>
    <t>2022-07-27T06:08:44.356Z</t>
  </si>
  <si>
    <t>2022-07-27T06:08:44.340Z</t>
  </si>
  <si>
    <t>김모아</t>
  </si>
  <si>
    <t>매니저</t>
  </si>
  <si>
    <t>service3@ezchemtech.com</t>
  </si>
  <si>
    <t>MA</t>
  </si>
  <si>
    <t>2022-07-27T06:08:43.684Z</t>
  </si>
  <si>
    <t>2022-07-27T06:08:43.584Z</t>
  </si>
  <si>
    <t>choihyeryun@ez-office.co.kr</t>
  </si>
  <si>
    <t>HY</t>
  </si>
  <si>
    <t>개발</t>
  </si>
  <si>
    <t>2023-03-05T15:00:00.000Z</t>
  </si>
  <si>
    <t>황인국</t>
  </si>
  <si>
    <t>ykhwang@ezchemtech.com</t>
  </si>
  <si>
    <t>YK</t>
  </si>
  <si>
    <t>2022-07-27T06:08:43.611Z</t>
  </si>
  <si>
    <t>kj.sim@ez-office.co.kr</t>
  </si>
  <si>
    <t>정지혜</t>
  </si>
  <si>
    <t>service6@ezchemtech.com</t>
  </si>
  <si>
    <t>JH</t>
  </si>
  <si>
    <t>2022-07-27T06:08:43.674Z</t>
  </si>
  <si>
    <t>김지연</t>
  </si>
  <si>
    <t>info3@ezchemtech.com</t>
  </si>
  <si>
    <t>JY</t>
  </si>
  <si>
    <t>2024-02-23T05:37:50.537Z</t>
  </si>
  <si>
    <t>2022-07-27T06:08:43.451Z</t>
  </si>
  <si>
    <t>2024-02-23T05:38:10.201Z</t>
  </si>
  <si>
    <t>kj.sim@unionlogis.com</t>
  </si>
  <si>
    <t>KG</t>
  </si>
  <si>
    <t>2023-03-16T15:00:00.000Z</t>
  </si>
  <si>
    <t>유다현</t>
  </si>
  <si>
    <t>account@ezchemtech.com</t>
  </si>
  <si>
    <t>DH</t>
  </si>
  <si>
    <t>2022-07-27T06:08:43.569Z</t>
  </si>
  <si>
    <t>2024-02-23T02:16:13.927Z</t>
  </si>
  <si>
    <t>2023-03-21T15:00:00.000Z</t>
  </si>
  <si>
    <t>choihyeryun@unionlogis.com</t>
  </si>
  <si>
    <t>any@ezchemtech.com</t>
  </si>
  <si>
    <t>2022-07-27T06:08:43.644Z</t>
  </si>
  <si>
    <t>2022-12-22T00:22:39.476Z</t>
  </si>
  <si>
    <t>2024-02-23T02:48:58.219Z</t>
  </si>
  <si>
    <t>eden.lee@unionlogis.com</t>
  </si>
  <si>
    <t>orientpi</t>
  </si>
  <si>
    <t xml:space="preserve">심규정 </t>
  </si>
  <si>
    <t>kj.sim@orientpi.co.kr</t>
  </si>
  <si>
    <t>2022-07-27T06:31:19.071Z</t>
  </si>
  <si>
    <t>안소현</t>
  </si>
  <si>
    <t>info@ezchemtech.com</t>
  </si>
  <si>
    <t>WM</t>
  </si>
  <si>
    <t>2022-07-27T06:08:43.530Z</t>
  </si>
  <si>
    <t>2022-12-27T06:31:08.646Z</t>
  </si>
  <si>
    <t>2022-12-22T00:22:39.463Z</t>
  </si>
  <si>
    <t>2023-03-13T15:00:00.000Z</t>
  </si>
  <si>
    <t>shmlucy</t>
  </si>
  <si>
    <t>scipio@shmlucy.com</t>
  </si>
  <si>
    <t>2023-05-24T15:00:00.000Z</t>
  </si>
  <si>
    <t>choihyeryun@orientpi.co.kr</t>
  </si>
  <si>
    <t>2022-07-27T06:31:19.079Z</t>
  </si>
  <si>
    <t>윤현경</t>
  </si>
  <si>
    <t>service@ezchemtech.com</t>
  </si>
  <si>
    <t>HK</t>
  </si>
  <si>
    <t>2022-07-27T06:08:43.413Z</t>
  </si>
  <si>
    <t>2022-12-22T00:22:39.452Z</t>
  </si>
  <si>
    <t>eden.lee@orientpi.co.kr</t>
  </si>
  <si>
    <t>2022-07-27T06:31:19.024Z</t>
  </si>
  <si>
    <t>2022-07-27T06:08:43.600Z</t>
  </si>
  <si>
    <t>2022-12-22T00:22:39.440Z</t>
  </si>
  <si>
    <t>사용자</t>
  </si>
  <si>
    <t>shmlucy07@gmail.com</t>
  </si>
  <si>
    <t>HA</t>
  </si>
  <si>
    <t>2023-01-16T06:52:37.950Z</t>
  </si>
  <si>
    <t>2024-02-23T02:48:58.036Z</t>
  </si>
  <si>
    <t>2022-07-27T06:08:43.647Z</t>
  </si>
  <si>
    <t>대표</t>
  </si>
  <si>
    <t>gshwang@ezchemtech.com</t>
  </si>
  <si>
    <t>2022-12-22T00:22:39.378Z</t>
  </si>
  <si>
    <t>customer_01</t>
  </si>
  <si>
    <t>orientpi@</t>
  </si>
  <si>
    <t>customer_01@orientpi.co.kr</t>
  </si>
  <si>
    <t>client</t>
  </si>
  <si>
    <t>2023-01-10T09:12:36.110Z</t>
  </si>
  <si>
    <t>2022-07-27T06:31:18.973Z</t>
  </si>
  <si>
    <t>2022-07-27T06:08:43.496Z</t>
  </si>
  <si>
    <t>2023-02-22T07:13:03.276Z</t>
  </si>
  <si>
    <t>2022-12-19T08:06:17.619Z</t>
  </si>
  <si>
    <t>2022-12-20T08:40:34.256Z</t>
  </si>
  <si>
    <t>2023-03-06T15:00:00.000Z</t>
  </si>
  <si>
    <t>2023-01-04T07:08:44.238Z</t>
  </si>
  <si>
    <t>2022-07-27T06:31:18.945Z</t>
  </si>
  <si>
    <t>2024-02-23T02:48:57.862Z</t>
  </si>
  <si>
    <t>관리자</t>
  </si>
  <si>
    <t>2023-02-22T11:32:46.573Z</t>
  </si>
  <si>
    <t>김원겸</t>
  </si>
  <si>
    <t>unionlogis@</t>
  </si>
  <si>
    <t>rzfr@naver.com</t>
  </si>
  <si>
    <t>RZ</t>
  </si>
  <si>
    <t>생산</t>
  </si>
  <si>
    <t>2023-01-04T05:59:25.113Z</t>
  </si>
  <si>
    <t>2022-07-27T06:31:18.892Z</t>
  </si>
  <si>
    <t>김신영</t>
  </si>
  <si>
    <t>service2@ezchemtech.com</t>
  </si>
  <si>
    <t>SY</t>
  </si>
  <si>
    <t>2022-07-27T06:08:43.502Z</t>
  </si>
  <si>
    <t>유동현</t>
  </si>
  <si>
    <t>고객</t>
  </si>
  <si>
    <t>dhyoo@</t>
  </si>
  <si>
    <t>c02095aa@gmail.com</t>
  </si>
  <si>
    <t>2023-02-22T11:28:34.813Z</t>
  </si>
  <si>
    <t>demo@</t>
  </si>
  <si>
    <t>customer_01@demo.co.kr</t>
  </si>
  <si>
    <t>$2b$10$K9eQ3Syve/IsgQL2YM1d5.3hmRSNOGOIoxf0kLVmvLLmYINmmsq4i</t>
  </si>
  <si>
    <t>2022-10-31T06:28:55.203Z</t>
  </si>
  <si>
    <t>dbName</t>
    <phoneticPr fontId="1" type="noConversion"/>
  </si>
  <si>
    <t>authOrgUserSeq</t>
    <phoneticPr fontId="1" type="noConversion"/>
  </si>
  <si>
    <t>id_jpt</t>
    <phoneticPr fontId="1" type="noConversion"/>
  </si>
  <si>
    <t>position</t>
    <phoneticPr fontId="1" type="noConversion"/>
  </si>
  <si>
    <t>password</t>
    <phoneticPr fontId="1" type="noConversion"/>
  </si>
  <si>
    <t>important</t>
    <phoneticPr fontId="1" type="noConversion"/>
  </si>
  <si>
    <t>약칭</t>
    <phoneticPr fontId="1" type="noConversion"/>
  </si>
  <si>
    <t>jandi_id_map</t>
    <phoneticPr fontId="1" type="noConversion"/>
  </si>
  <si>
    <t>depart</t>
    <phoneticPr fontId="1" type="noConversion"/>
  </si>
  <si>
    <t>configuration</t>
    <phoneticPr fontId="1" type="noConversion"/>
  </si>
  <si>
    <t>userSeq</t>
    <phoneticPr fontId="1" type="noConversion"/>
  </si>
  <si>
    <t>RegDate</t>
    <phoneticPr fontId="1" type="noConversion"/>
  </si>
  <si>
    <t>UpdateDate</t>
    <phoneticPr fontId="1" type="noConversion"/>
  </si>
  <si>
    <t>passcode</t>
    <phoneticPr fontId="1" type="noConversion"/>
  </si>
  <si>
    <t>A1</t>
    <phoneticPr fontId="1" type="noConversion"/>
  </si>
  <si>
    <t>A2</t>
  </si>
  <si>
    <t>A3</t>
  </si>
  <si>
    <t>A4</t>
  </si>
  <si>
    <t>A5</t>
  </si>
  <si>
    <t>A6</t>
  </si>
  <si>
    <t>A7</t>
  </si>
  <si>
    <t>A8</t>
  </si>
  <si>
    <t>A9</t>
  </si>
  <si>
    <t>A10</t>
  </si>
  <si>
    <t>A11</t>
  </si>
  <si>
    <t>A12</t>
  </si>
  <si>
    <t>B2</t>
    <phoneticPr fontId="1" type="noConversion"/>
  </si>
  <si>
    <t>C3</t>
    <phoneticPr fontId="1" type="noConversion"/>
  </si>
  <si>
    <t>D4</t>
    <phoneticPr fontId="1" type="noConversion"/>
  </si>
  <si>
    <t>E5</t>
    <phoneticPr fontId="1" type="noConversion"/>
  </si>
  <si>
    <t>F6</t>
    <phoneticPr fontId="1" type="noConversion"/>
  </si>
  <si>
    <t>B3</t>
  </si>
  <si>
    <t>B4</t>
  </si>
  <si>
    <t>B5</t>
  </si>
  <si>
    <t>B6</t>
  </si>
  <si>
    <t>B7</t>
  </si>
  <si>
    <t>B8</t>
  </si>
  <si>
    <t>B9</t>
  </si>
  <si>
    <t>B10</t>
  </si>
  <si>
    <t>B11</t>
  </si>
  <si>
    <t>B12</t>
  </si>
  <si>
    <t>B13</t>
  </si>
  <si>
    <t>C4</t>
  </si>
  <si>
    <t>C5</t>
  </si>
  <si>
    <t>C6</t>
  </si>
  <si>
    <t>C7</t>
  </si>
  <si>
    <t>C8</t>
  </si>
  <si>
    <t>C9</t>
  </si>
  <si>
    <t>C10</t>
  </si>
  <si>
    <t>C11</t>
  </si>
  <si>
    <t>C12</t>
  </si>
  <si>
    <t>C13</t>
  </si>
  <si>
    <t>C14</t>
  </si>
  <si>
    <t>D5</t>
  </si>
  <si>
    <t>D6</t>
  </si>
  <si>
    <t>D7</t>
  </si>
  <si>
    <t>D8</t>
  </si>
  <si>
    <t>D9</t>
  </si>
  <si>
    <t>D10</t>
  </si>
  <si>
    <t>D11</t>
  </si>
  <si>
    <t>D12</t>
  </si>
  <si>
    <t>D13</t>
  </si>
  <si>
    <t>D14</t>
  </si>
  <si>
    <t>D15</t>
  </si>
  <si>
    <t>E6</t>
  </si>
  <si>
    <t>E7</t>
  </si>
  <si>
    <t>E8</t>
  </si>
  <si>
    <t>E9</t>
  </si>
  <si>
    <t>E10</t>
  </si>
  <si>
    <t>E11</t>
  </si>
  <si>
    <t>E12</t>
  </si>
  <si>
    <t>E13</t>
  </si>
  <si>
    <t>E14</t>
  </si>
  <si>
    <t>E15</t>
  </si>
  <si>
    <t>E16</t>
  </si>
  <si>
    <t>F7</t>
  </si>
  <si>
    <t>F8</t>
  </si>
  <si>
    <t>F9</t>
  </si>
  <si>
    <t>F10</t>
  </si>
  <si>
    <t>F11</t>
  </si>
  <si>
    <t>F12</t>
  </si>
  <si>
    <t>F13</t>
  </si>
  <si>
    <t>F14</t>
  </si>
  <si>
    <t>F15</t>
  </si>
  <si>
    <t>F16</t>
  </si>
  <si>
    <t>F17</t>
  </si>
  <si>
    <t>DB</t>
    <phoneticPr fontId="1" type="noConversion"/>
  </si>
  <si>
    <t>TABLE</t>
    <phoneticPr fontId="1" type="noConversion"/>
  </si>
  <si>
    <t>Tbl_list[OFFSET]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</si>
</sst>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1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  <scheme val="minor"/>
    </font>
    <font>
      <sz val="11"/>
      <color rgb="FF002060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rgb="FFFFC896"/>
        <bgColor indexed="64"/>
      </patternFill>
    </fill>
    <fill>
      <patternFill patternType="solid">
        <fgColor rgb="FFFF96C8"/>
        <bgColor indexed="64"/>
      </patternFill>
    </fill>
    <fill>
      <patternFill patternType="solid">
        <fgColor rgb="FFC8C8C8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FFFFCC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4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center"/>
    </xf>
    <xf numFmtId="0" fontId="7" fillId="7" borderId="0" applyNumberFormat="0" applyBorder="0" applyAlignment="0" applyProtection="0">
      <alignment vertical="center"/>
    </xf>
    <xf numFmtId="0" fontId="6" fillId="8" borderId="3" applyNumberFormat="0" applyFont="0" applyAlignment="0" applyProtection="0">
      <alignment vertical="center"/>
    </xf>
  </cellStyleXfs>
  <cellXfs count="20">
    <xf numFmtId="0" fontId="0" fillId="0" borderId="0" xfId="0">
      <alignment vertical="center"/>
    </xf>
    <xf numFmtId="0" fontId="2" fillId="0" borderId="0" xfId="0" applyFont="1">
      <alignment vertical="center"/>
    </xf>
    <xf numFmtId="0" fontId="0" fillId="0" borderId="1" xfId="0" applyBorder="1">
      <alignment vertical="center"/>
    </xf>
    <xf numFmtId="0" fontId="0" fillId="3" borderId="1" xfId="0" applyFill="1" applyBorder="1">
      <alignment vertical="center"/>
    </xf>
    <xf numFmtId="0" fontId="0" fillId="4" borderId="1" xfId="0" applyFill="1" applyBorder="1">
      <alignment vertical="center"/>
    </xf>
    <xf numFmtId="0" fontId="0" fillId="4" borderId="0" xfId="0" applyFill="1">
      <alignment vertical="center"/>
    </xf>
    <xf numFmtId="0" fontId="0" fillId="3" borderId="0" xfId="0" applyFill="1">
      <alignment vertical="center"/>
    </xf>
    <xf numFmtId="0" fontId="4" fillId="0" borderId="0" xfId="1" applyFill="1" applyBorder="1">
      <alignment vertical="center"/>
    </xf>
    <xf numFmtId="0" fontId="0" fillId="5" borderId="1" xfId="0" applyFill="1" applyBorder="1">
      <alignment vertical="center"/>
    </xf>
    <xf numFmtId="0" fontId="0" fillId="5" borderId="0" xfId="0" applyFill="1">
      <alignment vertical="center"/>
    </xf>
    <xf numFmtId="0" fontId="4" fillId="0" borderId="0" xfId="1">
      <alignment vertical="center"/>
    </xf>
    <xf numFmtId="0" fontId="0" fillId="6" borderId="1" xfId="0" applyFill="1" applyBorder="1">
      <alignment vertical="center"/>
    </xf>
    <xf numFmtId="0" fontId="4" fillId="0" borderId="1" xfId="1" applyFill="1" applyBorder="1">
      <alignment vertical="center"/>
    </xf>
    <xf numFmtId="0" fontId="4" fillId="0" borderId="1" xfId="1" applyBorder="1">
      <alignment vertical="center"/>
    </xf>
    <xf numFmtId="0" fontId="2" fillId="6" borderId="1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6" borderId="1" xfId="1" applyFill="1" applyBorder="1">
      <alignment vertical="center"/>
    </xf>
    <xf numFmtId="0" fontId="5" fillId="2" borderId="2" xfId="0" applyFont="1" applyFill="1" applyBorder="1">
      <alignment vertical="center"/>
    </xf>
    <xf numFmtId="0" fontId="7" fillId="7" borderId="1" xfId="2" applyBorder="1">
      <alignment vertical="center"/>
    </xf>
    <xf numFmtId="0" fontId="0" fillId="8" borderId="3" xfId="3" applyFont="1">
      <alignment vertical="center"/>
    </xf>
  </cellXfs>
  <cellStyles count="4">
    <cellStyle name="메모" xfId="3" builtinId="10"/>
    <cellStyle name="좋음" xfId="2" builtinId="26"/>
    <cellStyle name="표준" xfId="0" builtinId="0"/>
    <cellStyle name="하이퍼링크" xfId="1" builtinId="8"/>
  </cellStyles>
  <dxfs count="8">
    <dxf>
      <font>
        <color rgb="FF9C0006"/>
      </font>
      <fill>
        <patternFill>
          <bgColor rgb="FFFFC7CE"/>
        </patternFill>
      </fill>
    </dxf>
    <dxf>
      <fill>
        <patternFill patternType="solid">
          <fgColor indexed="64"/>
          <bgColor rgb="FFC8C8C8"/>
        </patternFill>
      </fill>
    </dxf>
    <dxf>
      <fill>
        <patternFill patternType="solid">
          <fgColor indexed="64"/>
          <bgColor rgb="FFC8C8C8"/>
        </patternFill>
      </fill>
    </dxf>
    <dxf>
      <fill>
        <patternFill patternType="solid">
          <fgColor indexed="64"/>
          <bgColor rgb="FFC8C8C8"/>
        </patternFill>
      </fill>
    </dxf>
    <dxf>
      <fill>
        <patternFill patternType="solid">
          <fgColor indexed="64"/>
          <bgColor rgb="FFC8C8C8"/>
        </patternFill>
      </fill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rgb="FF002060"/>
        <name val="맑은 고딕"/>
        <family val="3"/>
        <charset val="129"/>
        <scheme val="minor"/>
      </font>
      <fill>
        <patternFill patternType="solid">
          <fgColor indexed="64"/>
          <bgColor rgb="FFFFFFCC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</xdr:row>
          <xdr:rowOff>133350</xdr:rowOff>
        </xdr:from>
        <xdr:to>
          <xdr:col>4</xdr:col>
          <xdr:colOff>1533525</xdr:colOff>
          <xdr:row>3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FE99431-CE87-41F1-850B-DF89D0FDCAEF}" name="표1" displayName="표1" ref="B6:U141" totalsRowShown="0" headerRowDxfId="7" headerRowBorderDxfId="6" tableBorderDxfId="5">
  <autoFilter ref="B6:U141" xr:uid="{5FE99431-CE87-41F1-850B-DF89D0FDCAEF}"/>
  <tableColumns count="20">
    <tableColumn id="1" xr3:uid="{E10C3D5D-6A5A-4E33-9DB1-6C4060BC4E27}" name="seq" dataDxfId="4"/>
    <tableColumn id="2" xr3:uid="{0371A9C3-21B2-4AA6-A751-B157C96E5211}" name="dbName" dataDxfId="3"/>
    <tableColumn id="3" xr3:uid="{BEBC6AAD-6EEB-4F88-90B7-21BCA6C65D2C}" name="authOrgUserSeq"/>
    <tableColumn id="4" xr3:uid="{41AFE485-1D4D-49D5-8110-64D8BAC418D3}" name="id_jpt"/>
    <tableColumn id="5" xr3:uid="{2816F9CA-B93F-4F7B-AC1D-6406540FD083}" name="name"/>
    <tableColumn id="6" xr3:uid="{6A560E04-34DE-471F-B6BD-60C5AB0F9C64}" name="position" dataDxfId="2"/>
    <tableColumn id="7" xr3:uid="{862C3064-BC02-49AC-9D7B-73F9A854C278}" name="level" dataDxfId="1"/>
    <tableColumn id="8" xr3:uid="{DC577047-4994-4CBA-9026-50213A836E12}" name="password"/>
    <tableColumn id="9" xr3:uid="{7D39A287-251A-405A-A893-74A15D08869B}" name="email"/>
    <tableColumn id="10" xr3:uid="{74EEDF43-DB5A-4131-8897-65D975154AD8}" name="important"/>
    <tableColumn id="11" xr3:uid="{9B35B966-08F6-4F78-935C-CB1633F97CD7}" name="약칭"/>
    <tableColumn id="12" xr3:uid="{73EDF241-11A2-4901-87ED-2AF50B5DA964}" name="jandi_id_map"/>
    <tableColumn id="13" xr3:uid="{5556A275-D201-48E1-B20C-9C56B844F0D4}" name="depart"/>
    <tableColumn id="14" xr3:uid="{5D2603A9-5DFD-4E9C-B7CF-BC54C87D87D5}" name="configuration"/>
    <tableColumn id="15" xr3:uid="{B74B564B-C3AD-4C68-98B3-0CCDF183F159}" name="userSeq"/>
    <tableColumn id="16" xr3:uid="{768E16A7-536A-42D0-80C0-AE8199F1F7F2}" name="RegDate"/>
    <tableColumn id="17" xr3:uid="{0204B225-40AC-4778-8BC9-88DCD70AE656}" name="UpdateDate"/>
    <tableColumn id="18" xr3:uid="{480A5596-25D9-4275-A671-8020C454BCE2}" name="passcode"/>
    <tableColumn id="19" xr3:uid="{FD0D6824-DD38-429B-A97B-BF24F116EAD7}" name="createdAt"/>
    <tableColumn id="20" xr3:uid="{8C93CFAE-E24F-4433-9D63-4529AF8F417D}" name="updatedAt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mailto:hong5@ezoffice.co.kr" TargetMode="External"/><Relationship Id="rId2" Type="http://schemas.openxmlformats.org/officeDocument/2006/relationships/hyperlink" Target="mailto:info7@ezchemtech.com" TargetMode="External"/><Relationship Id="rId1" Type="http://schemas.openxmlformats.org/officeDocument/2006/relationships/hyperlink" Target="mailto:dev@ezchemtech.com" TargetMode="External"/><Relationship Id="rId4" Type="http://schemas.openxmlformats.org/officeDocument/2006/relationships/hyperlink" Target="mailto:star_horse@naver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5:U141"/>
  <sheetViews>
    <sheetView zoomScale="85" zoomScaleNormal="85" workbookViewId="0">
      <selection activeCell="J4" sqref="J4"/>
    </sheetView>
  </sheetViews>
  <sheetFormatPr defaultRowHeight="16.5" x14ac:dyDescent="0.3"/>
  <cols>
    <col min="2" max="2" width="10.75" customWidth="1"/>
    <col min="3" max="3" width="15.125" customWidth="1"/>
    <col min="4" max="4" width="18.875" customWidth="1"/>
    <col min="5" max="5" width="8.5" customWidth="1"/>
    <col min="7" max="7" width="23.625" customWidth="1"/>
    <col min="8" max="8" width="5.75" customWidth="1"/>
    <col min="9" max="9" width="14.5" customWidth="1"/>
    <col min="10" max="10" width="42.125" customWidth="1"/>
    <col min="16" max="16" width="11.375" customWidth="1"/>
    <col min="17" max="17" width="36.375" customWidth="1"/>
    <col min="18" max="18" width="27.375" customWidth="1"/>
    <col min="20" max="20" width="26.125" customWidth="1"/>
    <col min="21" max="21" width="36.375" customWidth="1"/>
  </cols>
  <sheetData>
    <row r="5" spans="2:21" x14ac:dyDescent="0.3">
      <c r="B5" s="1" t="s">
        <v>0</v>
      </c>
      <c r="C5" s="1"/>
    </row>
    <row r="6" spans="2:21" x14ac:dyDescent="0.3">
      <c r="B6" s="17" t="s">
        <v>1</v>
      </c>
      <c r="C6" s="17" t="s">
        <v>492</v>
      </c>
      <c r="D6" s="17" t="s">
        <v>493</v>
      </c>
      <c r="E6" s="17" t="s">
        <v>494</v>
      </c>
      <c r="F6" s="17" t="s">
        <v>2</v>
      </c>
      <c r="G6" s="17" t="s">
        <v>495</v>
      </c>
      <c r="H6" s="17" t="s">
        <v>4</v>
      </c>
      <c r="I6" s="17" t="s">
        <v>496</v>
      </c>
      <c r="J6" s="17" t="s">
        <v>3</v>
      </c>
      <c r="K6" s="17" t="s">
        <v>497</v>
      </c>
      <c r="L6" s="17" t="s">
        <v>498</v>
      </c>
      <c r="M6" s="17" t="s">
        <v>499</v>
      </c>
      <c r="N6" s="17" t="s">
        <v>500</v>
      </c>
      <c r="O6" s="17" t="s">
        <v>501</v>
      </c>
      <c r="P6" s="17" t="s">
        <v>502</v>
      </c>
      <c r="Q6" s="17" t="s">
        <v>503</v>
      </c>
      <c r="R6" s="17" t="s">
        <v>504</v>
      </c>
      <c r="S6" s="17" t="s">
        <v>505</v>
      </c>
      <c r="T6" s="17" t="s">
        <v>5</v>
      </c>
      <c r="U6" s="17" t="s">
        <v>6</v>
      </c>
    </row>
    <row r="7" spans="2:21" x14ac:dyDescent="0.3">
      <c r="B7" s="8">
        <v>187</v>
      </c>
      <c r="C7" s="8" t="s">
        <v>134</v>
      </c>
      <c r="D7" s="2"/>
      <c r="E7" s="2"/>
      <c r="F7" s="2"/>
      <c r="G7" s="8"/>
      <c r="H7" s="8"/>
      <c r="I7" s="3">
        <v>1234</v>
      </c>
      <c r="J7" s="4" t="s">
        <v>135</v>
      </c>
      <c r="P7">
        <v>172</v>
      </c>
      <c r="Q7" t="s">
        <v>136</v>
      </c>
      <c r="R7" t="s">
        <v>136</v>
      </c>
      <c r="T7" t="s">
        <v>137</v>
      </c>
      <c r="U7" t="s">
        <v>138</v>
      </c>
    </row>
    <row r="8" spans="2:21" x14ac:dyDescent="0.3">
      <c r="B8" s="8">
        <v>186</v>
      </c>
      <c r="C8" s="8" t="s">
        <v>134</v>
      </c>
      <c r="D8" s="2"/>
      <c r="E8" s="2"/>
      <c r="F8" s="2"/>
      <c r="G8" s="8"/>
      <c r="H8" s="8"/>
      <c r="I8" s="3">
        <v>1234</v>
      </c>
      <c r="J8" s="5" t="s">
        <v>139</v>
      </c>
      <c r="P8">
        <v>171</v>
      </c>
      <c r="Q8" t="s">
        <v>140</v>
      </c>
      <c r="R8" t="s">
        <v>140</v>
      </c>
      <c r="T8" t="s">
        <v>141</v>
      </c>
      <c r="U8" t="s">
        <v>142</v>
      </c>
    </row>
    <row r="9" spans="2:21" x14ac:dyDescent="0.3">
      <c r="B9" s="9">
        <v>185</v>
      </c>
      <c r="C9" s="9" t="s">
        <v>143</v>
      </c>
      <c r="E9" s="7"/>
      <c r="G9" s="9"/>
      <c r="H9" s="9"/>
      <c r="I9" s="6">
        <v>1234</v>
      </c>
      <c r="J9" s="5" t="s">
        <v>144</v>
      </c>
      <c r="P9">
        <v>170</v>
      </c>
      <c r="Q9" t="s">
        <v>145</v>
      </c>
      <c r="R9" t="s">
        <v>145</v>
      </c>
      <c r="T9" t="s">
        <v>146</v>
      </c>
      <c r="U9" t="s">
        <v>147</v>
      </c>
    </row>
    <row r="10" spans="2:21" x14ac:dyDescent="0.3">
      <c r="B10" s="9">
        <v>184</v>
      </c>
      <c r="C10" s="9" t="s">
        <v>143</v>
      </c>
      <c r="E10" s="7"/>
      <c r="F10" t="s">
        <v>148</v>
      </c>
      <c r="G10" s="9"/>
      <c r="H10" s="9"/>
      <c r="I10" s="6">
        <v>1234</v>
      </c>
      <c r="J10" s="5" t="s">
        <v>149</v>
      </c>
      <c r="P10">
        <v>169</v>
      </c>
      <c r="Q10" t="s">
        <v>150</v>
      </c>
      <c r="R10" t="s">
        <v>150</v>
      </c>
      <c r="T10" t="s">
        <v>151</v>
      </c>
      <c r="U10" t="s">
        <v>152</v>
      </c>
    </row>
    <row r="11" spans="2:21" x14ac:dyDescent="0.3">
      <c r="B11" s="9">
        <v>183</v>
      </c>
      <c r="C11" s="9" t="s">
        <v>143</v>
      </c>
      <c r="E11" s="10"/>
      <c r="F11" t="s">
        <v>153</v>
      </c>
      <c r="G11" s="9"/>
      <c r="H11" s="9"/>
      <c r="I11" s="6">
        <v>1234</v>
      </c>
      <c r="J11" s="5" t="s">
        <v>154</v>
      </c>
      <c r="P11">
        <v>168</v>
      </c>
      <c r="Q11" t="s">
        <v>155</v>
      </c>
      <c r="R11" t="s">
        <v>155</v>
      </c>
      <c r="T11" t="s">
        <v>156</v>
      </c>
      <c r="U11" t="s">
        <v>157</v>
      </c>
    </row>
    <row r="12" spans="2:21" x14ac:dyDescent="0.3">
      <c r="B12" s="9">
        <v>182</v>
      </c>
      <c r="C12" s="9" t="s">
        <v>158</v>
      </c>
      <c r="D12">
        <v>3</v>
      </c>
      <c r="G12" s="9"/>
      <c r="H12" s="9"/>
      <c r="I12" s="6">
        <v>1234</v>
      </c>
      <c r="J12" s="5" t="s">
        <v>159</v>
      </c>
      <c r="P12">
        <v>157</v>
      </c>
      <c r="Q12" t="s">
        <v>160</v>
      </c>
      <c r="R12" t="s">
        <v>160</v>
      </c>
      <c r="T12" t="s">
        <v>160</v>
      </c>
      <c r="U12" t="s">
        <v>160</v>
      </c>
    </row>
    <row r="13" spans="2:21" x14ac:dyDescent="0.3">
      <c r="B13" s="9">
        <v>181</v>
      </c>
      <c r="C13" s="9" t="s">
        <v>143</v>
      </c>
      <c r="F13" t="s">
        <v>161</v>
      </c>
      <c r="G13" s="9"/>
      <c r="H13" s="9"/>
      <c r="I13" s="6">
        <v>1234</v>
      </c>
      <c r="J13" s="5" t="s">
        <v>162</v>
      </c>
      <c r="P13">
        <v>167</v>
      </c>
      <c r="Q13" t="s">
        <v>163</v>
      </c>
      <c r="R13" t="s">
        <v>163</v>
      </c>
      <c r="T13" t="s">
        <v>164</v>
      </c>
      <c r="U13" t="s">
        <v>165</v>
      </c>
    </row>
    <row r="14" spans="2:21" x14ac:dyDescent="0.3">
      <c r="B14" s="9">
        <v>173</v>
      </c>
      <c r="C14" s="9" t="s">
        <v>166</v>
      </c>
      <c r="D14">
        <v>5</v>
      </c>
      <c r="G14" s="9"/>
      <c r="H14" s="9"/>
      <c r="I14" s="6">
        <v>1234</v>
      </c>
      <c r="J14" s="5" t="s">
        <v>167</v>
      </c>
      <c r="P14">
        <v>149</v>
      </c>
      <c r="Q14" t="s">
        <v>168</v>
      </c>
      <c r="R14" t="s">
        <v>168</v>
      </c>
      <c r="T14" t="s">
        <v>168</v>
      </c>
      <c r="U14" t="s">
        <v>168</v>
      </c>
    </row>
    <row r="15" spans="2:21" x14ac:dyDescent="0.3">
      <c r="B15" s="9">
        <v>172</v>
      </c>
      <c r="C15" s="9" t="s">
        <v>166</v>
      </c>
      <c r="D15">
        <v>4</v>
      </c>
      <c r="F15" t="s">
        <v>148</v>
      </c>
      <c r="G15" s="9"/>
      <c r="H15" s="9"/>
      <c r="I15" s="6">
        <v>1234</v>
      </c>
      <c r="J15" s="5" t="s">
        <v>169</v>
      </c>
      <c r="P15">
        <v>146</v>
      </c>
      <c r="Q15" t="s">
        <v>168</v>
      </c>
      <c r="R15" t="s">
        <v>168</v>
      </c>
      <c r="T15" t="s">
        <v>168</v>
      </c>
      <c r="U15" t="s">
        <v>168</v>
      </c>
    </row>
    <row r="16" spans="2:21" x14ac:dyDescent="0.3">
      <c r="B16" s="9">
        <v>171</v>
      </c>
      <c r="C16" s="9" t="s">
        <v>166</v>
      </c>
      <c r="D16">
        <v>3</v>
      </c>
      <c r="F16" t="s">
        <v>170</v>
      </c>
      <c r="G16" s="9"/>
      <c r="H16" s="9"/>
      <c r="I16" s="6">
        <v>1234</v>
      </c>
      <c r="J16" s="5" t="s">
        <v>171</v>
      </c>
      <c r="P16">
        <v>145</v>
      </c>
      <c r="Q16" t="s">
        <v>168</v>
      </c>
      <c r="R16" t="s">
        <v>168</v>
      </c>
      <c r="T16" t="s">
        <v>168</v>
      </c>
      <c r="U16" t="s">
        <v>168</v>
      </c>
    </row>
    <row r="17" spans="2:21" x14ac:dyDescent="0.3">
      <c r="B17" s="9">
        <v>170</v>
      </c>
      <c r="C17" s="9" t="s">
        <v>166</v>
      </c>
      <c r="D17">
        <v>2</v>
      </c>
      <c r="F17" t="s">
        <v>172</v>
      </c>
      <c r="G17" s="9"/>
      <c r="H17" s="9"/>
      <c r="I17" s="6">
        <v>1234</v>
      </c>
      <c r="J17" s="5" t="s">
        <v>173</v>
      </c>
      <c r="P17">
        <v>144</v>
      </c>
      <c r="Q17" t="s">
        <v>168</v>
      </c>
      <c r="R17" t="s">
        <v>168</v>
      </c>
      <c r="T17" t="s">
        <v>168</v>
      </c>
      <c r="U17" t="s">
        <v>168</v>
      </c>
    </row>
    <row r="18" spans="2:21" x14ac:dyDescent="0.3">
      <c r="B18" s="9">
        <v>169</v>
      </c>
      <c r="C18" s="9" t="s">
        <v>166</v>
      </c>
      <c r="D18">
        <v>1</v>
      </c>
      <c r="F18" t="s">
        <v>174</v>
      </c>
      <c r="G18" s="9"/>
      <c r="H18" s="9"/>
      <c r="I18" s="6">
        <v>1234</v>
      </c>
      <c r="J18" s="5" t="s">
        <v>175</v>
      </c>
      <c r="P18">
        <v>141</v>
      </c>
      <c r="Q18" t="s">
        <v>168</v>
      </c>
      <c r="R18" t="s">
        <v>168</v>
      </c>
      <c r="T18" t="s">
        <v>168</v>
      </c>
      <c r="U18" t="s">
        <v>168</v>
      </c>
    </row>
    <row r="19" spans="2:21" x14ac:dyDescent="0.3">
      <c r="B19" s="9">
        <v>153</v>
      </c>
      <c r="C19" s="9" t="s">
        <v>176</v>
      </c>
      <c r="D19">
        <v>39</v>
      </c>
      <c r="G19" s="9" t="s">
        <v>177</v>
      </c>
      <c r="H19" s="9">
        <v>5</v>
      </c>
      <c r="I19" s="6">
        <v>1234</v>
      </c>
      <c r="J19" s="5" t="s">
        <v>178</v>
      </c>
      <c r="P19">
        <v>148</v>
      </c>
      <c r="Q19" t="s">
        <v>179</v>
      </c>
      <c r="R19" t="s">
        <v>179</v>
      </c>
      <c r="T19" t="s">
        <v>180</v>
      </c>
      <c r="U19" t="s">
        <v>180</v>
      </c>
    </row>
    <row r="20" spans="2:21" x14ac:dyDescent="0.3">
      <c r="B20" s="9">
        <v>147</v>
      </c>
      <c r="C20" s="9" t="s">
        <v>181</v>
      </c>
      <c r="D20">
        <v>21</v>
      </c>
      <c r="F20" t="s">
        <v>182</v>
      </c>
      <c r="G20" s="9" t="s">
        <v>177</v>
      </c>
      <c r="H20" s="9">
        <v>5</v>
      </c>
      <c r="I20" s="6">
        <v>1234</v>
      </c>
      <c r="J20" s="5" t="s">
        <v>183</v>
      </c>
      <c r="P20">
        <v>147</v>
      </c>
      <c r="Q20" t="s">
        <v>184</v>
      </c>
      <c r="R20" t="s">
        <v>184</v>
      </c>
      <c r="T20" t="s">
        <v>185</v>
      </c>
      <c r="U20" t="s">
        <v>185</v>
      </c>
    </row>
    <row r="21" spans="2:21" x14ac:dyDescent="0.3">
      <c r="B21" s="9">
        <v>129</v>
      </c>
      <c r="C21" s="9" t="s">
        <v>186</v>
      </c>
      <c r="D21">
        <v>2</v>
      </c>
      <c r="F21" t="s">
        <v>187</v>
      </c>
      <c r="G21" s="9" t="s">
        <v>188</v>
      </c>
      <c r="H21" s="9">
        <v>-1</v>
      </c>
      <c r="I21" s="6" t="s">
        <v>189</v>
      </c>
      <c r="J21" s="5" t="s">
        <v>190</v>
      </c>
      <c r="L21" t="s">
        <v>191</v>
      </c>
      <c r="M21" t="s">
        <v>191</v>
      </c>
      <c r="Q21" t="s">
        <v>192</v>
      </c>
      <c r="R21" t="s">
        <v>193</v>
      </c>
      <c r="T21" t="s">
        <v>194</v>
      </c>
      <c r="U21" t="s">
        <v>194</v>
      </c>
    </row>
    <row r="22" spans="2:21" x14ac:dyDescent="0.3">
      <c r="B22" s="9">
        <v>128</v>
      </c>
      <c r="C22" s="9" t="s">
        <v>195</v>
      </c>
      <c r="D22">
        <v>2</v>
      </c>
      <c r="G22" s="9"/>
      <c r="H22" s="9"/>
      <c r="I22" s="6">
        <v>1234</v>
      </c>
      <c r="J22" s="5" t="s">
        <v>196</v>
      </c>
      <c r="P22">
        <v>143</v>
      </c>
      <c r="Q22" t="s">
        <v>197</v>
      </c>
      <c r="R22" t="s">
        <v>197</v>
      </c>
      <c r="T22" t="s">
        <v>197</v>
      </c>
      <c r="U22" t="s">
        <v>197</v>
      </c>
    </row>
    <row r="23" spans="2:21" x14ac:dyDescent="0.3">
      <c r="B23" s="9">
        <v>127</v>
      </c>
      <c r="C23" s="9" t="s">
        <v>195</v>
      </c>
      <c r="D23">
        <v>1</v>
      </c>
      <c r="G23" s="9"/>
      <c r="H23" s="9"/>
      <c r="I23" s="6">
        <v>1234</v>
      </c>
      <c r="J23" s="5" t="s">
        <v>198</v>
      </c>
      <c r="P23">
        <v>142</v>
      </c>
      <c r="Q23" t="s">
        <v>199</v>
      </c>
      <c r="R23" t="s">
        <v>199</v>
      </c>
      <c r="T23" t="s">
        <v>199</v>
      </c>
      <c r="U23" t="s">
        <v>199</v>
      </c>
    </row>
    <row r="24" spans="2:21" x14ac:dyDescent="0.3">
      <c r="B24" s="9">
        <v>125</v>
      </c>
      <c r="C24" s="9" t="s">
        <v>200</v>
      </c>
      <c r="D24">
        <v>5</v>
      </c>
      <c r="G24" s="9"/>
      <c r="H24" s="9"/>
      <c r="I24" s="6">
        <v>1234</v>
      </c>
      <c r="J24" s="5" t="s">
        <v>201</v>
      </c>
      <c r="P24">
        <v>140</v>
      </c>
      <c r="Q24" t="s">
        <v>202</v>
      </c>
      <c r="R24" t="s">
        <v>193</v>
      </c>
      <c r="T24" t="s">
        <v>203</v>
      </c>
      <c r="U24" t="s">
        <v>203</v>
      </c>
    </row>
    <row r="25" spans="2:21" x14ac:dyDescent="0.3">
      <c r="B25" s="9">
        <v>124</v>
      </c>
      <c r="C25" s="9" t="s">
        <v>200</v>
      </c>
      <c r="D25">
        <v>4</v>
      </c>
      <c r="G25" s="9"/>
      <c r="H25" s="9"/>
      <c r="I25" s="6">
        <v>1234</v>
      </c>
      <c r="J25" s="5" t="s">
        <v>204</v>
      </c>
      <c r="P25">
        <v>139</v>
      </c>
      <c r="Q25" t="s">
        <v>202</v>
      </c>
      <c r="R25" t="s">
        <v>193</v>
      </c>
      <c r="T25" t="s">
        <v>205</v>
      </c>
      <c r="U25" t="s">
        <v>205</v>
      </c>
    </row>
    <row r="26" spans="2:21" x14ac:dyDescent="0.3">
      <c r="B26" s="9">
        <v>123</v>
      </c>
      <c r="C26" s="9" t="s">
        <v>206</v>
      </c>
      <c r="D26">
        <v>1</v>
      </c>
      <c r="G26" s="9"/>
      <c r="H26" s="9"/>
      <c r="I26" s="6">
        <v>1234</v>
      </c>
      <c r="J26" s="5" t="s">
        <v>207</v>
      </c>
      <c r="P26">
        <v>138</v>
      </c>
      <c r="Q26" t="s">
        <v>208</v>
      </c>
      <c r="R26" t="s">
        <v>208</v>
      </c>
      <c r="T26" t="s">
        <v>208</v>
      </c>
      <c r="U26" t="s">
        <v>209</v>
      </c>
    </row>
    <row r="27" spans="2:21" x14ac:dyDescent="0.3">
      <c r="B27" s="9">
        <v>122</v>
      </c>
      <c r="C27" s="9" t="s">
        <v>210</v>
      </c>
      <c r="D27">
        <v>2</v>
      </c>
      <c r="G27" s="9"/>
      <c r="H27" s="9"/>
      <c r="I27" s="6">
        <v>1234</v>
      </c>
      <c r="J27" s="5" t="s">
        <v>211</v>
      </c>
      <c r="P27">
        <v>134</v>
      </c>
      <c r="Q27" t="s">
        <v>208</v>
      </c>
      <c r="R27" t="s">
        <v>208</v>
      </c>
      <c r="T27" t="s">
        <v>208</v>
      </c>
      <c r="U27" t="s">
        <v>208</v>
      </c>
    </row>
    <row r="28" spans="2:21" x14ac:dyDescent="0.3">
      <c r="B28" s="9">
        <v>121</v>
      </c>
      <c r="C28" s="9" t="s">
        <v>210</v>
      </c>
      <c r="D28">
        <v>1</v>
      </c>
      <c r="G28" s="9"/>
      <c r="H28" s="9"/>
      <c r="I28" s="6">
        <v>1234</v>
      </c>
      <c r="J28" s="5" t="s">
        <v>212</v>
      </c>
      <c r="P28">
        <v>133</v>
      </c>
      <c r="Q28" t="s">
        <v>208</v>
      </c>
      <c r="R28" t="s">
        <v>208</v>
      </c>
      <c r="T28" t="s">
        <v>208</v>
      </c>
      <c r="U28" t="s">
        <v>208</v>
      </c>
    </row>
    <row r="29" spans="2:21" x14ac:dyDescent="0.3">
      <c r="B29" s="9">
        <v>120</v>
      </c>
      <c r="C29" s="9" t="s">
        <v>213</v>
      </c>
      <c r="D29">
        <v>2</v>
      </c>
      <c r="F29" t="s">
        <v>214</v>
      </c>
      <c r="G29" s="9"/>
      <c r="H29" s="9"/>
      <c r="I29" s="6" t="s">
        <v>213</v>
      </c>
      <c r="J29" s="5" t="s">
        <v>215</v>
      </c>
      <c r="P29">
        <v>135</v>
      </c>
      <c r="Q29" t="s">
        <v>208</v>
      </c>
      <c r="R29" t="s">
        <v>208</v>
      </c>
      <c r="T29" t="s">
        <v>208</v>
      </c>
      <c r="U29" t="s">
        <v>208</v>
      </c>
    </row>
    <row r="30" spans="2:21" x14ac:dyDescent="0.3">
      <c r="B30" s="9">
        <v>119</v>
      </c>
      <c r="C30" s="9" t="s">
        <v>213</v>
      </c>
      <c r="D30">
        <v>1</v>
      </c>
      <c r="F30" t="s">
        <v>216</v>
      </c>
      <c r="G30" s="9"/>
      <c r="H30" s="9"/>
      <c r="I30" s="6" t="s">
        <v>213</v>
      </c>
      <c r="J30" s="5" t="s">
        <v>217</v>
      </c>
      <c r="P30">
        <v>122</v>
      </c>
      <c r="Q30" t="s">
        <v>208</v>
      </c>
      <c r="R30" t="s">
        <v>208</v>
      </c>
      <c r="T30" t="s">
        <v>208</v>
      </c>
      <c r="U30" t="s">
        <v>208</v>
      </c>
    </row>
    <row r="31" spans="2:21" x14ac:dyDescent="0.3">
      <c r="B31" s="9">
        <v>118</v>
      </c>
      <c r="C31" s="9" t="s">
        <v>218</v>
      </c>
      <c r="D31">
        <v>4</v>
      </c>
      <c r="G31" s="9"/>
      <c r="H31" s="9"/>
      <c r="I31" s="6">
        <v>1234</v>
      </c>
      <c r="J31" s="5" t="s">
        <v>219</v>
      </c>
      <c r="P31">
        <v>121</v>
      </c>
      <c r="Q31" t="s">
        <v>208</v>
      </c>
      <c r="R31" t="s">
        <v>208</v>
      </c>
      <c r="T31" t="s">
        <v>208</v>
      </c>
      <c r="U31" t="s">
        <v>208</v>
      </c>
    </row>
    <row r="32" spans="2:21" x14ac:dyDescent="0.3">
      <c r="B32" s="9">
        <v>117</v>
      </c>
      <c r="C32" s="9" t="s">
        <v>218</v>
      </c>
      <c r="D32">
        <v>3</v>
      </c>
      <c r="F32" t="s">
        <v>174</v>
      </c>
      <c r="G32" s="9"/>
      <c r="H32" s="9"/>
      <c r="I32" s="6">
        <v>1234</v>
      </c>
      <c r="J32" s="5" t="s">
        <v>220</v>
      </c>
      <c r="P32">
        <v>120</v>
      </c>
      <c r="Q32" t="s">
        <v>208</v>
      </c>
      <c r="R32" t="s">
        <v>208</v>
      </c>
      <c r="T32" t="s">
        <v>208</v>
      </c>
      <c r="U32" t="s">
        <v>208</v>
      </c>
    </row>
    <row r="33" spans="2:21" x14ac:dyDescent="0.3">
      <c r="B33" s="9">
        <v>116</v>
      </c>
      <c r="C33" s="9" t="s">
        <v>218</v>
      </c>
      <c r="D33">
        <v>2</v>
      </c>
      <c r="G33" s="9"/>
      <c r="H33" s="9"/>
      <c r="I33" s="6">
        <v>1234</v>
      </c>
      <c r="J33" s="5" t="s">
        <v>221</v>
      </c>
      <c r="P33">
        <v>119</v>
      </c>
      <c r="Q33" t="s">
        <v>208</v>
      </c>
      <c r="R33" t="s">
        <v>208</v>
      </c>
      <c r="T33" t="s">
        <v>208</v>
      </c>
      <c r="U33" t="s">
        <v>208</v>
      </c>
    </row>
    <row r="34" spans="2:21" x14ac:dyDescent="0.3">
      <c r="B34" s="9">
        <v>115</v>
      </c>
      <c r="C34" s="9" t="s">
        <v>218</v>
      </c>
      <c r="D34">
        <v>1</v>
      </c>
      <c r="F34" t="s">
        <v>148</v>
      </c>
      <c r="G34" s="9"/>
      <c r="H34" s="9"/>
      <c r="I34" s="6">
        <v>1234</v>
      </c>
      <c r="J34" s="5" t="s">
        <v>222</v>
      </c>
      <c r="P34">
        <v>118</v>
      </c>
      <c r="Q34" t="s">
        <v>208</v>
      </c>
      <c r="R34" t="s">
        <v>208</v>
      </c>
      <c r="T34" t="s">
        <v>208</v>
      </c>
      <c r="U34" t="s">
        <v>208</v>
      </c>
    </row>
    <row r="35" spans="2:21" x14ac:dyDescent="0.3">
      <c r="B35" s="9">
        <v>114</v>
      </c>
      <c r="C35" s="9" t="s">
        <v>223</v>
      </c>
      <c r="D35">
        <v>3</v>
      </c>
      <c r="G35" s="9"/>
      <c r="H35" s="9"/>
      <c r="I35" s="6">
        <v>1234</v>
      </c>
      <c r="J35" s="5" t="s">
        <v>224</v>
      </c>
      <c r="P35">
        <v>116</v>
      </c>
      <c r="Q35" t="s">
        <v>208</v>
      </c>
      <c r="R35" t="s">
        <v>208</v>
      </c>
      <c r="T35" t="s">
        <v>208</v>
      </c>
      <c r="U35" t="s">
        <v>208</v>
      </c>
    </row>
    <row r="36" spans="2:21" x14ac:dyDescent="0.3">
      <c r="B36" s="9">
        <v>113</v>
      </c>
      <c r="C36" s="9" t="s">
        <v>223</v>
      </c>
      <c r="D36">
        <v>2</v>
      </c>
      <c r="G36" s="9"/>
      <c r="H36" s="9"/>
      <c r="I36" s="6">
        <v>1234</v>
      </c>
      <c r="J36" s="5" t="s">
        <v>225</v>
      </c>
      <c r="P36">
        <v>115</v>
      </c>
      <c r="Q36" t="s">
        <v>208</v>
      </c>
      <c r="R36" t="s">
        <v>208</v>
      </c>
      <c r="T36" t="s">
        <v>208</v>
      </c>
      <c r="U36" t="s">
        <v>208</v>
      </c>
    </row>
    <row r="37" spans="2:21" x14ac:dyDescent="0.3">
      <c r="B37" s="9">
        <v>112</v>
      </c>
      <c r="C37" s="9" t="s">
        <v>223</v>
      </c>
      <c r="D37">
        <v>1</v>
      </c>
      <c r="G37" s="9"/>
      <c r="H37" s="9"/>
      <c r="I37" s="6">
        <v>1234</v>
      </c>
      <c r="J37" s="5" t="s">
        <v>226</v>
      </c>
      <c r="P37">
        <v>114</v>
      </c>
      <c r="Q37" t="s">
        <v>208</v>
      </c>
      <c r="R37" t="s">
        <v>208</v>
      </c>
      <c r="T37" t="s">
        <v>208</v>
      </c>
      <c r="U37" t="s">
        <v>208</v>
      </c>
    </row>
    <row r="38" spans="2:21" x14ac:dyDescent="0.3">
      <c r="B38" s="9">
        <v>111</v>
      </c>
      <c r="C38" s="9" t="s">
        <v>227</v>
      </c>
      <c r="D38">
        <v>4</v>
      </c>
      <c r="G38" s="9"/>
      <c r="H38" s="9"/>
      <c r="I38" s="6">
        <v>1234</v>
      </c>
      <c r="J38" s="5" t="s">
        <v>228</v>
      </c>
      <c r="P38">
        <v>117</v>
      </c>
      <c r="Q38" t="s">
        <v>208</v>
      </c>
      <c r="R38" t="s">
        <v>208</v>
      </c>
      <c r="T38" t="s">
        <v>208</v>
      </c>
      <c r="U38" t="s">
        <v>208</v>
      </c>
    </row>
    <row r="39" spans="2:21" x14ac:dyDescent="0.3">
      <c r="B39" s="9">
        <v>110</v>
      </c>
      <c r="C39" s="9" t="s">
        <v>227</v>
      </c>
      <c r="D39">
        <v>3</v>
      </c>
      <c r="F39" t="s">
        <v>174</v>
      </c>
      <c r="G39" s="9"/>
      <c r="H39" s="9"/>
      <c r="I39" s="6">
        <v>1234</v>
      </c>
      <c r="J39" s="5" t="s">
        <v>229</v>
      </c>
      <c r="P39">
        <v>113</v>
      </c>
      <c r="Q39" t="s">
        <v>208</v>
      </c>
      <c r="R39" t="s">
        <v>208</v>
      </c>
      <c r="T39" t="s">
        <v>208</v>
      </c>
      <c r="U39" t="s">
        <v>208</v>
      </c>
    </row>
    <row r="40" spans="2:21" x14ac:dyDescent="0.3">
      <c r="B40" s="9">
        <v>109</v>
      </c>
      <c r="C40" s="9" t="s">
        <v>227</v>
      </c>
      <c r="D40">
        <v>2</v>
      </c>
      <c r="F40" t="s">
        <v>172</v>
      </c>
      <c r="G40" s="9"/>
      <c r="H40" s="9"/>
      <c r="I40" s="6">
        <v>1234</v>
      </c>
      <c r="J40" s="5" t="s">
        <v>230</v>
      </c>
      <c r="P40">
        <v>112</v>
      </c>
      <c r="Q40" t="s">
        <v>208</v>
      </c>
      <c r="R40" t="s">
        <v>208</v>
      </c>
      <c r="T40" t="s">
        <v>208</v>
      </c>
      <c r="U40" t="s">
        <v>208</v>
      </c>
    </row>
    <row r="41" spans="2:21" x14ac:dyDescent="0.3">
      <c r="B41" s="9">
        <v>108</v>
      </c>
      <c r="C41" s="9" t="s">
        <v>227</v>
      </c>
      <c r="D41">
        <v>1</v>
      </c>
      <c r="F41" t="s">
        <v>148</v>
      </c>
      <c r="G41" s="9"/>
      <c r="H41" s="9"/>
      <c r="I41" s="6">
        <v>1234</v>
      </c>
      <c r="J41" s="5" t="s">
        <v>231</v>
      </c>
      <c r="P41">
        <v>111</v>
      </c>
      <c r="Q41" t="s">
        <v>208</v>
      </c>
      <c r="R41" t="s">
        <v>208</v>
      </c>
      <c r="T41" t="s">
        <v>208</v>
      </c>
      <c r="U41" t="s">
        <v>208</v>
      </c>
    </row>
    <row r="42" spans="2:21" x14ac:dyDescent="0.3">
      <c r="B42" s="9">
        <v>107</v>
      </c>
      <c r="C42" s="9" t="s">
        <v>232</v>
      </c>
      <c r="D42">
        <v>6</v>
      </c>
      <c r="G42" s="9"/>
      <c r="H42" s="9"/>
      <c r="I42" s="6">
        <v>1234</v>
      </c>
      <c r="J42" s="5" t="s">
        <v>233</v>
      </c>
      <c r="P42">
        <v>107</v>
      </c>
      <c r="Q42" t="s">
        <v>208</v>
      </c>
      <c r="R42" t="s">
        <v>208</v>
      </c>
      <c r="T42" t="s">
        <v>208</v>
      </c>
      <c r="U42" t="s">
        <v>208</v>
      </c>
    </row>
    <row r="43" spans="2:21" x14ac:dyDescent="0.3">
      <c r="B43" s="9">
        <v>106</v>
      </c>
      <c r="C43" s="9" t="s">
        <v>232</v>
      </c>
      <c r="D43">
        <v>5</v>
      </c>
      <c r="G43" s="9"/>
      <c r="H43" s="9"/>
      <c r="I43" s="6">
        <v>1234</v>
      </c>
      <c r="J43" s="5" t="s">
        <v>234</v>
      </c>
      <c r="P43">
        <v>106</v>
      </c>
      <c r="Q43" t="s">
        <v>208</v>
      </c>
      <c r="R43" t="s">
        <v>208</v>
      </c>
      <c r="T43" t="s">
        <v>208</v>
      </c>
      <c r="U43" t="s">
        <v>208</v>
      </c>
    </row>
    <row r="44" spans="2:21" x14ac:dyDescent="0.3">
      <c r="B44" s="9">
        <v>105</v>
      </c>
      <c r="C44" s="9" t="s">
        <v>232</v>
      </c>
      <c r="D44">
        <v>4</v>
      </c>
      <c r="G44" s="9"/>
      <c r="H44" s="9"/>
      <c r="I44" s="6">
        <v>1234</v>
      </c>
      <c r="J44" s="5" t="s">
        <v>235</v>
      </c>
      <c r="P44">
        <v>105</v>
      </c>
      <c r="Q44" t="s">
        <v>208</v>
      </c>
      <c r="R44" t="s">
        <v>208</v>
      </c>
      <c r="T44" t="s">
        <v>208</v>
      </c>
      <c r="U44" t="s">
        <v>208</v>
      </c>
    </row>
    <row r="45" spans="2:21" x14ac:dyDescent="0.3">
      <c r="B45" s="9">
        <v>104</v>
      </c>
      <c r="C45" s="9" t="s">
        <v>232</v>
      </c>
      <c r="D45">
        <v>3</v>
      </c>
      <c r="G45" s="9"/>
      <c r="H45" s="9"/>
      <c r="I45" s="6">
        <v>1234</v>
      </c>
      <c r="J45" s="5" t="s">
        <v>236</v>
      </c>
      <c r="P45">
        <v>104</v>
      </c>
      <c r="Q45" t="s">
        <v>208</v>
      </c>
      <c r="R45" t="s">
        <v>208</v>
      </c>
      <c r="T45" t="s">
        <v>208</v>
      </c>
      <c r="U45" t="s">
        <v>208</v>
      </c>
    </row>
    <row r="46" spans="2:21" x14ac:dyDescent="0.3">
      <c r="B46" s="9">
        <v>103</v>
      </c>
      <c r="C46" s="9" t="s">
        <v>232</v>
      </c>
      <c r="D46">
        <v>2</v>
      </c>
      <c r="G46" s="9"/>
      <c r="H46" s="9"/>
      <c r="I46" s="6">
        <v>1234</v>
      </c>
      <c r="J46" s="5" t="s">
        <v>237</v>
      </c>
      <c r="P46">
        <v>103</v>
      </c>
      <c r="Q46" t="s">
        <v>208</v>
      </c>
      <c r="R46" t="s">
        <v>208</v>
      </c>
      <c r="T46" t="s">
        <v>208</v>
      </c>
      <c r="U46" t="s">
        <v>208</v>
      </c>
    </row>
    <row r="47" spans="2:21" x14ac:dyDescent="0.3">
      <c r="B47" s="9">
        <v>102</v>
      </c>
      <c r="C47" s="9" t="s">
        <v>232</v>
      </c>
      <c r="D47">
        <v>1</v>
      </c>
      <c r="G47" s="9"/>
      <c r="H47" s="9"/>
      <c r="I47" s="6">
        <v>1234</v>
      </c>
      <c r="J47" s="5" t="s">
        <v>238</v>
      </c>
      <c r="P47">
        <v>102</v>
      </c>
      <c r="Q47" t="s">
        <v>208</v>
      </c>
      <c r="R47" t="s">
        <v>208</v>
      </c>
      <c r="T47" t="s">
        <v>208</v>
      </c>
      <c r="U47" t="s">
        <v>208</v>
      </c>
    </row>
    <row r="48" spans="2:21" x14ac:dyDescent="0.3">
      <c r="B48" s="9">
        <v>101</v>
      </c>
      <c r="C48" s="9" t="s">
        <v>239</v>
      </c>
      <c r="D48">
        <v>2</v>
      </c>
      <c r="G48" s="9"/>
      <c r="H48" s="9"/>
      <c r="I48" s="6">
        <v>1234</v>
      </c>
      <c r="J48" s="5" t="s">
        <v>240</v>
      </c>
      <c r="P48">
        <v>101</v>
      </c>
      <c r="Q48" t="s">
        <v>208</v>
      </c>
      <c r="R48" t="s">
        <v>208</v>
      </c>
      <c r="T48" t="s">
        <v>208</v>
      </c>
      <c r="U48" t="s">
        <v>208</v>
      </c>
    </row>
    <row r="49" spans="2:21" x14ac:dyDescent="0.3">
      <c r="B49" s="9">
        <v>100</v>
      </c>
      <c r="C49" s="9" t="s">
        <v>239</v>
      </c>
      <c r="D49">
        <v>1</v>
      </c>
      <c r="G49" s="9"/>
      <c r="H49" s="9"/>
      <c r="I49" s="6">
        <v>1234</v>
      </c>
      <c r="J49" s="5" t="s">
        <v>241</v>
      </c>
      <c r="P49">
        <v>100</v>
      </c>
      <c r="Q49" t="s">
        <v>208</v>
      </c>
      <c r="R49" t="s">
        <v>208</v>
      </c>
      <c r="T49" t="s">
        <v>208</v>
      </c>
      <c r="U49" t="s">
        <v>208</v>
      </c>
    </row>
    <row r="50" spans="2:21" x14ac:dyDescent="0.3">
      <c r="B50" s="9">
        <v>99</v>
      </c>
      <c r="C50" s="9" t="s">
        <v>200</v>
      </c>
      <c r="D50">
        <v>3</v>
      </c>
      <c r="F50" t="s">
        <v>148</v>
      </c>
      <c r="G50" s="9"/>
      <c r="H50" s="9"/>
      <c r="I50" s="6">
        <v>1234</v>
      </c>
      <c r="J50" s="5" t="s">
        <v>242</v>
      </c>
      <c r="P50">
        <v>85</v>
      </c>
      <c r="Q50" t="s">
        <v>208</v>
      </c>
      <c r="R50" t="s">
        <v>193</v>
      </c>
      <c r="T50" t="s">
        <v>243</v>
      </c>
      <c r="U50" t="s">
        <v>243</v>
      </c>
    </row>
    <row r="51" spans="2:21" x14ac:dyDescent="0.3">
      <c r="B51" s="9">
        <v>98</v>
      </c>
      <c r="C51" s="9" t="s">
        <v>244</v>
      </c>
      <c r="D51">
        <v>15</v>
      </c>
      <c r="G51" s="9"/>
      <c r="H51" s="9"/>
      <c r="I51" s="6">
        <v>1234</v>
      </c>
      <c r="J51" s="5" t="s">
        <v>245</v>
      </c>
      <c r="P51">
        <v>137</v>
      </c>
      <c r="Q51" t="s">
        <v>208</v>
      </c>
      <c r="R51" t="s">
        <v>193</v>
      </c>
      <c r="T51" t="s">
        <v>246</v>
      </c>
      <c r="U51" t="s">
        <v>246</v>
      </c>
    </row>
    <row r="52" spans="2:21" x14ac:dyDescent="0.3">
      <c r="B52" s="9">
        <v>97</v>
      </c>
      <c r="C52" s="9" t="s">
        <v>244</v>
      </c>
      <c r="D52">
        <v>14</v>
      </c>
      <c r="G52" s="9"/>
      <c r="H52" s="9"/>
      <c r="I52" s="6">
        <v>1234</v>
      </c>
      <c r="J52" s="5" t="s">
        <v>247</v>
      </c>
      <c r="P52">
        <v>136</v>
      </c>
      <c r="Q52" t="s">
        <v>208</v>
      </c>
      <c r="R52" t="s">
        <v>193</v>
      </c>
      <c r="T52" t="s">
        <v>248</v>
      </c>
      <c r="U52" t="s">
        <v>248</v>
      </c>
    </row>
    <row r="53" spans="2:21" x14ac:dyDescent="0.3">
      <c r="B53" s="9">
        <v>96</v>
      </c>
      <c r="C53" s="9" t="s">
        <v>244</v>
      </c>
      <c r="D53">
        <v>13</v>
      </c>
      <c r="G53" s="9"/>
      <c r="H53" s="9"/>
      <c r="I53" s="6">
        <v>1234</v>
      </c>
      <c r="J53" s="5" t="s">
        <v>249</v>
      </c>
      <c r="P53">
        <v>98</v>
      </c>
      <c r="Q53" t="s">
        <v>208</v>
      </c>
      <c r="R53" t="s">
        <v>193</v>
      </c>
      <c r="T53" t="s">
        <v>250</v>
      </c>
      <c r="U53" t="s">
        <v>250</v>
      </c>
    </row>
    <row r="54" spans="2:21" x14ac:dyDescent="0.3">
      <c r="B54" s="9">
        <v>95</v>
      </c>
      <c r="C54" s="9" t="s">
        <v>244</v>
      </c>
      <c r="D54">
        <v>12</v>
      </c>
      <c r="F54" t="s">
        <v>251</v>
      </c>
      <c r="G54" s="9"/>
      <c r="H54" s="9"/>
      <c r="I54" s="6">
        <v>1234</v>
      </c>
      <c r="J54" s="5" t="s">
        <v>252</v>
      </c>
      <c r="P54">
        <v>93</v>
      </c>
      <c r="Q54" t="s">
        <v>208</v>
      </c>
      <c r="R54" t="s">
        <v>193</v>
      </c>
      <c r="T54" t="s">
        <v>253</v>
      </c>
      <c r="U54" t="s">
        <v>253</v>
      </c>
    </row>
    <row r="55" spans="2:21" x14ac:dyDescent="0.3">
      <c r="B55" s="9">
        <v>94</v>
      </c>
      <c r="C55" s="9" t="s">
        <v>181</v>
      </c>
      <c r="D55">
        <v>20</v>
      </c>
      <c r="E55">
        <v>12</v>
      </c>
      <c r="F55" t="s">
        <v>148</v>
      </c>
      <c r="G55" s="9" t="s">
        <v>254</v>
      </c>
      <c r="H55" s="9">
        <v>0</v>
      </c>
      <c r="I55" s="6">
        <v>1234</v>
      </c>
      <c r="J55" s="5" t="s">
        <v>255</v>
      </c>
      <c r="L55" t="s">
        <v>256</v>
      </c>
      <c r="M55" t="s">
        <v>256</v>
      </c>
      <c r="N55" t="s">
        <v>257</v>
      </c>
      <c r="P55">
        <v>5</v>
      </c>
      <c r="Q55" t="s">
        <v>208</v>
      </c>
      <c r="R55" t="s">
        <v>193</v>
      </c>
      <c r="T55" t="s">
        <v>258</v>
      </c>
      <c r="U55" t="s">
        <v>258</v>
      </c>
    </row>
    <row r="56" spans="2:21" x14ac:dyDescent="0.3">
      <c r="B56" s="9">
        <v>93</v>
      </c>
      <c r="C56" s="9" t="s">
        <v>181</v>
      </c>
      <c r="D56">
        <v>19</v>
      </c>
      <c r="F56" t="s">
        <v>259</v>
      </c>
      <c r="G56" s="9"/>
      <c r="H56" s="9"/>
      <c r="I56" s="6">
        <v>1234</v>
      </c>
      <c r="J56" s="5" t="s">
        <v>260</v>
      </c>
      <c r="P56">
        <v>97</v>
      </c>
      <c r="Q56" t="s">
        <v>208</v>
      </c>
      <c r="R56" t="s">
        <v>193</v>
      </c>
      <c r="T56" t="s">
        <v>261</v>
      </c>
      <c r="U56" t="s">
        <v>261</v>
      </c>
    </row>
    <row r="57" spans="2:21" x14ac:dyDescent="0.3">
      <c r="B57" s="9">
        <v>92</v>
      </c>
      <c r="C57" s="9" t="s">
        <v>181</v>
      </c>
      <c r="D57">
        <v>15</v>
      </c>
      <c r="F57" t="s">
        <v>174</v>
      </c>
      <c r="G57" s="9"/>
      <c r="H57" s="9">
        <v>0</v>
      </c>
      <c r="I57" s="6">
        <v>1234</v>
      </c>
      <c r="J57" s="5" t="s">
        <v>262</v>
      </c>
      <c r="P57">
        <v>87</v>
      </c>
      <c r="Q57" t="s">
        <v>208</v>
      </c>
      <c r="R57" t="s">
        <v>193</v>
      </c>
      <c r="T57" t="s">
        <v>263</v>
      </c>
      <c r="U57" t="s">
        <v>263</v>
      </c>
    </row>
    <row r="58" spans="2:21" x14ac:dyDescent="0.3">
      <c r="B58" s="9">
        <v>88</v>
      </c>
      <c r="C58" s="9" t="s">
        <v>200</v>
      </c>
      <c r="D58">
        <v>2</v>
      </c>
      <c r="F58" t="s">
        <v>264</v>
      </c>
      <c r="G58" s="9"/>
      <c r="H58" s="9"/>
      <c r="I58" s="6">
        <v>1234</v>
      </c>
      <c r="J58" s="5" t="s">
        <v>265</v>
      </c>
      <c r="P58">
        <v>84</v>
      </c>
      <c r="Q58" t="s">
        <v>266</v>
      </c>
      <c r="R58" t="s">
        <v>193</v>
      </c>
      <c r="T58" t="s">
        <v>267</v>
      </c>
      <c r="U58" t="s">
        <v>267</v>
      </c>
    </row>
    <row r="59" spans="2:21" x14ac:dyDescent="0.3">
      <c r="B59" s="9">
        <v>87</v>
      </c>
      <c r="C59" s="9" t="s">
        <v>200</v>
      </c>
      <c r="D59">
        <v>1</v>
      </c>
      <c r="F59" t="s">
        <v>187</v>
      </c>
      <c r="G59" s="9"/>
      <c r="H59" s="9"/>
      <c r="I59" s="6">
        <v>1234</v>
      </c>
      <c r="J59" s="5" t="s">
        <v>268</v>
      </c>
      <c r="P59">
        <v>83</v>
      </c>
      <c r="Q59" t="s">
        <v>266</v>
      </c>
      <c r="R59" t="s">
        <v>193</v>
      </c>
      <c r="T59" t="s">
        <v>269</v>
      </c>
      <c r="U59" t="s">
        <v>269</v>
      </c>
    </row>
    <row r="60" spans="2:21" x14ac:dyDescent="0.3">
      <c r="B60" s="9">
        <v>86</v>
      </c>
      <c r="C60" s="9" t="s">
        <v>270</v>
      </c>
      <c r="D60">
        <v>14</v>
      </c>
      <c r="E60">
        <v>7</v>
      </c>
      <c r="F60" t="s">
        <v>174</v>
      </c>
      <c r="G60" s="9" t="s">
        <v>271</v>
      </c>
      <c r="H60" s="9">
        <v>5</v>
      </c>
      <c r="I60" s="6" t="s">
        <v>272</v>
      </c>
      <c r="J60" s="5" t="s">
        <v>273</v>
      </c>
      <c r="K60">
        <v>5</v>
      </c>
      <c r="L60" t="s">
        <v>274</v>
      </c>
      <c r="M60" t="s">
        <v>274</v>
      </c>
      <c r="N60" t="s">
        <v>275</v>
      </c>
      <c r="P60">
        <v>79</v>
      </c>
      <c r="Q60" t="s">
        <v>276</v>
      </c>
      <c r="R60" t="s">
        <v>193</v>
      </c>
      <c r="T60" t="s">
        <v>277</v>
      </c>
      <c r="U60" t="s">
        <v>277</v>
      </c>
    </row>
    <row r="61" spans="2:21" x14ac:dyDescent="0.3">
      <c r="B61" s="9">
        <v>85</v>
      </c>
      <c r="C61" s="9" t="s">
        <v>244</v>
      </c>
      <c r="D61">
        <v>10</v>
      </c>
      <c r="G61" s="9"/>
      <c r="H61" s="9"/>
      <c r="I61" s="6">
        <v>1234</v>
      </c>
      <c r="J61" s="5" t="s">
        <v>278</v>
      </c>
      <c r="P61">
        <v>77</v>
      </c>
      <c r="Q61" t="s">
        <v>279</v>
      </c>
      <c r="R61" t="s">
        <v>193</v>
      </c>
      <c r="T61" t="s">
        <v>280</v>
      </c>
      <c r="U61" t="s">
        <v>280</v>
      </c>
    </row>
    <row r="62" spans="2:21" x14ac:dyDescent="0.3">
      <c r="B62" s="9">
        <v>84</v>
      </c>
      <c r="C62" s="9" t="s">
        <v>281</v>
      </c>
      <c r="D62">
        <v>12</v>
      </c>
      <c r="G62" s="9"/>
      <c r="H62" s="9"/>
      <c r="I62" s="6">
        <v>1234</v>
      </c>
      <c r="J62" s="5" t="s">
        <v>282</v>
      </c>
      <c r="P62">
        <v>74</v>
      </c>
      <c r="Q62" t="s">
        <v>279</v>
      </c>
      <c r="R62" t="s">
        <v>193</v>
      </c>
      <c r="T62" t="s">
        <v>283</v>
      </c>
      <c r="U62" t="s">
        <v>283</v>
      </c>
    </row>
    <row r="63" spans="2:21" x14ac:dyDescent="0.3">
      <c r="B63" s="9">
        <v>83</v>
      </c>
      <c r="C63" s="9" t="s">
        <v>281</v>
      </c>
      <c r="D63">
        <v>11</v>
      </c>
      <c r="G63" s="9"/>
      <c r="H63" s="9"/>
      <c r="I63" s="6">
        <v>1234</v>
      </c>
      <c r="J63" s="5" t="s">
        <v>284</v>
      </c>
      <c r="P63">
        <v>73</v>
      </c>
      <c r="Q63" t="s">
        <v>279</v>
      </c>
      <c r="R63" t="s">
        <v>193</v>
      </c>
      <c r="T63" t="s">
        <v>285</v>
      </c>
      <c r="U63" t="s">
        <v>285</v>
      </c>
    </row>
    <row r="64" spans="2:21" x14ac:dyDescent="0.3">
      <c r="B64" s="9">
        <v>82</v>
      </c>
      <c r="C64" s="9" t="s">
        <v>176</v>
      </c>
      <c r="D64">
        <v>38</v>
      </c>
      <c r="F64" t="s">
        <v>286</v>
      </c>
      <c r="G64" s="9"/>
      <c r="H64" s="9"/>
      <c r="I64" s="6">
        <v>1234</v>
      </c>
      <c r="J64" s="5" t="s">
        <v>287</v>
      </c>
      <c r="P64">
        <v>78</v>
      </c>
      <c r="Q64" t="s">
        <v>279</v>
      </c>
      <c r="R64" t="s">
        <v>193</v>
      </c>
      <c r="T64" t="s">
        <v>288</v>
      </c>
      <c r="U64" t="s">
        <v>288</v>
      </c>
    </row>
    <row r="65" spans="2:21" x14ac:dyDescent="0.3">
      <c r="B65" s="9">
        <v>81</v>
      </c>
      <c r="C65" s="9" t="s">
        <v>289</v>
      </c>
      <c r="D65">
        <v>5</v>
      </c>
      <c r="G65" s="9"/>
      <c r="H65" s="9"/>
      <c r="I65" s="6">
        <v>1234</v>
      </c>
      <c r="J65" s="5" t="s">
        <v>290</v>
      </c>
      <c r="P65">
        <v>75</v>
      </c>
      <c r="Q65" t="s">
        <v>279</v>
      </c>
      <c r="R65" t="s">
        <v>193</v>
      </c>
      <c r="T65" t="s">
        <v>291</v>
      </c>
      <c r="U65" t="s">
        <v>291</v>
      </c>
    </row>
    <row r="66" spans="2:21" x14ac:dyDescent="0.3">
      <c r="B66" s="9">
        <v>80</v>
      </c>
      <c r="C66" s="9" t="s">
        <v>289</v>
      </c>
      <c r="D66">
        <v>4</v>
      </c>
      <c r="E66">
        <v>4</v>
      </c>
      <c r="F66" t="s">
        <v>148</v>
      </c>
      <c r="G66" s="9" t="s">
        <v>254</v>
      </c>
      <c r="H66" s="9">
        <v>5</v>
      </c>
      <c r="I66" s="6">
        <v>1234</v>
      </c>
      <c r="J66" s="5" t="s">
        <v>292</v>
      </c>
      <c r="K66">
        <v>1</v>
      </c>
      <c r="L66" t="s">
        <v>256</v>
      </c>
      <c r="M66" t="s">
        <v>256</v>
      </c>
      <c r="N66" t="s">
        <v>257</v>
      </c>
      <c r="P66">
        <v>13</v>
      </c>
      <c r="Q66" t="s">
        <v>279</v>
      </c>
      <c r="R66" t="s">
        <v>193</v>
      </c>
      <c r="T66" t="s">
        <v>293</v>
      </c>
      <c r="U66" t="s">
        <v>293</v>
      </c>
    </row>
    <row r="67" spans="2:21" x14ac:dyDescent="0.3">
      <c r="B67" s="9">
        <v>75</v>
      </c>
      <c r="C67" s="9" t="s">
        <v>281</v>
      </c>
      <c r="D67">
        <v>6</v>
      </c>
      <c r="F67" t="s">
        <v>170</v>
      </c>
      <c r="G67" s="9"/>
      <c r="H67" s="9"/>
      <c r="I67" s="6">
        <v>1234</v>
      </c>
      <c r="J67" s="5" t="s">
        <v>294</v>
      </c>
      <c r="P67">
        <v>65</v>
      </c>
      <c r="Q67" t="s">
        <v>295</v>
      </c>
      <c r="R67" t="s">
        <v>193</v>
      </c>
      <c r="T67" t="s">
        <v>296</v>
      </c>
      <c r="U67" t="s">
        <v>296</v>
      </c>
    </row>
    <row r="68" spans="2:21" x14ac:dyDescent="0.3">
      <c r="B68" s="9">
        <v>74</v>
      </c>
      <c r="C68" s="9" t="s">
        <v>281</v>
      </c>
      <c r="D68">
        <v>5</v>
      </c>
      <c r="F68" t="s">
        <v>148</v>
      </c>
      <c r="G68" s="9"/>
      <c r="H68" s="9"/>
      <c r="I68" s="6">
        <v>1234</v>
      </c>
      <c r="J68" s="5" t="s">
        <v>297</v>
      </c>
      <c r="P68">
        <v>64</v>
      </c>
      <c r="Q68" t="s">
        <v>295</v>
      </c>
      <c r="R68" t="s">
        <v>193</v>
      </c>
      <c r="T68" t="s">
        <v>298</v>
      </c>
      <c r="U68" t="s">
        <v>298</v>
      </c>
    </row>
    <row r="69" spans="2:21" x14ac:dyDescent="0.3">
      <c r="B69" s="9">
        <v>73</v>
      </c>
      <c r="C69" s="9" t="s">
        <v>281</v>
      </c>
      <c r="D69">
        <v>4</v>
      </c>
      <c r="F69" t="s">
        <v>187</v>
      </c>
      <c r="G69" s="9"/>
      <c r="H69" s="9">
        <v>-1</v>
      </c>
      <c r="I69" s="6" t="s">
        <v>299</v>
      </c>
      <c r="J69" s="5" t="s">
        <v>300</v>
      </c>
      <c r="P69">
        <v>63</v>
      </c>
      <c r="Q69" t="s">
        <v>295</v>
      </c>
      <c r="R69" t="s">
        <v>193</v>
      </c>
      <c r="T69" t="s">
        <v>301</v>
      </c>
      <c r="U69" t="s">
        <v>301</v>
      </c>
    </row>
    <row r="70" spans="2:21" x14ac:dyDescent="0.3">
      <c r="B70" s="9">
        <v>72</v>
      </c>
      <c r="C70" s="9" t="s">
        <v>281</v>
      </c>
      <c r="D70">
        <v>3</v>
      </c>
      <c r="F70" t="s">
        <v>148</v>
      </c>
      <c r="G70" s="9" t="s">
        <v>254</v>
      </c>
      <c r="H70" s="9">
        <v>5</v>
      </c>
      <c r="I70" s="6" t="s">
        <v>302</v>
      </c>
      <c r="J70" s="5" t="s">
        <v>303</v>
      </c>
      <c r="L70" t="s">
        <v>256</v>
      </c>
      <c r="P70">
        <v>13</v>
      </c>
      <c r="Q70" t="s">
        <v>295</v>
      </c>
      <c r="R70" t="s">
        <v>193</v>
      </c>
      <c r="T70" t="s">
        <v>304</v>
      </c>
      <c r="U70" t="s">
        <v>304</v>
      </c>
    </row>
    <row r="71" spans="2:21" x14ac:dyDescent="0.3">
      <c r="B71" s="9">
        <v>71</v>
      </c>
      <c r="C71" s="9" t="s">
        <v>281</v>
      </c>
      <c r="D71">
        <v>2</v>
      </c>
      <c r="F71" t="s">
        <v>170</v>
      </c>
      <c r="G71" s="9" t="s">
        <v>305</v>
      </c>
      <c r="H71" s="9">
        <v>0</v>
      </c>
      <c r="I71" s="6" t="s">
        <v>302</v>
      </c>
      <c r="J71" s="5" t="s">
        <v>306</v>
      </c>
      <c r="L71" t="s">
        <v>307</v>
      </c>
      <c r="N71" t="s">
        <v>257</v>
      </c>
      <c r="Q71" t="s">
        <v>295</v>
      </c>
      <c r="R71" t="s">
        <v>193</v>
      </c>
      <c r="T71" t="s">
        <v>304</v>
      </c>
      <c r="U71" t="s">
        <v>304</v>
      </c>
    </row>
    <row r="72" spans="2:21" x14ac:dyDescent="0.3">
      <c r="B72" s="9">
        <v>70</v>
      </c>
      <c r="C72" s="9" t="s">
        <v>176</v>
      </c>
      <c r="D72">
        <v>37</v>
      </c>
      <c r="G72" s="9"/>
      <c r="H72" s="9"/>
      <c r="I72" s="6">
        <v>1234</v>
      </c>
      <c r="J72" s="5" t="s">
        <v>308</v>
      </c>
      <c r="P72">
        <v>60</v>
      </c>
      <c r="Q72" t="s">
        <v>309</v>
      </c>
      <c r="R72" t="s">
        <v>193</v>
      </c>
      <c r="T72" t="s">
        <v>310</v>
      </c>
      <c r="U72" t="s">
        <v>310</v>
      </c>
    </row>
    <row r="73" spans="2:21" x14ac:dyDescent="0.3">
      <c r="B73" s="9">
        <v>69</v>
      </c>
      <c r="C73" s="9" t="s">
        <v>176</v>
      </c>
      <c r="D73">
        <v>36</v>
      </c>
      <c r="G73" s="9"/>
      <c r="H73" s="9"/>
      <c r="I73" s="6">
        <v>1234</v>
      </c>
      <c r="J73" s="5" t="s">
        <v>311</v>
      </c>
      <c r="P73">
        <v>59</v>
      </c>
      <c r="Q73" t="s">
        <v>309</v>
      </c>
      <c r="R73" t="s">
        <v>193</v>
      </c>
      <c r="T73" t="s">
        <v>312</v>
      </c>
      <c r="U73" t="s">
        <v>312</v>
      </c>
    </row>
    <row r="74" spans="2:21" x14ac:dyDescent="0.3">
      <c r="B74" s="9">
        <v>68</v>
      </c>
      <c r="C74" s="9" t="s">
        <v>176</v>
      </c>
      <c r="D74">
        <v>35</v>
      </c>
      <c r="F74" t="s">
        <v>313</v>
      </c>
      <c r="G74" s="9"/>
      <c r="H74" s="9"/>
      <c r="I74" s="6">
        <v>1234</v>
      </c>
      <c r="J74" s="5" t="s">
        <v>314</v>
      </c>
      <c r="P74">
        <v>58</v>
      </c>
      <c r="Q74" t="s">
        <v>309</v>
      </c>
      <c r="R74" t="s">
        <v>193</v>
      </c>
      <c r="T74" t="s">
        <v>315</v>
      </c>
      <c r="U74" t="s">
        <v>315</v>
      </c>
    </row>
    <row r="75" spans="2:21" x14ac:dyDescent="0.3">
      <c r="B75" s="9">
        <v>67</v>
      </c>
      <c r="C75" s="9" t="s">
        <v>134</v>
      </c>
      <c r="D75">
        <v>9</v>
      </c>
      <c r="E75">
        <v>1</v>
      </c>
      <c r="F75" t="s">
        <v>187</v>
      </c>
      <c r="G75" s="9" t="s">
        <v>188</v>
      </c>
      <c r="H75" s="9">
        <v>-1</v>
      </c>
      <c r="I75" s="6" t="s">
        <v>189</v>
      </c>
      <c r="J75" s="5" t="s">
        <v>190</v>
      </c>
      <c r="L75" t="s">
        <v>191</v>
      </c>
      <c r="M75" t="s">
        <v>191</v>
      </c>
      <c r="N75" t="s">
        <v>257</v>
      </c>
      <c r="O75" t="s">
        <v>316</v>
      </c>
      <c r="Q75" t="s">
        <v>309</v>
      </c>
      <c r="R75" t="s">
        <v>193</v>
      </c>
      <c r="T75" t="s">
        <v>317</v>
      </c>
      <c r="U75" t="s">
        <v>317</v>
      </c>
    </row>
    <row r="76" spans="2:21" x14ac:dyDescent="0.3">
      <c r="B76" s="9">
        <v>66</v>
      </c>
      <c r="C76" s="9" t="s">
        <v>134</v>
      </c>
      <c r="D76">
        <v>8</v>
      </c>
      <c r="E76">
        <v>3</v>
      </c>
      <c r="F76" t="s">
        <v>318</v>
      </c>
      <c r="G76" s="9" t="s">
        <v>319</v>
      </c>
      <c r="H76" s="9">
        <v>3</v>
      </c>
      <c r="I76" s="6">
        <v>1234</v>
      </c>
      <c r="J76" s="5" t="s">
        <v>320</v>
      </c>
      <c r="N76" t="s">
        <v>257</v>
      </c>
      <c r="O76" t="s">
        <v>321</v>
      </c>
      <c r="Q76" t="s">
        <v>309</v>
      </c>
      <c r="R76" t="s">
        <v>193</v>
      </c>
      <c r="T76" t="s">
        <v>322</v>
      </c>
      <c r="U76" t="s">
        <v>322</v>
      </c>
    </row>
    <row r="77" spans="2:21" x14ac:dyDescent="0.3">
      <c r="B77" s="9">
        <v>65</v>
      </c>
      <c r="C77" s="9" t="s">
        <v>134</v>
      </c>
      <c r="D77">
        <v>7</v>
      </c>
      <c r="E77">
        <v>20</v>
      </c>
      <c r="F77" t="s">
        <v>323</v>
      </c>
      <c r="G77" s="9" t="s">
        <v>324</v>
      </c>
      <c r="H77" s="9">
        <v>5</v>
      </c>
      <c r="I77" s="6"/>
      <c r="J77" s="5" t="s">
        <v>325</v>
      </c>
      <c r="L77" t="s">
        <v>323</v>
      </c>
      <c r="M77" t="s">
        <v>326</v>
      </c>
      <c r="O77" t="s">
        <v>321</v>
      </c>
      <c r="Q77" t="s">
        <v>309</v>
      </c>
      <c r="R77" t="s">
        <v>193</v>
      </c>
      <c r="T77" t="s">
        <v>327</v>
      </c>
      <c r="U77" t="s">
        <v>327</v>
      </c>
    </row>
    <row r="78" spans="2:21" x14ac:dyDescent="0.3">
      <c r="B78" s="9">
        <v>64</v>
      </c>
      <c r="C78" s="9" t="s">
        <v>134</v>
      </c>
      <c r="D78">
        <v>6</v>
      </c>
      <c r="E78">
        <v>15</v>
      </c>
      <c r="F78" t="s">
        <v>328</v>
      </c>
      <c r="G78" s="9" t="s">
        <v>188</v>
      </c>
      <c r="H78" s="9">
        <v>5</v>
      </c>
      <c r="I78" s="6" t="s">
        <v>329</v>
      </c>
      <c r="J78" s="5" t="s">
        <v>330</v>
      </c>
      <c r="L78" t="s">
        <v>331</v>
      </c>
      <c r="M78" t="s">
        <v>191</v>
      </c>
      <c r="N78" t="s">
        <v>332</v>
      </c>
      <c r="O78" t="s">
        <v>321</v>
      </c>
      <c r="Q78" t="s">
        <v>309</v>
      </c>
      <c r="R78" t="s">
        <v>193</v>
      </c>
      <c r="T78" t="s">
        <v>333</v>
      </c>
      <c r="U78" t="s">
        <v>333</v>
      </c>
    </row>
    <row r="79" spans="2:21" x14ac:dyDescent="0.3">
      <c r="B79" s="9">
        <v>63</v>
      </c>
      <c r="C79" s="9" t="s">
        <v>134</v>
      </c>
      <c r="D79">
        <v>5</v>
      </c>
      <c r="E79">
        <v>14</v>
      </c>
      <c r="F79" t="s">
        <v>334</v>
      </c>
      <c r="G79" s="9" t="s">
        <v>335</v>
      </c>
      <c r="H79" s="9">
        <v>3</v>
      </c>
      <c r="I79" s="6" t="s">
        <v>302</v>
      </c>
      <c r="J79" s="5" t="s">
        <v>336</v>
      </c>
      <c r="L79" t="s">
        <v>337</v>
      </c>
      <c r="M79" t="s">
        <v>337</v>
      </c>
      <c r="N79" t="s">
        <v>338</v>
      </c>
      <c r="O79" t="s">
        <v>339</v>
      </c>
      <c r="P79">
        <v>18</v>
      </c>
      <c r="Q79" t="s">
        <v>309</v>
      </c>
      <c r="R79" t="s">
        <v>193</v>
      </c>
      <c r="S79" t="s">
        <v>340</v>
      </c>
      <c r="T79" t="s">
        <v>341</v>
      </c>
      <c r="U79" t="s">
        <v>342</v>
      </c>
    </row>
    <row r="80" spans="2:21" x14ac:dyDescent="0.3">
      <c r="B80" s="9">
        <v>62</v>
      </c>
      <c r="C80" s="9" t="s">
        <v>134</v>
      </c>
      <c r="D80">
        <v>4</v>
      </c>
      <c r="E80">
        <v>5</v>
      </c>
      <c r="F80" t="s">
        <v>148</v>
      </c>
      <c r="G80" s="9" t="s">
        <v>188</v>
      </c>
      <c r="H80" s="9">
        <v>5</v>
      </c>
      <c r="I80" s="6">
        <v>1234</v>
      </c>
      <c r="J80" s="5" t="s">
        <v>303</v>
      </c>
      <c r="L80" t="s">
        <v>256</v>
      </c>
      <c r="M80" t="s">
        <v>274</v>
      </c>
      <c r="N80" t="s">
        <v>257</v>
      </c>
      <c r="O80" t="s">
        <v>321</v>
      </c>
      <c r="P80">
        <v>13</v>
      </c>
      <c r="Q80" t="s">
        <v>309</v>
      </c>
      <c r="R80" t="s">
        <v>193</v>
      </c>
      <c r="T80" t="s">
        <v>343</v>
      </c>
      <c r="U80" t="s">
        <v>343</v>
      </c>
    </row>
    <row r="81" spans="2:21" x14ac:dyDescent="0.3">
      <c r="B81" s="9">
        <v>61</v>
      </c>
      <c r="C81" s="9" t="s">
        <v>134</v>
      </c>
      <c r="D81">
        <v>3</v>
      </c>
      <c r="E81">
        <v>9</v>
      </c>
      <c r="F81" t="s">
        <v>344</v>
      </c>
      <c r="G81" s="9" t="s">
        <v>345</v>
      </c>
      <c r="H81" s="9">
        <v>3</v>
      </c>
      <c r="I81" s="6" t="s">
        <v>302</v>
      </c>
      <c r="J81" s="5" t="s">
        <v>346</v>
      </c>
      <c r="L81" t="s">
        <v>347</v>
      </c>
      <c r="M81" t="s">
        <v>347</v>
      </c>
      <c r="N81" t="s">
        <v>257</v>
      </c>
      <c r="O81" t="s">
        <v>321</v>
      </c>
      <c r="P81">
        <v>2</v>
      </c>
      <c r="Q81" t="s">
        <v>309</v>
      </c>
      <c r="R81" t="s">
        <v>193</v>
      </c>
      <c r="T81" t="s">
        <v>348</v>
      </c>
      <c r="U81" t="s">
        <v>348</v>
      </c>
    </row>
    <row r="82" spans="2:21" x14ac:dyDescent="0.3">
      <c r="B82" s="9">
        <v>60</v>
      </c>
      <c r="C82" s="9" t="s">
        <v>134</v>
      </c>
      <c r="D82">
        <v>2</v>
      </c>
      <c r="E82">
        <v>19</v>
      </c>
      <c r="F82" t="s">
        <v>170</v>
      </c>
      <c r="G82" s="9" t="s">
        <v>305</v>
      </c>
      <c r="H82" s="9">
        <v>0</v>
      </c>
      <c r="I82" s="6">
        <v>1234</v>
      </c>
      <c r="J82" s="5" t="s">
        <v>306</v>
      </c>
      <c r="L82" t="s">
        <v>307</v>
      </c>
      <c r="M82" t="s">
        <v>191</v>
      </c>
      <c r="N82" t="s">
        <v>257</v>
      </c>
      <c r="O82" t="s">
        <v>321</v>
      </c>
      <c r="Q82" t="s">
        <v>309</v>
      </c>
      <c r="R82" t="s">
        <v>193</v>
      </c>
      <c r="T82" t="s">
        <v>349</v>
      </c>
      <c r="U82" t="s">
        <v>349</v>
      </c>
    </row>
    <row r="83" spans="2:21" x14ac:dyDescent="0.3">
      <c r="B83" s="9">
        <v>59</v>
      </c>
      <c r="C83" s="9" t="s">
        <v>134</v>
      </c>
      <c r="D83">
        <v>1</v>
      </c>
      <c r="E83">
        <v>2</v>
      </c>
      <c r="F83" t="s">
        <v>186</v>
      </c>
      <c r="G83" s="9" t="s">
        <v>319</v>
      </c>
      <c r="H83" s="9">
        <v>5</v>
      </c>
      <c r="I83" s="6">
        <v>1234</v>
      </c>
      <c r="J83" s="5" t="s">
        <v>350</v>
      </c>
      <c r="N83" t="s">
        <v>332</v>
      </c>
      <c r="O83" t="s">
        <v>351</v>
      </c>
      <c r="P83">
        <v>1</v>
      </c>
      <c r="Q83" t="s">
        <v>309</v>
      </c>
      <c r="R83" t="s">
        <v>193</v>
      </c>
      <c r="T83" t="s">
        <v>352</v>
      </c>
      <c r="U83" t="s">
        <v>352</v>
      </c>
    </row>
    <row r="84" spans="2:21" x14ac:dyDescent="0.3">
      <c r="B84" s="9">
        <v>58</v>
      </c>
      <c r="C84" s="9" t="s">
        <v>176</v>
      </c>
      <c r="D84">
        <v>32</v>
      </c>
      <c r="E84">
        <v>28</v>
      </c>
      <c r="F84" t="s">
        <v>353</v>
      </c>
      <c r="G84" s="9" t="s">
        <v>354</v>
      </c>
      <c r="H84" s="9">
        <v>5</v>
      </c>
      <c r="I84" s="6" t="s">
        <v>302</v>
      </c>
      <c r="J84" s="5" t="s">
        <v>355</v>
      </c>
      <c r="L84" t="s">
        <v>356</v>
      </c>
      <c r="M84" t="s">
        <v>356</v>
      </c>
      <c r="P84">
        <v>30</v>
      </c>
      <c r="Q84" t="s">
        <v>357</v>
      </c>
      <c r="R84" t="s">
        <v>193</v>
      </c>
      <c r="T84" t="s">
        <v>358</v>
      </c>
      <c r="U84" t="s">
        <v>359</v>
      </c>
    </row>
    <row r="85" spans="2:21" x14ac:dyDescent="0.3">
      <c r="B85" s="9">
        <v>57</v>
      </c>
      <c r="C85" s="9" t="s">
        <v>176</v>
      </c>
      <c r="D85">
        <v>31</v>
      </c>
      <c r="E85">
        <v>27</v>
      </c>
      <c r="F85" t="s">
        <v>172</v>
      </c>
      <c r="G85" s="9" t="s">
        <v>345</v>
      </c>
      <c r="H85" s="9">
        <v>1</v>
      </c>
      <c r="I85" s="6" t="s">
        <v>302</v>
      </c>
      <c r="J85" s="5" t="s">
        <v>360</v>
      </c>
      <c r="L85" t="s">
        <v>361</v>
      </c>
      <c r="M85" t="s">
        <v>361</v>
      </c>
      <c r="N85" t="s">
        <v>275</v>
      </c>
      <c r="P85">
        <v>31</v>
      </c>
      <c r="Q85" t="s">
        <v>357</v>
      </c>
      <c r="R85" t="s">
        <v>193</v>
      </c>
      <c r="T85" t="s">
        <v>358</v>
      </c>
      <c r="U85" t="s">
        <v>362</v>
      </c>
    </row>
    <row r="86" spans="2:21" x14ac:dyDescent="0.3">
      <c r="B86" s="9">
        <v>56</v>
      </c>
      <c r="C86" s="9" t="s">
        <v>176</v>
      </c>
      <c r="D86">
        <v>27</v>
      </c>
      <c r="E86">
        <v>24</v>
      </c>
      <c r="F86" t="s">
        <v>148</v>
      </c>
      <c r="G86" s="9" t="s">
        <v>254</v>
      </c>
      <c r="H86" s="9">
        <v>5</v>
      </c>
      <c r="I86" s="6" t="s">
        <v>302</v>
      </c>
      <c r="J86" s="5" t="s">
        <v>303</v>
      </c>
      <c r="L86" t="s">
        <v>256</v>
      </c>
      <c r="M86" t="s">
        <v>274</v>
      </c>
      <c r="P86">
        <v>13</v>
      </c>
      <c r="Q86" t="s">
        <v>357</v>
      </c>
      <c r="R86" t="s">
        <v>193</v>
      </c>
      <c r="T86" t="s">
        <v>363</v>
      </c>
      <c r="U86" t="s">
        <v>363</v>
      </c>
    </row>
    <row r="87" spans="2:21" x14ac:dyDescent="0.3">
      <c r="B87" s="9">
        <v>55</v>
      </c>
      <c r="C87" s="9" t="s">
        <v>176</v>
      </c>
      <c r="D87">
        <v>26</v>
      </c>
      <c r="E87">
        <v>23</v>
      </c>
      <c r="F87" t="s">
        <v>364</v>
      </c>
      <c r="G87" s="9" t="s">
        <v>345</v>
      </c>
      <c r="H87" s="9">
        <v>5</v>
      </c>
      <c r="I87" s="6" t="s">
        <v>302</v>
      </c>
      <c r="J87" s="5" t="s">
        <v>365</v>
      </c>
      <c r="L87" t="s">
        <v>366</v>
      </c>
      <c r="M87" t="s">
        <v>191</v>
      </c>
      <c r="N87" t="s">
        <v>367</v>
      </c>
      <c r="O87" t="s">
        <v>321</v>
      </c>
      <c r="P87">
        <v>26</v>
      </c>
      <c r="Q87" t="s">
        <v>357</v>
      </c>
      <c r="R87" t="s">
        <v>193</v>
      </c>
      <c r="T87" t="s">
        <v>368</v>
      </c>
      <c r="U87" t="s">
        <v>368</v>
      </c>
    </row>
    <row r="88" spans="2:21" x14ac:dyDescent="0.3">
      <c r="B88" s="9">
        <v>54</v>
      </c>
      <c r="C88" s="9" t="s">
        <v>176</v>
      </c>
      <c r="D88">
        <v>21</v>
      </c>
      <c r="E88">
        <v>14</v>
      </c>
      <c r="F88" t="s">
        <v>334</v>
      </c>
      <c r="G88" s="9" t="s">
        <v>335</v>
      </c>
      <c r="H88" s="9">
        <v>-1</v>
      </c>
      <c r="I88" s="6" t="s">
        <v>302</v>
      </c>
      <c r="J88" s="5" t="s">
        <v>336</v>
      </c>
      <c r="L88" t="s">
        <v>337</v>
      </c>
      <c r="M88" t="s">
        <v>337</v>
      </c>
      <c r="N88" t="s">
        <v>338</v>
      </c>
      <c r="O88" t="s">
        <v>339</v>
      </c>
      <c r="P88">
        <v>18</v>
      </c>
      <c r="Q88" t="s">
        <v>357</v>
      </c>
      <c r="R88" t="s">
        <v>369</v>
      </c>
      <c r="S88" t="s">
        <v>340</v>
      </c>
      <c r="T88" t="s">
        <v>370</v>
      </c>
      <c r="U88" t="s">
        <v>371</v>
      </c>
    </row>
    <row r="89" spans="2:21" x14ac:dyDescent="0.3">
      <c r="B89" s="9">
        <v>53</v>
      </c>
      <c r="C89" s="9" t="s">
        <v>176</v>
      </c>
      <c r="D89">
        <v>20</v>
      </c>
      <c r="E89">
        <v>16</v>
      </c>
      <c r="F89" t="s">
        <v>372</v>
      </c>
      <c r="G89" s="9" t="s">
        <v>177</v>
      </c>
      <c r="H89" s="9">
        <v>5</v>
      </c>
      <c r="I89" s="6" t="s">
        <v>302</v>
      </c>
      <c r="J89" s="5" t="s">
        <v>373</v>
      </c>
      <c r="L89" t="s">
        <v>331</v>
      </c>
      <c r="M89" t="s">
        <v>191</v>
      </c>
      <c r="N89" t="s">
        <v>367</v>
      </c>
      <c r="O89" t="s">
        <v>321</v>
      </c>
      <c r="P89">
        <v>21</v>
      </c>
      <c r="Q89" t="s">
        <v>357</v>
      </c>
      <c r="R89" t="s">
        <v>193</v>
      </c>
      <c r="T89" t="s">
        <v>374</v>
      </c>
      <c r="U89" t="s">
        <v>374</v>
      </c>
    </row>
    <row r="90" spans="2:21" x14ac:dyDescent="0.3">
      <c r="B90" s="9">
        <v>52</v>
      </c>
      <c r="C90" s="9" t="s">
        <v>176</v>
      </c>
      <c r="D90">
        <v>19</v>
      </c>
      <c r="E90">
        <v>15</v>
      </c>
      <c r="F90" t="s">
        <v>375</v>
      </c>
      <c r="G90" s="9" t="s">
        <v>345</v>
      </c>
      <c r="H90" s="9">
        <v>5</v>
      </c>
      <c r="I90" s="6" t="s">
        <v>302</v>
      </c>
      <c r="J90" s="5" t="s">
        <v>376</v>
      </c>
      <c r="L90" t="s">
        <v>377</v>
      </c>
      <c r="M90" t="s">
        <v>191</v>
      </c>
      <c r="N90" t="s">
        <v>332</v>
      </c>
      <c r="O90" t="s">
        <v>321</v>
      </c>
      <c r="P90">
        <v>25</v>
      </c>
      <c r="Q90" t="s">
        <v>357</v>
      </c>
      <c r="R90" t="s">
        <v>193</v>
      </c>
      <c r="T90" t="s">
        <v>378</v>
      </c>
      <c r="U90" t="s">
        <v>378</v>
      </c>
    </row>
    <row r="91" spans="2:21" x14ac:dyDescent="0.3">
      <c r="B91" s="9">
        <v>51</v>
      </c>
      <c r="C91" s="9" t="s">
        <v>176</v>
      </c>
      <c r="D91">
        <v>18</v>
      </c>
      <c r="E91">
        <v>18</v>
      </c>
      <c r="F91" t="s">
        <v>174</v>
      </c>
      <c r="G91" s="9" t="s">
        <v>271</v>
      </c>
      <c r="H91" s="9">
        <v>0</v>
      </c>
      <c r="I91" s="6" t="s">
        <v>302</v>
      </c>
      <c r="J91" s="5" t="s">
        <v>379</v>
      </c>
      <c r="L91" t="s">
        <v>274</v>
      </c>
      <c r="M91" t="s">
        <v>191</v>
      </c>
      <c r="N91" t="s">
        <v>338</v>
      </c>
      <c r="O91" t="s">
        <v>339</v>
      </c>
      <c r="P91">
        <v>20</v>
      </c>
      <c r="Q91" t="s">
        <v>357</v>
      </c>
      <c r="R91" t="s">
        <v>193</v>
      </c>
      <c r="T91" t="s">
        <v>380</v>
      </c>
      <c r="U91" t="s">
        <v>380</v>
      </c>
    </row>
    <row r="92" spans="2:21" x14ac:dyDescent="0.3">
      <c r="B92" s="9">
        <v>50</v>
      </c>
      <c r="C92" s="9" t="s">
        <v>176</v>
      </c>
      <c r="D92">
        <v>17</v>
      </c>
      <c r="E92">
        <v>19</v>
      </c>
      <c r="F92" t="s">
        <v>170</v>
      </c>
      <c r="G92" s="9" t="s">
        <v>305</v>
      </c>
      <c r="H92" s="9">
        <v>0</v>
      </c>
      <c r="I92" s="6" t="s">
        <v>302</v>
      </c>
      <c r="J92" s="5" t="s">
        <v>306</v>
      </c>
      <c r="L92" t="s">
        <v>307</v>
      </c>
      <c r="M92" t="s">
        <v>191</v>
      </c>
      <c r="N92" t="s">
        <v>257</v>
      </c>
      <c r="O92" t="s">
        <v>321</v>
      </c>
      <c r="Q92" t="s">
        <v>357</v>
      </c>
      <c r="R92" t="s">
        <v>193</v>
      </c>
      <c r="T92" t="s">
        <v>381</v>
      </c>
      <c r="U92" t="s">
        <v>381</v>
      </c>
    </row>
    <row r="93" spans="2:21" x14ac:dyDescent="0.3">
      <c r="B93" s="9">
        <v>49</v>
      </c>
      <c r="C93" s="9" t="s">
        <v>176</v>
      </c>
      <c r="D93">
        <v>16</v>
      </c>
      <c r="E93">
        <v>10</v>
      </c>
      <c r="F93" t="s">
        <v>382</v>
      </c>
      <c r="G93" s="9" t="s">
        <v>383</v>
      </c>
      <c r="H93" s="9">
        <v>5</v>
      </c>
      <c r="I93" s="6" t="s">
        <v>302</v>
      </c>
      <c r="J93" s="5" t="s">
        <v>384</v>
      </c>
      <c r="L93" t="s">
        <v>385</v>
      </c>
      <c r="M93" t="s">
        <v>347</v>
      </c>
      <c r="N93" t="s">
        <v>332</v>
      </c>
      <c r="O93" t="s">
        <v>321</v>
      </c>
      <c r="P93">
        <v>28</v>
      </c>
      <c r="Q93" t="s">
        <v>357</v>
      </c>
      <c r="R93" t="s">
        <v>193</v>
      </c>
      <c r="T93" t="s">
        <v>386</v>
      </c>
      <c r="U93" t="s">
        <v>386</v>
      </c>
    </row>
    <row r="94" spans="2:21" x14ac:dyDescent="0.3">
      <c r="B94" s="9">
        <v>48</v>
      </c>
      <c r="C94" s="9" t="s">
        <v>176</v>
      </c>
      <c r="D94">
        <v>14</v>
      </c>
      <c r="E94">
        <v>3</v>
      </c>
      <c r="F94" t="s">
        <v>318</v>
      </c>
      <c r="G94" s="9" t="s">
        <v>319</v>
      </c>
      <c r="H94" s="9">
        <v>3</v>
      </c>
      <c r="I94" s="6">
        <v>1234</v>
      </c>
      <c r="J94" s="5" t="s">
        <v>320</v>
      </c>
      <c r="N94" t="s">
        <v>257</v>
      </c>
      <c r="O94" t="s">
        <v>321</v>
      </c>
      <c r="Q94" t="s">
        <v>357</v>
      </c>
      <c r="R94" t="s">
        <v>193</v>
      </c>
      <c r="T94" t="s">
        <v>387</v>
      </c>
      <c r="U94" t="s">
        <v>387</v>
      </c>
    </row>
    <row r="95" spans="2:21" x14ac:dyDescent="0.3">
      <c r="B95" s="9">
        <v>47</v>
      </c>
      <c r="C95" s="9" t="s">
        <v>181</v>
      </c>
      <c r="D95">
        <v>13</v>
      </c>
      <c r="E95">
        <v>11</v>
      </c>
      <c r="F95" t="s">
        <v>172</v>
      </c>
      <c r="G95" s="9" t="s">
        <v>345</v>
      </c>
      <c r="H95" s="9">
        <v>0</v>
      </c>
      <c r="I95" s="6" t="s">
        <v>272</v>
      </c>
      <c r="J95" s="5" t="s">
        <v>388</v>
      </c>
      <c r="L95" t="s">
        <v>389</v>
      </c>
      <c r="M95" t="s">
        <v>389</v>
      </c>
      <c r="N95" t="s">
        <v>390</v>
      </c>
      <c r="P95">
        <v>15</v>
      </c>
      <c r="Q95" t="s">
        <v>357</v>
      </c>
      <c r="R95" t="s">
        <v>193</v>
      </c>
      <c r="T95" t="s">
        <v>391</v>
      </c>
      <c r="U95" t="s">
        <v>391</v>
      </c>
    </row>
    <row r="96" spans="2:21" x14ac:dyDescent="0.3">
      <c r="B96" s="9">
        <v>46</v>
      </c>
      <c r="C96" s="9" t="s">
        <v>176</v>
      </c>
      <c r="D96">
        <v>12</v>
      </c>
      <c r="E96">
        <v>4</v>
      </c>
      <c r="F96" t="s">
        <v>392</v>
      </c>
      <c r="G96" s="9" t="s">
        <v>254</v>
      </c>
      <c r="H96" s="9">
        <v>5</v>
      </c>
      <c r="I96" s="6" t="s">
        <v>302</v>
      </c>
      <c r="J96" s="5" t="s">
        <v>393</v>
      </c>
      <c r="L96" t="s">
        <v>394</v>
      </c>
      <c r="M96" t="s">
        <v>274</v>
      </c>
      <c r="N96" t="s">
        <v>257</v>
      </c>
      <c r="O96" t="s">
        <v>321</v>
      </c>
      <c r="P96">
        <v>17</v>
      </c>
      <c r="Q96" t="s">
        <v>357</v>
      </c>
      <c r="R96" t="s">
        <v>193</v>
      </c>
      <c r="T96" t="s">
        <v>395</v>
      </c>
      <c r="U96" t="s">
        <v>395</v>
      </c>
    </row>
    <row r="97" spans="2:21" x14ac:dyDescent="0.3">
      <c r="B97" s="9">
        <v>45</v>
      </c>
      <c r="C97" s="9" t="s">
        <v>181</v>
      </c>
      <c r="D97">
        <v>11</v>
      </c>
      <c r="E97">
        <v>5</v>
      </c>
      <c r="F97" t="s">
        <v>344</v>
      </c>
      <c r="G97" s="9" t="s">
        <v>177</v>
      </c>
      <c r="H97" s="9">
        <v>0</v>
      </c>
      <c r="I97" s="6" t="s">
        <v>272</v>
      </c>
      <c r="J97" s="5" t="s">
        <v>396</v>
      </c>
      <c r="L97" t="s">
        <v>347</v>
      </c>
      <c r="M97" t="s">
        <v>347</v>
      </c>
      <c r="N97" t="s">
        <v>257</v>
      </c>
      <c r="O97" t="s">
        <v>321</v>
      </c>
      <c r="Q97" t="s">
        <v>357</v>
      </c>
      <c r="R97" t="s">
        <v>193</v>
      </c>
      <c r="T97" t="s">
        <v>391</v>
      </c>
      <c r="U97" t="s">
        <v>391</v>
      </c>
    </row>
    <row r="98" spans="2:21" x14ac:dyDescent="0.3">
      <c r="B98" s="9">
        <v>44</v>
      </c>
      <c r="C98" s="9" t="s">
        <v>176</v>
      </c>
      <c r="D98">
        <v>11</v>
      </c>
      <c r="E98">
        <v>17</v>
      </c>
      <c r="F98" t="s">
        <v>397</v>
      </c>
      <c r="G98" s="9" t="s">
        <v>383</v>
      </c>
      <c r="H98" s="9">
        <v>5</v>
      </c>
      <c r="I98" s="6" t="s">
        <v>302</v>
      </c>
      <c r="J98" s="5" t="s">
        <v>398</v>
      </c>
      <c r="L98" t="s">
        <v>399</v>
      </c>
      <c r="M98" t="s">
        <v>191</v>
      </c>
      <c r="N98" t="s">
        <v>332</v>
      </c>
      <c r="O98" t="s">
        <v>321</v>
      </c>
      <c r="P98">
        <v>29</v>
      </c>
      <c r="Q98" t="s">
        <v>357</v>
      </c>
      <c r="R98" t="s">
        <v>193</v>
      </c>
      <c r="T98" t="s">
        <v>400</v>
      </c>
      <c r="U98" t="s">
        <v>400</v>
      </c>
    </row>
    <row r="99" spans="2:21" x14ac:dyDescent="0.3">
      <c r="B99" s="9">
        <v>43</v>
      </c>
      <c r="C99" s="9" t="s">
        <v>176</v>
      </c>
      <c r="D99">
        <v>10</v>
      </c>
      <c r="E99">
        <v>7</v>
      </c>
      <c r="F99" t="s">
        <v>401</v>
      </c>
      <c r="G99" s="9" t="s">
        <v>345</v>
      </c>
      <c r="H99" s="9">
        <v>-1</v>
      </c>
      <c r="I99" s="6" t="s">
        <v>302</v>
      </c>
      <c r="J99" s="5" t="s">
        <v>402</v>
      </c>
      <c r="L99" t="s">
        <v>403</v>
      </c>
      <c r="M99" t="s">
        <v>274</v>
      </c>
      <c r="N99" t="s">
        <v>367</v>
      </c>
      <c r="O99" t="s">
        <v>321</v>
      </c>
      <c r="P99">
        <v>23</v>
      </c>
      <c r="Q99" t="s">
        <v>357</v>
      </c>
      <c r="R99" t="s">
        <v>404</v>
      </c>
      <c r="T99" t="s">
        <v>405</v>
      </c>
      <c r="U99" t="s">
        <v>406</v>
      </c>
    </row>
    <row r="100" spans="2:21" x14ac:dyDescent="0.3">
      <c r="B100" s="9">
        <v>42</v>
      </c>
      <c r="C100" s="9" t="s">
        <v>270</v>
      </c>
      <c r="D100">
        <v>9</v>
      </c>
      <c r="E100">
        <v>6</v>
      </c>
      <c r="F100" t="s">
        <v>344</v>
      </c>
      <c r="G100" s="9" t="s">
        <v>177</v>
      </c>
      <c r="H100" s="9">
        <v>5</v>
      </c>
      <c r="I100" s="6" t="s">
        <v>272</v>
      </c>
      <c r="J100" s="5" t="s">
        <v>407</v>
      </c>
      <c r="K100">
        <v>5</v>
      </c>
      <c r="L100" t="s">
        <v>408</v>
      </c>
      <c r="M100" t="s">
        <v>408</v>
      </c>
      <c r="N100" t="s">
        <v>275</v>
      </c>
      <c r="Q100" t="s">
        <v>357</v>
      </c>
      <c r="R100" t="s">
        <v>193</v>
      </c>
      <c r="T100" t="s">
        <v>409</v>
      </c>
      <c r="U100" t="s">
        <v>409</v>
      </c>
    </row>
    <row r="101" spans="2:21" x14ac:dyDescent="0.3">
      <c r="B101" s="9">
        <v>41</v>
      </c>
      <c r="C101" s="9" t="s">
        <v>176</v>
      </c>
      <c r="D101">
        <v>9</v>
      </c>
      <c r="E101">
        <v>21</v>
      </c>
      <c r="F101" t="s">
        <v>410</v>
      </c>
      <c r="G101" s="9" t="s">
        <v>345</v>
      </c>
      <c r="H101" s="9">
        <v>5</v>
      </c>
      <c r="I101" s="6" t="s">
        <v>302</v>
      </c>
      <c r="J101" s="5" t="s">
        <v>411</v>
      </c>
      <c r="L101" t="s">
        <v>412</v>
      </c>
      <c r="M101" t="s">
        <v>274</v>
      </c>
      <c r="N101" t="s">
        <v>338</v>
      </c>
      <c r="O101" t="s">
        <v>321</v>
      </c>
      <c r="P101">
        <v>24</v>
      </c>
      <c r="Q101" t="s">
        <v>357</v>
      </c>
      <c r="R101" t="s">
        <v>193</v>
      </c>
      <c r="T101" t="s">
        <v>413</v>
      </c>
      <c r="U101" t="s">
        <v>414</v>
      </c>
    </row>
    <row r="102" spans="2:21" x14ac:dyDescent="0.3">
      <c r="B102" s="9">
        <v>40</v>
      </c>
      <c r="C102" s="9" t="s">
        <v>244</v>
      </c>
      <c r="D102">
        <v>9</v>
      </c>
      <c r="F102" t="s">
        <v>172</v>
      </c>
      <c r="G102" s="9" t="s">
        <v>345</v>
      </c>
      <c r="H102" s="9">
        <v>5</v>
      </c>
      <c r="I102" s="6" t="s">
        <v>272</v>
      </c>
      <c r="J102" s="5" t="s">
        <v>388</v>
      </c>
      <c r="L102" t="s">
        <v>361</v>
      </c>
      <c r="M102" t="s">
        <v>361</v>
      </c>
      <c r="N102" t="s">
        <v>275</v>
      </c>
      <c r="P102">
        <v>15</v>
      </c>
      <c r="Q102" t="s">
        <v>357</v>
      </c>
      <c r="R102" t="s">
        <v>193</v>
      </c>
      <c r="T102" t="s">
        <v>415</v>
      </c>
      <c r="U102" t="s">
        <v>415</v>
      </c>
    </row>
    <row r="103" spans="2:21" x14ac:dyDescent="0.3">
      <c r="B103" s="9">
        <v>39</v>
      </c>
      <c r="C103" s="9" t="s">
        <v>270</v>
      </c>
      <c r="D103">
        <v>8</v>
      </c>
      <c r="E103">
        <v>5</v>
      </c>
      <c r="F103" t="s">
        <v>172</v>
      </c>
      <c r="G103" s="9" t="s">
        <v>345</v>
      </c>
      <c r="H103" s="9">
        <v>5</v>
      </c>
      <c r="I103" s="6" t="s">
        <v>272</v>
      </c>
      <c r="J103" s="5" t="s">
        <v>416</v>
      </c>
      <c r="K103">
        <v>5</v>
      </c>
      <c r="L103" t="s">
        <v>361</v>
      </c>
      <c r="M103" t="s">
        <v>361</v>
      </c>
      <c r="N103" t="s">
        <v>275</v>
      </c>
      <c r="P103">
        <v>38</v>
      </c>
      <c r="Q103" t="s">
        <v>357</v>
      </c>
      <c r="R103" t="s">
        <v>193</v>
      </c>
      <c r="T103" t="s">
        <v>409</v>
      </c>
      <c r="U103" t="s">
        <v>409</v>
      </c>
    </row>
    <row r="104" spans="2:21" x14ac:dyDescent="0.3">
      <c r="B104" s="9">
        <v>38</v>
      </c>
      <c r="C104" s="9" t="s">
        <v>176</v>
      </c>
      <c r="D104">
        <v>8</v>
      </c>
      <c r="E104">
        <v>20</v>
      </c>
      <c r="F104" t="s">
        <v>323</v>
      </c>
      <c r="G104" s="9" t="s">
        <v>324</v>
      </c>
      <c r="H104" s="9">
        <v>5</v>
      </c>
      <c r="I104" s="6" t="s">
        <v>302</v>
      </c>
      <c r="J104" s="5" t="s">
        <v>417</v>
      </c>
      <c r="L104" t="s">
        <v>323</v>
      </c>
      <c r="M104" t="s">
        <v>191</v>
      </c>
      <c r="O104" t="s">
        <v>321</v>
      </c>
      <c r="P104">
        <v>57</v>
      </c>
      <c r="Q104" t="s">
        <v>357</v>
      </c>
      <c r="R104" t="s">
        <v>193</v>
      </c>
      <c r="T104" t="s">
        <v>418</v>
      </c>
      <c r="U104" t="s">
        <v>418</v>
      </c>
    </row>
    <row r="105" spans="2:21" x14ac:dyDescent="0.3">
      <c r="B105" s="9">
        <v>37</v>
      </c>
      <c r="C105" s="9" t="s">
        <v>244</v>
      </c>
      <c r="D105">
        <v>8</v>
      </c>
      <c r="F105" t="s">
        <v>334</v>
      </c>
      <c r="G105" s="9" t="s">
        <v>335</v>
      </c>
      <c r="H105" s="9">
        <v>3</v>
      </c>
      <c r="I105" s="6" t="s">
        <v>302</v>
      </c>
      <c r="J105" s="5" t="s">
        <v>336</v>
      </c>
      <c r="L105" t="s">
        <v>337</v>
      </c>
      <c r="M105" t="s">
        <v>337</v>
      </c>
      <c r="N105" t="s">
        <v>338</v>
      </c>
      <c r="P105">
        <v>18</v>
      </c>
      <c r="Q105" t="s">
        <v>357</v>
      </c>
      <c r="R105" t="s">
        <v>193</v>
      </c>
      <c r="S105" t="s">
        <v>340</v>
      </c>
      <c r="T105" t="s">
        <v>419</v>
      </c>
      <c r="U105" t="s">
        <v>420</v>
      </c>
    </row>
    <row r="106" spans="2:21" x14ac:dyDescent="0.3">
      <c r="B106" s="9">
        <v>36</v>
      </c>
      <c r="C106" s="9" t="s">
        <v>270</v>
      </c>
      <c r="D106">
        <v>7</v>
      </c>
      <c r="E106">
        <v>4</v>
      </c>
      <c r="F106" t="s">
        <v>170</v>
      </c>
      <c r="G106" s="9" t="s">
        <v>305</v>
      </c>
      <c r="H106" s="9">
        <v>5</v>
      </c>
      <c r="I106" s="6" t="s">
        <v>272</v>
      </c>
      <c r="J106" s="5" t="s">
        <v>421</v>
      </c>
      <c r="K106">
        <v>5</v>
      </c>
      <c r="L106" t="s">
        <v>307</v>
      </c>
      <c r="M106" t="s">
        <v>307</v>
      </c>
      <c r="N106" t="s">
        <v>275</v>
      </c>
      <c r="Q106" t="s">
        <v>357</v>
      </c>
      <c r="R106" t="s">
        <v>193</v>
      </c>
      <c r="T106" t="s">
        <v>409</v>
      </c>
      <c r="U106" t="s">
        <v>409</v>
      </c>
    </row>
    <row r="107" spans="2:21" x14ac:dyDescent="0.3">
      <c r="B107" s="9">
        <v>35</v>
      </c>
      <c r="C107" s="9" t="s">
        <v>422</v>
      </c>
      <c r="D107">
        <v>7</v>
      </c>
      <c r="E107">
        <v>7</v>
      </c>
      <c r="F107" t="s">
        <v>423</v>
      </c>
      <c r="G107" s="9" t="s">
        <v>177</v>
      </c>
      <c r="H107" s="9">
        <v>5</v>
      </c>
      <c r="I107" s="6" t="s">
        <v>272</v>
      </c>
      <c r="J107" s="5" t="s">
        <v>424</v>
      </c>
      <c r="L107" t="s">
        <v>408</v>
      </c>
      <c r="M107" t="s">
        <v>408</v>
      </c>
      <c r="N107" t="s">
        <v>275</v>
      </c>
      <c r="Q107" t="s">
        <v>357</v>
      </c>
      <c r="R107" t="s">
        <v>193</v>
      </c>
      <c r="T107" t="s">
        <v>409</v>
      </c>
      <c r="U107" t="s">
        <v>409</v>
      </c>
    </row>
    <row r="108" spans="2:21" x14ac:dyDescent="0.3">
      <c r="B108" s="9">
        <v>34</v>
      </c>
      <c r="C108" s="9" t="s">
        <v>181</v>
      </c>
      <c r="D108">
        <v>7</v>
      </c>
      <c r="E108">
        <v>2</v>
      </c>
      <c r="F108" t="s">
        <v>186</v>
      </c>
      <c r="G108" s="9" t="s">
        <v>319</v>
      </c>
      <c r="H108" s="9">
        <v>5</v>
      </c>
      <c r="I108" s="6">
        <v>1234</v>
      </c>
      <c r="J108" s="5" t="s">
        <v>350</v>
      </c>
      <c r="N108" t="s">
        <v>332</v>
      </c>
      <c r="O108" t="s">
        <v>351</v>
      </c>
      <c r="P108">
        <v>1</v>
      </c>
      <c r="Q108" t="s">
        <v>357</v>
      </c>
      <c r="R108" t="s">
        <v>193</v>
      </c>
      <c r="T108" t="s">
        <v>425</v>
      </c>
      <c r="U108" t="s">
        <v>425</v>
      </c>
    </row>
    <row r="109" spans="2:21" x14ac:dyDescent="0.3">
      <c r="B109" s="9">
        <v>33</v>
      </c>
      <c r="C109" s="9" t="s">
        <v>176</v>
      </c>
      <c r="D109">
        <v>7</v>
      </c>
      <c r="E109">
        <v>8</v>
      </c>
      <c r="F109" t="s">
        <v>426</v>
      </c>
      <c r="G109" s="9" t="s">
        <v>345</v>
      </c>
      <c r="H109" s="9">
        <v>5</v>
      </c>
      <c r="I109" s="6" t="s">
        <v>302</v>
      </c>
      <c r="J109" s="5" t="s">
        <v>427</v>
      </c>
      <c r="L109" t="s">
        <v>428</v>
      </c>
      <c r="M109" t="s">
        <v>274</v>
      </c>
      <c r="N109" t="s">
        <v>367</v>
      </c>
      <c r="O109" t="s">
        <v>321</v>
      </c>
      <c r="P109">
        <v>27</v>
      </c>
      <c r="Q109" t="s">
        <v>357</v>
      </c>
      <c r="R109" t="s">
        <v>193</v>
      </c>
      <c r="T109" t="s">
        <v>429</v>
      </c>
      <c r="U109" t="s">
        <v>430</v>
      </c>
    </row>
    <row r="110" spans="2:21" x14ac:dyDescent="0.3">
      <c r="B110" s="9">
        <v>32</v>
      </c>
      <c r="C110" s="9" t="s">
        <v>244</v>
      </c>
      <c r="D110">
        <v>7</v>
      </c>
      <c r="F110" t="s">
        <v>170</v>
      </c>
      <c r="G110" s="9" t="s">
        <v>305</v>
      </c>
      <c r="H110" s="9"/>
      <c r="I110" s="6" t="s">
        <v>302</v>
      </c>
      <c r="J110" s="5" t="s">
        <v>306</v>
      </c>
      <c r="L110" t="s">
        <v>307</v>
      </c>
      <c r="M110" t="s">
        <v>191</v>
      </c>
      <c r="Q110" t="s">
        <v>357</v>
      </c>
      <c r="R110" t="s">
        <v>193</v>
      </c>
      <c r="T110" t="s">
        <v>431</v>
      </c>
      <c r="U110" t="s">
        <v>431</v>
      </c>
    </row>
    <row r="111" spans="2:21" x14ac:dyDescent="0.3">
      <c r="B111" s="9">
        <v>31</v>
      </c>
      <c r="C111" s="9" t="s">
        <v>270</v>
      </c>
      <c r="D111">
        <v>6</v>
      </c>
      <c r="E111">
        <v>3</v>
      </c>
      <c r="F111" t="s">
        <v>148</v>
      </c>
      <c r="G111" s="9" t="s">
        <v>254</v>
      </c>
      <c r="H111" s="9">
        <v>5</v>
      </c>
      <c r="I111" s="6" t="s">
        <v>302</v>
      </c>
      <c r="J111" s="5" t="s">
        <v>303</v>
      </c>
      <c r="K111">
        <v>5</v>
      </c>
      <c r="L111" t="s">
        <v>256</v>
      </c>
      <c r="M111" t="s">
        <v>256</v>
      </c>
      <c r="N111" t="s">
        <v>257</v>
      </c>
      <c r="P111">
        <v>13</v>
      </c>
      <c r="Q111" t="s">
        <v>357</v>
      </c>
      <c r="R111" t="s">
        <v>193</v>
      </c>
      <c r="T111" t="s">
        <v>432</v>
      </c>
      <c r="U111" t="s">
        <v>432</v>
      </c>
    </row>
    <row r="112" spans="2:21" x14ac:dyDescent="0.3">
      <c r="B112" s="9">
        <v>30</v>
      </c>
      <c r="C112" s="9" t="s">
        <v>433</v>
      </c>
      <c r="D112">
        <v>6</v>
      </c>
      <c r="F112" t="s">
        <v>148</v>
      </c>
      <c r="G112" s="9" t="s">
        <v>254</v>
      </c>
      <c r="H112" s="9">
        <v>1</v>
      </c>
      <c r="I112" s="6">
        <v>1234</v>
      </c>
      <c r="J112" s="5" t="s">
        <v>434</v>
      </c>
      <c r="L112" t="s">
        <v>256</v>
      </c>
      <c r="Q112" t="s">
        <v>357</v>
      </c>
      <c r="R112" t="s">
        <v>193</v>
      </c>
      <c r="T112" t="s">
        <v>435</v>
      </c>
      <c r="U112" t="s">
        <v>435</v>
      </c>
    </row>
    <row r="113" spans="2:21" x14ac:dyDescent="0.3">
      <c r="B113" s="9">
        <v>29</v>
      </c>
      <c r="C113" s="9" t="s">
        <v>422</v>
      </c>
      <c r="D113">
        <v>6</v>
      </c>
      <c r="E113">
        <v>6</v>
      </c>
      <c r="F113" t="s">
        <v>172</v>
      </c>
      <c r="G113" s="9" t="s">
        <v>345</v>
      </c>
      <c r="H113" s="9">
        <v>5</v>
      </c>
      <c r="I113" s="6" t="s">
        <v>272</v>
      </c>
      <c r="J113" s="5" t="s">
        <v>436</v>
      </c>
      <c r="L113" t="s">
        <v>361</v>
      </c>
      <c r="M113" t="s">
        <v>361</v>
      </c>
      <c r="N113" t="s">
        <v>275</v>
      </c>
      <c r="Q113" t="s">
        <v>357</v>
      </c>
      <c r="R113" t="s">
        <v>193</v>
      </c>
      <c r="T113" t="s">
        <v>409</v>
      </c>
      <c r="U113" t="s">
        <v>409</v>
      </c>
    </row>
    <row r="114" spans="2:21" x14ac:dyDescent="0.3">
      <c r="B114" s="9">
        <v>28</v>
      </c>
      <c r="C114" s="9" t="s">
        <v>181</v>
      </c>
      <c r="D114">
        <v>6</v>
      </c>
      <c r="E114">
        <v>9</v>
      </c>
      <c r="F114" t="s">
        <v>323</v>
      </c>
      <c r="G114" s="9" t="s">
        <v>324</v>
      </c>
      <c r="H114" s="9">
        <v>5</v>
      </c>
      <c r="I114" s="6"/>
      <c r="J114" s="5" t="s">
        <v>325</v>
      </c>
      <c r="L114" t="s">
        <v>323</v>
      </c>
      <c r="M114" t="s">
        <v>326</v>
      </c>
      <c r="O114" t="s">
        <v>321</v>
      </c>
      <c r="Q114" t="s">
        <v>357</v>
      </c>
      <c r="R114" t="s">
        <v>193</v>
      </c>
      <c r="T114" t="s">
        <v>437</v>
      </c>
      <c r="U114" t="s">
        <v>437</v>
      </c>
    </row>
    <row r="115" spans="2:21" x14ac:dyDescent="0.3">
      <c r="B115" s="9">
        <v>27</v>
      </c>
      <c r="C115" s="9" t="s">
        <v>176</v>
      </c>
      <c r="D115">
        <v>6</v>
      </c>
      <c r="E115">
        <v>6</v>
      </c>
      <c r="F115" t="s">
        <v>438</v>
      </c>
      <c r="G115" s="9" t="s">
        <v>271</v>
      </c>
      <c r="H115" s="9">
        <v>5</v>
      </c>
      <c r="I115" s="6" t="s">
        <v>302</v>
      </c>
      <c r="J115" s="5" t="s">
        <v>439</v>
      </c>
      <c r="L115" t="s">
        <v>440</v>
      </c>
      <c r="M115" t="s">
        <v>274</v>
      </c>
      <c r="N115" t="s">
        <v>332</v>
      </c>
      <c r="O115" t="s">
        <v>321</v>
      </c>
      <c r="P115">
        <v>19</v>
      </c>
      <c r="Q115" t="s">
        <v>357</v>
      </c>
      <c r="R115" t="s">
        <v>193</v>
      </c>
      <c r="T115" t="s">
        <v>441</v>
      </c>
      <c r="U115" t="s">
        <v>441</v>
      </c>
    </row>
    <row r="116" spans="2:21" x14ac:dyDescent="0.3">
      <c r="B116" s="9">
        <v>26</v>
      </c>
      <c r="C116" s="9" t="s">
        <v>244</v>
      </c>
      <c r="D116">
        <v>6</v>
      </c>
      <c r="F116" t="s">
        <v>174</v>
      </c>
      <c r="G116" s="9" t="s">
        <v>271</v>
      </c>
      <c r="H116" s="9"/>
      <c r="I116" s="6" t="s">
        <v>302</v>
      </c>
      <c r="J116" s="5" t="s">
        <v>379</v>
      </c>
      <c r="L116" t="s">
        <v>274</v>
      </c>
      <c r="M116" t="s">
        <v>191</v>
      </c>
      <c r="P116">
        <v>20</v>
      </c>
      <c r="Q116" t="s">
        <v>357</v>
      </c>
      <c r="R116" t="s">
        <v>193</v>
      </c>
      <c r="T116" t="s">
        <v>442</v>
      </c>
      <c r="U116" t="s">
        <v>442</v>
      </c>
    </row>
    <row r="117" spans="2:21" x14ac:dyDescent="0.3">
      <c r="B117" s="9">
        <v>25</v>
      </c>
      <c r="C117" s="9" t="s">
        <v>422</v>
      </c>
      <c r="D117">
        <v>5</v>
      </c>
      <c r="E117">
        <v>5</v>
      </c>
      <c r="F117" t="s">
        <v>170</v>
      </c>
      <c r="G117" s="9" t="s">
        <v>305</v>
      </c>
      <c r="H117" s="9">
        <v>5</v>
      </c>
      <c r="I117" s="6" t="s">
        <v>272</v>
      </c>
      <c r="J117" s="5" t="s">
        <v>443</v>
      </c>
      <c r="L117" t="s">
        <v>307</v>
      </c>
      <c r="M117" t="s">
        <v>307</v>
      </c>
      <c r="N117" t="s">
        <v>275</v>
      </c>
      <c r="Q117" t="s">
        <v>357</v>
      </c>
      <c r="R117" t="s">
        <v>193</v>
      </c>
      <c r="T117" t="s">
        <v>409</v>
      </c>
      <c r="U117" t="s">
        <v>409</v>
      </c>
    </row>
    <row r="118" spans="2:21" x14ac:dyDescent="0.3">
      <c r="B118" s="9">
        <v>24</v>
      </c>
      <c r="C118" s="9" t="s">
        <v>181</v>
      </c>
      <c r="D118">
        <v>5</v>
      </c>
      <c r="E118">
        <v>3</v>
      </c>
      <c r="F118" t="s">
        <v>318</v>
      </c>
      <c r="G118" s="9" t="s">
        <v>319</v>
      </c>
      <c r="H118" s="9">
        <v>-1</v>
      </c>
      <c r="I118" s="6">
        <v>1234</v>
      </c>
      <c r="J118" s="5" t="s">
        <v>320</v>
      </c>
      <c r="N118" t="s">
        <v>257</v>
      </c>
      <c r="O118" t="s">
        <v>321</v>
      </c>
      <c r="P118">
        <v>90</v>
      </c>
      <c r="Q118" t="s">
        <v>357</v>
      </c>
      <c r="R118" t="s">
        <v>193</v>
      </c>
      <c r="T118" t="s">
        <v>444</v>
      </c>
      <c r="U118" t="s">
        <v>444</v>
      </c>
    </row>
    <row r="119" spans="2:21" x14ac:dyDescent="0.3">
      <c r="B119" s="9">
        <v>23</v>
      </c>
      <c r="C119" s="9" t="s">
        <v>176</v>
      </c>
      <c r="D119">
        <v>5</v>
      </c>
      <c r="E119">
        <v>2</v>
      </c>
      <c r="F119" t="s">
        <v>186</v>
      </c>
      <c r="G119" s="9" t="s">
        <v>319</v>
      </c>
      <c r="H119" s="9">
        <v>5</v>
      </c>
      <c r="I119" s="6">
        <v>1234</v>
      </c>
      <c r="J119" s="5" t="s">
        <v>350</v>
      </c>
      <c r="N119" t="s">
        <v>332</v>
      </c>
      <c r="O119" t="s">
        <v>351</v>
      </c>
      <c r="P119">
        <v>1</v>
      </c>
      <c r="Q119" t="s">
        <v>357</v>
      </c>
      <c r="R119" t="s">
        <v>193</v>
      </c>
      <c r="T119" t="s">
        <v>445</v>
      </c>
      <c r="U119" t="s">
        <v>445</v>
      </c>
    </row>
    <row r="120" spans="2:21" x14ac:dyDescent="0.3">
      <c r="B120" s="9">
        <v>22</v>
      </c>
      <c r="C120" s="9" t="s">
        <v>244</v>
      </c>
      <c r="D120">
        <v>5</v>
      </c>
      <c r="F120" t="s">
        <v>148</v>
      </c>
      <c r="G120" s="9" t="s">
        <v>188</v>
      </c>
      <c r="H120" s="9">
        <v>5</v>
      </c>
      <c r="I120" s="6" t="s">
        <v>302</v>
      </c>
      <c r="J120" s="5" t="s">
        <v>303</v>
      </c>
      <c r="L120" t="s">
        <v>256</v>
      </c>
      <c r="M120" t="s">
        <v>274</v>
      </c>
      <c r="N120" t="s">
        <v>257</v>
      </c>
      <c r="P120">
        <v>13</v>
      </c>
      <c r="Q120" t="s">
        <v>357</v>
      </c>
      <c r="R120" t="s">
        <v>193</v>
      </c>
      <c r="T120" t="s">
        <v>446</v>
      </c>
      <c r="U120" t="s">
        <v>446</v>
      </c>
    </row>
    <row r="121" spans="2:21" x14ac:dyDescent="0.3">
      <c r="B121" s="9">
        <v>21</v>
      </c>
      <c r="C121" s="9" t="s">
        <v>433</v>
      </c>
      <c r="D121">
        <v>4</v>
      </c>
      <c r="F121" t="s">
        <v>182</v>
      </c>
      <c r="G121" s="9" t="s">
        <v>447</v>
      </c>
      <c r="H121" s="9">
        <v>5</v>
      </c>
      <c r="I121" s="6">
        <v>1234</v>
      </c>
      <c r="J121" s="5" t="s">
        <v>448</v>
      </c>
      <c r="L121" t="s">
        <v>449</v>
      </c>
      <c r="P121">
        <v>39</v>
      </c>
      <c r="Q121" t="s">
        <v>357</v>
      </c>
      <c r="R121" t="s">
        <v>193</v>
      </c>
      <c r="T121" t="s">
        <v>435</v>
      </c>
      <c r="U121" t="s">
        <v>435</v>
      </c>
    </row>
    <row r="122" spans="2:21" x14ac:dyDescent="0.3">
      <c r="B122" s="9">
        <v>20</v>
      </c>
      <c r="C122" s="9" t="s">
        <v>422</v>
      </c>
      <c r="D122">
        <v>4</v>
      </c>
      <c r="E122">
        <v>4</v>
      </c>
      <c r="F122" t="s">
        <v>334</v>
      </c>
      <c r="G122" s="9" t="s">
        <v>335</v>
      </c>
      <c r="H122" s="9">
        <v>3</v>
      </c>
      <c r="I122" s="6" t="s">
        <v>302</v>
      </c>
      <c r="J122" s="5" t="s">
        <v>336</v>
      </c>
      <c r="L122" t="s">
        <v>337</v>
      </c>
      <c r="M122" t="s">
        <v>337</v>
      </c>
      <c r="N122" t="s">
        <v>257</v>
      </c>
      <c r="P122">
        <v>18</v>
      </c>
      <c r="Q122" t="s">
        <v>357</v>
      </c>
      <c r="R122" t="s">
        <v>193</v>
      </c>
      <c r="S122" t="s">
        <v>340</v>
      </c>
      <c r="T122" t="s">
        <v>450</v>
      </c>
      <c r="U122" t="s">
        <v>451</v>
      </c>
    </row>
    <row r="123" spans="2:21" x14ac:dyDescent="0.3">
      <c r="B123" s="9">
        <v>19</v>
      </c>
      <c r="C123" s="9" t="s">
        <v>176</v>
      </c>
      <c r="D123">
        <v>4</v>
      </c>
      <c r="E123">
        <v>9</v>
      </c>
      <c r="F123" t="s">
        <v>344</v>
      </c>
      <c r="G123" s="9" t="s">
        <v>345</v>
      </c>
      <c r="H123" s="9">
        <v>0</v>
      </c>
      <c r="I123" s="6" t="s">
        <v>302</v>
      </c>
      <c r="J123" s="5" t="s">
        <v>346</v>
      </c>
      <c r="L123" t="s">
        <v>347</v>
      </c>
      <c r="M123" t="s">
        <v>347</v>
      </c>
      <c r="N123" t="s">
        <v>257</v>
      </c>
      <c r="O123" t="s">
        <v>321</v>
      </c>
      <c r="P123">
        <v>2</v>
      </c>
      <c r="Q123" t="s">
        <v>357</v>
      </c>
      <c r="R123" t="s">
        <v>193</v>
      </c>
      <c r="T123" t="s">
        <v>452</v>
      </c>
      <c r="U123" t="s">
        <v>452</v>
      </c>
    </row>
    <row r="124" spans="2:21" x14ac:dyDescent="0.3">
      <c r="B124" s="9">
        <v>18</v>
      </c>
      <c r="C124" s="9" t="s">
        <v>244</v>
      </c>
      <c r="D124">
        <v>4</v>
      </c>
      <c r="F124" t="s">
        <v>392</v>
      </c>
      <c r="G124" s="9" t="s">
        <v>453</v>
      </c>
      <c r="H124" s="9">
        <v>5</v>
      </c>
      <c r="I124" s="6" t="s">
        <v>302</v>
      </c>
      <c r="J124" s="5" t="s">
        <v>454</v>
      </c>
      <c r="L124" t="s">
        <v>394</v>
      </c>
      <c r="M124" t="s">
        <v>274</v>
      </c>
      <c r="N124" t="s">
        <v>257</v>
      </c>
      <c r="Q124" t="s">
        <v>357</v>
      </c>
      <c r="R124" t="s">
        <v>193</v>
      </c>
      <c r="T124" t="s">
        <v>455</v>
      </c>
      <c r="U124" t="s">
        <v>455</v>
      </c>
    </row>
    <row r="125" spans="2:21" x14ac:dyDescent="0.3">
      <c r="B125" s="9">
        <v>17</v>
      </c>
      <c r="C125" s="9" t="s">
        <v>433</v>
      </c>
      <c r="D125">
        <v>3</v>
      </c>
      <c r="F125" t="s">
        <v>187</v>
      </c>
      <c r="G125" s="9" t="s">
        <v>188</v>
      </c>
      <c r="H125" s="9">
        <v>-1</v>
      </c>
      <c r="I125" s="6" t="s">
        <v>189</v>
      </c>
      <c r="J125" s="5" t="s">
        <v>190</v>
      </c>
      <c r="L125" t="s">
        <v>191</v>
      </c>
      <c r="Q125" t="s">
        <v>357</v>
      </c>
      <c r="R125" t="s">
        <v>193</v>
      </c>
      <c r="T125" t="s">
        <v>435</v>
      </c>
      <c r="U125" t="s">
        <v>435</v>
      </c>
    </row>
    <row r="126" spans="2:21" x14ac:dyDescent="0.3">
      <c r="B126" s="9">
        <v>16</v>
      </c>
      <c r="C126" s="9" t="s">
        <v>422</v>
      </c>
      <c r="D126">
        <v>3</v>
      </c>
      <c r="E126">
        <v>3</v>
      </c>
      <c r="F126" t="s">
        <v>456</v>
      </c>
      <c r="G126" s="9" t="s">
        <v>188</v>
      </c>
      <c r="H126" s="9">
        <v>5</v>
      </c>
      <c r="I126" s="6" t="s">
        <v>457</v>
      </c>
      <c r="J126" s="5" t="s">
        <v>458</v>
      </c>
      <c r="L126" t="s">
        <v>456</v>
      </c>
      <c r="N126" t="s">
        <v>459</v>
      </c>
      <c r="Q126" t="s">
        <v>357</v>
      </c>
      <c r="R126" t="s">
        <v>193</v>
      </c>
      <c r="T126" t="s">
        <v>460</v>
      </c>
      <c r="U126" t="s">
        <v>460</v>
      </c>
    </row>
    <row r="127" spans="2:21" x14ac:dyDescent="0.3">
      <c r="B127" s="9">
        <v>15</v>
      </c>
      <c r="C127" s="9" t="s">
        <v>181</v>
      </c>
      <c r="D127">
        <v>3</v>
      </c>
      <c r="E127">
        <v>8</v>
      </c>
      <c r="F127" t="s">
        <v>170</v>
      </c>
      <c r="G127" s="9" t="s">
        <v>305</v>
      </c>
      <c r="H127" s="9">
        <v>0</v>
      </c>
      <c r="I127" s="6" t="s">
        <v>272</v>
      </c>
      <c r="J127" s="5" t="s">
        <v>306</v>
      </c>
      <c r="L127" t="s">
        <v>307</v>
      </c>
      <c r="M127" t="s">
        <v>191</v>
      </c>
      <c r="N127" t="s">
        <v>257</v>
      </c>
      <c r="O127" t="s">
        <v>321</v>
      </c>
      <c r="Q127" t="s">
        <v>357</v>
      </c>
      <c r="R127" t="s">
        <v>193</v>
      </c>
      <c r="T127" t="s">
        <v>461</v>
      </c>
      <c r="U127" t="s">
        <v>461</v>
      </c>
    </row>
    <row r="128" spans="2:21" x14ac:dyDescent="0.3">
      <c r="B128" s="9">
        <v>14</v>
      </c>
      <c r="C128" s="9" t="s">
        <v>176</v>
      </c>
      <c r="D128">
        <v>3</v>
      </c>
      <c r="E128">
        <v>1</v>
      </c>
      <c r="F128" t="s">
        <v>187</v>
      </c>
      <c r="G128" s="9" t="s">
        <v>188</v>
      </c>
      <c r="H128" s="9">
        <v>-1</v>
      </c>
      <c r="I128" s="6" t="s">
        <v>189</v>
      </c>
      <c r="J128" s="5" t="s">
        <v>190</v>
      </c>
      <c r="L128" t="s">
        <v>191</v>
      </c>
      <c r="M128" t="s">
        <v>191</v>
      </c>
      <c r="N128" t="s">
        <v>257</v>
      </c>
      <c r="O128" t="s">
        <v>316</v>
      </c>
      <c r="Q128" t="s">
        <v>357</v>
      </c>
      <c r="R128" t="s">
        <v>193</v>
      </c>
      <c r="T128" t="s">
        <v>462</v>
      </c>
      <c r="U128" t="s">
        <v>462</v>
      </c>
    </row>
    <row r="129" spans="2:21" x14ac:dyDescent="0.3">
      <c r="B129" s="9">
        <v>13</v>
      </c>
      <c r="C129" s="9" t="s">
        <v>289</v>
      </c>
      <c r="D129">
        <v>3</v>
      </c>
      <c r="E129">
        <v>3</v>
      </c>
      <c r="F129" t="s">
        <v>148</v>
      </c>
      <c r="G129" s="9" t="s">
        <v>254</v>
      </c>
      <c r="H129" s="9">
        <v>5</v>
      </c>
      <c r="I129" s="6" t="s">
        <v>302</v>
      </c>
      <c r="J129" s="5" t="s">
        <v>303</v>
      </c>
      <c r="K129">
        <v>1</v>
      </c>
      <c r="L129" t="s">
        <v>256</v>
      </c>
      <c r="M129" t="s">
        <v>256</v>
      </c>
      <c r="N129" t="s">
        <v>257</v>
      </c>
      <c r="P129">
        <v>13</v>
      </c>
      <c r="Q129" t="s">
        <v>357</v>
      </c>
      <c r="R129" t="s">
        <v>193</v>
      </c>
      <c r="T129" t="s">
        <v>463</v>
      </c>
      <c r="U129" t="s">
        <v>463</v>
      </c>
    </row>
    <row r="130" spans="2:21" x14ac:dyDescent="0.3">
      <c r="B130" s="9">
        <v>12</v>
      </c>
      <c r="C130" s="9" t="s">
        <v>244</v>
      </c>
      <c r="D130">
        <v>3</v>
      </c>
      <c r="F130" t="s">
        <v>344</v>
      </c>
      <c r="G130" s="9" t="s">
        <v>177</v>
      </c>
      <c r="H130" s="9"/>
      <c r="I130" s="6" t="s">
        <v>302</v>
      </c>
      <c r="J130" s="5" t="s">
        <v>346</v>
      </c>
      <c r="L130" t="s">
        <v>347</v>
      </c>
      <c r="M130" t="s">
        <v>347</v>
      </c>
      <c r="P130">
        <v>2</v>
      </c>
      <c r="Q130" t="s">
        <v>357</v>
      </c>
      <c r="R130" t="s">
        <v>193</v>
      </c>
      <c r="T130" t="s">
        <v>464</v>
      </c>
      <c r="U130" t="s">
        <v>465</v>
      </c>
    </row>
    <row r="131" spans="2:21" x14ac:dyDescent="0.3">
      <c r="B131" s="9">
        <v>11</v>
      </c>
      <c r="C131" s="9" t="s">
        <v>270</v>
      </c>
      <c r="D131">
        <v>2</v>
      </c>
      <c r="E131">
        <v>2</v>
      </c>
      <c r="F131" t="s">
        <v>187</v>
      </c>
      <c r="G131" s="9" t="s">
        <v>188</v>
      </c>
      <c r="H131" s="9">
        <v>-1</v>
      </c>
      <c r="I131" s="6" t="s">
        <v>189</v>
      </c>
      <c r="J131" s="5" t="s">
        <v>190</v>
      </c>
      <c r="K131">
        <v>1</v>
      </c>
      <c r="L131" t="s">
        <v>191</v>
      </c>
      <c r="M131" t="s">
        <v>191</v>
      </c>
      <c r="N131" t="s">
        <v>257</v>
      </c>
      <c r="Q131" t="s">
        <v>357</v>
      </c>
      <c r="R131" t="s">
        <v>193</v>
      </c>
      <c r="T131" t="s">
        <v>466</v>
      </c>
      <c r="U131" t="s">
        <v>466</v>
      </c>
    </row>
    <row r="132" spans="2:21" x14ac:dyDescent="0.3">
      <c r="B132" s="9">
        <v>10</v>
      </c>
      <c r="C132" s="9" t="s">
        <v>422</v>
      </c>
      <c r="D132">
        <v>2</v>
      </c>
      <c r="E132">
        <v>2</v>
      </c>
      <c r="F132" t="s">
        <v>148</v>
      </c>
      <c r="G132" s="9" t="s">
        <v>254</v>
      </c>
      <c r="H132" s="9">
        <v>3</v>
      </c>
      <c r="I132" s="6" t="s">
        <v>302</v>
      </c>
      <c r="J132" s="5" t="s">
        <v>303</v>
      </c>
      <c r="L132" t="s">
        <v>256</v>
      </c>
      <c r="M132" t="s">
        <v>256</v>
      </c>
      <c r="N132" t="s">
        <v>257</v>
      </c>
      <c r="P132">
        <v>13</v>
      </c>
      <c r="Q132" t="s">
        <v>357</v>
      </c>
      <c r="R132" t="s">
        <v>193</v>
      </c>
      <c r="T132" t="s">
        <v>467</v>
      </c>
      <c r="U132" t="s">
        <v>467</v>
      </c>
    </row>
    <row r="133" spans="2:21" x14ac:dyDescent="0.3">
      <c r="B133" s="9">
        <v>9</v>
      </c>
      <c r="C133" s="9" t="s">
        <v>181</v>
      </c>
      <c r="D133">
        <v>2</v>
      </c>
      <c r="E133">
        <v>6</v>
      </c>
      <c r="F133" t="s">
        <v>334</v>
      </c>
      <c r="G133" s="9" t="s">
        <v>335</v>
      </c>
      <c r="H133" s="9">
        <v>0</v>
      </c>
      <c r="I133" s="6" t="s">
        <v>302</v>
      </c>
      <c r="J133" s="5" t="s">
        <v>336</v>
      </c>
      <c r="L133" t="s">
        <v>337</v>
      </c>
      <c r="M133" t="s">
        <v>337</v>
      </c>
      <c r="N133" t="s">
        <v>338</v>
      </c>
      <c r="O133" t="s">
        <v>339</v>
      </c>
      <c r="P133">
        <v>18</v>
      </c>
      <c r="Q133" t="s">
        <v>357</v>
      </c>
      <c r="R133" t="s">
        <v>193</v>
      </c>
      <c r="S133" t="s">
        <v>340</v>
      </c>
      <c r="T133" t="s">
        <v>468</v>
      </c>
      <c r="U133" t="s">
        <v>469</v>
      </c>
    </row>
    <row r="134" spans="2:21" x14ac:dyDescent="0.3">
      <c r="B134" s="9">
        <v>8</v>
      </c>
      <c r="C134" s="9" t="s">
        <v>289</v>
      </c>
      <c r="D134">
        <v>2</v>
      </c>
      <c r="E134">
        <v>2</v>
      </c>
      <c r="F134" t="s">
        <v>187</v>
      </c>
      <c r="G134" s="9" t="s">
        <v>188</v>
      </c>
      <c r="H134" s="9">
        <v>-1</v>
      </c>
      <c r="I134" s="6" t="s">
        <v>189</v>
      </c>
      <c r="J134" s="5" t="s">
        <v>190</v>
      </c>
      <c r="K134">
        <v>1</v>
      </c>
      <c r="L134" t="s">
        <v>191</v>
      </c>
      <c r="M134" t="s">
        <v>191</v>
      </c>
      <c r="N134" t="s">
        <v>470</v>
      </c>
      <c r="Q134" t="s">
        <v>357</v>
      </c>
      <c r="R134" t="s">
        <v>193</v>
      </c>
      <c r="T134" t="s">
        <v>471</v>
      </c>
      <c r="U134" t="s">
        <v>471</v>
      </c>
    </row>
    <row r="135" spans="2:21" x14ac:dyDescent="0.3">
      <c r="B135" s="9">
        <v>7</v>
      </c>
      <c r="C135" s="9" t="s">
        <v>244</v>
      </c>
      <c r="D135">
        <v>2</v>
      </c>
      <c r="F135" t="s">
        <v>187</v>
      </c>
      <c r="G135" s="9" t="s">
        <v>188</v>
      </c>
      <c r="H135" s="9">
        <v>-1</v>
      </c>
      <c r="I135" s="6" t="s">
        <v>189</v>
      </c>
      <c r="J135" s="5" t="s">
        <v>190</v>
      </c>
      <c r="L135" t="s">
        <v>191</v>
      </c>
      <c r="M135" t="s">
        <v>191</v>
      </c>
      <c r="Q135" t="s">
        <v>357</v>
      </c>
      <c r="R135" t="s">
        <v>193</v>
      </c>
      <c r="T135" t="s">
        <v>194</v>
      </c>
      <c r="U135" t="s">
        <v>194</v>
      </c>
    </row>
    <row r="136" spans="2:21" x14ac:dyDescent="0.3">
      <c r="B136" s="9">
        <v>6</v>
      </c>
      <c r="C136" s="9" t="s">
        <v>270</v>
      </c>
      <c r="D136">
        <v>1</v>
      </c>
      <c r="E136">
        <v>1</v>
      </c>
      <c r="F136" t="s">
        <v>472</v>
      </c>
      <c r="G136" s="9" t="s">
        <v>177</v>
      </c>
      <c r="H136" s="9">
        <v>5</v>
      </c>
      <c r="I136" s="6" t="s">
        <v>473</v>
      </c>
      <c r="J136" s="5" t="s">
        <v>474</v>
      </c>
      <c r="L136" t="s">
        <v>475</v>
      </c>
      <c r="M136" t="s">
        <v>475</v>
      </c>
      <c r="N136" t="s">
        <v>476</v>
      </c>
      <c r="P136">
        <v>16</v>
      </c>
      <c r="Q136" t="s">
        <v>357</v>
      </c>
      <c r="R136" t="s">
        <v>193</v>
      </c>
      <c r="T136" t="s">
        <v>466</v>
      </c>
      <c r="U136" t="s">
        <v>466</v>
      </c>
    </row>
    <row r="137" spans="2:21" x14ac:dyDescent="0.3">
      <c r="B137" s="9">
        <v>5</v>
      </c>
      <c r="C137" s="9" t="s">
        <v>422</v>
      </c>
      <c r="D137">
        <v>1</v>
      </c>
      <c r="E137">
        <v>1</v>
      </c>
      <c r="F137" t="s">
        <v>187</v>
      </c>
      <c r="G137" s="9" t="s">
        <v>188</v>
      </c>
      <c r="H137" s="9">
        <v>-1</v>
      </c>
      <c r="I137" s="6" t="s">
        <v>189</v>
      </c>
      <c r="J137" s="5" t="s">
        <v>190</v>
      </c>
      <c r="L137" t="s">
        <v>191</v>
      </c>
      <c r="M137" t="s">
        <v>191</v>
      </c>
      <c r="N137" t="s">
        <v>275</v>
      </c>
      <c r="Q137" t="s">
        <v>357</v>
      </c>
      <c r="R137" t="s">
        <v>193</v>
      </c>
      <c r="T137" t="s">
        <v>477</v>
      </c>
      <c r="U137" t="s">
        <v>477</v>
      </c>
    </row>
    <row r="138" spans="2:21" x14ac:dyDescent="0.3">
      <c r="B138" s="9">
        <v>4</v>
      </c>
      <c r="C138" s="9" t="s">
        <v>181</v>
      </c>
      <c r="D138">
        <v>1</v>
      </c>
      <c r="E138">
        <v>1</v>
      </c>
      <c r="F138" t="s">
        <v>187</v>
      </c>
      <c r="G138" s="9" t="s">
        <v>188</v>
      </c>
      <c r="H138" s="9">
        <v>-1</v>
      </c>
      <c r="I138" s="6" t="s">
        <v>189</v>
      </c>
      <c r="J138" t="s">
        <v>190</v>
      </c>
      <c r="L138" t="s">
        <v>191</v>
      </c>
      <c r="M138" t="s">
        <v>191</v>
      </c>
      <c r="N138" t="s">
        <v>257</v>
      </c>
      <c r="O138" t="s">
        <v>316</v>
      </c>
      <c r="Q138" t="s">
        <v>357</v>
      </c>
      <c r="R138" t="s">
        <v>193</v>
      </c>
      <c r="T138" t="s">
        <v>478</v>
      </c>
      <c r="U138" t="s">
        <v>478</v>
      </c>
    </row>
    <row r="139" spans="2:21" x14ac:dyDescent="0.3">
      <c r="B139" s="9">
        <v>3</v>
      </c>
      <c r="C139" s="9" t="s">
        <v>176</v>
      </c>
      <c r="D139">
        <v>1</v>
      </c>
      <c r="E139">
        <v>12</v>
      </c>
      <c r="F139" t="s">
        <v>479</v>
      </c>
      <c r="G139" s="9" t="s">
        <v>345</v>
      </c>
      <c r="H139" s="9">
        <v>5</v>
      </c>
      <c r="I139" t="s">
        <v>302</v>
      </c>
      <c r="J139" t="s">
        <v>480</v>
      </c>
      <c r="L139" t="s">
        <v>481</v>
      </c>
      <c r="M139" t="s">
        <v>347</v>
      </c>
      <c r="O139" t="s">
        <v>321</v>
      </c>
      <c r="P139">
        <v>22</v>
      </c>
      <c r="Q139" t="s">
        <v>357</v>
      </c>
      <c r="R139" t="s">
        <v>193</v>
      </c>
      <c r="T139" t="s">
        <v>482</v>
      </c>
      <c r="U139" t="s">
        <v>482</v>
      </c>
    </row>
    <row r="140" spans="2:21" x14ac:dyDescent="0.3">
      <c r="B140" s="9">
        <v>2</v>
      </c>
      <c r="C140" s="9" t="s">
        <v>289</v>
      </c>
      <c r="D140">
        <v>1</v>
      </c>
      <c r="E140">
        <v>1</v>
      </c>
      <c r="F140" t="s">
        <v>483</v>
      </c>
      <c r="G140" s="9" t="s">
        <v>484</v>
      </c>
      <c r="H140" s="9">
        <v>5</v>
      </c>
      <c r="I140" t="s">
        <v>485</v>
      </c>
      <c r="J140" t="s">
        <v>486</v>
      </c>
      <c r="K140">
        <v>5</v>
      </c>
      <c r="L140" t="s">
        <v>337</v>
      </c>
      <c r="M140" t="s">
        <v>337</v>
      </c>
      <c r="N140" t="s">
        <v>484</v>
      </c>
      <c r="Q140" t="s">
        <v>357</v>
      </c>
      <c r="R140" t="s">
        <v>193</v>
      </c>
      <c r="T140" t="s">
        <v>487</v>
      </c>
      <c r="U140" t="s">
        <v>487</v>
      </c>
    </row>
    <row r="141" spans="2:21" x14ac:dyDescent="0.3">
      <c r="B141" s="9">
        <v>1</v>
      </c>
      <c r="C141" s="9" t="s">
        <v>244</v>
      </c>
      <c r="D141">
        <v>1</v>
      </c>
      <c r="F141" t="s">
        <v>456</v>
      </c>
      <c r="G141" s="9"/>
      <c r="H141" s="9">
        <v>5</v>
      </c>
      <c r="I141" t="s">
        <v>488</v>
      </c>
      <c r="J141" t="s">
        <v>489</v>
      </c>
      <c r="Q141" t="s">
        <v>357</v>
      </c>
      <c r="R141" t="s">
        <v>193</v>
      </c>
      <c r="S141" t="s">
        <v>490</v>
      </c>
      <c r="T141" t="s">
        <v>491</v>
      </c>
      <c r="U141" t="s">
        <v>491</v>
      </c>
    </row>
  </sheetData>
  <phoneticPr fontId="1" type="noConversion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extractData_Config_Admin">
                <anchor moveWithCells="1" sizeWithCells="1">
                  <from>
                    <xdr:col>1</xdr:col>
                    <xdr:colOff>9525</xdr:colOff>
                    <xdr:row>1</xdr:row>
                    <xdr:rowOff>133350</xdr:rowOff>
                  </from>
                  <to>
                    <xdr:col>4</xdr:col>
                    <xdr:colOff>1533525</xdr:colOff>
                    <xdr:row>3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05807-CC2C-4A54-ABDE-60B5BCD9A298}">
  <sheetPr codeName="Sheet2"/>
  <dimension ref="A1:P105"/>
  <sheetViews>
    <sheetView tabSelected="1" workbookViewId="0">
      <selection activeCell="G24" sqref="G24"/>
    </sheetView>
  </sheetViews>
  <sheetFormatPr defaultRowHeight="16.5" x14ac:dyDescent="0.3"/>
  <cols>
    <col min="1" max="1" width="9" customWidth="1"/>
    <col min="2" max="2" width="34" customWidth="1"/>
    <col min="3" max="3" width="41.375" customWidth="1"/>
    <col min="4" max="4" width="17.625" style="15" customWidth="1"/>
    <col min="5" max="5" width="16.5" customWidth="1"/>
    <col min="6" max="15" width="15.25" customWidth="1"/>
    <col min="16" max="16" width="18.125" customWidth="1"/>
  </cols>
  <sheetData>
    <row r="1" spans="1:16" x14ac:dyDescent="0.3">
      <c r="C1" s="1" t="s">
        <v>131</v>
      </c>
    </row>
    <row r="2" spans="1:16" x14ac:dyDescent="0.3">
      <c r="C2" s="1"/>
      <c r="E2" s="19" t="s">
        <v>578</v>
      </c>
      <c r="F2" s="19" t="s">
        <v>579</v>
      </c>
      <c r="G2" t="s">
        <v>580</v>
      </c>
    </row>
    <row r="3" spans="1:16" x14ac:dyDescent="0.3">
      <c r="C3" s="1"/>
      <c r="E3" t="s">
        <v>181</v>
      </c>
      <c r="F3" t="s">
        <v>533</v>
      </c>
      <c r="G3" t="str">
        <f ca="1">CELL("address",INDEX(E5:P5, MATCH(E3,E5:P5,0)))</f>
        <v>$I$5</v>
      </c>
      <c r="H3" t="e">
        <f ca="1">OFFSET(INDIRECT(G3),0,0,10,1)</f>
        <v>#VALUE!</v>
      </c>
    </row>
    <row r="5" spans="1:16" x14ac:dyDescent="0.3">
      <c r="A5" s="7"/>
      <c r="B5" s="14" t="s">
        <v>132</v>
      </c>
      <c r="C5" s="14" t="s">
        <v>130</v>
      </c>
      <c r="D5" s="15" t="s">
        <v>133</v>
      </c>
      <c r="E5" s="18" t="str">
        <f t="array" ref="E5:P5">TRANSPOSE(B6:B28)</f>
        <v>bkcrowd</v>
      </c>
      <c r="F5" s="18" t="str">
        <v>test-delete3</v>
      </c>
      <c r="G5" s="18" t="str">
        <v>gselec</v>
      </c>
      <c r="H5" s="18" t="str">
        <v>ezchemtech</v>
      </c>
      <c r="I5" s="18" t="str">
        <v>ezoffice</v>
      </c>
      <c r="J5" s="18" t="str">
        <v>starshorse</v>
      </c>
      <c r="K5" s="18" t="str">
        <v>kumsung</v>
      </c>
      <c r="L5" s="18" t="str">
        <v>js_crm</v>
      </c>
      <c r="M5" s="18" t="str">
        <v>daeryuk</v>
      </c>
      <c r="N5" s="18" t="str">
        <v>ngc1994</v>
      </c>
      <c r="O5" s="18" t="str">
        <v>gwanakanalog</v>
      </c>
      <c r="P5" s="18" t="str">
        <v>worldshoppe</v>
      </c>
    </row>
    <row r="6" spans="1:16" x14ac:dyDescent="0.3">
      <c r="A6" s="7"/>
      <c r="B6" s="8" t="s">
        <v>108</v>
      </c>
      <c r="C6" s="2" t="s">
        <v>10</v>
      </c>
      <c r="D6" s="15">
        <f>COUNTIF(Sheet1!$E$7:$E$141,$C6)</f>
        <v>0</v>
      </c>
      <c r="E6" t="s">
        <v>506</v>
      </c>
      <c r="F6" t="s">
        <v>507</v>
      </c>
      <c r="G6" t="s">
        <v>508</v>
      </c>
      <c r="H6" t="s">
        <v>509</v>
      </c>
      <c r="I6" t="s">
        <v>510</v>
      </c>
      <c r="J6" t="s">
        <v>511</v>
      </c>
      <c r="K6" t="s">
        <v>512</v>
      </c>
      <c r="L6" t="s">
        <v>513</v>
      </c>
      <c r="M6" t="s">
        <v>514</v>
      </c>
      <c r="N6" t="s">
        <v>515</v>
      </c>
      <c r="O6" t="s">
        <v>516</v>
      </c>
      <c r="P6" t="s">
        <v>517</v>
      </c>
    </row>
    <row r="7" spans="1:16" x14ac:dyDescent="0.3">
      <c r="A7" s="10"/>
      <c r="B7" s="8" t="s">
        <v>109</v>
      </c>
      <c r="C7" s="2" t="s">
        <v>11</v>
      </c>
      <c r="D7" s="15">
        <f>COUNTIF(Sheet1!$E$7:$E$141,$C7)</f>
        <v>0</v>
      </c>
      <c r="E7" t="s">
        <v>518</v>
      </c>
      <c r="F7" t="s">
        <v>523</v>
      </c>
      <c r="G7" t="s">
        <v>524</v>
      </c>
      <c r="H7" t="s">
        <v>525</v>
      </c>
      <c r="I7" t="s">
        <v>526</v>
      </c>
      <c r="J7" t="s">
        <v>527</v>
      </c>
      <c r="K7" t="s">
        <v>528</v>
      </c>
      <c r="L7" t="s">
        <v>529</v>
      </c>
      <c r="M7" t="s">
        <v>530</v>
      </c>
      <c r="N7" t="s">
        <v>531</v>
      </c>
      <c r="O7" t="s">
        <v>532</v>
      </c>
      <c r="P7" t="s">
        <v>533</v>
      </c>
    </row>
    <row r="8" spans="1:16" x14ac:dyDescent="0.3">
      <c r="B8" s="8" t="s">
        <v>110</v>
      </c>
      <c r="C8" s="12" t="s">
        <v>12</v>
      </c>
      <c r="D8" s="15">
        <f>COUNTIF(Sheet1!$E$7:$E$141,$C8)</f>
        <v>0</v>
      </c>
      <c r="E8" t="s">
        <v>519</v>
      </c>
      <c r="F8" t="s">
        <v>534</v>
      </c>
      <c r="G8" t="s">
        <v>535</v>
      </c>
      <c r="H8" t="s">
        <v>536</v>
      </c>
      <c r="I8" t="s">
        <v>537</v>
      </c>
      <c r="J8" t="s">
        <v>538</v>
      </c>
      <c r="K8" t="s">
        <v>539</v>
      </c>
      <c r="L8" t="s">
        <v>540</v>
      </c>
      <c r="M8" t="s">
        <v>541</v>
      </c>
      <c r="N8" t="s">
        <v>542</v>
      </c>
      <c r="O8" t="s">
        <v>543</v>
      </c>
      <c r="P8" t="s">
        <v>544</v>
      </c>
    </row>
    <row r="9" spans="1:16" x14ac:dyDescent="0.3">
      <c r="B9" s="8" t="s">
        <v>111</v>
      </c>
      <c r="C9" s="12" t="s">
        <v>13</v>
      </c>
      <c r="D9" s="15">
        <f>COUNTIF(Sheet1!$E$7:$E$141,$C9)</f>
        <v>0</v>
      </c>
      <c r="E9" t="s">
        <v>520</v>
      </c>
      <c r="F9" t="s">
        <v>545</v>
      </c>
      <c r="G9" t="s">
        <v>546</v>
      </c>
      <c r="H9" t="s">
        <v>547</v>
      </c>
      <c r="I9" t="s">
        <v>548</v>
      </c>
      <c r="J9" t="s">
        <v>549</v>
      </c>
      <c r="K9" t="s">
        <v>550</v>
      </c>
      <c r="L9" t="s">
        <v>551</v>
      </c>
      <c r="M9" t="s">
        <v>552</v>
      </c>
      <c r="N9" t="s">
        <v>553</v>
      </c>
      <c r="O9" t="s">
        <v>554</v>
      </c>
      <c r="P9" t="s">
        <v>555</v>
      </c>
    </row>
    <row r="10" spans="1:16" x14ac:dyDescent="0.3">
      <c r="B10" s="8" t="s">
        <v>112</v>
      </c>
      <c r="C10" s="13" t="s">
        <v>14</v>
      </c>
      <c r="D10" s="15">
        <f>COUNTIF(Sheet1!$E$7:$E$141,$C10)</f>
        <v>0</v>
      </c>
      <c r="E10" t="s">
        <v>521</v>
      </c>
      <c r="F10" t="s">
        <v>556</v>
      </c>
      <c r="G10" t="s">
        <v>557</v>
      </c>
      <c r="H10" t="s">
        <v>558</v>
      </c>
      <c r="I10" t="s">
        <v>559</v>
      </c>
      <c r="J10" t="s">
        <v>560</v>
      </c>
      <c r="K10" t="s">
        <v>561</v>
      </c>
      <c r="L10" t="s">
        <v>562</v>
      </c>
      <c r="M10" t="s">
        <v>563</v>
      </c>
      <c r="N10" t="s">
        <v>564</v>
      </c>
      <c r="O10" t="s">
        <v>565</v>
      </c>
      <c r="P10" t="s">
        <v>566</v>
      </c>
    </row>
    <row r="11" spans="1:16" x14ac:dyDescent="0.3">
      <c r="B11" s="8" t="s">
        <v>77</v>
      </c>
      <c r="C11" s="2" t="s">
        <v>15</v>
      </c>
      <c r="D11" s="15">
        <f>COUNTIF(Sheet1!$E$7:$E$141,$C11)</f>
        <v>0</v>
      </c>
      <c r="E11" t="s">
        <v>522</v>
      </c>
      <c r="F11" t="s">
        <v>567</v>
      </c>
      <c r="G11" t="s">
        <v>568</v>
      </c>
      <c r="H11" t="s">
        <v>569</v>
      </c>
      <c r="I11" t="s">
        <v>570</v>
      </c>
      <c r="J11" t="s">
        <v>571</v>
      </c>
      <c r="K11" t="s">
        <v>572</v>
      </c>
      <c r="L11" t="s">
        <v>573</v>
      </c>
      <c r="M11" t="s">
        <v>574</v>
      </c>
      <c r="N11" t="s">
        <v>575</v>
      </c>
      <c r="O11" t="s">
        <v>576</v>
      </c>
      <c r="P11" t="s">
        <v>577</v>
      </c>
    </row>
    <row r="12" spans="1:16" x14ac:dyDescent="0.3">
      <c r="B12" s="8" t="s">
        <v>113</v>
      </c>
      <c r="C12" s="2" t="s">
        <v>16</v>
      </c>
      <c r="D12" s="15">
        <f>COUNTIF(Sheet1!$E$7:$E$141,$C12)</f>
        <v>0</v>
      </c>
    </row>
    <row r="13" spans="1:16" x14ac:dyDescent="0.3">
      <c r="B13" s="8" t="s">
        <v>114</v>
      </c>
      <c r="C13" s="2" t="s">
        <v>17</v>
      </c>
      <c r="D13" s="15">
        <f>COUNTIF(Sheet1!$E$7:$E$141,$C13)</f>
        <v>0</v>
      </c>
    </row>
    <row r="14" spans="1:16" x14ac:dyDescent="0.3">
      <c r="B14" s="8" t="s">
        <v>115</v>
      </c>
      <c r="C14" s="2" t="s">
        <v>18</v>
      </c>
      <c r="D14" s="15">
        <f>COUNTIF(Sheet1!$E$7:$E$141,$C14)</f>
        <v>0</v>
      </c>
    </row>
    <row r="15" spans="1:16" x14ac:dyDescent="0.3">
      <c r="B15" s="8" t="s">
        <v>116</v>
      </c>
      <c r="C15" s="2" t="s">
        <v>19</v>
      </c>
      <c r="D15" s="15">
        <f>COUNTIF(Sheet1!$E$7:$E$141,$C15)</f>
        <v>0</v>
      </c>
    </row>
    <row r="16" spans="1:16" x14ac:dyDescent="0.3">
      <c r="B16" s="8" t="s">
        <v>117</v>
      </c>
      <c r="C16" s="16" t="s">
        <v>20</v>
      </c>
      <c r="D16" s="15">
        <f>COUNTIF(Sheet1!$E$7:$E$141,$C16)</f>
        <v>0</v>
      </c>
    </row>
    <row r="17" spans="2:4" x14ac:dyDescent="0.3">
      <c r="B17" s="8" t="s">
        <v>118</v>
      </c>
      <c r="C17" s="2" t="s">
        <v>21</v>
      </c>
      <c r="D17" s="15">
        <f>COUNTIF(Sheet1!$E$7:$E$141,$C17)</f>
        <v>0</v>
      </c>
    </row>
    <row r="18" spans="2:4" x14ac:dyDescent="0.3">
      <c r="B18" s="8" t="s">
        <v>119</v>
      </c>
      <c r="C18" s="2" t="s">
        <v>22</v>
      </c>
      <c r="D18" s="15">
        <f>COUNTIF(Sheet1!$E$7:$E$141,$C18)</f>
        <v>0</v>
      </c>
    </row>
    <row r="19" spans="2:4" x14ac:dyDescent="0.3">
      <c r="B19" s="8" t="s">
        <v>120</v>
      </c>
      <c r="C19" s="2" t="s">
        <v>23</v>
      </c>
      <c r="D19" s="15">
        <f>COUNTIF(Sheet1!$E$7:$E$141,$C19)</f>
        <v>0</v>
      </c>
    </row>
    <row r="20" spans="2:4" x14ac:dyDescent="0.3">
      <c r="B20" s="8" t="s">
        <v>121</v>
      </c>
      <c r="C20" s="2" t="s">
        <v>24</v>
      </c>
      <c r="D20" s="15">
        <f>COUNTIF(Sheet1!$E$7:$E$141,$C20)</f>
        <v>0</v>
      </c>
    </row>
    <row r="21" spans="2:4" x14ac:dyDescent="0.3">
      <c r="B21" s="8" t="s">
        <v>122</v>
      </c>
      <c r="C21" s="2" t="s">
        <v>25</v>
      </c>
      <c r="D21" s="15">
        <f>COUNTIF(Sheet1!$E$7:$E$141,$C21)</f>
        <v>0</v>
      </c>
    </row>
    <row r="22" spans="2:4" x14ac:dyDescent="0.3">
      <c r="B22" s="8" t="s">
        <v>123</v>
      </c>
      <c r="C22" s="2" t="s">
        <v>26</v>
      </c>
      <c r="D22" s="15">
        <f>COUNTIF(Sheet1!$E$7:$E$141,$C22)</f>
        <v>0</v>
      </c>
    </row>
    <row r="23" spans="2:4" x14ac:dyDescent="0.3">
      <c r="B23" s="8" t="s">
        <v>124</v>
      </c>
      <c r="C23" s="2" t="s">
        <v>27</v>
      </c>
      <c r="D23" s="15">
        <f>COUNTIF(Sheet1!$E$7:$E$141,$C23)</f>
        <v>0</v>
      </c>
    </row>
    <row r="24" spans="2:4" x14ac:dyDescent="0.3">
      <c r="B24" s="8" t="s">
        <v>125</v>
      </c>
      <c r="C24" s="2" t="s">
        <v>28</v>
      </c>
      <c r="D24" s="15">
        <f>COUNTIF(Sheet1!$E$7:$E$141,$C24)</f>
        <v>0</v>
      </c>
    </row>
    <row r="25" spans="2:4" x14ac:dyDescent="0.3">
      <c r="B25" s="8" t="s">
        <v>126</v>
      </c>
      <c r="C25" s="2" t="s">
        <v>29</v>
      </c>
      <c r="D25" s="15">
        <f>COUNTIF(Sheet1!$E$7:$E$141,$C25)</f>
        <v>0</v>
      </c>
    </row>
    <row r="26" spans="2:4" x14ac:dyDescent="0.3">
      <c r="B26" s="8" t="s">
        <v>127</v>
      </c>
      <c r="C26" s="2" t="s">
        <v>30</v>
      </c>
      <c r="D26" s="15">
        <f>COUNTIF(Sheet1!$E$7:$E$141,$C26)</f>
        <v>0</v>
      </c>
    </row>
    <row r="27" spans="2:4" x14ac:dyDescent="0.3">
      <c r="B27" s="8" t="s">
        <v>128</v>
      </c>
      <c r="C27" s="2" t="s">
        <v>31</v>
      </c>
      <c r="D27" s="15">
        <f>COUNTIF(Sheet1!$E$7:$E$141,$C27)</f>
        <v>0</v>
      </c>
    </row>
    <row r="28" spans="2:4" x14ac:dyDescent="0.3">
      <c r="B28" s="8" t="s">
        <v>129</v>
      </c>
      <c r="C28" s="2" t="s">
        <v>32</v>
      </c>
      <c r="D28" s="15">
        <f>COUNTIF(Sheet1!$E$7:$E$141,$C28)</f>
        <v>0</v>
      </c>
    </row>
    <row r="29" spans="2:4" x14ac:dyDescent="0.3">
      <c r="C29" s="2" t="s">
        <v>33</v>
      </c>
      <c r="D29" s="15">
        <f>COUNTIF(Sheet1!$E$7:$E$141,$C29)</f>
        <v>0</v>
      </c>
    </row>
    <row r="30" spans="2:4" x14ac:dyDescent="0.3">
      <c r="C30" s="2" t="s">
        <v>34</v>
      </c>
      <c r="D30" s="15">
        <f>COUNTIF(Sheet1!$E$7:$E$141,$C30)</f>
        <v>0</v>
      </c>
    </row>
    <row r="31" spans="2:4" x14ac:dyDescent="0.3">
      <c r="C31" s="2" t="s">
        <v>35</v>
      </c>
      <c r="D31" s="15">
        <f>COUNTIF(Sheet1!$E$7:$E$141,$C31)</f>
        <v>0</v>
      </c>
    </row>
    <row r="32" spans="2:4" x14ac:dyDescent="0.3">
      <c r="C32" s="2" t="s">
        <v>36</v>
      </c>
      <c r="D32" s="15">
        <f>COUNTIF(Sheet1!$E$7:$E$141,$C32)</f>
        <v>0</v>
      </c>
    </row>
    <row r="33" spans="3:4" x14ac:dyDescent="0.3">
      <c r="C33" s="2" t="s">
        <v>37</v>
      </c>
      <c r="D33" s="15">
        <f>COUNTIF(Sheet1!$E$7:$E$141,$C33)</f>
        <v>0</v>
      </c>
    </row>
    <row r="34" spans="3:4" x14ac:dyDescent="0.3">
      <c r="C34" s="2" t="s">
        <v>38</v>
      </c>
      <c r="D34" s="15">
        <f>COUNTIF(Sheet1!$E$7:$E$141,$C34)</f>
        <v>0</v>
      </c>
    </row>
    <row r="35" spans="3:4" x14ac:dyDescent="0.3">
      <c r="C35" s="2" t="s">
        <v>39</v>
      </c>
      <c r="D35" s="15">
        <f>COUNTIF(Sheet1!$E$7:$E$141,$C35)</f>
        <v>0</v>
      </c>
    </row>
    <row r="36" spans="3:4" x14ac:dyDescent="0.3">
      <c r="C36" s="2" t="s">
        <v>40</v>
      </c>
      <c r="D36" s="15">
        <f>COUNTIF(Sheet1!$E$7:$E$141,$C36)</f>
        <v>0</v>
      </c>
    </row>
    <row r="37" spans="3:4" x14ac:dyDescent="0.3">
      <c r="C37" s="2" t="s">
        <v>41</v>
      </c>
      <c r="D37" s="15">
        <f>COUNTIF(Sheet1!$E$7:$E$141,$C37)</f>
        <v>0</v>
      </c>
    </row>
    <row r="38" spans="3:4" x14ac:dyDescent="0.3">
      <c r="C38" s="2" t="s">
        <v>42</v>
      </c>
      <c r="D38" s="15">
        <f>COUNTIF(Sheet1!$E$7:$E$141,$C38)</f>
        <v>0</v>
      </c>
    </row>
    <row r="39" spans="3:4" x14ac:dyDescent="0.3">
      <c r="C39" s="2" t="s">
        <v>43</v>
      </c>
      <c r="D39" s="15">
        <f>COUNTIF(Sheet1!$E$7:$E$141,$C39)</f>
        <v>0</v>
      </c>
    </row>
    <row r="40" spans="3:4" x14ac:dyDescent="0.3">
      <c r="C40" s="2" t="s">
        <v>44</v>
      </c>
      <c r="D40" s="15">
        <f>COUNTIF(Sheet1!$E$7:$E$141,$C40)</f>
        <v>0</v>
      </c>
    </row>
    <row r="41" spans="3:4" x14ac:dyDescent="0.3">
      <c r="C41" s="2" t="s">
        <v>45</v>
      </c>
      <c r="D41" s="15">
        <f>COUNTIF(Sheet1!$E$7:$E$141,$C41)</f>
        <v>0</v>
      </c>
    </row>
    <row r="42" spans="3:4" x14ac:dyDescent="0.3">
      <c r="C42" s="2" t="s">
        <v>46</v>
      </c>
      <c r="D42" s="15">
        <f>COUNTIF(Sheet1!$E$7:$E$141,$C42)</f>
        <v>0</v>
      </c>
    </row>
    <row r="43" spans="3:4" x14ac:dyDescent="0.3">
      <c r="C43" s="2" t="s">
        <v>47</v>
      </c>
      <c r="D43" s="15">
        <f>COUNTIF(Sheet1!$E$7:$E$141,$C43)</f>
        <v>0</v>
      </c>
    </row>
    <row r="44" spans="3:4" x14ac:dyDescent="0.3">
      <c r="C44" s="2" t="s">
        <v>48</v>
      </c>
      <c r="D44" s="15">
        <f>COUNTIF(Sheet1!$E$7:$E$141,$C44)</f>
        <v>0</v>
      </c>
    </row>
    <row r="45" spans="3:4" x14ac:dyDescent="0.3">
      <c r="C45" s="2" t="s">
        <v>49</v>
      </c>
      <c r="D45" s="15">
        <f>COUNTIF(Sheet1!$E$7:$E$141,$C45)</f>
        <v>0</v>
      </c>
    </row>
    <row r="46" spans="3:4" x14ac:dyDescent="0.3">
      <c r="C46" s="2" t="s">
        <v>50</v>
      </c>
      <c r="D46" s="15">
        <f>COUNTIF(Sheet1!$E$7:$E$141,$C46)</f>
        <v>0</v>
      </c>
    </row>
    <row r="47" spans="3:4" x14ac:dyDescent="0.3">
      <c r="C47" s="2" t="s">
        <v>51</v>
      </c>
      <c r="D47" s="15">
        <f>COUNTIF(Sheet1!$E$7:$E$141,$C47)</f>
        <v>0</v>
      </c>
    </row>
    <row r="48" spans="3:4" x14ac:dyDescent="0.3">
      <c r="C48" s="2" t="s">
        <v>52</v>
      </c>
      <c r="D48" s="15">
        <f>COUNTIF(Sheet1!$E$7:$E$141,$C48)</f>
        <v>0</v>
      </c>
    </row>
    <row r="49" spans="3:4" x14ac:dyDescent="0.3">
      <c r="C49" s="2" t="s">
        <v>53</v>
      </c>
      <c r="D49" s="15">
        <f>COUNTIF(Sheet1!$E$7:$E$141,$C49)</f>
        <v>0</v>
      </c>
    </row>
    <row r="50" spans="3:4" x14ac:dyDescent="0.3">
      <c r="C50" s="2" t="s">
        <v>54</v>
      </c>
      <c r="D50" s="15">
        <f>COUNTIF(Sheet1!$E$7:$E$141,$C50)</f>
        <v>0</v>
      </c>
    </row>
    <row r="51" spans="3:4" x14ac:dyDescent="0.3">
      <c r="C51" s="2" t="s">
        <v>55</v>
      </c>
      <c r="D51" s="15">
        <f>COUNTIF(Sheet1!$E$7:$E$141,$C51)</f>
        <v>0</v>
      </c>
    </row>
    <row r="52" spans="3:4" x14ac:dyDescent="0.3">
      <c r="C52" s="2" t="s">
        <v>56</v>
      </c>
      <c r="D52" s="15">
        <f>COUNTIF(Sheet1!$E$7:$E$141,$C52)</f>
        <v>0</v>
      </c>
    </row>
    <row r="53" spans="3:4" x14ac:dyDescent="0.3">
      <c r="C53" s="2" t="s">
        <v>57</v>
      </c>
      <c r="D53" s="15">
        <f>COUNTIF(Sheet1!$E$7:$E$141,$C53)</f>
        <v>0</v>
      </c>
    </row>
    <row r="54" spans="3:4" x14ac:dyDescent="0.3">
      <c r="C54" s="2" t="s">
        <v>58</v>
      </c>
      <c r="D54" s="15">
        <f>COUNTIF(Sheet1!$E$7:$E$141,$C54)</f>
        <v>0</v>
      </c>
    </row>
    <row r="55" spans="3:4" x14ac:dyDescent="0.3">
      <c r="C55" s="2" t="s">
        <v>59</v>
      </c>
      <c r="D55" s="15">
        <f>COUNTIF(Sheet1!$E$7:$E$141,$C55)</f>
        <v>0</v>
      </c>
    </row>
    <row r="56" spans="3:4" x14ac:dyDescent="0.3">
      <c r="C56" s="2" t="s">
        <v>60</v>
      </c>
      <c r="D56" s="15">
        <f>COUNTIF(Sheet1!$E$7:$E$141,$C56)</f>
        <v>0</v>
      </c>
    </row>
    <row r="57" spans="3:4" x14ac:dyDescent="0.3">
      <c r="C57" s="2" t="s">
        <v>61</v>
      </c>
      <c r="D57" s="15">
        <f>COUNTIF(Sheet1!$E$7:$E$141,$C57)</f>
        <v>0</v>
      </c>
    </row>
    <row r="58" spans="3:4" x14ac:dyDescent="0.3">
      <c r="C58" s="2" t="s">
        <v>62</v>
      </c>
      <c r="D58" s="15">
        <f>COUNTIF(Sheet1!$E$7:$E$141,$C58)</f>
        <v>0</v>
      </c>
    </row>
    <row r="59" spans="3:4" x14ac:dyDescent="0.3">
      <c r="C59" s="2" t="s">
        <v>63</v>
      </c>
      <c r="D59" s="15">
        <f>COUNTIF(Sheet1!$E$7:$E$141,$C59)</f>
        <v>0</v>
      </c>
    </row>
    <row r="60" spans="3:4" x14ac:dyDescent="0.3">
      <c r="C60" s="2" t="s">
        <v>64</v>
      </c>
      <c r="D60" s="15">
        <f>COUNTIF(Sheet1!$E$7:$E$141,$C60)</f>
        <v>0</v>
      </c>
    </row>
    <row r="61" spans="3:4" x14ac:dyDescent="0.3">
      <c r="C61" s="2" t="s">
        <v>65</v>
      </c>
      <c r="D61" s="15">
        <f>COUNTIF(Sheet1!$E$7:$E$141,$C61)</f>
        <v>0</v>
      </c>
    </row>
    <row r="62" spans="3:4" x14ac:dyDescent="0.3">
      <c r="C62" s="2" t="s">
        <v>66</v>
      </c>
      <c r="D62" s="15">
        <f>COUNTIF(Sheet1!$E$7:$E$141,$C62)</f>
        <v>0</v>
      </c>
    </row>
    <row r="63" spans="3:4" x14ac:dyDescent="0.3">
      <c r="C63" s="2" t="s">
        <v>67</v>
      </c>
      <c r="D63" s="15">
        <f>COUNTIF(Sheet1!$E$7:$E$141,$C63)</f>
        <v>0</v>
      </c>
    </row>
    <row r="64" spans="3:4" x14ac:dyDescent="0.3">
      <c r="C64" s="2" t="s">
        <v>68</v>
      </c>
      <c r="D64" s="15">
        <f>COUNTIF(Sheet1!$E$7:$E$141,$C64)</f>
        <v>0</v>
      </c>
    </row>
    <row r="65" spans="3:4" x14ac:dyDescent="0.3">
      <c r="C65" s="11" t="s">
        <v>69</v>
      </c>
      <c r="D65" s="15">
        <f>COUNTIF(Sheet1!$E$7:$E$141,$C65)</f>
        <v>0</v>
      </c>
    </row>
    <row r="66" spans="3:4" x14ac:dyDescent="0.3">
      <c r="C66" s="11" t="s">
        <v>70</v>
      </c>
      <c r="D66" s="15">
        <f>COUNTIF(Sheet1!$E$7:$E$141,$C66)</f>
        <v>0</v>
      </c>
    </row>
    <row r="67" spans="3:4" x14ac:dyDescent="0.3">
      <c r="C67" s="2" t="s">
        <v>71</v>
      </c>
      <c r="D67" s="15">
        <f>COUNTIF(Sheet1!$E$7:$E$141,$C67)</f>
        <v>0</v>
      </c>
    </row>
    <row r="68" spans="3:4" x14ac:dyDescent="0.3">
      <c r="C68" s="2" t="s">
        <v>72</v>
      </c>
      <c r="D68" s="15">
        <f>COUNTIF(Sheet1!$E$7:$E$141,$C68)</f>
        <v>0</v>
      </c>
    </row>
    <row r="69" spans="3:4" x14ac:dyDescent="0.3">
      <c r="C69" s="2" t="s">
        <v>73</v>
      </c>
      <c r="D69" s="15">
        <f>COUNTIF(Sheet1!$E$7:$E$141,$C69)</f>
        <v>0</v>
      </c>
    </row>
    <row r="70" spans="3:4" x14ac:dyDescent="0.3">
      <c r="C70" s="11" t="s">
        <v>7</v>
      </c>
      <c r="D70" s="15">
        <f>COUNTIF(Sheet1!$E$7:$E$141,$C70)</f>
        <v>0</v>
      </c>
    </row>
    <row r="71" spans="3:4" x14ac:dyDescent="0.3">
      <c r="C71" s="11" t="s">
        <v>74</v>
      </c>
      <c r="D71" s="15">
        <f>COUNTIF(Sheet1!$E$7:$E$141,$C71)</f>
        <v>0</v>
      </c>
    </row>
    <row r="72" spans="3:4" x14ac:dyDescent="0.3">
      <c r="C72" s="2" t="s">
        <v>75</v>
      </c>
      <c r="D72" s="15">
        <f>COUNTIF(Sheet1!$E$7:$E$141,$C72)</f>
        <v>0</v>
      </c>
    </row>
    <row r="73" spans="3:4" x14ac:dyDescent="0.3">
      <c r="C73" s="11" t="s">
        <v>76</v>
      </c>
      <c r="D73" s="15">
        <f>COUNTIF(Sheet1!$E$7:$E$141,$C73)</f>
        <v>0</v>
      </c>
    </row>
    <row r="74" spans="3:4" x14ac:dyDescent="0.3">
      <c r="C74" s="11" t="s">
        <v>9</v>
      </c>
      <c r="D74" s="15">
        <f>COUNTIF(Sheet1!$E$7:$E$141,$C74)</f>
        <v>0</v>
      </c>
    </row>
    <row r="75" spans="3:4" x14ac:dyDescent="0.3">
      <c r="C75" s="11" t="s">
        <v>78</v>
      </c>
      <c r="D75" s="15">
        <f>COUNTIF(Sheet1!$E$7:$E$141,$C75)</f>
        <v>0</v>
      </c>
    </row>
    <row r="76" spans="3:4" x14ac:dyDescent="0.3">
      <c r="C76" s="2" t="s">
        <v>79</v>
      </c>
      <c r="D76" s="15">
        <f>COUNTIF(Sheet1!$E$7:$E$141,$C76)</f>
        <v>0</v>
      </c>
    </row>
    <row r="77" spans="3:4" x14ac:dyDescent="0.3">
      <c r="C77" s="2" t="s">
        <v>80</v>
      </c>
      <c r="D77" s="15">
        <f>COUNTIF(Sheet1!$E$7:$E$141,$C77)</f>
        <v>0</v>
      </c>
    </row>
    <row r="78" spans="3:4" x14ac:dyDescent="0.3">
      <c r="C78" s="2" t="s">
        <v>81</v>
      </c>
      <c r="D78" s="15">
        <f>COUNTIF(Sheet1!$E$7:$E$141,$C78)</f>
        <v>0</v>
      </c>
    </row>
    <row r="79" spans="3:4" x14ac:dyDescent="0.3">
      <c r="C79" s="2" t="s">
        <v>82</v>
      </c>
      <c r="D79" s="15">
        <f>COUNTIF(Sheet1!$E$7:$E$141,$C79)</f>
        <v>0</v>
      </c>
    </row>
    <row r="80" spans="3:4" x14ac:dyDescent="0.3">
      <c r="C80" s="2" t="s">
        <v>83</v>
      </c>
      <c r="D80" s="15">
        <f>COUNTIF(Sheet1!$E$7:$E$141,$C80)</f>
        <v>0</v>
      </c>
    </row>
    <row r="81" spans="3:4" x14ac:dyDescent="0.3">
      <c r="C81" s="11" t="s">
        <v>8</v>
      </c>
      <c r="D81" s="15">
        <f>COUNTIF(Sheet1!$E$7:$E$141,$C81)</f>
        <v>0</v>
      </c>
    </row>
    <row r="82" spans="3:4" x14ac:dyDescent="0.3">
      <c r="C82" s="2" t="s">
        <v>84</v>
      </c>
      <c r="D82" s="15">
        <f>COUNTIF(Sheet1!$E$7:$E$141,$C82)</f>
        <v>0</v>
      </c>
    </row>
    <row r="83" spans="3:4" x14ac:dyDescent="0.3">
      <c r="C83" s="11" t="s">
        <v>85</v>
      </c>
      <c r="D83" s="15">
        <f>COUNTIF(Sheet1!$E$7:$E$141,$C83)</f>
        <v>0</v>
      </c>
    </row>
    <row r="84" spans="3:4" x14ac:dyDescent="0.3">
      <c r="C84" s="2" t="s">
        <v>86</v>
      </c>
      <c r="D84" s="15">
        <f>COUNTIF(Sheet1!$E$7:$E$141,$C84)</f>
        <v>0</v>
      </c>
    </row>
    <row r="85" spans="3:4" x14ac:dyDescent="0.3">
      <c r="C85" s="2" t="s">
        <v>87</v>
      </c>
      <c r="D85" s="15">
        <f>COUNTIF(Sheet1!$E$7:$E$141,$C85)</f>
        <v>0</v>
      </c>
    </row>
    <row r="86" spans="3:4" x14ac:dyDescent="0.3">
      <c r="C86" s="2" t="s">
        <v>88</v>
      </c>
      <c r="D86" s="15">
        <f>COUNTIF(Sheet1!$E$7:$E$141,$C86)</f>
        <v>0</v>
      </c>
    </row>
    <row r="87" spans="3:4" x14ac:dyDescent="0.3">
      <c r="C87" s="2" t="s">
        <v>89</v>
      </c>
      <c r="D87" s="15">
        <f>COUNTIF(Sheet1!$E$7:$E$141,$C87)</f>
        <v>0</v>
      </c>
    </row>
    <row r="88" spans="3:4" x14ac:dyDescent="0.3">
      <c r="C88" s="2" t="s">
        <v>90</v>
      </c>
      <c r="D88" s="15">
        <f>COUNTIF(Sheet1!$E$7:$E$141,$C88)</f>
        <v>0</v>
      </c>
    </row>
    <row r="89" spans="3:4" x14ac:dyDescent="0.3">
      <c r="C89" s="2" t="s">
        <v>91</v>
      </c>
      <c r="D89" s="15">
        <f>COUNTIF(Sheet1!$E$7:$E$141,$C89)</f>
        <v>0</v>
      </c>
    </row>
    <row r="90" spans="3:4" x14ac:dyDescent="0.3">
      <c r="C90" s="2" t="s">
        <v>92</v>
      </c>
      <c r="D90" s="15">
        <f>COUNTIF(Sheet1!$E$7:$E$141,$C90)</f>
        <v>0</v>
      </c>
    </row>
    <row r="91" spans="3:4" x14ac:dyDescent="0.3">
      <c r="C91" s="2" t="s">
        <v>93</v>
      </c>
      <c r="D91" s="15">
        <f>COUNTIF(Sheet1!$E$7:$E$141,$C91)</f>
        <v>0</v>
      </c>
    </row>
    <row r="92" spans="3:4" x14ac:dyDescent="0.3">
      <c r="C92" s="2" t="s">
        <v>94</v>
      </c>
      <c r="D92" s="15">
        <f>COUNTIF(Sheet1!$E$7:$E$141,$C92)</f>
        <v>0</v>
      </c>
    </row>
    <row r="93" spans="3:4" x14ac:dyDescent="0.3">
      <c r="C93" s="2" t="s">
        <v>95</v>
      </c>
      <c r="D93" s="15">
        <f>COUNTIF(Sheet1!$E$7:$E$141,$C93)</f>
        <v>0</v>
      </c>
    </row>
    <row r="94" spans="3:4" x14ac:dyDescent="0.3">
      <c r="C94" s="2" t="s">
        <v>96</v>
      </c>
      <c r="D94" s="15">
        <f>COUNTIF(Sheet1!$E$7:$E$141,$C94)</f>
        <v>0</v>
      </c>
    </row>
    <row r="95" spans="3:4" x14ac:dyDescent="0.3">
      <c r="C95" s="2" t="s">
        <v>97</v>
      </c>
      <c r="D95" s="15">
        <f>COUNTIF(Sheet1!$E$7:$E$141,$C95)</f>
        <v>0</v>
      </c>
    </row>
    <row r="96" spans="3:4" x14ac:dyDescent="0.3">
      <c r="C96" s="2" t="s">
        <v>98</v>
      </c>
      <c r="D96" s="15">
        <f>COUNTIF(Sheet1!$E$7:$E$141,$C96)</f>
        <v>0</v>
      </c>
    </row>
    <row r="97" spans="3:4" x14ac:dyDescent="0.3">
      <c r="C97" s="2" t="s">
        <v>99</v>
      </c>
      <c r="D97" s="15">
        <f>COUNTIF(Sheet1!$E$7:$E$141,$C97)</f>
        <v>0</v>
      </c>
    </row>
    <row r="98" spans="3:4" x14ac:dyDescent="0.3">
      <c r="C98" s="2" t="s">
        <v>100</v>
      </c>
      <c r="D98" s="15">
        <f>COUNTIF(Sheet1!$E$7:$E$141,$C98)</f>
        <v>0</v>
      </c>
    </row>
    <row r="99" spans="3:4" x14ac:dyDescent="0.3">
      <c r="C99" s="2" t="s">
        <v>101</v>
      </c>
      <c r="D99" s="15">
        <f>COUNTIF(Sheet1!$E$7:$E$141,$C99)</f>
        <v>0</v>
      </c>
    </row>
    <row r="100" spans="3:4" x14ac:dyDescent="0.3">
      <c r="C100" s="2" t="s">
        <v>102</v>
      </c>
      <c r="D100" s="15">
        <f>COUNTIF(Sheet1!$E$7:$E$141,$C100)</f>
        <v>0</v>
      </c>
    </row>
    <row r="101" spans="3:4" x14ac:dyDescent="0.3">
      <c r="C101" s="2" t="s">
        <v>103</v>
      </c>
      <c r="D101" s="15">
        <f>COUNTIF(Sheet1!$E$7:$E$141,$C101)</f>
        <v>0</v>
      </c>
    </row>
    <row r="102" spans="3:4" x14ac:dyDescent="0.3">
      <c r="C102" s="2" t="s">
        <v>104</v>
      </c>
      <c r="D102" s="15">
        <f>COUNTIF(Sheet1!$E$7:$E$141,$C102)</f>
        <v>0</v>
      </c>
    </row>
    <row r="103" spans="3:4" x14ac:dyDescent="0.3">
      <c r="C103" s="2" t="s">
        <v>105</v>
      </c>
      <c r="D103" s="15">
        <f>COUNTIF(Sheet1!$E$7:$E$141,$C103)</f>
        <v>0</v>
      </c>
    </row>
    <row r="104" spans="3:4" x14ac:dyDescent="0.3">
      <c r="C104" s="2" t="s">
        <v>106</v>
      </c>
      <c r="D104" s="15">
        <f>COUNTIF(Sheet1!$E$7:$E$141,$C104)</f>
        <v>0</v>
      </c>
    </row>
    <row r="105" spans="3:4" x14ac:dyDescent="0.3">
      <c r="C105" s="2" t="s">
        <v>107</v>
      </c>
      <c r="D105" s="15">
        <f>COUNTIF(Sheet1!$E$7:$E$141,$C105)</f>
        <v>0</v>
      </c>
    </row>
  </sheetData>
  <phoneticPr fontId="1" type="noConversion"/>
  <conditionalFormatting sqref="D6:D105">
    <cfRule type="cellIs" dxfId="0" priority="1" operator="greaterThan">
      <formula>1</formula>
    </cfRule>
  </conditionalFormatting>
  <dataValidations count="2">
    <dataValidation type="list" allowBlank="1" showInputMessage="1" showErrorMessage="1" sqref="E3" xr:uid="{23046B52-8B10-4A9F-9B9F-91ADBF96005D}">
      <formula1>DB_List</formula1>
    </dataValidation>
    <dataValidation type="list" allowBlank="1" showInputMessage="1" showErrorMessage="1" sqref="F3" xr:uid="{FA24D0A6-39D0-4F4E-8C74-63421EB7C343}">
      <formula1>TBL_List</formula1>
    </dataValidation>
  </dataValidations>
  <hyperlinks>
    <hyperlink ref="C8" r:id="rId1" display="dev@ezchemtech.com" xr:uid="{F33CA782-7501-435F-A32A-9B851B6E4D2D}"/>
    <hyperlink ref="C9" r:id="rId2" display="info7@ezchemtech.com" xr:uid="{967F513B-37D8-4574-820A-1276B128B1EC}"/>
    <hyperlink ref="C10" r:id="rId3" display="hong5@ezoffice.co.kr" xr:uid="{EAF631B3-AECC-4FD1-9011-D4B4A67D780E}"/>
    <hyperlink ref="C16" r:id="rId4" xr:uid="{56D95E97-1BB4-4825-8454-FD62C981C334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Sheet1</vt:lpstr>
      <vt:lpstr>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rrr</dc:creator>
  <cp:lastModifiedBy>richard choi</cp:lastModifiedBy>
  <dcterms:created xsi:type="dcterms:W3CDTF">2021-09-22T08:35:40Z</dcterms:created>
  <dcterms:modified xsi:type="dcterms:W3CDTF">2024-03-22T04:32:58Z</dcterms:modified>
</cp:coreProperties>
</file>